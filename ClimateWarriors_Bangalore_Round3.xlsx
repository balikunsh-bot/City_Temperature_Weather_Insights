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f01731662df26a/Desktop/"/>
    </mc:Choice>
  </mc:AlternateContent>
  <xr:revisionPtr revIDLastSave="38" documentId="8_{77C83A97-23D2-4EEE-82E9-A3DEA27AC255}" xr6:coauthVersionLast="47" xr6:coauthVersionMax="47" xr10:uidLastSave="{91EBE6AB-6ED0-476C-AF64-CC671FF125D6}"/>
  <bookViews>
    <workbookView xWindow="-110" yWindow="-110" windowWidth="19420" windowHeight="11500" xr2:uid="{BDD17168-83AD-4DCF-8F44-D181F1C07BFB}"/>
  </bookViews>
  <sheets>
    <sheet name="DATA" sheetId="1" r:id="rId1"/>
    <sheet name="building" sheetId="7" r:id="rId2"/>
    <sheet name="testing" sheetId="8" r:id="rId3"/>
    <sheet name="training" sheetId="6" r:id="rId4"/>
    <sheet name="monthly_testing" sheetId="13" r:id="rId5"/>
    <sheet name="monthly_training" sheetId="12" r:id="rId6"/>
    <sheet name="outliers" sheetId="2" r:id="rId7"/>
  </sheets>
  <definedNames>
    <definedName name="_xlnm._FilterDatabase" localSheetId="0" hidden="1">DATA!$A$1:$I$1326</definedName>
  </definedNames>
  <calcPr calcId="191029"/>
  <pivotCaches>
    <pivotCache cacheId="0" r:id="rId8"/>
    <pivotCache cacheId="1" r:id="rId9"/>
    <pivotCache cacheId="2" r:id="rId10"/>
    <pivotCache cacheId="3" r:id="rId11"/>
    <pivotCache cacheId="27" r:id="rId12"/>
    <pivotCache cacheId="32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2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3" i="8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F144" i="8"/>
  <c r="G144" i="8"/>
  <c r="E144" i="8"/>
  <c r="D144" i="8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6" i="1"/>
  <c r="J15" i="1"/>
  <c r="J3" i="1"/>
  <c r="J4" i="1"/>
  <c r="J5" i="1"/>
  <c r="J6" i="1"/>
  <c r="J7" i="1"/>
  <c r="J8" i="1"/>
  <c r="J9" i="1"/>
  <c r="J10" i="1"/>
  <c r="J11" i="1"/>
  <c r="J12" i="1"/>
  <c r="J13" i="1"/>
  <c r="J14" i="1"/>
  <c r="J2" i="1"/>
  <c r="B24" i="2" l="1"/>
  <c r="B25" i="2"/>
  <c r="B18" i="2"/>
  <c r="B17" i="2"/>
  <c r="B11" i="2"/>
  <c r="B10" i="2"/>
  <c r="B4" i="2"/>
  <c r="B3" i="2"/>
  <c r="B5" i="2" l="1"/>
  <c r="B7" i="2" s="1"/>
  <c r="B26" i="2"/>
  <c r="B28" i="2" s="1"/>
  <c r="B19" i="2"/>
  <c r="B21" i="2" s="1"/>
  <c r="B12" i="2"/>
  <c r="B14" i="2" s="1"/>
  <c r="B6" i="2" l="1"/>
  <c r="B27" i="2"/>
  <c r="B20" i="2"/>
  <c r="H725" i="6" s="1"/>
  <c r="B13" i="2"/>
  <c r="G668" i="6" s="1"/>
  <c r="G474" i="6" l="1"/>
  <c r="H8" i="6"/>
  <c r="H699" i="6"/>
  <c r="H233" i="6"/>
  <c r="H627" i="6"/>
  <c r="H267" i="6"/>
  <c r="H6" i="6"/>
  <c r="H534" i="6"/>
  <c r="H494" i="6"/>
  <c r="H187" i="6"/>
  <c r="H25" i="6"/>
  <c r="H7" i="6"/>
  <c r="H31" i="6"/>
  <c r="H674" i="6"/>
  <c r="H947" i="6"/>
  <c r="H889" i="6"/>
  <c r="H224" i="6"/>
  <c r="H978" i="6"/>
  <c r="H597" i="6"/>
  <c r="H981" i="6"/>
  <c r="H79" i="6"/>
  <c r="H1076" i="6"/>
  <c r="H515" i="6"/>
  <c r="H959" i="6"/>
  <c r="H152" i="6"/>
  <c r="H932" i="6"/>
  <c r="H251" i="6"/>
  <c r="G70" i="6"/>
  <c r="H655" i="6"/>
  <c r="H747" i="6"/>
  <c r="H762" i="6"/>
  <c r="H664" i="6"/>
  <c r="H603" i="6"/>
  <c r="H137" i="6"/>
  <c r="H755" i="6"/>
  <c r="H163" i="6"/>
  <c r="H812" i="6"/>
  <c r="G412" i="6"/>
  <c r="H80" i="6"/>
  <c r="H824" i="6"/>
  <c r="F873" i="6"/>
  <c r="F1119" i="6"/>
  <c r="F892" i="6"/>
  <c r="F943" i="6"/>
  <c r="F831" i="6"/>
  <c r="F845" i="6"/>
  <c r="F659" i="6"/>
  <c r="F295" i="6"/>
  <c r="F381" i="6"/>
  <c r="F268" i="6"/>
  <c r="F382" i="6"/>
  <c r="F333" i="6"/>
  <c r="F152" i="6"/>
  <c r="F173" i="6"/>
  <c r="F51" i="6"/>
  <c r="F510" i="6"/>
  <c r="F569" i="6"/>
  <c r="F418" i="6"/>
  <c r="F362" i="6"/>
  <c r="F397" i="6"/>
  <c r="F24" i="6"/>
  <c r="F1031" i="6"/>
  <c r="F1083" i="6"/>
  <c r="F851" i="6"/>
  <c r="F915" i="6"/>
  <c r="F980" i="6"/>
  <c r="F841" i="6"/>
  <c r="F650" i="6"/>
  <c r="F283" i="6"/>
  <c r="F370" i="6"/>
  <c r="F830" i="6"/>
  <c r="F298" i="6"/>
  <c r="F160" i="6"/>
  <c r="F140" i="6"/>
  <c r="F80" i="6"/>
  <c r="F39" i="6"/>
  <c r="F490" i="6"/>
  <c r="F535" i="6"/>
  <c r="F308" i="6"/>
  <c r="F357" i="6"/>
  <c r="F457" i="6"/>
  <c r="F119" i="6"/>
  <c r="F1106" i="6"/>
  <c r="F1047" i="6"/>
  <c r="F827" i="6"/>
  <c r="F730" i="6"/>
  <c r="F1045" i="6"/>
  <c r="F954" i="6"/>
  <c r="F835" i="6"/>
  <c r="F610" i="6"/>
  <c r="F602" i="6"/>
  <c r="F473" i="6"/>
  <c r="F379" i="6"/>
  <c r="F938" i="6"/>
  <c r="F549" i="6"/>
  <c r="F301" i="6"/>
  <c r="F1051" i="6"/>
  <c r="F1081" i="6"/>
  <c r="F978" i="6"/>
  <c r="F718" i="6"/>
  <c r="F910" i="6"/>
  <c r="F903" i="6"/>
  <c r="F259" i="6"/>
  <c r="F523" i="6"/>
  <c r="F515" i="6"/>
  <c r="F564" i="6"/>
  <c r="F724" i="6"/>
  <c r="F434" i="6"/>
  <c r="F10" i="6"/>
  <c r="F603" i="6"/>
  <c r="F854" i="6"/>
  <c r="F54" i="6"/>
  <c r="F84" i="6"/>
  <c r="F1070" i="6"/>
  <c r="F881" i="6"/>
  <c r="F696" i="6"/>
  <c r="F877" i="6"/>
  <c r="F913" i="6"/>
  <c r="F517" i="6"/>
  <c r="F454" i="6"/>
  <c r="F541" i="6"/>
  <c r="F760" i="6"/>
  <c r="F399" i="6"/>
  <c r="F1078" i="6"/>
  <c r="F448" i="6"/>
  <c r="F941" i="6"/>
  <c r="F251" i="6"/>
  <c r="F1034" i="6"/>
  <c r="F598" i="6"/>
  <c r="F685" i="6"/>
  <c r="F635" i="6"/>
  <c r="F495" i="6"/>
  <c r="F286" i="6"/>
  <c r="F640" i="6"/>
  <c r="F905" i="6"/>
  <c r="F1014" i="6"/>
  <c r="F303" i="6"/>
  <c r="F856" i="6"/>
  <c r="F894" i="6"/>
  <c r="F480" i="6"/>
  <c r="F378" i="6"/>
  <c r="F180" i="6"/>
  <c r="F1110" i="6"/>
  <c r="F75" i="6"/>
  <c r="F358" i="6"/>
  <c r="F352" i="6"/>
  <c r="F11" i="6"/>
  <c r="F1122" i="6"/>
  <c r="F562" i="6"/>
  <c r="F391" i="6"/>
  <c r="F304" i="6"/>
  <c r="F372" i="6"/>
  <c r="F706" i="6"/>
  <c r="F1084" i="6"/>
  <c r="F869" i="6"/>
  <c r="F817" i="6"/>
  <c r="F388" i="6"/>
  <c r="F322" i="6"/>
  <c r="F102" i="6"/>
  <c r="F689" i="6"/>
  <c r="F878" i="6"/>
  <c r="F586" i="6"/>
  <c r="F743" i="6"/>
  <c r="F430" i="6"/>
  <c r="F19" i="6"/>
  <c r="F883" i="6"/>
  <c r="F134" i="6"/>
  <c r="F69" i="6"/>
  <c r="F859" i="6"/>
  <c r="F585" i="6"/>
  <c r="F1093" i="6"/>
  <c r="F63" i="6"/>
  <c r="F64" i="6"/>
  <c r="F368" i="6"/>
  <c r="F717" i="6"/>
  <c r="F1040" i="6"/>
  <c r="F153" i="6"/>
  <c r="F313" i="6"/>
  <c r="F614" i="6"/>
  <c r="F868" i="6"/>
  <c r="F652" i="6"/>
  <c r="F311" i="6"/>
  <c r="F25" i="6"/>
  <c r="F365" i="6"/>
  <c r="F548" i="6"/>
  <c r="F291" i="6"/>
  <c r="F338" i="6"/>
  <c r="F662" i="6"/>
  <c r="F377" i="6"/>
  <c r="F312" i="6"/>
  <c r="F359" i="6"/>
  <c r="F151" i="6"/>
  <c r="F442" i="6"/>
  <c r="F584" i="6"/>
  <c r="F519" i="6"/>
  <c r="F48" i="6"/>
  <c r="F826" i="6"/>
  <c r="F271" i="6"/>
  <c r="F728" i="6"/>
  <c r="F539" i="6"/>
  <c r="F183" i="6"/>
  <c r="F850" i="6"/>
  <c r="F409" i="6"/>
  <c r="F811" i="6"/>
  <c r="F344" i="6"/>
  <c r="F207" i="6"/>
  <c r="F862" i="6"/>
  <c r="F420" i="6"/>
  <c r="F823" i="6"/>
  <c r="F432" i="6"/>
  <c r="F44" i="6"/>
  <c r="F324" i="6"/>
  <c r="F674" i="6"/>
  <c r="F847" i="6"/>
  <c r="F12" i="6"/>
  <c r="F710" i="6"/>
  <c r="F67" i="6"/>
  <c r="F157" i="6"/>
  <c r="F581" i="6"/>
  <c r="F908" i="6"/>
  <c r="F855" i="6"/>
  <c r="F751" i="6"/>
  <c r="F186" i="6"/>
  <c r="F13" i="6"/>
  <c r="F225" i="6"/>
  <c r="F353" i="6"/>
  <c r="F865" i="6"/>
  <c r="F143" i="6"/>
  <c r="F318" i="6"/>
  <c r="F805" i="6"/>
  <c r="F406" i="6"/>
  <c r="F875" i="6"/>
  <c r="F120" i="6"/>
  <c r="F708" i="6"/>
  <c r="F37" i="6"/>
  <c r="F417" i="6"/>
  <c r="F572" i="6"/>
  <c r="F964" i="6"/>
  <c r="F361" i="6"/>
  <c r="F210" i="6"/>
  <c r="F202" i="6"/>
  <c r="F504" i="6"/>
  <c r="F909" i="6"/>
  <c r="F335" i="6"/>
  <c r="F667" i="6"/>
  <c r="F188" i="6"/>
  <c r="F529" i="6"/>
  <c r="F1017" i="6"/>
  <c r="F346" i="6"/>
  <c r="F487" i="6"/>
  <c r="F289" i="6"/>
  <c r="F700" i="6"/>
  <c r="F1029" i="6"/>
  <c r="F88" i="6"/>
  <c r="F252" i="6"/>
  <c r="F321" i="6"/>
  <c r="F929" i="6"/>
  <c r="F737" i="6"/>
  <c r="F43" i="6"/>
  <c r="F136" i="6"/>
  <c r="F423" i="6"/>
  <c r="G880" i="6"/>
  <c r="G919" i="6"/>
  <c r="G389" i="6"/>
  <c r="G53" i="6"/>
  <c r="G908" i="6"/>
  <c r="G375" i="6"/>
  <c r="G405" i="6"/>
  <c r="G843" i="6"/>
  <c r="G175" i="6"/>
  <c r="G85" i="6"/>
  <c r="G831" i="6"/>
  <c r="G170" i="6"/>
  <c r="G55" i="6"/>
  <c r="G588" i="6"/>
  <c r="G657" i="6"/>
  <c r="G184" i="6"/>
  <c r="G816" i="6"/>
  <c r="G58" i="6"/>
  <c r="G577" i="6"/>
  <c r="G1015" i="6"/>
  <c r="G938" i="6"/>
  <c r="G813" i="6"/>
  <c r="G65" i="6"/>
  <c r="G802" i="6"/>
  <c r="G518" i="6"/>
  <c r="G156" i="6"/>
  <c r="F444" i="6"/>
  <c r="F76" i="6"/>
  <c r="F56" i="6"/>
  <c r="F336" i="6"/>
  <c r="F675" i="6"/>
  <c r="F804" i="6"/>
  <c r="F849" i="6"/>
  <c r="G279" i="6"/>
  <c r="H1021" i="6"/>
  <c r="H936" i="6"/>
  <c r="H1082" i="6"/>
  <c r="H784" i="6"/>
  <c r="H223" i="6"/>
  <c r="H547" i="6"/>
  <c r="H65" i="6"/>
  <c r="H815" i="6"/>
  <c r="H919" i="6"/>
  <c r="H775" i="6"/>
  <c r="H208" i="6"/>
  <c r="H542" i="6"/>
  <c r="H53" i="6"/>
  <c r="H366" i="6"/>
  <c r="H47" i="6"/>
  <c r="H731" i="6"/>
  <c r="H132" i="6"/>
  <c r="H803" i="6"/>
  <c r="H884" i="6"/>
  <c r="H561" i="6"/>
  <c r="H351" i="6"/>
  <c r="H15" i="6"/>
  <c r="H41" i="6"/>
  <c r="H54" i="6"/>
  <c r="H175" i="6"/>
  <c r="H269" i="6"/>
  <c r="H205" i="6"/>
  <c r="H898" i="6"/>
  <c r="H821" i="6"/>
  <c r="H523" i="6"/>
  <c r="H340" i="6"/>
  <c r="H354" i="6"/>
  <c r="H854" i="6"/>
  <c r="H18" i="6"/>
  <c r="H167" i="6"/>
  <c r="H186" i="6"/>
  <c r="H73" i="6"/>
  <c r="H550" i="6"/>
  <c r="H680" i="6"/>
  <c r="H347" i="6"/>
  <c r="H537" i="6"/>
  <c r="H318" i="6"/>
  <c r="H191" i="6"/>
  <c r="H159" i="6"/>
  <c r="H374" i="6"/>
  <c r="H173" i="6"/>
  <c r="H401" i="6"/>
  <c r="H648" i="6"/>
  <c r="H239" i="6"/>
  <c r="H449" i="6"/>
  <c r="H896" i="6"/>
  <c r="H16" i="6"/>
  <c r="H445" i="6"/>
  <c r="H270" i="6"/>
  <c r="H466" i="6"/>
  <c r="H13" i="6"/>
  <c r="H146" i="6"/>
  <c r="H881" i="6"/>
  <c r="H258" i="6"/>
  <c r="H363" i="6"/>
  <c r="H431" i="6"/>
  <c r="H362" i="6"/>
  <c r="H134" i="6"/>
  <c r="H1087" i="6"/>
  <c r="H618" i="6"/>
  <c r="H260" i="6"/>
  <c r="H265" i="6"/>
  <c r="H168" i="6"/>
  <c r="H545" i="6"/>
  <c r="H1098" i="6"/>
  <c r="H736" i="6"/>
  <c r="H9" i="6"/>
  <c r="H636" i="6"/>
  <c r="H329" i="6"/>
  <c r="H348" i="6"/>
  <c r="H66" i="6"/>
  <c r="H557" i="6"/>
  <c r="F9" i="6"/>
  <c r="F558" i="6"/>
  <c r="F79" i="6"/>
  <c r="F68" i="6"/>
  <c r="F340" i="6"/>
  <c r="F546" i="6"/>
  <c r="F355" i="6"/>
  <c r="F970" i="6"/>
  <c r="F861" i="6"/>
  <c r="H33" i="6"/>
  <c r="H71" i="6"/>
  <c r="H192" i="6"/>
  <c r="H538" i="6"/>
  <c r="G367" i="6"/>
  <c r="F129" i="6"/>
  <c r="F780" i="6"/>
  <c r="F145" i="6"/>
  <c r="F222" i="6"/>
  <c r="F553" i="6"/>
  <c r="F688" i="6"/>
  <c r="F367" i="6"/>
  <c r="F843" i="6"/>
  <c r="F968" i="6"/>
  <c r="H525" i="6"/>
  <c r="H147" i="6"/>
  <c r="H210" i="6"/>
  <c r="H886" i="6"/>
  <c r="G378" i="6"/>
  <c r="F1020" i="1"/>
  <c r="F1019" i="6"/>
  <c r="F1111" i="6"/>
  <c r="F1088" i="6"/>
  <c r="F837" i="6"/>
  <c r="F815" i="6"/>
  <c r="F716" i="6"/>
  <c r="F858" i="6"/>
  <c r="F1096" i="6"/>
  <c r="F946" i="6"/>
  <c r="F902" i="6"/>
  <c r="F687" i="6"/>
  <c r="F341" i="6"/>
  <c r="F531" i="6"/>
  <c r="F733" i="6"/>
  <c r="F247" i="6"/>
  <c r="F555" i="6"/>
  <c r="F1066" i="6"/>
  <c r="F414" i="6"/>
  <c r="F642" i="6"/>
  <c r="F990" i="6"/>
  <c r="F170" i="6"/>
  <c r="F518" i="6"/>
  <c r="F645" i="6"/>
  <c r="F727" i="6"/>
  <c r="F577" i="6"/>
  <c r="F215" i="6"/>
  <c r="F848" i="6"/>
  <c r="F745" i="6"/>
  <c r="F133" i="6"/>
  <c r="F255" i="6"/>
  <c r="F284" i="6"/>
  <c r="F33" i="6"/>
  <c r="F643" i="6"/>
  <c r="F756" i="6"/>
  <c r="F101" i="6"/>
  <c r="F127" i="6"/>
  <c r="F28" i="6"/>
  <c r="F122" i="6"/>
  <c r="F995" i="6"/>
  <c r="F813" i="6"/>
  <c r="F692" i="6"/>
  <c r="F1076" i="6"/>
  <c r="F732" i="6"/>
  <c r="F918" i="6"/>
  <c r="F533" i="6"/>
  <c r="F392" i="6"/>
  <c r="F146" i="6"/>
  <c r="F589" i="6"/>
  <c r="F809" i="6"/>
  <c r="F532" i="6"/>
  <c r="F106" i="6"/>
  <c r="F513" i="6"/>
  <c r="F380" i="6"/>
  <c r="F618" i="6"/>
  <c r="F1041" i="6"/>
  <c r="F1000" i="6"/>
  <c r="F985" i="6"/>
  <c r="F680" i="6"/>
  <c r="F1064" i="6"/>
  <c r="F721" i="6"/>
  <c r="F485" i="6"/>
  <c r="F530" i="6"/>
  <c r="F386" i="6"/>
  <c r="F711" i="6"/>
  <c r="F374" i="6"/>
  <c r="F1065" i="6"/>
  <c r="F1007" i="6"/>
  <c r="F1108" i="6"/>
  <c r="F1074" i="6"/>
  <c r="F825" i="6"/>
  <c r="F1037" i="6"/>
  <c r="F704" i="6"/>
  <c r="F846" i="6"/>
  <c r="F1080" i="6"/>
  <c r="F852" i="6"/>
  <c r="F770" i="6"/>
  <c r="F684" i="6"/>
  <c r="F329" i="6"/>
  <c r="F520" i="6"/>
  <c r="F707" i="6"/>
  <c r="F1094" i="6"/>
  <c r="F543" i="6"/>
  <c r="F1021" i="6"/>
  <c r="F400" i="6"/>
  <c r="F611" i="6"/>
  <c r="F731" i="6"/>
  <c r="F158" i="6"/>
  <c r="F507" i="6"/>
  <c r="F637" i="6"/>
  <c r="F479" i="6"/>
  <c r="F891" i="6"/>
  <c r="F179" i="6"/>
  <c r="F719" i="6"/>
  <c r="F738" i="6"/>
  <c r="F118" i="6"/>
  <c r="F115" i="6"/>
  <c r="F246" i="6"/>
  <c r="F30" i="6"/>
  <c r="F528" i="6"/>
  <c r="F723" i="6"/>
  <c r="F98" i="6"/>
  <c r="F91" i="6"/>
  <c r="F702" i="6"/>
  <c r="F89" i="6"/>
  <c r="F1053" i="6"/>
  <c r="F1003" i="6"/>
  <c r="F1071" i="6"/>
  <c r="F1028" i="6"/>
  <c r="F754" i="6"/>
  <c r="F1116" i="6"/>
  <c r="F671" i="6"/>
  <c r="F498" i="6"/>
  <c r="F932" i="6"/>
  <c r="F757" i="6"/>
  <c r="F590" i="6"/>
  <c r="F726" i="6"/>
  <c r="F402" i="6"/>
  <c r="F470" i="6"/>
  <c r="F176" i="6"/>
  <c r="F705" i="6"/>
  <c r="F112" i="6"/>
  <c r="F236" i="6"/>
  <c r="F698" i="6"/>
  <c r="F55" i="6"/>
  <c r="F17" i="6"/>
  <c r="F983" i="6"/>
  <c r="F1054" i="6"/>
  <c r="F1024" i="6"/>
  <c r="F742" i="6"/>
  <c r="F746" i="6"/>
  <c r="F653" i="6"/>
  <c r="F456" i="6"/>
  <c r="F750" i="6"/>
  <c r="F375" i="6"/>
  <c r="F657" i="6"/>
  <c r="F509" i="6"/>
  <c r="F925" i="6"/>
  <c r="F138" i="6"/>
  <c r="F78" i="6"/>
  <c r="F131" i="6"/>
  <c r="F16" i="6"/>
  <c r="F216" i="6"/>
  <c r="F327" i="6"/>
  <c r="F631" i="6"/>
  <c r="F363" i="6"/>
  <c r="F916" i="6"/>
  <c r="F404" i="6"/>
  <c r="F164" i="6"/>
  <c r="F942" i="6"/>
  <c r="F864" i="6"/>
  <c r="F701" i="6"/>
  <c r="F280" i="6"/>
  <c r="F739" i="6"/>
  <c r="F860" i="6"/>
  <c r="F445" i="6"/>
  <c r="F693" i="6"/>
  <c r="F540" i="6"/>
  <c r="F934" i="6"/>
  <c r="F882" i="6"/>
  <c r="F991" i="6"/>
  <c r="F1004" i="6"/>
  <c r="F944" i="6"/>
  <c r="F967" i="6"/>
  <c r="F885" i="6"/>
  <c r="F189" i="6"/>
  <c r="F300" i="6"/>
  <c r="F648" i="6"/>
  <c r="F135" i="6"/>
  <c r="F52" i="6"/>
  <c r="F263" i="6"/>
  <c r="F178" i="6"/>
  <c r="F790" i="6"/>
  <c r="F516" i="6"/>
  <c r="F1099" i="6"/>
  <c r="F421" i="6"/>
  <c r="F192" i="6"/>
  <c r="F949" i="6"/>
  <c r="F1042" i="6"/>
  <c r="F139" i="6"/>
  <c r="F292" i="6"/>
  <c r="F213" i="6"/>
  <c r="F895" i="6"/>
  <c r="F758" i="6"/>
  <c r="F712" i="6"/>
  <c r="F565" i="6"/>
  <c r="F940" i="6"/>
  <c r="F1056" i="6"/>
  <c r="F536" i="6"/>
  <c r="F1008" i="6"/>
  <c r="F951" i="6"/>
  <c r="F989" i="6"/>
  <c r="F897" i="6"/>
  <c r="F47" i="6"/>
  <c r="F440" i="6"/>
  <c r="F489" i="6"/>
  <c r="F281" i="6"/>
  <c r="F124" i="6"/>
  <c r="F66" i="6"/>
  <c r="F45" i="6"/>
  <c r="F1006" i="6"/>
  <c r="F27" i="6"/>
  <c r="F32" i="6"/>
  <c r="F625" i="6"/>
  <c r="F778" i="6"/>
  <c r="F148" i="6"/>
  <c r="F1120" i="6"/>
  <c r="F163" i="6"/>
  <c r="F309" i="6"/>
  <c r="F237" i="6"/>
  <c r="F907" i="6"/>
  <c r="F343" i="6"/>
  <c r="F898" i="6"/>
  <c r="F836" i="6"/>
  <c r="F638" i="6"/>
  <c r="F574" i="6"/>
  <c r="F560" i="6"/>
  <c r="F839" i="6"/>
  <c r="F961" i="6"/>
  <c r="F863" i="6"/>
  <c r="F921" i="6"/>
  <c r="G410" i="6"/>
  <c r="G808" i="6"/>
  <c r="G441" i="6"/>
  <c r="G422" i="6"/>
  <c r="G820" i="6"/>
  <c r="H303" i="6"/>
  <c r="H311" i="6"/>
  <c r="H19" i="6"/>
  <c r="H171" i="6"/>
  <c r="H952" i="6"/>
  <c r="H290" i="6"/>
  <c r="H594" i="6"/>
  <c r="H378" i="6"/>
  <c r="H263" i="6"/>
  <c r="H741" i="6"/>
  <c r="H660" i="6"/>
  <c r="H989" i="6"/>
  <c r="G18" i="6"/>
  <c r="G235" i="6"/>
  <c r="G537" i="6"/>
  <c r="G1056" i="6"/>
  <c r="G282" i="6"/>
  <c r="H209" i="6"/>
  <c r="H103" i="6"/>
  <c r="H464" i="6"/>
  <c r="H155" i="6"/>
  <c r="H549" i="6"/>
  <c r="H151" i="6"/>
  <c r="H566" i="6"/>
  <c r="H1010" i="6"/>
  <c r="H203" i="6"/>
  <c r="H469" i="6"/>
  <c r="H520" i="6"/>
  <c r="H1100" i="6"/>
  <c r="H935" i="6"/>
  <c r="G54" i="6"/>
  <c r="G247" i="6"/>
  <c r="G551" i="6"/>
  <c r="G1064" i="6"/>
  <c r="G825" i="6"/>
  <c r="H820" i="6"/>
  <c r="G828" i="6"/>
  <c r="G837" i="6"/>
  <c r="F393" i="6"/>
  <c r="F1117" i="6"/>
  <c r="G849" i="6"/>
  <c r="F61" i="6"/>
  <c r="F1050" i="6"/>
  <c r="G545" i="6"/>
  <c r="F46" i="6"/>
  <c r="F226" i="6"/>
  <c r="F812" i="6"/>
  <c r="F1027" i="6"/>
  <c r="F348" i="6"/>
  <c r="F496" i="6"/>
  <c r="F996" i="6"/>
  <c r="F427" i="6"/>
  <c r="F768" i="6"/>
  <c r="F748" i="6"/>
  <c r="F966" i="6"/>
  <c r="F818" i="6"/>
  <c r="F979" i="6"/>
  <c r="F1038" i="6"/>
  <c r="F771" i="6"/>
  <c r="F950" i="6"/>
  <c r="F502" i="6"/>
  <c r="F646" i="6"/>
  <c r="F786" i="6"/>
  <c r="F1085" i="6"/>
  <c r="F620" i="6"/>
  <c r="F764" i="6"/>
  <c r="F912" i="6"/>
  <c r="F1118" i="6"/>
  <c r="F796" i="6"/>
  <c r="F1057" i="6"/>
  <c r="F899" i="6"/>
  <c r="F1002" i="6"/>
  <c r="F1105" i="6"/>
  <c r="F893" i="6"/>
  <c r="F1039" i="6"/>
  <c r="F937" i="6"/>
  <c r="F923" i="6"/>
  <c r="F1067" i="6"/>
  <c r="F957" i="6"/>
  <c r="F1101" i="6"/>
  <c r="H977" i="6"/>
  <c r="H563" i="6"/>
  <c r="H543" i="6"/>
  <c r="H426" i="6"/>
  <c r="H274" i="6"/>
  <c r="H902" i="6"/>
  <c r="H421" i="6"/>
  <c r="H32" i="6"/>
  <c r="H462" i="6"/>
  <c r="H114" i="6"/>
  <c r="H199" i="6"/>
  <c r="H121" i="6"/>
  <c r="H435" i="6"/>
  <c r="H21" i="6"/>
  <c r="H559" i="6"/>
  <c r="H281" i="6"/>
  <c r="H332" i="6"/>
  <c r="H20" i="6"/>
  <c r="H665" i="6"/>
  <c r="H84" i="6"/>
  <c r="H446" i="6"/>
  <c r="H546" i="6"/>
  <c r="H188" i="6"/>
  <c r="H673" i="6"/>
  <c r="H70" i="6"/>
  <c r="H686" i="6"/>
  <c r="H238" i="6"/>
  <c r="H719" i="6"/>
  <c r="H709" i="6"/>
  <c r="H300" i="6"/>
  <c r="H1020" i="6"/>
  <c r="H697" i="6"/>
  <c r="H365" i="6"/>
  <c r="H818" i="6"/>
  <c r="H581" i="6"/>
  <c r="H361" i="6"/>
  <c r="H769" i="6"/>
  <c r="H442" i="6"/>
  <c r="H441" i="6"/>
  <c r="H367" i="6"/>
  <c r="H832" i="6"/>
  <c r="H760" i="6"/>
  <c r="H1015" i="6"/>
  <c r="H840" i="6"/>
  <c r="H742" i="6"/>
  <c r="H892" i="6"/>
  <c r="H867" i="6"/>
  <c r="H997" i="6"/>
  <c r="G370" i="6"/>
  <c r="G178" i="6"/>
  <c r="G265" i="6"/>
  <c r="G874" i="6"/>
  <c r="G38" i="6"/>
  <c r="G228" i="6"/>
  <c r="G429" i="6"/>
  <c r="G536" i="6"/>
  <c r="G116" i="6"/>
  <c r="G705" i="6"/>
  <c r="G748" i="6"/>
  <c r="G471" i="6"/>
  <c r="G598" i="6"/>
  <c r="G769" i="6"/>
  <c r="G673" i="6"/>
  <c r="G502" i="6"/>
  <c r="G1035" i="6"/>
  <c r="G682" i="6"/>
  <c r="G1018" i="6"/>
  <c r="G557" i="6"/>
  <c r="G543" i="6"/>
  <c r="G1063" i="6"/>
  <c r="G1011" i="6"/>
  <c r="G1110" i="6"/>
  <c r="G88" i="6"/>
  <c r="G82" i="6"/>
  <c r="G259" i="6"/>
  <c r="G392" i="6"/>
  <c r="G559" i="6"/>
  <c r="G927" i="6"/>
  <c r="H448" i="6"/>
  <c r="H328" i="6"/>
  <c r="H49" i="6"/>
  <c r="H180" i="6"/>
  <c r="H987" i="6"/>
  <c r="H359" i="6"/>
  <c r="H615" i="6"/>
  <c r="H235" i="6"/>
  <c r="H575" i="6"/>
  <c r="H573" i="6"/>
  <c r="H562" i="6"/>
  <c r="H1031" i="6"/>
  <c r="G658" i="6"/>
  <c r="G532" i="6"/>
  <c r="G411" i="6"/>
  <c r="G624" i="6"/>
  <c r="G844" i="6"/>
  <c r="H277" i="6"/>
  <c r="H771" i="6"/>
  <c r="H52" i="6"/>
  <c r="H390" i="6"/>
  <c r="G875" i="6"/>
  <c r="F559" i="6"/>
  <c r="F206" i="6"/>
  <c r="F681" i="6"/>
  <c r="F592" i="6"/>
  <c r="F22" i="6"/>
  <c r="F547" i="6"/>
  <c r="F452" i="6"/>
  <c r="F874" i="6"/>
  <c r="F405" i="6"/>
  <c r="F522" i="6"/>
  <c r="F314" i="6"/>
  <c r="F249" i="6"/>
  <c r="F1114" i="6"/>
  <c r="F534" i="6"/>
  <c r="F591" i="6"/>
  <c r="F965" i="6"/>
  <c r="F1100" i="6"/>
  <c r="F596" i="6"/>
  <c r="F772" i="6"/>
  <c r="F982" i="6"/>
  <c r="F896" i="6"/>
  <c r="H413" i="6"/>
  <c r="H236" i="6"/>
  <c r="H193" i="6"/>
  <c r="H387" i="6"/>
  <c r="H197" i="6"/>
  <c r="H380" i="6"/>
  <c r="H46" i="6"/>
  <c r="H617" i="6"/>
  <c r="H492" i="6"/>
  <c r="H201" i="6"/>
  <c r="H607" i="6"/>
  <c r="H1012" i="6"/>
  <c r="H1055" i="6"/>
  <c r="G96" i="6"/>
  <c r="G620" i="6"/>
  <c r="G447" i="6"/>
  <c r="G662" i="6"/>
  <c r="G1103" i="6"/>
  <c r="F332" i="6"/>
  <c r="F130" i="6"/>
  <c r="F155" i="6"/>
  <c r="F741" i="6"/>
  <c r="F57" i="6"/>
  <c r="F797" i="6"/>
  <c r="F325" i="6"/>
  <c r="F104" i="6"/>
  <c r="F276" i="6"/>
  <c r="F177" i="6"/>
  <c r="F214" i="6"/>
  <c r="F396" i="6"/>
  <c r="F428" i="6"/>
  <c r="F478" i="6"/>
  <c r="F175" i="6"/>
  <c r="F977" i="6"/>
  <c r="F1012" i="6"/>
  <c r="F919" i="6"/>
  <c r="F761" i="6"/>
  <c r="F774" i="6"/>
  <c r="F890" i="6"/>
  <c r="F999" i="6"/>
  <c r="F911" i="6"/>
  <c r="H859" i="6"/>
  <c r="H830" i="6"/>
  <c r="H81" i="6"/>
  <c r="H513" i="6"/>
  <c r="H611" i="6"/>
  <c r="H166" i="6"/>
  <c r="H230" i="6"/>
  <c r="H264" i="6"/>
  <c r="H800" i="6"/>
  <c r="H406" i="6"/>
  <c r="H743" i="6"/>
  <c r="H866" i="6"/>
  <c r="G110" i="6"/>
  <c r="G980" i="6"/>
  <c r="G527" i="6"/>
  <c r="G457" i="6"/>
  <c r="G666" i="6"/>
  <c r="G989" i="6"/>
  <c r="G1029" i="6"/>
  <c r="F86" i="6"/>
  <c r="F587" i="6"/>
  <c r="F354" i="6"/>
  <c r="F117" i="6"/>
  <c r="F1063" i="6"/>
  <c r="F628" i="6"/>
  <c r="F407" i="6"/>
  <c r="F116" i="6"/>
  <c r="F339" i="6"/>
  <c r="F182" i="6"/>
  <c r="F715" i="6"/>
  <c r="F229" i="6"/>
  <c r="F447" i="6"/>
  <c r="F588" i="6"/>
  <c r="F273" i="6"/>
  <c r="F481" i="6"/>
  <c r="F616" i="6"/>
  <c r="F187" i="6"/>
  <c r="F567" i="6"/>
  <c r="F35" i="6"/>
  <c r="F59" i="6"/>
  <c r="F166" i="6"/>
  <c r="F90" i="6"/>
  <c r="F571" i="6"/>
  <c r="F42" i="6"/>
  <c r="F239" i="6"/>
  <c r="F366" i="6"/>
  <c r="F948" i="6"/>
  <c r="F227" i="6"/>
  <c r="F168" i="6"/>
  <c r="F887" i="6"/>
  <c r="F58" i="6"/>
  <c r="F267" i="6"/>
  <c r="F416" i="6"/>
  <c r="F491" i="6"/>
  <c r="F123" i="6"/>
  <c r="F651" i="6"/>
  <c r="F433" i="6"/>
  <c r="F128" i="6"/>
  <c r="F287" i="6"/>
  <c r="F542" i="6"/>
  <c r="F371" i="6"/>
  <c r="F85" i="6"/>
  <c r="F347" i="6"/>
  <c r="F677" i="6"/>
  <c r="F467" i="6"/>
  <c r="F763" i="6"/>
  <c r="F190" i="6"/>
  <c r="F446" i="6"/>
  <c r="F734" i="6"/>
  <c r="F759" i="6"/>
  <c r="F238" i="6"/>
  <c r="F578" i="6"/>
  <c r="F879" i="6"/>
  <c r="F241" i="6"/>
  <c r="F465" i="6"/>
  <c r="F220" i="6"/>
  <c r="F342" i="6"/>
  <c r="F450" i="6"/>
  <c r="F605" i="6"/>
  <c r="F870" i="6"/>
  <c r="F285" i="6"/>
  <c r="F505" i="6"/>
  <c r="F636" i="6"/>
  <c r="F714" i="6"/>
  <c r="F199" i="6"/>
  <c r="F351" i="6"/>
  <c r="F499" i="6"/>
  <c r="F1010" i="6"/>
  <c r="F439" i="6"/>
  <c r="F570" i="6"/>
  <c r="F794" i="6"/>
  <c r="F1046" i="6"/>
  <c r="F425" i="6"/>
  <c r="F600" i="6"/>
  <c r="F755" i="6"/>
  <c r="F1013" i="6"/>
  <c r="F829" i="6"/>
  <c r="F1018" i="6"/>
  <c r="F1058" i="6"/>
  <c r="F783" i="6"/>
  <c r="F963" i="6"/>
  <c r="F514" i="6"/>
  <c r="F658" i="6"/>
  <c r="F798" i="6"/>
  <c r="F488" i="6"/>
  <c r="F632" i="6"/>
  <c r="F769" i="6"/>
  <c r="F960" i="6"/>
  <c r="F1121" i="6"/>
  <c r="F808" i="6"/>
  <c r="F1060" i="6"/>
  <c r="F914" i="6"/>
  <c r="F1016" i="6"/>
  <c r="F1112" i="6"/>
  <c r="F917" i="6"/>
  <c r="F1061" i="6"/>
  <c r="F962" i="6"/>
  <c r="F935" i="6"/>
  <c r="F1079" i="6"/>
  <c r="F969" i="6"/>
  <c r="F1113" i="6"/>
  <c r="H30" i="6"/>
  <c r="H584" i="6"/>
  <c r="H675" i="6"/>
  <c r="H64" i="6"/>
  <c r="H284" i="6"/>
  <c r="H14" i="6"/>
  <c r="H500" i="6"/>
  <c r="H68" i="6"/>
  <c r="H524" i="6"/>
  <c r="H183" i="6"/>
  <c r="H404" i="6"/>
  <c r="H124" i="6"/>
  <c r="H489" i="6"/>
  <c r="H90" i="6"/>
  <c r="H663" i="6"/>
  <c r="H324" i="6"/>
  <c r="H414" i="6"/>
  <c r="H56" i="6"/>
  <c r="H778" i="6"/>
  <c r="H96" i="6"/>
  <c r="H460" i="6"/>
  <c r="H608" i="6"/>
  <c r="H198" i="6"/>
  <c r="H908" i="6"/>
  <c r="H82" i="6"/>
  <c r="H833" i="6"/>
  <c r="H245" i="6"/>
  <c r="H838" i="6"/>
  <c r="H738" i="6"/>
  <c r="H467" i="6"/>
  <c r="H1095" i="6"/>
  <c r="H847" i="6"/>
  <c r="H368" i="6"/>
  <c r="H1059" i="6"/>
  <c r="H652" i="6"/>
  <c r="H397" i="6"/>
  <c r="H808" i="6"/>
  <c r="H481" i="6"/>
  <c r="H453" i="6"/>
  <c r="H379" i="6"/>
  <c r="H960" i="6"/>
  <c r="H788" i="6"/>
  <c r="H1023" i="6"/>
  <c r="H849" i="6"/>
  <c r="H754" i="6"/>
  <c r="H895" i="6"/>
  <c r="H872" i="6"/>
  <c r="H1009" i="6"/>
  <c r="G462" i="6"/>
  <c r="G311" i="6"/>
  <c r="G459" i="6"/>
  <c r="G6" i="6"/>
  <c r="G12" i="6"/>
  <c r="G261" i="6"/>
  <c r="G455" i="6"/>
  <c r="G946" i="6"/>
  <c r="G128" i="6"/>
  <c r="G724" i="6"/>
  <c r="G768" i="6"/>
  <c r="G481" i="6"/>
  <c r="G630" i="6"/>
  <c r="G793" i="6"/>
  <c r="G688" i="6"/>
  <c r="G524" i="6"/>
  <c r="G1046" i="6"/>
  <c r="G693" i="6"/>
  <c r="G1053" i="6"/>
  <c r="G569" i="6"/>
  <c r="G555" i="6"/>
  <c r="G1077" i="6"/>
  <c r="G1047" i="6"/>
  <c r="G1122" i="6"/>
  <c r="G193" i="6"/>
  <c r="G126" i="6"/>
  <c r="G680" i="6"/>
  <c r="G397" i="6"/>
  <c r="G613" i="6"/>
  <c r="G855" i="6"/>
  <c r="H164" i="6"/>
  <c r="H843" i="6"/>
  <c r="H42" i="6"/>
  <c r="H291" i="6"/>
  <c r="H122" i="6"/>
  <c r="H342" i="6"/>
  <c r="H22" i="6"/>
  <c r="H510" i="6"/>
  <c r="H402" i="6"/>
  <c r="H275" i="6"/>
  <c r="H831" i="6"/>
  <c r="H1078" i="6"/>
  <c r="H944" i="6"/>
  <c r="G91" i="6"/>
  <c r="G94" i="6"/>
  <c r="G294" i="6"/>
  <c r="G400" i="6"/>
  <c r="G562" i="6"/>
  <c r="G868" i="6"/>
  <c r="H156" i="6"/>
  <c r="H703" i="6"/>
  <c r="H45" i="6"/>
  <c r="H44" i="6"/>
  <c r="H161" i="6"/>
  <c r="H1119" i="6"/>
  <c r="H101" i="6"/>
  <c r="H75" i="6"/>
  <c r="H228" i="6"/>
  <c r="H337" i="6"/>
  <c r="H287" i="6"/>
  <c r="H963" i="6"/>
  <c r="H599" i="6"/>
  <c r="H574" i="6"/>
  <c r="H1014" i="6"/>
  <c r="G300" i="6"/>
  <c r="G349" i="6"/>
  <c r="G547" i="6"/>
  <c r="G283" i="6"/>
  <c r="G403" i="6"/>
  <c r="G582" i="6"/>
  <c r="G856" i="6"/>
  <c r="F150" i="6"/>
  <c r="F191" i="6"/>
  <c r="F6" i="6"/>
  <c r="F105" i="6"/>
  <c r="F1069" i="6"/>
  <c r="F767" i="6"/>
  <c r="F92" i="6"/>
  <c r="F49" i="6"/>
  <c r="F669" i="6"/>
  <c r="F683" i="6"/>
  <c r="F193" i="6"/>
  <c r="F552" i="6"/>
  <c r="F595" i="6"/>
  <c r="F459" i="6"/>
  <c r="F725" i="6"/>
  <c r="F703" i="6"/>
  <c r="F785" i="6"/>
  <c r="F622" i="6"/>
  <c r="F740" i="6"/>
  <c r="F988" i="6"/>
  <c r="F880" i="6"/>
  <c r="F933" i="6"/>
  <c r="H184" i="6"/>
  <c r="H57" i="6"/>
  <c r="H554" i="6"/>
  <c r="H428" i="6"/>
  <c r="H590" i="6"/>
  <c r="H113" i="6"/>
  <c r="H111" i="6"/>
  <c r="H423" i="6"/>
  <c r="H299" i="6"/>
  <c r="H948" i="6"/>
  <c r="H586" i="6"/>
  <c r="G11" i="6"/>
  <c r="G402" i="6"/>
  <c r="G917" i="6"/>
  <c r="G238" i="6"/>
  <c r="G194" i="6"/>
  <c r="G878" i="6"/>
  <c r="F162" i="6"/>
  <c r="F248" i="6"/>
  <c r="F369" i="6"/>
  <c r="F165" i="6"/>
  <c r="F654" i="6"/>
  <c r="F34" i="6"/>
  <c r="F99" i="6"/>
  <c r="F272" i="6"/>
  <c r="F955" i="6"/>
  <c r="F649" i="6"/>
  <c r="F824" i="6"/>
  <c r="F320" i="6"/>
  <c r="F261" i="6"/>
  <c r="F337" i="6"/>
  <c r="F556" i="6"/>
  <c r="F594" i="6"/>
  <c r="F974" i="6"/>
  <c r="F1109" i="6"/>
  <c r="F608" i="6"/>
  <c r="F784" i="6"/>
  <c r="F888" i="6"/>
  <c r="F1055" i="6"/>
  <c r="H219" i="6"/>
  <c r="H253" i="6"/>
  <c r="H320" i="6"/>
  <c r="H400" i="6"/>
  <c r="H220" i="6"/>
  <c r="H424" i="6"/>
  <c r="H58" i="6"/>
  <c r="H661" i="6"/>
  <c r="H569" i="6"/>
  <c r="H350" i="6"/>
  <c r="H355" i="6"/>
  <c r="H837" i="6"/>
  <c r="H925" i="6"/>
  <c r="G138" i="6"/>
  <c r="G394" i="6"/>
  <c r="G720" i="6"/>
  <c r="G753" i="6"/>
  <c r="G679" i="6"/>
  <c r="G531" i="6"/>
  <c r="F288" i="6"/>
  <c r="F5" i="6"/>
  <c r="F29" i="6"/>
  <c r="F108" i="6"/>
  <c r="F228" i="6"/>
  <c r="F156" i="6"/>
  <c r="F390" i="6"/>
  <c r="F599" i="6"/>
  <c r="F497" i="6"/>
  <c r="F661" i="6"/>
  <c r="F412" i="6"/>
  <c r="F853" i="6"/>
  <c r="F1090" i="6"/>
  <c r="F413" i="6"/>
  <c r="F383" i="6"/>
  <c r="F194" i="6"/>
  <c r="F296" i="6"/>
  <c r="F486" i="6"/>
  <c r="F167" i="6"/>
  <c r="F419" i="6"/>
  <c r="F221" i="6"/>
  <c r="F641" i="6"/>
  <c r="F77" i="6"/>
  <c r="F410" i="6"/>
  <c r="F323" i="6"/>
  <c r="F627" i="6"/>
  <c r="F62" i="6"/>
  <c r="F171" i="6"/>
  <c r="F575" i="6"/>
  <c r="F316" i="6"/>
  <c r="F204" i="6"/>
  <c r="F126" i="6"/>
  <c r="F38" i="6"/>
  <c r="F142" i="6"/>
  <c r="F266" i="6"/>
  <c r="F544" i="6"/>
  <c r="F41" i="6"/>
  <c r="F4" i="6"/>
  <c r="F184" i="6"/>
  <c r="F672" i="6"/>
  <c r="F70" i="6"/>
  <c r="F275" i="6"/>
  <c r="F438" i="6"/>
  <c r="F583" i="6"/>
  <c r="F185" i="6"/>
  <c r="F679" i="6"/>
  <c r="F455" i="6"/>
  <c r="F137" i="6"/>
  <c r="F294" i="6"/>
  <c r="F563" i="6"/>
  <c r="F394" i="6"/>
  <c r="F97" i="6"/>
  <c r="F443" i="6"/>
  <c r="F691" i="6"/>
  <c r="F503" i="6"/>
  <c r="F816" i="6"/>
  <c r="F195" i="6"/>
  <c r="F474" i="6"/>
  <c r="F744" i="6"/>
  <c r="F776" i="6"/>
  <c r="F250" i="6"/>
  <c r="F582" i="6"/>
  <c r="F886" i="6"/>
  <c r="F253" i="6"/>
  <c r="F468" i="6"/>
  <c r="F232" i="6"/>
  <c r="F350" i="6"/>
  <c r="F458" i="6"/>
  <c r="F619" i="6"/>
  <c r="F906" i="6"/>
  <c r="F297" i="6"/>
  <c r="F508" i="6"/>
  <c r="F639" i="6"/>
  <c r="F736" i="6"/>
  <c r="F211" i="6"/>
  <c r="F373" i="6"/>
  <c r="F537" i="6"/>
  <c r="F307" i="6"/>
  <c r="F451" i="6"/>
  <c r="F573" i="6"/>
  <c r="F802" i="6"/>
  <c r="F1001" i="6"/>
  <c r="F437" i="6"/>
  <c r="F606" i="6"/>
  <c r="F762" i="6"/>
  <c r="F1030" i="6"/>
  <c r="F840" i="6"/>
  <c r="F1022" i="6"/>
  <c r="F1062" i="6"/>
  <c r="F795" i="6"/>
  <c r="F987" i="6"/>
  <c r="F526" i="6"/>
  <c r="F670" i="6"/>
  <c r="F810" i="6"/>
  <c r="F500" i="6"/>
  <c r="F644" i="6"/>
  <c r="F775" i="6"/>
  <c r="F972" i="6"/>
  <c r="F779" i="6"/>
  <c r="F820" i="6"/>
  <c r="F777" i="6"/>
  <c r="F920" i="6"/>
  <c r="F1023" i="6"/>
  <c r="F939" i="6"/>
  <c r="F928" i="6"/>
  <c r="F1072" i="6"/>
  <c r="F973" i="6"/>
  <c r="F947" i="6"/>
  <c r="F1091" i="6"/>
  <c r="F981" i="6"/>
  <c r="H388" i="6"/>
  <c r="H37" i="6"/>
  <c r="H43" i="6"/>
  <c r="H1038" i="6"/>
  <c r="H67" i="6"/>
  <c r="H289" i="6"/>
  <c r="H50" i="6"/>
  <c r="H633" i="6"/>
  <c r="H104" i="6"/>
  <c r="H257" i="6"/>
  <c r="H212" i="6"/>
  <c r="H533" i="6"/>
  <c r="H127" i="6"/>
  <c r="H503" i="6"/>
  <c r="H126" i="6"/>
  <c r="H26" i="6"/>
  <c r="H382" i="6"/>
  <c r="H468" i="6"/>
  <c r="H92" i="6"/>
  <c r="H1032" i="6"/>
  <c r="H108" i="6"/>
  <c r="H506" i="6"/>
  <c r="H5" i="6"/>
  <c r="H204" i="6"/>
  <c r="H1018" i="6"/>
  <c r="H169" i="6"/>
  <c r="H848" i="6"/>
  <c r="H268" i="6"/>
  <c r="H869" i="6"/>
  <c r="H758" i="6"/>
  <c r="H491" i="6"/>
  <c r="H1112" i="6"/>
  <c r="H1051" i="6"/>
  <c r="H371" i="6"/>
  <c r="H222" i="6"/>
  <c r="H691" i="6"/>
  <c r="H411" i="6"/>
  <c r="H850" i="6"/>
  <c r="H505" i="6"/>
  <c r="H465" i="6"/>
  <c r="H391" i="6"/>
  <c r="H1035" i="6"/>
  <c r="H796" i="6"/>
  <c r="H1048" i="6"/>
  <c r="H852" i="6"/>
  <c r="H951" i="6"/>
  <c r="H933" i="6"/>
  <c r="H885" i="6"/>
  <c r="G505" i="6"/>
  <c r="G415" i="6"/>
  <c r="G476" i="6"/>
  <c r="G23" i="6"/>
  <c r="G84" i="6"/>
  <c r="G319" i="6"/>
  <c r="G465" i="6"/>
  <c r="G1090" i="6"/>
  <c r="G137" i="6"/>
  <c r="G730" i="6"/>
  <c r="G973" i="6"/>
  <c r="G511" i="6"/>
  <c r="G646" i="6"/>
  <c r="G841" i="6"/>
  <c r="G706" i="6"/>
  <c r="G589" i="6"/>
  <c r="G1079" i="6"/>
  <c r="G707" i="6"/>
  <c r="G1087" i="6"/>
  <c r="G581" i="6"/>
  <c r="G567" i="6"/>
  <c r="G1101" i="6"/>
  <c r="G1083" i="6"/>
  <c r="G545" i="1"/>
  <c r="G1120" i="6"/>
  <c r="G976" i="6"/>
  <c r="G1086" i="6"/>
  <c r="G942" i="6"/>
  <c r="G1042" i="6"/>
  <c r="G934" i="6"/>
  <c r="G939" i="6"/>
  <c r="G950" i="6"/>
  <c r="G796" i="6"/>
  <c r="G851" i="6"/>
  <c r="G1005" i="6"/>
  <c r="G786" i="6"/>
  <c r="G886" i="6"/>
  <c r="G663" i="6"/>
  <c r="G519" i="6"/>
  <c r="G987" i="6"/>
  <c r="G819" i="6"/>
  <c r="G677" i="6"/>
  <c r="G533" i="6"/>
  <c r="G907" i="6"/>
  <c r="G804" i="6"/>
  <c r="G994" i="6"/>
  <c r="G974" i="6"/>
  <c r="G781" i="6"/>
  <c r="G1106" i="6"/>
  <c r="G788" i="6"/>
  <c r="G671" i="6"/>
  <c r="G758" i="6"/>
  <c r="G526" i="6"/>
  <c r="G396" i="6"/>
  <c r="G1085" i="6"/>
  <c r="G647" i="6"/>
  <c r="G398" i="6"/>
  <c r="G736" i="6"/>
  <c r="G484" i="6"/>
  <c r="G254" i="6"/>
  <c r="G877" i="6"/>
  <c r="G944" i="6"/>
  <c r="G632" i="6"/>
  <c r="G472" i="6"/>
  <c r="G364" i="6"/>
  <c r="G244" i="6"/>
  <c r="G746" i="6"/>
  <c r="G561" i="6"/>
  <c r="G361" i="6"/>
  <c r="G215" i="6"/>
  <c r="G578" i="6"/>
  <c r="G298" i="6"/>
  <c r="G158" i="6"/>
  <c r="G740" i="6"/>
  <c r="G443" i="6"/>
  <c r="G358" i="6"/>
  <c r="G223" i="6"/>
  <c r="G864" i="6"/>
  <c r="G692" i="6"/>
  <c r="G453" i="6"/>
  <c r="G270" i="6"/>
  <c r="G167" i="6"/>
  <c r="G621" i="6"/>
  <c r="G686" i="6"/>
  <c r="G640" i="6"/>
  <c r="G253" i="6"/>
  <c r="G92" i="6"/>
  <c r="G333" i="6"/>
  <c r="G351" i="6"/>
  <c r="G63" i="6"/>
  <c r="G516" i="6"/>
  <c r="G241" i="6"/>
  <c r="G46" i="6"/>
  <c r="G972" i="6"/>
  <c r="G390" i="6"/>
  <c r="G154" i="6"/>
  <c r="G41" i="6"/>
  <c r="G708" i="6"/>
  <c r="G209" i="6"/>
  <c r="G150" i="6"/>
  <c r="G332" i="6"/>
  <c r="G192" i="6"/>
  <c r="G553" i="6"/>
  <c r="G1039" i="6"/>
  <c r="G369" i="6"/>
  <c r="G147" i="6"/>
  <c r="G826" i="6"/>
  <c r="G329" i="6"/>
  <c r="G52" i="6"/>
  <c r="G177" i="6"/>
  <c r="G117" i="6"/>
  <c r="G48" i="6"/>
  <c r="G383" i="6"/>
  <c r="G269" i="6"/>
  <c r="G37" i="6"/>
  <c r="G132" i="6"/>
  <c r="G40" i="6"/>
  <c r="G479" i="6"/>
  <c r="G1108" i="6"/>
  <c r="G964" i="6"/>
  <c r="G1074" i="6"/>
  <c r="G930" i="6"/>
  <c r="G1031" i="6"/>
  <c r="G923" i="6"/>
  <c r="G903" i="6"/>
  <c r="G925" i="6"/>
  <c r="G784" i="6"/>
  <c r="G839" i="6"/>
  <c r="G991" i="6"/>
  <c r="G774" i="6"/>
  <c r="G879" i="6"/>
  <c r="G651" i="6"/>
  <c r="G507" i="6"/>
  <c r="G983" i="6"/>
  <c r="G807" i="6"/>
  <c r="G665" i="6"/>
  <c r="G521" i="6"/>
  <c r="G900" i="6"/>
  <c r="G801" i="6"/>
  <c r="G941" i="6"/>
  <c r="G965" i="6"/>
  <c r="G770" i="6"/>
  <c r="G1082" i="6"/>
  <c r="G763" i="6"/>
  <c r="G1052" i="6"/>
  <c r="G745" i="6"/>
  <c r="G523" i="6"/>
  <c r="G384" i="6"/>
  <c r="G1017" i="6"/>
  <c r="G644" i="6"/>
  <c r="G386" i="6"/>
  <c r="G714" i="6"/>
  <c r="G467" i="6"/>
  <c r="G242" i="6"/>
  <c r="G860" i="6"/>
  <c r="G812" i="6"/>
  <c r="G619" i="6"/>
  <c r="G464" i="6"/>
  <c r="G356" i="6"/>
  <c r="G232" i="6"/>
  <c r="G728" i="6"/>
  <c r="G558" i="6"/>
  <c r="G353" i="6"/>
  <c r="G958" i="6"/>
  <c r="G574" i="6"/>
  <c r="G286" i="6"/>
  <c r="G146" i="6"/>
  <c r="G683" i="6"/>
  <c r="G440" i="6"/>
  <c r="G347" i="6"/>
  <c r="G211" i="6"/>
  <c r="G805" i="6"/>
  <c r="G678" i="6"/>
  <c r="G426" i="6"/>
  <c r="G267" i="6"/>
  <c r="G155" i="6"/>
  <c r="G601" i="6"/>
  <c r="G664" i="6"/>
  <c r="G635" i="6"/>
  <c r="G249" i="6"/>
  <c r="G80" i="6"/>
  <c r="G297" i="6"/>
  <c r="G343" i="6"/>
  <c r="G51" i="6"/>
  <c r="G512" i="6"/>
  <c r="G237" i="6"/>
  <c r="G34" i="6"/>
  <c r="G953" i="6"/>
  <c r="G305" i="6"/>
  <c r="G148" i="6"/>
  <c r="G29" i="6"/>
  <c r="G659" i="6"/>
  <c r="G164" i="6"/>
  <c r="G284" i="6"/>
  <c r="G293" i="6"/>
  <c r="G108" i="6"/>
  <c r="G445" i="6"/>
  <c r="G1030" i="6"/>
  <c r="G352" i="6"/>
  <c r="G139" i="6"/>
  <c r="G672" i="6"/>
  <c r="G296" i="6"/>
  <c r="G49" i="6"/>
  <c r="G24" i="6"/>
  <c r="G114" i="6"/>
  <c r="G35" i="6"/>
  <c r="G240" i="6"/>
  <c r="G216" i="6"/>
  <c r="G122" i="6"/>
  <c r="G76" i="6"/>
  <c r="G638" i="6"/>
  <c r="G377" i="6"/>
  <c r="G1096" i="6"/>
  <c r="G952" i="6"/>
  <c r="G1062" i="6"/>
  <c r="G918" i="6"/>
  <c r="G1028" i="6"/>
  <c r="G920" i="6"/>
  <c r="G898" i="6"/>
  <c r="G1057" i="6"/>
  <c r="G772" i="6"/>
  <c r="G827" i="6"/>
  <c r="G957" i="6"/>
  <c r="G1093" i="6"/>
  <c r="G872" i="6"/>
  <c r="G639" i="6"/>
  <c r="G495" i="6"/>
  <c r="G963" i="6"/>
  <c r="G795" i="6"/>
  <c r="G653" i="6"/>
  <c r="G509" i="6"/>
  <c r="G871" i="6"/>
  <c r="G792" i="6"/>
  <c r="G894" i="6"/>
  <c r="G960" i="6"/>
  <c r="G732" i="6"/>
  <c r="G1034" i="6"/>
  <c r="G760" i="6"/>
  <c r="G1001" i="6"/>
  <c r="G697" i="6"/>
  <c r="G515" i="6"/>
  <c r="G372" i="6"/>
  <c r="G977" i="6"/>
  <c r="G626" i="6"/>
  <c r="G374" i="6"/>
  <c r="G703" i="6"/>
  <c r="G431" i="6"/>
  <c r="G230" i="6"/>
  <c r="G823" i="6"/>
  <c r="G775" i="6"/>
  <c r="G602" i="6"/>
  <c r="G450" i="6"/>
  <c r="G342" i="6"/>
  <c r="G220" i="6"/>
  <c r="G702" i="6"/>
  <c r="G498" i="6"/>
  <c r="G339" i="6"/>
  <c r="G824" i="6"/>
  <c r="G550" i="6"/>
  <c r="G274" i="6"/>
  <c r="G134" i="6"/>
  <c r="G670" i="6"/>
  <c r="G437" i="6"/>
  <c r="G344" i="6"/>
  <c r="G208" i="6"/>
  <c r="G764" i="6"/>
  <c r="G645" i="6"/>
  <c r="G388" i="6"/>
  <c r="G258" i="6"/>
  <c r="G143" i="6"/>
  <c r="G597" i="6"/>
  <c r="G652" i="6"/>
  <c r="G604" i="6"/>
  <c r="G195" i="6"/>
  <c r="G68" i="6"/>
  <c r="G248" i="6"/>
  <c r="G330" i="6"/>
  <c r="G39" i="6"/>
  <c r="G478" i="6"/>
  <c r="G169" i="6"/>
  <c r="G22" i="6"/>
  <c r="G752" i="6"/>
  <c r="G252" i="6"/>
  <c r="G142" i="6"/>
  <c r="G17" i="6"/>
  <c r="G576" i="6"/>
  <c r="G152" i="6"/>
  <c r="G97" i="6"/>
  <c r="G778" i="6"/>
  <c r="G72" i="6"/>
  <c r="G391" i="6"/>
  <c r="G315" i="6"/>
  <c r="G341" i="6"/>
  <c r="G135" i="6"/>
  <c r="G636" i="6"/>
  <c r="G285" i="6"/>
  <c r="G19" i="6"/>
  <c r="G727" i="6"/>
  <c r="G81" i="6"/>
  <c r="G607" i="6"/>
  <c r="G202" i="6"/>
  <c r="G199" i="6"/>
  <c r="G631" i="6"/>
  <c r="G4" i="6"/>
  <c r="G277" i="6"/>
  <c r="G50" i="6"/>
  <c r="G1084" i="6"/>
  <c r="G940" i="6"/>
  <c r="G1050" i="6"/>
  <c r="G906" i="6"/>
  <c r="G1020" i="6"/>
  <c r="G912" i="6"/>
  <c r="G1105" i="6"/>
  <c r="G985" i="6"/>
  <c r="G1115" i="6"/>
  <c r="G815" i="6"/>
  <c r="G933" i="6"/>
  <c r="G1065" i="6"/>
  <c r="G865" i="6"/>
  <c r="G627" i="6"/>
  <c r="G483" i="6"/>
  <c r="G922" i="6"/>
  <c r="G783" i="6"/>
  <c r="G641" i="6"/>
  <c r="G1117" i="6"/>
  <c r="G861" i="6"/>
  <c r="G789" i="6"/>
  <c r="G890" i="6"/>
  <c r="G929" i="6"/>
  <c r="G721" i="6"/>
  <c r="G998" i="6"/>
  <c r="G751" i="6"/>
  <c r="G936" i="6"/>
  <c r="G690" i="6"/>
  <c r="G501" i="6"/>
  <c r="G360" i="6"/>
  <c r="G913" i="6"/>
  <c r="G542" i="6"/>
  <c r="G362" i="6"/>
  <c r="G681" i="6"/>
  <c r="G395" i="6"/>
  <c r="G218" i="6"/>
  <c r="G817" i="6"/>
  <c r="G757" i="6"/>
  <c r="G568" i="6"/>
  <c r="G439" i="6"/>
  <c r="G331" i="6"/>
  <c r="G1107" i="6"/>
  <c r="G695" i="6"/>
  <c r="G469" i="6"/>
  <c r="G325" i="6"/>
  <c r="G806" i="6"/>
  <c r="G538" i="6"/>
  <c r="G262" i="6"/>
  <c r="G1059" i="6"/>
  <c r="G654" i="6"/>
  <c r="G430" i="6"/>
  <c r="G337" i="6"/>
  <c r="G203" i="6"/>
  <c r="G744" i="6"/>
  <c r="G637" i="6"/>
  <c r="G381" i="6"/>
  <c r="G255" i="6"/>
  <c r="G131" i="6"/>
  <c r="G560" i="6"/>
  <c r="G648" i="6"/>
  <c r="G600" i="6"/>
  <c r="G179" i="6"/>
  <c r="G56" i="6"/>
  <c r="G733" i="6"/>
  <c r="G322" i="6"/>
  <c r="G27" i="6"/>
  <c r="G442" i="6"/>
  <c r="G157" i="6"/>
  <c r="G10" i="6"/>
  <c r="G661" i="6"/>
  <c r="G233" i="6"/>
  <c r="G136" i="6"/>
  <c r="G5" i="6"/>
  <c r="G535" i="6"/>
  <c r="G140" i="6"/>
  <c r="G64" i="6"/>
  <c r="G741" i="6"/>
  <c r="G36" i="6"/>
  <c r="G379" i="6"/>
  <c r="G257" i="6"/>
  <c r="G335" i="6"/>
  <c r="G98" i="6"/>
  <c r="G595" i="6"/>
  <c r="G217" i="6"/>
  <c r="G16" i="6"/>
  <c r="G766" i="6"/>
  <c r="G78" i="6"/>
  <c r="G373" i="6"/>
  <c r="G1070" i="6"/>
  <c r="G190" i="6"/>
  <c r="G510" i="6"/>
  <c r="G288" i="6"/>
  <c r="G86" i="6"/>
  <c r="G1072" i="6"/>
  <c r="G928" i="6"/>
  <c r="G1038" i="6"/>
  <c r="G1114" i="6"/>
  <c r="G1006" i="6"/>
  <c r="G901" i="6"/>
  <c r="G1094" i="6"/>
  <c r="G881" i="6"/>
  <c r="G1091" i="6"/>
  <c r="G803" i="6"/>
  <c r="G895" i="6"/>
  <c r="G1045" i="6"/>
  <c r="G759" i="6"/>
  <c r="G615" i="6"/>
  <c r="G1113" i="6"/>
  <c r="G893" i="6"/>
  <c r="G771" i="6"/>
  <c r="G629" i="6"/>
  <c r="G1068" i="6"/>
  <c r="G852" i="6"/>
  <c r="G780" i="6"/>
  <c r="G885" i="6"/>
  <c r="G915" i="6"/>
  <c r="G696" i="6"/>
  <c r="G969" i="6"/>
  <c r="G743" i="6"/>
  <c r="G914" i="6"/>
  <c r="G674" i="6"/>
  <c r="G493" i="6"/>
  <c r="G348" i="6"/>
  <c r="G848" i="6"/>
  <c r="G506" i="6"/>
  <c r="G350" i="6"/>
  <c r="G650" i="6"/>
  <c r="G359" i="6"/>
  <c r="G206" i="6"/>
  <c r="G799" i="6"/>
  <c r="G750" i="6"/>
  <c r="G565" i="6"/>
  <c r="G436" i="6"/>
  <c r="G328" i="6"/>
  <c r="G1099" i="6"/>
  <c r="G684" i="6"/>
  <c r="G461" i="6"/>
  <c r="G317" i="6"/>
  <c r="G755" i="6"/>
  <c r="G534" i="6"/>
  <c r="G250" i="6"/>
  <c r="G1037" i="6"/>
  <c r="G622" i="6"/>
  <c r="G419" i="6"/>
  <c r="G327" i="6"/>
  <c r="G185" i="6"/>
  <c r="G734" i="6"/>
  <c r="G633" i="6"/>
  <c r="G354" i="6"/>
  <c r="G246" i="6"/>
  <c r="G905" i="6"/>
  <c r="G556" i="6"/>
  <c r="G1075" i="6"/>
  <c r="G584" i="6"/>
  <c r="G176" i="6"/>
  <c r="G44" i="6"/>
  <c r="G712" i="6"/>
  <c r="G310" i="6"/>
  <c r="G15" i="6"/>
  <c r="G438" i="6"/>
  <c r="G145" i="6"/>
  <c r="G962" i="6"/>
  <c r="G634" i="6"/>
  <c r="G210" i="6"/>
  <c r="G130" i="6"/>
  <c r="G1118" i="6"/>
  <c r="G448" i="6"/>
  <c r="G105" i="6"/>
  <c r="G28" i="6"/>
  <c r="G643" i="6"/>
  <c r="G42" i="6"/>
  <c r="G321" i="6"/>
  <c r="G189" i="6"/>
  <c r="G281" i="6"/>
  <c r="G95" i="6"/>
  <c r="G548" i="6"/>
  <c r="G191" i="6"/>
  <c r="G13" i="6"/>
  <c r="G628" i="6"/>
  <c r="G45" i="6"/>
  <c r="G67" i="6"/>
  <c r="G968" i="6"/>
  <c r="G186" i="6"/>
  <c r="G168" i="6"/>
  <c r="G73" i="6"/>
  <c r="G79" i="6"/>
  <c r="G1048" i="6"/>
  <c r="G904" i="6"/>
  <c r="G1014" i="6"/>
  <c r="G1100" i="6"/>
  <c r="G992" i="6"/>
  <c r="G870" i="6"/>
  <c r="G1058" i="6"/>
  <c r="G869" i="6"/>
  <c r="G1043" i="6"/>
  <c r="G779" i="6"/>
  <c r="G858" i="6"/>
  <c r="G955" i="6"/>
  <c r="G735" i="6"/>
  <c r="G591" i="6"/>
  <c r="G1089" i="6"/>
  <c r="G882" i="6"/>
  <c r="G749" i="6"/>
  <c r="G605" i="6"/>
  <c r="G1007" i="6"/>
  <c r="G840" i="6"/>
  <c r="G756" i="6"/>
  <c r="G1111" i="6"/>
  <c r="G902" i="6"/>
  <c r="G660" i="6"/>
  <c r="G945" i="6"/>
  <c r="G718" i="6"/>
  <c r="G888" i="6"/>
  <c r="G585" i="6"/>
  <c r="G468" i="6"/>
  <c r="G324" i="6"/>
  <c r="G754" i="6"/>
  <c r="G470" i="6"/>
  <c r="G326" i="6"/>
  <c r="G599" i="6"/>
  <c r="G312" i="6"/>
  <c r="G182" i="6"/>
  <c r="G762" i="6"/>
  <c r="G717" i="6"/>
  <c r="G549" i="6"/>
  <c r="G414" i="6"/>
  <c r="G309" i="6"/>
  <c r="G982" i="6"/>
  <c r="G669" i="6"/>
  <c r="G433" i="6"/>
  <c r="G287" i="6"/>
  <c r="G726" i="6"/>
  <c r="G522" i="6"/>
  <c r="G226" i="6"/>
  <c r="G967" i="6"/>
  <c r="G606" i="6"/>
  <c r="G409" i="6"/>
  <c r="G295" i="6"/>
  <c r="G153" i="6"/>
  <c r="G1095" i="6"/>
  <c r="G564" i="6"/>
  <c r="G306" i="6"/>
  <c r="G234" i="6"/>
  <c r="G884" i="6"/>
  <c r="G491" i="6"/>
  <c r="G909" i="6"/>
  <c r="G497" i="6"/>
  <c r="G161" i="6"/>
  <c r="G20" i="6"/>
  <c r="G610" i="6"/>
  <c r="G245" i="6"/>
  <c r="G380" i="6"/>
  <c r="G376" i="6"/>
  <c r="G118" i="6"/>
  <c r="G854" i="6"/>
  <c r="G583" i="6"/>
  <c r="G204" i="6"/>
  <c r="G113" i="6"/>
  <c r="G845" i="6"/>
  <c r="G406" i="6"/>
  <c r="G69" i="6"/>
  <c r="G366" i="6"/>
  <c r="G596" i="6"/>
  <c r="G174" i="6"/>
  <c r="G236" i="6"/>
  <c r="G60" i="6"/>
  <c r="G196" i="6"/>
  <c r="G59" i="6"/>
  <c r="G489" i="6"/>
  <c r="G124" i="6"/>
  <c r="G427" i="6"/>
  <c r="G1060" i="6"/>
  <c r="G1026" i="6"/>
  <c r="G995" i="6"/>
  <c r="G1069" i="6"/>
  <c r="G1081" i="6"/>
  <c r="G866" i="6"/>
  <c r="G747" i="6"/>
  <c r="G1109" i="6"/>
  <c r="G761" i="6"/>
  <c r="G1027" i="6"/>
  <c r="G777" i="6"/>
  <c r="G910" i="6"/>
  <c r="G949" i="6"/>
  <c r="G899" i="6"/>
  <c r="G488" i="6"/>
  <c r="G785" i="6"/>
  <c r="G338" i="6"/>
  <c r="G323" i="6"/>
  <c r="G794" i="6"/>
  <c r="G552" i="6"/>
  <c r="G320" i="6"/>
  <c r="G676" i="6"/>
  <c r="G299" i="6"/>
  <c r="G530" i="6"/>
  <c r="G1013" i="6"/>
  <c r="G416" i="6"/>
  <c r="G165" i="6"/>
  <c r="G573" i="6"/>
  <c r="G243" i="6"/>
  <c r="G529" i="6"/>
  <c r="G563" i="6"/>
  <c r="G32" i="6"/>
  <c r="G264" i="6"/>
  <c r="G407" i="6"/>
  <c r="G897" i="6"/>
  <c r="G207" i="6"/>
  <c r="G887" i="6"/>
  <c r="G102" i="6"/>
  <c r="G611" i="6"/>
  <c r="G289" i="6"/>
  <c r="G276" i="6"/>
  <c r="G540" i="6"/>
  <c r="G340" i="6"/>
  <c r="G183" i="6"/>
  <c r="G486" i="6"/>
  <c r="G107" i="6"/>
  <c r="G7" i="6"/>
  <c r="G473" i="6"/>
  <c r="G1036" i="6"/>
  <c r="G1002" i="6"/>
  <c r="G984" i="6"/>
  <c r="G1033" i="6"/>
  <c r="G1019" i="6"/>
  <c r="G846" i="6"/>
  <c r="G723" i="6"/>
  <c r="G1080" i="6"/>
  <c r="G737" i="6"/>
  <c r="G1003" i="6"/>
  <c r="G1116" i="6"/>
  <c r="G867" i="6"/>
  <c r="G924" i="6"/>
  <c r="G873" i="6"/>
  <c r="G456" i="6"/>
  <c r="G738" i="6"/>
  <c r="G314" i="6"/>
  <c r="G307" i="6"/>
  <c r="G1088" i="6"/>
  <c r="G546" i="6"/>
  <c r="G304" i="6"/>
  <c r="G656" i="6"/>
  <c r="G275" i="6"/>
  <c r="G504" i="6"/>
  <c r="G921" i="6"/>
  <c r="G399" i="6"/>
  <c r="G141" i="6"/>
  <c r="G541" i="6"/>
  <c r="G231" i="6"/>
  <c r="G480" i="6"/>
  <c r="G452" i="6"/>
  <c r="G8" i="6"/>
  <c r="G123" i="6"/>
  <c r="G363" i="6"/>
  <c r="G698" i="6"/>
  <c r="G201" i="6"/>
  <c r="G838" i="6"/>
  <c r="G66" i="6"/>
  <c r="G590" i="6"/>
  <c r="G103" i="6"/>
  <c r="G187" i="6"/>
  <c r="G435" i="6"/>
  <c r="G129" i="6"/>
  <c r="G9" i="6"/>
  <c r="G93" i="6"/>
  <c r="G74" i="6"/>
  <c r="G224" i="6"/>
  <c r="G144" i="6"/>
  <c r="G1024" i="6"/>
  <c r="G990" i="6"/>
  <c r="G970" i="6"/>
  <c r="G1022" i="6"/>
  <c r="G1009" i="6"/>
  <c r="G834" i="6"/>
  <c r="G711" i="6"/>
  <c r="G1076" i="6"/>
  <c r="G725" i="6"/>
  <c r="G999" i="6"/>
  <c r="G1102" i="6"/>
  <c r="G859" i="6"/>
  <c r="G876" i="6"/>
  <c r="G857" i="6"/>
  <c r="G444" i="6"/>
  <c r="G722" i="6"/>
  <c r="G932" i="6"/>
  <c r="G302" i="6"/>
  <c r="G1066" i="6"/>
  <c r="G520" i="6"/>
  <c r="G292" i="6"/>
  <c r="G642" i="6"/>
  <c r="G263" i="6"/>
  <c r="G500" i="6"/>
  <c r="G835" i="6"/>
  <c r="G385" i="6"/>
  <c r="G1104" i="6"/>
  <c r="G525" i="6"/>
  <c r="G222" i="6"/>
  <c r="G1025" i="6"/>
  <c r="G421" i="6"/>
  <c r="G482" i="6"/>
  <c r="G111" i="6"/>
  <c r="G355" i="6"/>
  <c r="G691" i="6"/>
  <c r="G188" i="6"/>
  <c r="G830" i="6"/>
  <c r="G33" i="6"/>
  <c r="G528" i="6"/>
  <c r="G100" i="6"/>
  <c r="G171" i="6"/>
  <c r="G423" i="6"/>
  <c r="G90" i="6"/>
  <c r="G608" i="6"/>
  <c r="G449" i="6"/>
  <c r="G71" i="6"/>
  <c r="G197" i="6"/>
  <c r="G1012" i="6"/>
  <c r="G978" i="6"/>
  <c r="G959" i="6"/>
  <c r="G997" i="6"/>
  <c r="G971" i="6"/>
  <c r="G822" i="6"/>
  <c r="G699" i="6"/>
  <c r="G1044" i="6"/>
  <c r="G713" i="6"/>
  <c r="G979" i="6"/>
  <c r="G1073" i="6"/>
  <c r="G829" i="6"/>
  <c r="G862" i="6"/>
  <c r="G853" i="6"/>
  <c r="G432" i="6"/>
  <c r="G719" i="6"/>
  <c r="G896" i="6"/>
  <c r="G290" i="6"/>
  <c r="G1041" i="6"/>
  <c r="G517" i="6"/>
  <c r="G280" i="6"/>
  <c r="G609" i="6"/>
  <c r="G251" i="6"/>
  <c r="G496" i="6"/>
  <c r="G800" i="6"/>
  <c r="G371" i="6"/>
  <c r="G1051" i="6"/>
  <c r="G503" i="6"/>
  <c r="G219" i="6"/>
  <c r="G833" i="6"/>
  <c r="G417" i="6"/>
  <c r="G451" i="6"/>
  <c r="G99" i="6"/>
  <c r="G334" i="6"/>
  <c r="G655" i="6"/>
  <c r="G172" i="6"/>
  <c r="G797" i="6"/>
  <c r="G30" i="6"/>
  <c r="G466" i="6"/>
  <c r="G61" i="6"/>
  <c r="G163" i="6"/>
  <c r="G393" i="6"/>
  <c r="G57" i="6"/>
  <c r="G587" i="6"/>
  <c r="G742" i="6"/>
  <c r="G612" i="6"/>
  <c r="G485" i="6"/>
  <c r="G1000" i="6"/>
  <c r="G966" i="6"/>
  <c r="G956" i="6"/>
  <c r="G986" i="6"/>
  <c r="G947" i="6"/>
  <c r="G810" i="6"/>
  <c r="G687" i="6"/>
  <c r="G1040" i="6"/>
  <c r="G701" i="6"/>
  <c r="G926" i="6"/>
  <c r="G1054" i="6"/>
  <c r="G818" i="6"/>
  <c r="G836" i="6"/>
  <c r="G790" i="6"/>
  <c r="G420" i="6"/>
  <c r="G709" i="6"/>
  <c r="G847" i="6"/>
  <c r="G278" i="6"/>
  <c r="G1021" i="6"/>
  <c r="G514" i="6"/>
  <c r="G268" i="6"/>
  <c r="G575" i="6"/>
  <c r="G239" i="6"/>
  <c r="G454" i="6"/>
  <c r="G782" i="6"/>
  <c r="G368" i="6"/>
  <c r="G1004" i="6"/>
  <c r="G499" i="6"/>
  <c r="G205" i="6"/>
  <c r="G809" i="6"/>
  <c r="G404" i="6"/>
  <c r="G424" i="6"/>
  <c r="G87" i="6"/>
  <c r="G318" i="6"/>
  <c r="G301" i="6"/>
  <c r="G166" i="6"/>
  <c r="G821" i="6"/>
  <c r="G221" i="6"/>
  <c r="G418" i="6"/>
  <c r="G31" i="6"/>
  <c r="G159" i="6"/>
  <c r="G387" i="6"/>
  <c r="G21" i="6"/>
  <c r="G566" i="6"/>
  <c r="G704" i="6"/>
  <c r="G109" i="6"/>
  <c r="G119" i="6"/>
  <c r="G988" i="6"/>
  <c r="G954" i="6"/>
  <c r="G948" i="6"/>
  <c r="G961" i="6"/>
  <c r="G937" i="6"/>
  <c r="G798" i="6"/>
  <c r="G675" i="6"/>
  <c r="G1032" i="6"/>
  <c r="G689" i="6"/>
  <c r="G911" i="6"/>
  <c r="G1010" i="6"/>
  <c r="G811" i="6"/>
  <c r="G814" i="6"/>
  <c r="G765" i="6"/>
  <c r="G408" i="6"/>
  <c r="G667" i="6"/>
  <c r="G842" i="6"/>
  <c r="G266" i="6"/>
  <c r="G951" i="6"/>
  <c r="G475" i="6"/>
  <c r="G256" i="6"/>
  <c r="G571" i="6"/>
  <c r="G227" i="6"/>
  <c r="G382" i="6"/>
  <c r="G776" i="6"/>
  <c r="G365" i="6"/>
  <c r="G943" i="6"/>
  <c r="G460" i="6"/>
  <c r="G200" i="6"/>
  <c r="G773" i="6"/>
  <c r="G272" i="6"/>
  <c r="G346" i="6"/>
  <c r="G75" i="6"/>
  <c r="G260" i="6"/>
  <c r="G225" i="6"/>
  <c r="G160" i="6"/>
  <c r="G1016" i="6"/>
  <c r="G162" i="6"/>
  <c r="G308" i="6"/>
  <c r="G544" i="6"/>
  <c r="G151" i="6"/>
  <c r="G357" i="6"/>
  <c r="G181" i="6"/>
  <c r="G508" i="6"/>
  <c r="G580" i="6"/>
  <c r="G83" i="6"/>
  <c r="G112" i="6"/>
  <c r="G1071" i="6"/>
  <c r="G77" i="6"/>
  <c r="G291" i="6"/>
  <c r="G1049" i="6"/>
  <c r="G1067" i="6"/>
  <c r="H266" i="1"/>
  <c r="H1019" i="6"/>
  <c r="H875" i="6"/>
  <c r="H985" i="6"/>
  <c r="H1061" i="6"/>
  <c r="H953" i="6"/>
  <c r="H1022" i="6"/>
  <c r="H1066" i="6"/>
  <c r="H1060" i="6"/>
  <c r="H1077" i="6"/>
  <c r="H858" i="6"/>
  <c r="H974" i="6"/>
  <c r="H863" i="6"/>
  <c r="H943" i="6"/>
  <c r="H670" i="6"/>
  <c r="H526" i="6"/>
  <c r="H999" i="6"/>
  <c r="H825" i="6"/>
  <c r="H720" i="6"/>
  <c r="H576" i="6"/>
  <c r="H975" i="6"/>
  <c r="H1092" i="6"/>
  <c r="H969" i="6"/>
  <c r="H729" i="6"/>
  <c r="H585" i="6"/>
  <c r="H737" i="6"/>
  <c r="H806" i="6"/>
  <c r="H579" i="6"/>
  <c r="H480" i="6"/>
  <c r="H343" i="6"/>
  <c r="H882" i="6"/>
  <c r="H602" i="6"/>
  <c r="H417" i="6"/>
  <c r="H920" i="6"/>
  <c r="H606" i="6"/>
  <c r="H370" i="6"/>
  <c r="H177" i="6"/>
  <c r="H1107" i="6"/>
  <c r="H728" i="6"/>
  <c r="H461" i="6"/>
  <c r="H353" i="6"/>
  <c r="H227" i="6"/>
  <c r="H649" i="6"/>
  <c r="H372" i="6"/>
  <c r="H1037" i="6"/>
  <c r="H711" i="6"/>
  <c r="H437" i="6"/>
  <c r="H327" i="6"/>
  <c r="H185" i="6"/>
  <c r="H688" i="6"/>
  <c r="H330" i="6"/>
  <c r="H996" i="6"/>
  <c r="H601" i="6"/>
  <c r="H323" i="6"/>
  <c r="H174" i="6"/>
  <c r="H700" i="6"/>
  <c r="H470" i="6"/>
  <c r="H733" i="6"/>
  <c r="H532" i="6"/>
  <c r="H123" i="6"/>
  <c r="H278" i="6"/>
  <c r="H507" i="6"/>
  <c r="H157" i="6"/>
  <c r="H10" i="6"/>
  <c r="H745" i="6"/>
  <c r="H256" i="6"/>
  <c r="H125" i="6"/>
  <c r="H1007" i="6"/>
  <c r="H1117" i="6"/>
  <c r="H973" i="6"/>
  <c r="H1053" i="6"/>
  <c r="H945" i="6"/>
  <c r="H986" i="6"/>
  <c r="H1052" i="6"/>
  <c r="H988" i="6"/>
  <c r="H1063" i="6"/>
  <c r="H846" i="6"/>
  <c r="H940" i="6"/>
  <c r="H853" i="6"/>
  <c r="H939" i="6"/>
  <c r="H658" i="6"/>
  <c r="H514" i="6"/>
  <c r="H979" i="6"/>
  <c r="H816" i="6"/>
  <c r="H995" i="6"/>
  <c r="H1105" i="6"/>
  <c r="H961" i="6"/>
  <c r="H1050" i="6"/>
  <c r="H942" i="6"/>
  <c r="H950" i="6"/>
  <c r="H1044" i="6"/>
  <c r="H851" i="6"/>
  <c r="H1036" i="6"/>
  <c r="H834" i="6"/>
  <c r="H916" i="6"/>
  <c r="H841" i="6"/>
  <c r="H915" i="6"/>
  <c r="H646" i="6"/>
  <c r="H502" i="6"/>
  <c r="H930" i="6"/>
  <c r="H813" i="6"/>
  <c r="H696" i="6"/>
  <c r="H552" i="6"/>
  <c r="H954" i="6"/>
  <c r="H1049" i="6"/>
  <c r="H880" i="6"/>
  <c r="H707" i="6"/>
  <c r="H1110" i="6"/>
  <c r="H712" i="6"/>
  <c r="H794" i="6"/>
  <c r="H570" i="6"/>
  <c r="H463" i="6"/>
  <c r="H319" i="6"/>
  <c r="H823" i="6"/>
  <c r="H593" i="6"/>
  <c r="H393" i="6"/>
  <c r="H856" i="6"/>
  <c r="H582" i="6"/>
  <c r="H297" i="6"/>
  <c r="H970" i="6"/>
  <c r="H1001" i="6"/>
  <c r="H702" i="6"/>
  <c r="H447" i="6"/>
  <c r="H339" i="6"/>
  <c r="H1113" i="6"/>
  <c r="H578" i="6"/>
  <c r="H336" i="6"/>
  <c r="H928" i="6"/>
  <c r="H666" i="6"/>
  <c r="H416" i="6"/>
  <c r="H295" i="6"/>
  <c r="H153" i="6"/>
  <c r="H565" i="6"/>
  <c r="H307" i="6"/>
  <c r="H927" i="6"/>
  <c r="H589" i="6"/>
  <c r="H288" i="6"/>
  <c r="H150" i="6"/>
  <c r="H653" i="6"/>
  <c r="H398" i="6"/>
  <c r="H681" i="6"/>
  <c r="H488" i="6"/>
  <c r="H99" i="6"/>
  <c r="H244" i="6"/>
  <c r="H438" i="6"/>
  <c r="H133" i="6"/>
  <c r="H1120" i="6"/>
  <c r="H983" i="6"/>
  <c r="H1093" i="6"/>
  <c r="H949" i="6"/>
  <c r="H1039" i="6"/>
  <c r="H931" i="6"/>
  <c r="H914" i="6"/>
  <c r="H1030" i="6"/>
  <c r="H839" i="6"/>
  <c r="H1029" i="6"/>
  <c r="H822" i="6"/>
  <c r="H910" i="6"/>
  <c r="H829" i="6"/>
  <c r="H897" i="6"/>
  <c r="H634" i="6"/>
  <c r="H490" i="6"/>
  <c r="H926" i="6"/>
  <c r="H804" i="6"/>
  <c r="H684" i="6"/>
  <c r="H540" i="6"/>
  <c r="H946" i="6"/>
  <c r="H1004" i="6"/>
  <c r="H876" i="6"/>
  <c r="H693" i="6"/>
  <c r="H1042" i="6"/>
  <c r="H704" i="6"/>
  <c r="H716" i="6"/>
  <c r="H556" i="6"/>
  <c r="H451" i="6"/>
  <c r="H1109" i="6"/>
  <c r="H776" i="6"/>
  <c r="H553" i="6"/>
  <c r="H381" i="6"/>
  <c r="H799" i="6"/>
  <c r="H572" i="6"/>
  <c r="H285" i="6"/>
  <c r="H956" i="6"/>
  <c r="H982" i="6"/>
  <c r="H695" i="6"/>
  <c r="H433" i="6"/>
  <c r="H325" i="6"/>
  <c r="H962" i="6"/>
  <c r="H539" i="6"/>
  <c r="H306" i="6"/>
  <c r="H921" i="6"/>
  <c r="H662" i="6"/>
  <c r="H409" i="6"/>
  <c r="H283" i="6"/>
  <c r="H141" i="6"/>
  <c r="H518" i="6"/>
  <c r="H195" i="6"/>
  <c r="H905" i="6"/>
  <c r="H560" i="6"/>
  <c r="H276" i="6"/>
  <c r="H138" i="6"/>
  <c r="H640" i="6"/>
  <c r="H377" i="6"/>
  <c r="H668" i="6"/>
  <c r="H483" i="6"/>
  <c r="H87" i="6"/>
  <c r="H1090" i="6"/>
  <c r="H434" i="6"/>
  <c r="H118" i="6"/>
  <c r="H587" i="6"/>
  <c r="H583" i="6"/>
  <c r="H218" i="6"/>
  <c r="H89" i="6"/>
  <c r="H592" i="6"/>
  <c r="H555" i="6"/>
  <c r="H229" i="6"/>
  <c r="H48" i="6"/>
  <c r="H1024" i="6"/>
  <c r="H418" i="6"/>
  <c r="H110" i="6"/>
  <c r="H432" i="6"/>
  <c r="H637" i="6"/>
  <c r="H200" i="6"/>
  <c r="H23" i="6"/>
  <c r="H613" i="6"/>
  <c r="H119" i="6"/>
  <c r="H217" i="6"/>
  <c r="H55" i="6"/>
  <c r="H714" i="6"/>
  <c r="H179" i="6"/>
  <c r="H1115" i="6"/>
  <c r="H971" i="6"/>
  <c r="H1081" i="6"/>
  <c r="H937" i="6"/>
  <c r="H1025" i="6"/>
  <c r="H917" i="6"/>
  <c r="H890" i="6"/>
  <c r="H1016" i="6"/>
  <c r="H827" i="6"/>
  <c r="H1005" i="6"/>
  <c r="H810" i="6"/>
  <c r="H907" i="6"/>
  <c r="H817" i="6"/>
  <c r="H766" i="6"/>
  <c r="H622" i="6"/>
  <c r="H478" i="6"/>
  <c r="H900" i="6"/>
  <c r="H801" i="6"/>
  <c r="H672" i="6"/>
  <c r="H528" i="6"/>
  <c r="H938" i="6"/>
  <c r="H955" i="6"/>
  <c r="H862" i="6"/>
  <c r="H679" i="6"/>
  <c r="H1013" i="6"/>
  <c r="H701" i="6"/>
  <c r="H677" i="6"/>
  <c r="H548" i="6"/>
  <c r="H439" i="6"/>
  <c r="H1062" i="6"/>
  <c r="H761" i="6"/>
  <c r="H517" i="6"/>
  <c r="H369" i="6"/>
  <c r="H770" i="6"/>
  <c r="H530" i="6"/>
  <c r="H273" i="6"/>
  <c r="H883" i="6"/>
  <c r="H870" i="6"/>
  <c r="H669" i="6"/>
  <c r="H425" i="6"/>
  <c r="H317" i="6"/>
  <c r="H826" i="6"/>
  <c r="H536" i="6"/>
  <c r="H294" i="6"/>
  <c r="H879" i="6"/>
  <c r="H654" i="6"/>
  <c r="H399" i="6"/>
  <c r="H271" i="6"/>
  <c r="H129" i="6"/>
  <c r="H474" i="6"/>
  <c r="H923" i="6"/>
  <c r="H913" i="6"/>
  <c r="H967" i="6"/>
  <c r="H1102" i="6"/>
  <c r="H791" i="6"/>
  <c r="H798" i="6"/>
  <c r="H877" i="6"/>
  <c r="H718" i="6"/>
  <c r="H1096" i="6"/>
  <c r="H828" i="6"/>
  <c r="H624" i="6"/>
  <c r="H966" i="6"/>
  <c r="H1034" i="6"/>
  <c r="H715" i="6"/>
  <c r="H773" i="6"/>
  <c r="H802" i="6"/>
  <c r="H512" i="6"/>
  <c r="H331" i="6"/>
  <c r="H623" i="6"/>
  <c r="H405" i="6"/>
  <c r="H692" i="6"/>
  <c r="H334" i="6"/>
  <c r="H750" i="6"/>
  <c r="H721" i="6"/>
  <c r="H389" i="6"/>
  <c r="H215" i="6"/>
  <c r="H444" i="6"/>
  <c r="H990" i="6"/>
  <c r="H471" i="6"/>
  <c r="H313" i="6"/>
  <c r="H764" i="6"/>
  <c r="H310" i="6"/>
  <c r="H857" i="6"/>
  <c r="H436" i="6"/>
  <c r="H162" i="6"/>
  <c r="H577" i="6"/>
  <c r="H797" i="6"/>
  <c r="H522" i="6"/>
  <c r="H51" i="6"/>
  <c r="H645" i="6"/>
  <c r="H145" i="6"/>
  <c r="H531" i="6"/>
  <c r="H338" i="6"/>
  <c r="H154" i="6"/>
  <c r="H807" i="6"/>
  <c r="H644" i="6"/>
  <c r="H301" i="6"/>
  <c r="H60" i="6"/>
  <c r="H1047" i="6"/>
  <c r="H308" i="6"/>
  <c r="H28" i="6"/>
  <c r="H206" i="6"/>
  <c r="H352" i="6"/>
  <c r="H135" i="6"/>
  <c r="H107" i="6"/>
  <c r="H968" i="6"/>
  <c r="H312" i="6"/>
  <c r="H88" i="6"/>
  <c r="H38" i="6"/>
  <c r="H117" i="6"/>
  <c r="H727" i="6"/>
  <c r="H221" i="6"/>
  <c r="H911" i="6"/>
  <c r="H1111" i="6"/>
  <c r="H909" i="6"/>
  <c r="H1088" i="6"/>
  <c r="H779" i="6"/>
  <c r="H786" i="6"/>
  <c r="H874" i="6"/>
  <c r="H706" i="6"/>
  <c r="H1072" i="6"/>
  <c r="H792" i="6"/>
  <c r="H612" i="6"/>
  <c r="H934" i="6"/>
  <c r="H1028" i="6"/>
  <c r="H671" i="6"/>
  <c r="H757" i="6"/>
  <c r="H659" i="6"/>
  <c r="H509" i="6"/>
  <c r="H1040" i="6"/>
  <c r="H620" i="6"/>
  <c r="H357" i="6"/>
  <c r="H685" i="6"/>
  <c r="H261" i="6"/>
  <c r="H739" i="6"/>
  <c r="H642" i="6"/>
  <c r="H386" i="6"/>
  <c r="H783" i="6"/>
  <c r="H419" i="6"/>
  <c r="H873" i="6"/>
  <c r="H457" i="6"/>
  <c r="H259" i="6"/>
  <c r="H759" i="6"/>
  <c r="H190" i="6"/>
  <c r="H787" i="6"/>
  <c r="H395" i="6"/>
  <c r="H1071" i="6"/>
  <c r="H568" i="6"/>
  <c r="H767" i="6"/>
  <c r="H326" i="6"/>
  <c r="H39" i="6"/>
  <c r="H630" i="6"/>
  <c r="H106" i="6"/>
  <c r="H496" i="6"/>
  <c r="H305" i="6"/>
  <c r="H142" i="6"/>
  <c r="H678" i="6"/>
  <c r="H639" i="6"/>
  <c r="H248" i="6"/>
  <c r="H36" i="6"/>
  <c r="H922" i="6"/>
  <c r="H292" i="6"/>
  <c r="H647" i="6"/>
  <c r="H116" i="6"/>
  <c r="H341" i="6"/>
  <c r="H98" i="6"/>
  <c r="H1103" i="6"/>
  <c r="H899" i="6"/>
  <c r="H1097" i="6"/>
  <c r="H906" i="6"/>
  <c r="H1080" i="6"/>
  <c r="H1122" i="6"/>
  <c r="H774" i="6"/>
  <c r="H805" i="6"/>
  <c r="H694" i="6"/>
  <c r="H1068" i="6"/>
  <c r="H789" i="6"/>
  <c r="H600" i="6"/>
  <c r="H918" i="6"/>
  <c r="H998" i="6"/>
  <c r="H657" i="6"/>
  <c r="H748" i="6"/>
  <c r="H656" i="6"/>
  <c r="H498" i="6"/>
  <c r="H1114" i="6"/>
  <c r="H614" i="6"/>
  <c r="H345" i="6"/>
  <c r="H626" i="6"/>
  <c r="H249" i="6"/>
  <c r="H717" i="6"/>
  <c r="H609" i="6"/>
  <c r="H375" i="6"/>
  <c r="H735" i="6"/>
  <c r="H408" i="6"/>
  <c r="H835" i="6"/>
  <c r="H443" i="6"/>
  <c r="H247" i="6"/>
  <c r="H734" i="6"/>
  <c r="H172" i="6"/>
  <c r="H705" i="6"/>
  <c r="H364" i="6"/>
  <c r="H1065" i="6"/>
  <c r="H544" i="6"/>
  <c r="H752" i="6"/>
  <c r="H322" i="6"/>
  <c r="H27" i="6"/>
  <c r="H567" i="6"/>
  <c r="H94" i="6"/>
  <c r="H486" i="6"/>
  <c r="H298" i="6"/>
  <c r="H130" i="6"/>
  <c r="H628" i="6"/>
  <c r="H619" i="6"/>
  <c r="H194" i="6"/>
  <c r="H24" i="6"/>
  <c r="H868" i="6"/>
  <c r="H266" i="6"/>
  <c r="H384" i="6"/>
  <c r="H499" i="6"/>
  <c r="H335" i="6"/>
  <c r="H95" i="6"/>
  <c r="H1091" i="6"/>
  <c r="H887" i="6"/>
  <c r="H1089" i="6"/>
  <c r="H893" i="6"/>
  <c r="H1008" i="6"/>
  <c r="H1108" i="6"/>
  <c r="H1118" i="6"/>
  <c r="H793" i="6"/>
  <c r="H682" i="6"/>
  <c r="H1064" i="6"/>
  <c r="H780" i="6"/>
  <c r="H588" i="6"/>
  <c r="H903" i="6"/>
  <c r="H984" i="6"/>
  <c r="H643" i="6"/>
  <c r="H740" i="6"/>
  <c r="H650" i="6"/>
  <c r="H485" i="6"/>
  <c r="H1073" i="6"/>
  <c r="H605" i="6"/>
  <c r="H333" i="6"/>
  <c r="H616" i="6"/>
  <c r="H237" i="6"/>
  <c r="H1079" i="6"/>
  <c r="H1069" i="6"/>
  <c r="H1086" i="6"/>
  <c r="H888" i="6"/>
  <c r="H994" i="6"/>
  <c r="H1101" i="6"/>
  <c r="H1084" i="6"/>
  <c r="H781" i="6"/>
  <c r="H610" i="6"/>
  <c r="H1056" i="6"/>
  <c r="H777" i="6"/>
  <c r="H564" i="6"/>
  <c r="H864" i="6"/>
  <c r="H924" i="6"/>
  <c r="H635" i="6"/>
  <c r="H726" i="6"/>
  <c r="H641" i="6"/>
  <c r="H475" i="6"/>
  <c r="H1006" i="6"/>
  <c r="H596" i="6"/>
  <c r="H321" i="6"/>
  <c r="H595" i="6"/>
  <c r="H225" i="6"/>
  <c r="H1067" i="6"/>
  <c r="H1057" i="6"/>
  <c r="H1075" i="6"/>
  <c r="H865" i="6"/>
  <c r="H980" i="6"/>
  <c r="H991" i="6"/>
  <c r="H1046" i="6"/>
  <c r="H1106" i="6"/>
  <c r="H598" i="6"/>
  <c r="H1027" i="6"/>
  <c r="H756" i="6"/>
  <c r="H516" i="6"/>
  <c r="H768" i="6"/>
  <c r="H844" i="6"/>
  <c r="H621" i="6"/>
  <c r="H690" i="6"/>
  <c r="H638" i="6"/>
  <c r="H427" i="6"/>
  <c r="H965" i="6"/>
  <c r="H495" i="6"/>
  <c r="H309" i="6"/>
  <c r="H527" i="6"/>
  <c r="H213" i="6"/>
  <c r="H855" i="6"/>
  <c r="H558" i="6"/>
  <c r="H314" i="6"/>
  <c r="H698" i="6"/>
  <c r="H282" i="6"/>
  <c r="H795" i="6"/>
  <c r="H385" i="6"/>
  <c r="H211" i="6"/>
  <c r="H450" i="6"/>
  <c r="H136" i="6"/>
  <c r="H625" i="6"/>
  <c r="H252" i="6"/>
  <c r="H845" i="6"/>
  <c r="H487" i="6"/>
  <c r="H842" i="6"/>
  <c r="H158" i="6"/>
  <c r="H11" i="6"/>
  <c r="H479" i="6"/>
  <c r="H61" i="6"/>
  <c r="H1054" i="6"/>
  <c r="H376" i="6"/>
  <c r="H216" i="6"/>
  <c r="H683" i="6"/>
  <c r="H1041" i="6"/>
  <c r="H571" i="6"/>
  <c r="H901" i="6"/>
  <c r="G43" i="6"/>
  <c r="G273" i="6"/>
  <c r="G694" i="6"/>
  <c r="G198" i="6"/>
  <c r="G446" i="6"/>
  <c r="G931" i="6"/>
  <c r="I1122" i="6"/>
  <c r="I1110" i="6"/>
  <c r="I1098" i="6"/>
  <c r="I1086" i="6"/>
  <c r="I1074" i="6"/>
  <c r="I1062" i="6"/>
  <c r="I1050" i="6"/>
  <c r="I1038" i="6"/>
  <c r="I1026" i="6"/>
  <c r="I1014" i="6"/>
  <c r="I1002" i="6"/>
  <c r="I990" i="6"/>
  <c r="I978" i="6"/>
  <c r="I966" i="6"/>
  <c r="I954" i="6"/>
  <c r="I942" i="6"/>
  <c r="I930" i="6"/>
  <c r="I918" i="6"/>
  <c r="I906" i="6"/>
  <c r="I894" i="6"/>
  <c r="I882" i="6"/>
  <c r="I870" i="6"/>
  <c r="I1112" i="6"/>
  <c r="I1100" i="6"/>
  <c r="I1088" i="6"/>
  <c r="I1076" i="6"/>
  <c r="I1064" i="6"/>
  <c r="I1052" i="6"/>
  <c r="I1040" i="6"/>
  <c r="I1028" i="6"/>
  <c r="I1016" i="6"/>
  <c r="I1004" i="6"/>
  <c r="I992" i="6"/>
  <c r="I980" i="6"/>
  <c r="I968" i="6"/>
  <c r="I956" i="6"/>
  <c r="I944" i="6"/>
  <c r="I932" i="6"/>
  <c r="I920" i="6"/>
  <c r="I908" i="6"/>
  <c r="I1119" i="6"/>
  <c r="I1108" i="6"/>
  <c r="I1083" i="6"/>
  <c r="I1072" i="6"/>
  <c r="I1047" i="6"/>
  <c r="I1036" i="6"/>
  <c r="I1011" i="6"/>
  <c r="I1000" i="6"/>
  <c r="I975" i="6"/>
  <c r="I964" i="6"/>
  <c r="I939" i="6"/>
  <c r="I928" i="6"/>
  <c r="I903" i="6"/>
  <c r="I898" i="6"/>
  <c r="I880" i="6"/>
  <c r="I875" i="6"/>
  <c r="I1116" i="6"/>
  <c r="I1105" i="6"/>
  <c r="I1102" i="6"/>
  <c r="I1080" i="6"/>
  <c r="I1069" i="6"/>
  <c r="I1066" i="6"/>
  <c r="I1044" i="6"/>
  <c r="I1033" i="6"/>
  <c r="I1030" i="6"/>
  <c r="I1008" i="6"/>
  <c r="I997" i="6"/>
  <c r="I994" i="6"/>
  <c r="I972" i="6"/>
  <c r="I961" i="6"/>
  <c r="I958" i="6"/>
  <c r="I936" i="6"/>
  <c r="I925" i="6"/>
  <c r="I922" i="6"/>
  <c r="I895" i="6"/>
  <c r="I877" i="6"/>
  <c r="I862" i="6"/>
  <c r="I1113" i="6"/>
  <c r="I1099" i="6"/>
  <c r="I1091" i="6"/>
  <c r="I1085" i="6"/>
  <c r="I1077" i="6"/>
  <c r="I1063" i="6"/>
  <c r="I1055" i="6"/>
  <c r="I1049" i="6"/>
  <c r="I1041" i="6"/>
  <c r="I1027" i="6"/>
  <c r="I1019" i="6"/>
  <c r="I1013" i="6"/>
  <c r="I1005" i="6"/>
  <c r="I991" i="6"/>
  <c r="I983" i="6"/>
  <c r="I977" i="6"/>
  <c r="I969" i="6"/>
  <c r="I955" i="6"/>
  <c r="I947" i="6"/>
  <c r="I941" i="6"/>
  <c r="I933" i="6"/>
  <c r="I1115" i="6"/>
  <c r="I1101" i="6"/>
  <c r="I1081" i="6"/>
  <c r="I1043" i="6"/>
  <c r="I1029" i="6"/>
  <c r="I1009" i="6"/>
  <c r="I971" i="6"/>
  <c r="I957" i="6"/>
  <c r="I937" i="6"/>
  <c r="I892" i="6"/>
  <c r="I866" i="6"/>
  <c r="I858" i="6"/>
  <c r="I846" i="6"/>
  <c r="I834" i="6"/>
  <c r="I822" i="6"/>
  <c r="I810" i="6"/>
  <c r="I798" i="6"/>
  <c r="I786" i="6"/>
  <c r="I774" i="6"/>
  <c r="I1118" i="6"/>
  <c r="I1084" i="6"/>
  <c r="I1067" i="6"/>
  <c r="I1046" i="6"/>
  <c r="I1012" i="6"/>
  <c r="I995" i="6"/>
  <c r="I974" i="6"/>
  <c r="I940" i="6"/>
  <c r="I923" i="6"/>
  <c r="I916" i="6"/>
  <c r="I910" i="6"/>
  <c r="I907" i="6"/>
  <c r="I904" i="6"/>
  <c r="I901" i="6"/>
  <c r="I889" i="6"/>
  <c r="I886" i="6"/>
  <c r="I874" i="6"/>
  <c r="I863" i="6"/>
  <c r="I853" i="6"/>
  <c r="I841" i="6"/>
  <c r="I829" i="6"/>
  <c r="I817" i="6"/>
  <c r="I805" i="6"/>
  <c r="I793" i="6"/>
  <c r="I781" i="6"/>
  <c r="I769" i="6"/>
  <c r="I1111" i="6"/>
  <c r="I1104" i="6"/>
  <c r="I1097" i="6"/>
  <c r="I1094" i="6"/>
  <c r="I1087" i="6"/>
  <c r="I1073" i="6"/>
  <c r="I1070" i="6"/>
  <c r="I1053" i="6"/>
  <c r="I1039" i="6"/>
  <c r="I1032" i="6"/>
  <c r="I1025" i="6"/>
  <c r="I1022" i="6"/>
  <c r="I1015" i="6"/>
  <c r="I1001" i="6"/>
  <c r="I998" i="6"/>
  <c r="I981" i="6"/>
  <c r="I967" i="6"/>
  <c r="I960" i="6"/>
  <c r="I953" i="6"/>
  <c r="I950" i="6"/>
  <c r="I943" i="6"/>
  <c r="I929" i="6"/>
  <c r="I926" i="6"/>
  <c r="I919" i="6"/>
  <c r="I913" i="6"/>
  <c r="I883" i="6"/>
  <c r="I871" i="6"/>
  <c r="I860" i="6"/>
  <c r="I848" i="6"/>
  <c r="I836" i="6"/>
  <c r="I824" i="6"/>
  <c r="I812" i="6"/>
  <c r="I800" i="6"/>
  <c r="I788" i="6"/>
  <c r="I776" i="6"/>
  <c r="I1109" i="6"/>
  <c r="I1020" i="6"/>
  <c r="I987" i="6"/>
  <c r="I963" i="6"/>
  <c r="I868" i="6"/>
  <c r="I855" i="6"/>
  <c r="I843" i="6"/>
  <c r="I831" i="6"/>
  <c r="I819" i="6"/>
  <c r="I807" i="6"/>
  <c r="I795" i="6"/>
  <c r="I783" i="6"/>
  <c r="I771" i="6"/>
  <c r="I761" i="6"/>
  <c r="I749" i="6"/>
  <c r="I737" i="6"/>
  <c r="I725" i="6"/>
  <c r="I713" i="6"/>
  <c r="I701" i="6"/>
  <c r="I689" i="6"/>
  <c r="I677" i="6"/>
  <c r="I665" i="6"/>
  <c r="I653" i="6"/>
  <c r="I641" i="6"/>
  <c r="I629" i="6"/>
  <c r="I617" i="6"/>
  <c r="I605" i="6"/>
  <c r="I593" i="6"/>
  <c r="I581" i="6"/>
  <c r="I569" i="6"/>
  <c r="I557" i="6"/>
  <c r="I545" i="6"/>
  <c r="I533" i="6"/>
  <c r="I521" i="6"/>
  <c r="I509" i="6"/>
  <c r="I497" i="6"/>
  <c r="I485" i="6"/>
  <c r="I1121" i="6"/>
  <c r="I1117" i="6"/>
  <c r="I1048" i="6"/>
  <c r="I1023" i="6"/>
  <c r="I1007" i="6"/>
  <c r="I1003" i="6"/>
  <c r="I959" i="6"/>
  <c r="I946" i="6"/>
  <c r="I938" i="6"/>
  <c r="I934" i="6"/>
  <c r="I911" i="6"/>
  <c r="I864" i="6"/>
  <c r="I768" i="6"/>
  <c r="I763" i="6"/>
  <c r="I751" i="6"/>
  <c r="I739" i="6"/>
  <c r="I727" i="6"/>
  <c r="I715" i="6"/>
  <c r="I703" i="6"/>
  <c r="I691" i="6"/>
  <c r="I679" i="6"/>
  <c r="I667" i="6"/>
  <c r="I655" i="6"/>
  <c r="I643" i="6"/>
  <c r="I631" i="6"/>
  <c r="I619" i="6"/>
  <c r="I607" i="6"/>
  <c r="I595" i="6"/>
  <c r="I583" i="6"/>
  <c r="I571" i="6"/>
  <c r="I559" i="6"/>
  <c r="I547" i="6"/>
  <c r="I535" i="6"/>
  <c r="I523" i="6"/>
  <c r="I511" i="6"/>
  <c r="I499" i="6"/>
  <c r="I1092" i="6"/>
  <c r="I1059" i="6"/>
  <c r="I1035" i="6"/>
  <c r="I970" i="6"/>
  <c r="I896" i="6"/>
  <c r="I885" i="6"/>
  <c r="I878" i="6"/>
  <c r="I758" i="6"/>
  <c r="I1068" i="6"/>
  <c r="I1018" i="6"/>
  <c r="I999" i="6"/>
  <c r="I965" i="6"/>
  <c r="I902" i="6"/>
  <c r="I859" i="6"/>
  <c r="I1096" i="6"/>
  <c r="I1082" i="6"/>
  <c r="I1106" i="6"/>
  <c r="I1042" i="6"/>
  <c r="I979" i="6"/>
  <c r="I949" i="6"/>
  <c r="I945" i="6"/>
  <c r="I884" i="6"/>
  <c r="I851" i="6"/>
  <c r="I840" i="6"/>
  <c r="I821" i="6"/>
  <c r="I803" i="6"/>
  <c r="I792" i="6"/>
  <c r="I773" i="6"/>
  <c r="I757" i="6"/>
  <c r="I748" i="6"/>
  <c r="I740" i="6"/>
  <c r="I726" i="6"/>
  <c r="I718" i="6"/>
  <c r="I712" i="6"/>
  <c r="I704" i="6"/>
  <c r="I690" i="6"/>
  <c r="I682" i="6"/>
  <c r="I676" i="6"/>
  <c r="I668" i="6"/>
  <c r="I654" i="6"/>
  <c r="I646" i="6"/>
  <c r="I640" i="6"/>
  <c r="I632" i="6"/>
  <c r="I618" i="6"/>
  <c r="I610" i="6"/>
  <c r="I604" i="6"/>
  <c r="I596" i="6"/>
  <c r="I582" i="6"/>
  <c r="I574" i="6"/>
  <c r="I1095" i="6"/>
  <c r="I1071" i="6"/>
  <c r="I993" i="6"/>
  <c r="I905" i="6"/>
  <c r="I897" i="6"/>
  <c r="I893" i="6"/>
  <c r="I888" i="6"/>
  <c r="I854" i="6"/>
  <c r="I847" i="6"/>
  <c r="I825" i="6"/>
  <c r="I806" i="6"/>
  <c r="I799" i="6"/>
  <c r="I777" i="6"/>
  <c r="I766" i="6"/>
  <c r="I754" i="6"/>
  <c r="I734" i="6"/>
  <c r="I723" i="6"/>
  <c r="I698" i="6"/>
  <c r="I687" i="6"/>
  <c r="I1079" i="6"/>
  <c r="I1058" i="6"/>
  <c r="I984" i="6"/>
  <c r="I924" i="6"/>
  <c r="I785" i="6"/>
  <c r="I738" i="6"/>
  <c r="I735" i="6"/>
  <c r="I722" i="6"/>
  <c r="I719" i="6"/>
  <c r="I709" i="6"/>
  <c r="I706" i="6"/>
  <c r="I647" i="6"/>
  <c r="I644" i="6"/>
  <c r="I635" i="6"/>
  <c r="I626" i="6"/>
  <c r="I588" i="6"/>
  <c r="I576" i="6"/>
  <c r="I567" i="6"/>
  <c r="I542" i="6"/>
  <c r="I531" i="6"/>
  <c r="I506" i="6"/>
  <c r="I470" i="6"/>
  <c r="I458" i="6"/>
  <c r="I446" i="6"/>
  <c r="I434" i="6"/>
  <c r="I422" i="6"/>
  <c r="I410" i="6"/>
  <c r="I398" i="6"/>
  <c r="I386" i="6"/>
  <c r="I374" i="6"/>
  <c r="I362" i="6"/>
  <c r="I350" i="6"/>
  <c r="I338" i="6"/>
  <c r="I326" i="6"/>
  <c r="I314" i="6"/>
  <c r="I1114" i="6"/>
  <c r="I1017" i="6"/>
  <c r="I1006" i="6"/>
  <c r="I989" i="6"/>
  <c r="I1103" i="6"/>
  <c r="I1090" i="6"/>
  <c r="I1057" i="6"/>
  <c r="I1051" i="6"/>
  <c r="I887" i="6"/>
  <c r="I872" i="6"/>
  <c r="I844" i="6"/>
  <c r="I835" i="6"/>
  <c r="I818" i="6"/>
  <c r="I809" i="6"/>
  <c r="I797" i="6"/>
  <c r="I772" i="6"/>
  <c r="I747" i="6"/>
  <c r="I728" i="6"/>
  <c r="I702" i="6"/>
  <c r="I699" i="6"/>
  <c r="I686" i="6"/>
  <c r="I683" i="6"/>
  <c r="I673" i="6"/>
  <c r="I670" i="6"/>
  <c r="I652" i="6"/>
  <c r="I611" i="6"/>
  <c r="I608" i="6"/>
  <c r="I599" i="6"/>
  <c r="I590" i="6"/>
  <c r="I564" i="6"/>
  <c r="I561" i="6"/>
  <c r="I539" i="6"/>
  <c r="I528" i="6"/>
  <c r="I525" i="6"/>
  <c r="I503" i="6"/>
  <c r="I487" i="6"/>
  <c r="I472" i="6"/>
  <c r="I460" i="6"/>
  <c r="I448" i="6"/>
  <c r="I436" i="6"/>
  <c r="I424" i="6"/>
  <c r="I412" i="6"/>
  <c r="I400" i="6"/>
  <c r="I388" i="6"/>
  <c r="I376" i="6"/>
  <c r="I364" i="6"/>
  <c r="I352" i="6"/>
  <c r="I340" i="6"/>
  <c r="I328" i="6"/>
  <c r="I316" i="6"/>
  <c r="I1089" i="6"/>
  <c r="I1061" i="6"/>
  <c r="I832" i="6"/>
  <c r="I827" i="6"/>
  <c r="I823" i="6"/>
  <c r="I794" i="6"/>
  <c r="I784" i="6"/>
  <c r="I775" i="6"/>
  <c r="I750" i="6"/>
  <c r="I729" i="6"/>
  <c r="I717" i="6"/>
  <c r="I710" i="6"/>
  <c r="I688" i="6"/>
  <c r="I666" i="6"/>
  <c r="I663" i="6"/>
  <c r="I639" i="6"/>
  <c r="I636" i="6"/>
  <c r="I613" i="6"/>
  <c r="I568" i="6"/>
  <c r="I565" i="6"/>
  <c r="I562" i="6"/>
  <c r="I555" i="6"/>
  <c r="I549" i="6"/>
  <c r="I546" i="6"/>
  <c r="I543" i="6"/>
  <c r="I540" i="6"/>
  <c r="I490" i="6"/>
  <c r="I478" i="6"/>
  <c r="I464" i="6"/>
  <c r="I453" i="6"/>
  <c r="I450" i="6"/>
  <c r="I428" i="6"/>
  <c r="I417" i="6"/>
  <c r="I414" i="6"/>
  <c r="I392" i="6"/>
  <c r="I381" i="6"/>
  <c r="I378" i="6"/>
  <c r="I356" i="6"/>
  <c r="I345" i="6"/>
  <c r="I342" i="6"/>
  <c r="I320" i="6"/>
  <c r="I304" i="6"/>
  <c r="I292" i="6"/>
  <c r="I280" i="6"/>
  <c r="I268" i="6"/>
  <c r="I256" i="6"/>
  <c r="I244" i="6"/>
  <c r="I232" i="6"/>
  <c r="I220" i="6"/>
  <c r="I208" i="6"/>
  <c r="I196" i="6"/>
  <c r="I184" i="6"/>
  <c r="I1107" i="6"/>
  <c r="I1021" i="6"/>
  <c r="I982" i="6"/>
  <c r="I951" i="6"/>
  <c r="I890" i="6"/>
  <c r="I850" i="6"/>
  <c r="I837" i="6"/>
  <c r="I808" i="6"/>
  <c r="I789" i="6"/>
  <c r="I779" i="6"/>
  <c r="I765" i="6"/>
  <c r="I753" i="6"/>
  <c r="I746" i="6"/>
  <c r="I743" i="6"/>
  <c r="I721" i="6"/>
  <c r="I988" i="6"/>
  <c r="I976" i="6"/>
  <c r="I962" i="6"/>
  <c r="I865" i="6"/>
  <c r="I826" i="6"/>
  <c r="I732" i="6"/>
  <c r="I724" i="6"/>
  <c r="I684" i="6"/>
  <c r="I656" i="6"/>
  <c r="I649" i="6"/>
  <c r="I578" i="6"/>
  <c r="I536" i="6"/>
  <c r="I501" i="6"/>
  <c r="I498" i="6"/>
  <c r="I495" i="6"/>
  <c r="I492" i="6"/>
  <c r="I455" i="6"/>
  <c r="I444" i="6"/>
  <c r="I419" i="6"/>
  <c r="I408" i="6"/>
  <c r="I383" i="6"/>
  <c r="I372" i="6"/>
  <c r="I347" i="6"/>
  <c r="I336" i="6"/>
  <c r="I306" i="6"/>
  <c r="I294" i="6"/>
  <c r="I282" i="6"/>
  <c r="I270" i="6"/>
  <c r="I258" i="6"/>
  <c r="I246" i="6"/>
  <c r="I234" i="6"/>
  <c r="I222" i="6"/>
  <c r="I210" i="6"/>
  <c r="I1120" i="6"/>
  <c r="I1093" i="6"/>
  <c r="I1060" i="6"/>
  <c r="I1054" i="6"/>
  <c r="I1034" i="6"/>
  <c r="I931" i="6"/>
  <c r="I912" i="6"/>
  <c r="I900" i="6"/>
  <c r="I876" i="6"/>
  <c r="I845" i="6"/>
  <c r="I830" i="6"/>
  <c r="I802" i="6"/>
  <c r="I778" i="6"/>
  <c r="I680" i="6"/>
  <c r="I645" i="6"/>
  <c r="I628" i="6"/>
  <c r="I625" i="6"/>
  <c r="I622" i="6"/>
  <c r="I598" i="6"/>
  <c r="I591" i="6"/>
  <c r="I489" i="6"/>
  <c r="I486" i="6"/>
  <c r="I483" i="6"/>
  <c r="I466" i="6"/>
  <c r="I430" i="6"/>
  <c r="I394" i="6"/>
  <c r="I358" i="6"/>
  <c r="I322" i="6"/>
  <c r="I311" i="6"/>
  <c r="I301" i="6"/>
  <c r="I289" i="6"/>
  <c r="I277" i="6"/>
  <c r="I265" i="6"/>
  <c r="I253" i="6"/>
  <c r="I241" i="6"/>
  <c r="I229" i="6"/>
  <c r="I217" i="6"/>
  <c r="I770" i="6"/>
  <c r="I764" i="6"/>
  <c r="I759" i="6"/>
  <c r="I697" i="6"/>
  <c r="I693" i="6"/>
  <c r="I606" i="6"/>
  <c r="I602" i="6"/>
  <c r="I586" i="6"/>
  <c r="I526" i="6"/>
  <c r="I518" i="6"/>
  <c r="I481" i="6"/>
  <c r="I474" i="6"/>
  <c r="I461" i="6"/>
  <c r="I423" i="6"/>
  <c r="I402" i="6"/>
  <c r="I389" i="6"/>
  <c r="I351" i="6"/>
  <c r="I330" i="6"/>
  <c r="I317" i="6"/>
  <c r="I310" i="6"/>
  <c r="I307" i="6"/>
  <c r="I195" i="6"/>
  <c r="I190" i="6"/>
  <c r="I172" i="6"/>
  <c r="I160" i="6"/>
  <c r="I148" i="6"/>
  <c r="I136" i="6"/>
  <c r="I996" i="6"/>
  <c r="I914" i="6"/>
  <c r="I811" i="6"/>
  <c r="I744" i="6"/>
  <c r="I678" i="6"/>
  <c r="I658" i="6"/>
  <c r="I650" i="6"/>
  <c r="I637" i="6"/>
  <c r="I633" i="6"/>
  <c r="I614" i="6"/>
  <c r="I553" i="6"/>
  <c r="I541" i="6"/>
  <c r="I507" i="6"/>
  <c r="I488" i="6"/>
  <c r="I484" i="6"/>
  <c r="I477" i="6"/>
  <c r="I433" i="6"/>
  <c r="I426" i="6"/>
  <c r="I405" i="6"/>
  <c r="I361" i="6"/>
  <c r="I354" i="6"/>
  <c r="I333" i="6"/>
  <c r="I303" i="6"/>
  <c r="I291" i="6"/>
  <c r="I279" i="6"/>
  <c r="I267" i="6"/>
  <c r="I255" i="6"/>
  <c r="I243" i="6"/>
  <c r="I231" i="6"/>
  <c r="I219" i="6"/>
  <c r="I205" i="6"/>
  <c r="I200" i="6"/>
  <c r="I182" i="6"/>
  <c r="I177" i="6"/>
  <c r="I167" i="6"/>
  <c r="I155" i="6"/>
  <c r="I143" i="6"/>
  <c r="I131" i="6"/>
  <c r="I973" i="6"/>
  <c r="I927" i="6"/>
  <c r="I899" i="6"/>
  <c r="I891" i="6"/>
  <c r="I857" i="6"/>
  <c r="I787" i="6"/>
  <c r="I720" i="6"/>
  <c r="I705" i="6"/>
  <c r="I692" i="6"/>
  <c r="I1065" i="6"/>
  <c r="I935" i="6"/>
  <c r="I852" i="6"/>
  <c r="I839" i="6"/>
  <c r="I828" i="6"/>
  <c r="I816" i="6"/>
  <c r="I730" i="6"/>
  <c r="I700" i="6"/>
  <c r="I669" i="6"/>
  <c r="I661" i="6"/>
  <c r="I621" i="6"/>
  <c r="I585" i="6"/>
  <c r="I577" i="6"/>
  <c r="I556" i="6"/>
  <c r="I544" i="6"/>
  <c r="I514" i="6"/>
  <c r="I510" i="6"/>
  <c r="I494" i="6"/>
  <c r="I480" i="6"/>
  <c r="I449" i="6"/>
  <c r="I377" i="6"/>
  <c r="I297" i="6"/>
  <c r="I285" i="6"/>
  <c r="I273" i="6"/>
  <c r="I261" i="6"/>
  <c r="I249" i="6"/>
  <c r="I237" i="6"/>
  <c r="I225" i="6"/>
  <c r="I213" i="6"/>
  <c r="I197" i="6"/>
  <c r="I179" i="6"/>
  <c r="I169" i="6"/>
  <c r="I157" i="6"/>
  <c r="I145" i="6"/>
  <c r="I133" i="6"/>
  <c r="I1078" i="6"/>
  <c r="I833" i="6"/>
  <c r="I780" i="6"/>
  <c r="I714" i="6"/>
  <c r="I696" i="6"/>
  <c r="I657" i="6"/>
  <c r="I609" i="6"/>
  <c r="I592" i="6"/>
  <c r="I548" i="6"/>
  <c r="I532" i="6"/>
  <c r="I463" i="6"/>
  <c r="I456" i="6"/>
  <c r="I442" i="6"/>
  <c r="I439" i="6"/>
  <c r="I432" i="6"/>
  <c r="I429" i="6"/>
  <c r="I418" i="6"/>
  <c r="I415" i="6"/>
  <c r="I391" i="6"/>
  <c r="I384" i="6"/>
  <c r="I370" i="6"/>
  <c r="I367" i="6"/>
  <c r="I360" i="6"/>
  <c r="I1056" i="6"/>
  <c r="I948" i="6"/>
  <c r="I917" i="6"/>
  <c r="I856" i="6"/>
  <c r="I815" i="6"/>
  <c r="I791" i="6"/>
  <c r="I762" i="6"/>
  <c r="I742" i="6"/>
  <c r="I695" i="6"/>
  <c r="I760" i="6"/>
  <c r="I733" i="6"/>
  <c r="I707" i="6"/>
  <c r="I674" i="6"/>
  <c r="I651" i="6"/>
  <c r="I630" i="6"/>
  <c r="I620" i="6"/>
  <c r="I589" i="6"/>
  <c r="I573" i="6"/>
  <c r="I552" i="6"/>
  <c r="I537" i="6"/>
  <c r="I438" i="6"/>
  <c r="I407" i="6"/>
  <c r="I395" i="6"/>
  <c r="I368" i="6"/>
  <c r="I363" i="6"/>
  <c r="I343" i="6"/>
  <c r="I318" i="6"/>
  <c r="I287" i="6"/>
  <c r="I264" i="6"/>
  <c r="I260" i="6"/>
  <c r="I215" i="6"/>
  <c r="I118" i="6"/>
  <c r="I106" i="6"/>
  <c r="I94" i="6"/>
  <c r="I82" i="6"/>
  <c r="I70" i="6"/>
  <c r="I58" i="6"/>
  <c r="I46" i="6"/>
  <c r="I34" i="6"/>
  <c r="I22" i="6"/>
  <c r="I10" i="6"/>
  <c r="I672" i="6"/>
  <c r="I321" i="6"/>
  <c r="I1037" i="6"/>
  <c r="I1010" i="6"/>
  <c r="I801" i="6"/>
  <c r="I745" i="6"/>
  <c r="I662" i="6"/>
  <c r="I579" i="6"/>
  <c r="I527" i="6"/>
  <c r="I516" i="6"/>
  <c r="I512" i="6"/>
  <c r="I502" i="6"/>
  <c r="I447" i="6"/>
  <c r="I425" i="6"/>
  <c r="I399" i="6"/>
  <c r="I390" i="6"/>
  <c r="I359" i="6"/>
  <c r="I355" i="6"/>
  <c r="I334" i="6"/>
  <c r="I305" i="6"/>
  <c r="I298" i="6"/>
  <c r="I290" i="6"/>
  <c r="I283" i="6"/>
  <c r="I233" i="6"/>
  <c r="I226" i="6"/>
  <c r="I218" i="6"/>
  <c r="I211" i="6"/>
  <c r="I207" i="6"/>
  <c r="I204" i="6"/>
  <c r="I198" i="6"/>
  <c r="I188" i="6"/>
  <c r="I185" i="6"/>
  <c r="I166" i="6"/>
  <c r="I154" i="6"/>
  <c r="I142" i="6"/>
  <c r="I130" i="6"/>
  <c r="I125" i="6"/>
  <c r="I113" i="6"/>
  <c r="I101" i="6"/>
  <c r="I89" i="6"/>
  <c r="I77" i="6"/>
  <c r="I65" i="6"/>
  <c r="I53" i="6"/>
  <c r="I41" i="6"/>
  <c r="I29" i="6"/>
  <c r="I17" i="6"/>
  <c r="I5" i="6"/>
  <c r="I685" i="6"/>
  <c r="I349" i="6"/>
  <c r="I236" i="6"/>
  <c r="I1045" i="6"/>
  <c r="I881" i="6"/>
  <c r="I873" i="6"/>
  <c r="I767" i="6"/>
  <c r="I752" i="6"/>
  <c r="I634" i="6"/>
  <c r="I572" i="6"/>
  <c r="I551" i="6"/>
  <c r="I469" i="6"/>
  <c r="I465" i="6"/>
  <c r="I416" i="6"/>
  <c r="I385" i="6"/>
  <c r="I380" i="6"/>
  <c r="I346" i="6"/>
  <c r="I313" i="6"/>
  <c r="I275" i="6"/>
  <c r="I252" i="6"/>
  <c r="I248" i="6"/>
  <c r="I201" i="6"/>
  <c r="I194" i="6"/>
  <c r="I191" i="6"/>
  <c r="I163" i="6"/>
  <c r="I151" i="6"/>
  <c r="I139" i="6"/>
  <c r="I120" i="6"/>
  <c r="I108" i="6"/>
  <c r="I96" i="6"/>
  <c r="I84" i="6"/>
  <c r="I72" i="6"/>
  <c r="I60" i="6"/>
  <c r="I48" i="6"/>
  <c r="I36" i="6"/>
  <c r="I24" i="6"/>
  <c r="I12" i="6"/>
  <c r="I915" i="6"/>
  <c r="I790" i="6"/>
  <c r="I782" i="6"/>
  <c r="I731" i="6"/>
  <c r="I441" i="6"/>
  <c r="I366" i="6"/>
  <c r="I263" i="6"/>
  <c r="I240" i="6"/>
  <c r="I711" i="6"/>
  <c r="I624" i="6"/>
  <c r="I603" i="6"/>
  <c r="I587" i="6"/>
  <c r="I566" i="6"/>
  <c r="I520" i="6"/>
  <c r="I496" i="6"/>
  <c r="I491" i="6"/>
  <c r="I482" i="6"/>
  <c r="I473" i="6"/>
  <c r="I451" i="6"/>
  <c r="I420" i="6"/>
  <c r="I411" i="6"/>
  <c r="I403" i="6"/>
  <c r="I371" i="6"/>
  <c r="I329" i="6"/>
  <c r="I325" i="6"/>
  <c r="I309" i="6"/>
  <c r="I293" i="6"/>
  <c r="I286" i="6"/>
  <c r="I278" i="6"/>
  <c r="I271" i="6"/>
  <c r="I221" i="6"/>
  <c r="I214" i="6"/>
  <c r="I181" i="6"/>
  <c r="I178" i="6"/>
  <c r="I175" i="6"/>
  <c r="I127" i="6"/>
  <c r="I115" i="6"/>
  <c r="I103" i="6"/>
  <c r="I91" i="6"/>
  <c r="I79" i="6"/>
  <c r="I67" i="6"/>
  <c r="I55" i="6"/>
  <c r="I43" i="6"/>
  <c r="I31" i="6"/>
  <c r="I19" i="6"/>
  <c r="I7" i="6"/>
  <c r="I1024" i="6"/>
  <c r="I861" i="6"/>
  <c r="I756" i="6"/>
  <c r="I716" i="6"/>
  <c r="I921" i="6"/>
  <c r="I869" i="6"/>
  <c r="I813" i="6"/>
  <c r="I741" i="6"/>
  <c r="I522" i="6"/>
  <c r="I504" i="6"/>
  <c r="I454" i="6"/>
  <c r="I382" i="6"/>
  <c r="I341" i="6"/>
  <c r="I335" i="6"/>
  <c r="I331" i="6"/>
  <c r="I324" i="6"/>
  <c r="I281" i="6"/>
  <c r="I250" i="6"/>
  <c r="I239" i="6"/>
  <c r="I192" i="6"/>
  <c r="I180" i="6"/>
  <c r="I171" i="6"/>
  <c r="I159" i="6"/>
  <c r="I147" i="6"/>
  <c r="I135" i="6"/>
  <c r="I98" i="6"/>
  <c r="I95" i="6"/>
  <c r="I62" i="6"/>
  <c r="I59" i="6"/>
  <c r="I26" i="6"/>
  <c r="I23" i="6"/>
  <c r="I38" i="6"/>
  <c r="I445" i="6"/>
  <c r="I373" i="6"/>
  <c r="I284" i="6"/>
  <c r="I134" i="6"/>
  <c r="I97" i="6"/>
  <c r="I28" i="6"/>
  <c r="I18" i="6"/>
  <c r="I1031" i="6"/>
  <c r="I600" i="6"/>
  <c r="I493" i="6"/>
  <c r="I468" i="6"/>
  <c r="I344" i="6"/>
  <c r="I315" i="6"/>
  <c r="I8" i="6"/>
  <c r="I538" i="6"/>
  <c r="I189" i="6"/>
  <c r="I149" i="6"/>
  <c r="I83" i="6"/>
  <c r="I694" i="6"/>
  <c r="I76" i="6"/>
  <c r="I985" i="6"/>
  <c r="I838" i="6"/>
  <c r="I681" i="6"/>
  <c r="I616" i="6"/>
  <c r="I515" i="6"/>
  <c r="I435" i="6"/>
  <c r="I387" i="6"/>
  <c r="I375" i="6"/>
  <c r="I369" i="6"/>
  <c r="I312" i="6"/>
  <c r="I302" i="6"/>
  <c r="I296" i="6"/>
  <c r="I276" i="6"/>
  <c r="I223" i="6"/>
  <c r="I187" i="6"/>
  <c r="I124" i="6"/>
  <c r="I121" i="6"/>
  <c r="I88" i="6"/>
  <c r="I85" i="6"/>
  <c r="I52" i="6"/>
  <c r="I49" i="6"/>
  <c r="I16" i="6"/>
  <c r="I13" i="6"/>
  <c r="I755" i="6"/>
  <c r="I594" i="6"/>
  <c r="I158" i="6"/>
  <c r="I61" i="6"/>
  <c r="I25" i="6"/>
  <c r="I57" i="6"/>
  <c r="I51" i="6"/>
  <c r="I15" i="6"/>
  <c r="I627" i="6"/>
  <c r="I427" i="6"/>
  <c r="I409" i="6"/>
  <c r="I327" i="6"/>
  <c r="I257" i="6"/>
  <c r="I206" i="6"/>
  <c r="I202" i="6"/>
  <c r="I165" i="6"/>
  <c r="I153" i="6"/>
  <c r="I141" i="6"/>
  <c r="I129" i="6"/>
  <c r="I116" i="6"/>
  <c r="I479" i="6"/>
  <c r="I462" i="6"/>
  <c r="I230" i="6"/>
  <c r="I122" i="6"/>
  <c r="I86" i="6"/>
  <c r="I14" i="6"/>
  <c r="I660" i="6"/>
  <c r="I396" i="6"/>
  <c r="I112" i="6"/>
  <c r="I909" i="6"/>
  <c r="I867" i="6"/>
  <c r="I664" i="6"/>
  <c r="I623" i="6"/>
  <c r="I575" i="6"/>
  <c r="I554" i="6"/>
  <c r="I476" i="6"/>
  <c r="I471" i="6"/>
  <c r="I459" i="6"/>
  <c r="I393" i="6"/>
  <c r="I357" i="6"/>
  <c r="I254" i="6"/>
  <c r="I212" i="6"/>
  <c r="I183" i="6"/>
  <c r="I117" i="6"/>
  <c r="I114" i="6"/>
  <c r="I111" i="6"/>
  <c r="I81" i="6"/>
  <c r="I78" i="6"/>
  <c r="I75" i="6"/>
  <c r="I45" i="6"/>
  <c r="I42" i="6"/>
  <c r="I39" i="6"/>
  <c r="I9" i="6"/>
  <c r="I6" i="6"/>
  <c r="I107" i="6"/>
  <c r="I74" i="6"/>
  <c r="I35" i="6"/>
  <c r="I804" i="6"/>
  <c r="I274" i="6"/>
  <c r="I100" i="6"/>
  <c r="I64" i="6"/>
  <c r="I1075" i="6"/>
  <c r="I952" i="6"/>
  <c r="I796" i="6"/>
  <c r="I560" i="6"/>
  <c r="I534" i="6"/>
  <c r="I323" i="6"/>
  <c r="I259" i="6"/>
  <c r="I238" i="6"/>
  <c r="I227" i="6"/>
  <c r="I104" i="6"/>
  <c r="I68" i="6"/>
  <c r="I32" i="6"/>
  <c r="I842" i="6"/>
  <c r="I524" i="6"/>
  <c r="I193" i="6"/>
  <c r="I173" i="6"/>
  <c r="I50" i="6"/>
  <c r="I11" i="6"/>
  <c r="I505" i="6"/>
  <c r="I262" i="6"/>
  <c r="I251" i="6"/>
  <c r="I168" i="6"/>
  <c r="I156" i="6"/>
  <c r="I144" i="6"/>
  <c r="I109" i="6"/>
  <c r="I40" i="6"/>
  <c r="I648" i="6"/>
  <c r="I642" i="6"/>
  <c r="I615" i="6"/>
  <c r="I601" i="6"/>
  <c r="I580" i="6"/>
  <c r="I519" i="6"/>
  <c r="I513" i="6"/>
  <c r="I508" i="6"/>
  <c r="I452" i="6"/>
  <c r="I404" i="6"/>
  <c r="I300" i="6"/>
  <c r="I269" i="6"/>
  <c r="I242" i="6"/>
  <c r="I203" i="6"/>
  <c r="I199" i="6"/>
  <c r="I186" i="6"/>
  <c r="I174" i="6"/>
  <c r="I162" i="6"/>
  <c r="I150" i="6"/>
  <c r="I138" i="6"/>
  <c r="I110" i="6"/>
  <c r="I71" i="6"/>
  <c r="I671" i="6"/>
  <c r="I440" i="6"/>
  <c r="I216" i="6"/>
  <c r="I170" i="6"/>
  <c r="I146" i="6"/>
  <c r="I54" i="6"/>
  <c r="I21" i="6"/>
  <c r="I475" i="6"/>
  <c r="I457" i="6"/>
  <c r="I332" i="6"/>
  <c r="I80" i="6"/>
  <c r="I44" i="6"/>
  <c r="I558" i="6"/>
  <c r="I299" i="6"/>
  <c r="I224" i="6"/>
  <c r="I161" i="6"/>
  <c r="I137" i="6"/>
  <c r="I119" i="6"/>
  <c r="I47" i="6"/>
  <c r="I736" i="6"/>
  <c r="I612" i="6"/>
  <c r="I530" i="6"/>
  <c r="I337" i="6"/>
  <c r="I288" i="6"/>
  <c r="I132" i="6"/>
  <c r="I73" i="6"/>
  <c r="I37" i="6"/>
  <c r="I4" i="6"/>
  <c r="I986" i="6"/>
  <c r="I820" i="6"/>
  <c r="I675" i="6"/>
  <c r="I638" i="6"/>
  <c r="I584" i="6"/>
  <c r="I570" i="6"/>
  <c r="I814" i="6"/>
  <c r="I500" i="6"/>
  <c r="I421" i="6"/>
  <c r="I397" i="6"/>
  <c r="I379" i="6"/>
  <c r="I339" i="6"/>
  <c r="I295" i="6"/>
  <c r="I247" i="6"/>
  <c r="I126" i="6"/>
  <c r="I123" i="6"/>
  <c r="I93" i="6"/>
  <c r="I90" i="6"/>
  <c r="I87" i="6"/>
  <c r="I406" i="6"/>
  <c r="I176" i="6"/>
  <c r="I99" i="6"/>
  <c r="I27" i="6"/>
  <c r="I164" i="6"/>
  <c r="I92" i="6"/>
  <c r="I20" i="6"/>
  <c r="I597" i="6"/>
  <c r="I467" i="6"/>
  <c r="I365" i="6"/>
  <c r="I66" i="6"/>
  <c r="I563" i="6"/>
  <c r="I353" i="6"/>
  <c r="I105" i="6"/>
  <c r="I33" i="6"/>
  <c r="I849" i="6"/>
  <c r="I708" i="6"/>
  <c r="I413" i="6"/>
  <c r="I319" i="6"/>
  <c r="I308" i="6"/>
  <c r="I228" i="6"/>
  <c r="I128" i="6"/>
  <c r="I56" i="6"/>
  <c r="I235" i="6"/>
  <c r="I348" i="6"/>
  <c r="I69" i="6"/>
  <c r="I529" i="6"/>
  <c r="I443" i="6"/>
  <c r="I209" i="6"/>
  <c r="I550" i="6"/>
  <c r="I517" i="6"/>
  <c r="I879" i="6"/>
  <c r="I266" i="6"/>
  <c r="I245" i="6"/>
  <c r="I152" i="6"/>
  <c r="I102" i="6"/>
  <c r="I30" i="6"/>
  <c r="I659" i="6"/>
  <c r="I431" i="6"/>
  <c r="I401" i="6"/>
  <c r="I63" i="6"/>
  <c r="I437" i="6"/>
  <c r="I272" i="6"/>
  <c r="I140" i="6"/>
  <c r="H105" i="6"/>
  <c r="H170" i="6"/>
  <c r="H83" i="6"/>
  <c r="H296" i="6"/>
  <c r="H196" i="6"/>
  <c r="H497" i="6"/>
  <c r="H286" i="6"/>
  <c r="H407" i="6"/>
  <c r="H604" i="6"/>
  <c r="H412" i="6"/>
  <c r="H455" i="6"/>
  <c r="H189" i="6"/>
  <c r="H629" i="6"/>
  <c r="H732" i="6"/>
  <c r="H958" i="6"/>
  <c r="G115" i="6"/>
  <c r="G993" i="6"/>
  <c r="G106" i="6"/>
  <c r="G303" i="6"/>
  <c r="G425" i="6"/>
  <c r="G1061" i="6"/>
  <c r="G649" i="6"/>
  <c r="G935" i="6"/>
  <c r="F96" i="6"/>
  <c r="F114" i="6"/>
  <c r="F147" i="6"/>
  <c r="F103" i="6"/>
  <c r="F306" i="6"/>
  <c r="F376" i="6"/>
  <c r="F398" i="6"/>
  <c r="F1082" i="6"/>
  <c r="F395" i="6"/>
  <c r="F629" i="6"/>
  <c r="F749" i="6"/>
  <c r="F422" i="6"/>
  <c r="F453" i="6"/>
  <c r="F315" i="6"/>
  <c r="F403" i="6"/>
  <c r="F994" i="6"/>
  <c r="F904" i="6"/>
  <c r="F1107" i="6"/>
  <c r="F766" i="6"/>
  <c r="F876" i="6"/>
  <c r="F872" i="6"/>
  <c r="F1025" i="6"/>
  <c r="F1077" i="6"/>
  <c r="H262" i="6"/>
  <c r="H452" i="6"/>
  <c r="H85" i="6"/>
  <c r="H243" i="6"/>
  <c r="H12" i="6"/>
  <c r="H394" i="6"/>
  <c r="H809" i="6"/>
  <c r="H891" i="6"/>
  <c r="H344" i="6"/>
  <c r="H753" i="6"/>
  <c r="H632" i="6"/>
  <c r="H744" i="6"/>
  <c r="H1017" i="6"/>
  <c r="G127" i="6"/>
  <c r="G133" i="6"/>
  <c r="G313" i="6"/>
  <c r="G490" i="6"/>
  <c r="G996" i="6"/>
  <c r="F219" i="6"/>
  <c r="F647" i="6"/>
  <c r="F26" i="6"/>
  <c r="F72" i="6"/>
  <c r="F209" i="6"/>
  <c r="F144" i="6"/>
  <c r="F385" i="6"/>
  <c r="F411" i="6"/>
  <c r="F233" i="6"/>
  <c r="F678" i="6"/>
  <c r="F697" i="6"/>
  <c r="F217" i="6"/>
  <c r="F568" i="6"/>
  <c r="F613" i="6"/>
  <c r="F493" i="6"/>
  <c r="F735" i="6"/>
  <c r="F729" i="6"/>
  <c r="F833" i="6"/>
  <c r="F634" i="6"/>
  <c r="F752" i="6"/>
  <c r="F884" i="6"/>
  <c r="F1036" i="6"/>
  <c r="F945" i="6"/>
  <c r="H396" i="6"/>
  <c r="H519" i="6"/>
  <c r="H91" i="6"/>
  <c r="H250" i="6"/>
  <c r="H72" i="6"/>
  <c r="H667" i="6"/>
  <c r="H992" i="6"/>
  <c r="H358" i="6"/>
  <c r="H765" i="6"/>
  <c r="H819" i="6"/>
  <c r="H730" i="6"/>
  <c r="G570" i="6"/>
  <c r="G213" i="6"/>
  <c r="G625" i="6"/>
  <c r="G487" i="6"/>
  <c r="G1098" i="6"/>
  <c r="F174" i="6"/>
  <c r="F254" i="6"/>
  <c r="F441" i="6"/>
  <c r="F278" i="6"/>
  <c r="F676" i="6"/>
  <c r="F260" i="6"/>
  <c r="F429" i="6"/>
  <c r="F305" i="6"/>
  <c r="F720" i="6"/>
  <c r="F557" i="6"/>
  <c r="F436" i="6"/>
  <c r="F1035" i="6"/>
  <c r="F181" i="6"/>
  <c r="F621" i="6"/>
  <c r="F200" i="6"/>
  <c r="F83" i="6"/>
  <c r="F53" i="6"/>
  <c r="F293" i="6"/>
  <c r="F231" i="6"/>
  <c r="F655" i="6"/>
  <c r="F107" i="6"/>
  <c r="F476" i="6"/>
  <c r="F435" i="6"/>
  <c r="F997" i="6"/>
  <c r="F65" i="6"/>
  <c r="F196" i="6"/>
  <c r="F623" i="6"/>
  <c r="F601" i="6"/>
  <c r="F243" i="6"/>
  <c r="F349" i="6"/>
  <c r="F74" i="6"/>
  <c r="F212" i="6"/>
  <c r="F424" i="6"/>
  <c r="F100" i="6"/>
  <c r="F71" i="6"/>
  <c r="F7" i="6"/>
  <c r="F205" i="6"/>
  <c r="F690" i="6"/>
  <c r="F82" i="6"/>
  <c r="F282" i="6"/>
  <c r="F469" i="6"/>
  <c r="F624" i="6"/>
  <c r="F245" i="6"/>
  <c r="F686" i="6"/>
  <c r="F8" i="6"/>
  <c r="F149" i="6"/>
  <c r="F302" i="6"/>
  <c r="F604" i="6"/>
  <c r="F506" i="6"/>
  <c r="F109" i="6"/>
  <c r="F462" i="6"/>
  <c r="F747" i="6"/>
  <c r="F521" i="6"/>
  <c r="F828" i="6"/>
  <c r="F310" i="6"/>
  <c r="F477" i="6"/>
  <c r="F753" i="6"/>
  <c r="F800" i="6"/>
  <c r="F262" i="6"/>
  <c r="F626" i="6"/>
  <c r="F936" i="6"/>
  <c r="F265" i="6"/>
  <c r="F492" i="6"/>
  <c r="F244" i="6"/>
  <c r="F356" i="6"/>
  <c r="F464" i="6"/>
  <c r="F666" i="6"/>
  <c r="F924" i="6"/>
  <c r="F334" i="6"/>
  <c r="F511" i="6"/>
  <c r="F660" i="6"/>
  <c r="F842" i="6"/>
  <c r="F223" i="6"/>
  <c r="F384" i="6"/>
  <c r="F579" i="6"/>
  <c r="F319" i="6"/>
  <c r="F463" i="6"/>
  <c r="F576" i="6"/>
  <c r="F806" i="6"/>
  <c r="F1068" i="6"/>
  <c r="F449" i="6"/>
  <c r="F609" i="6"/>
  <c r="F773" i="6"/>
  <c r="F1086" i="6"/>
  <c r="F867" i="6"/>
  <c r="F1048" i="6"/>
  <c r="F1092" i="6"/>
  <c r="F807" i="6"/>
  <c r="F1032" i="6"/>
  <c r="F538" i="6"/>
  <c r="F682" i="6"/>
  <c r="F822" i="6"/>
  <c r="F512" i="6"/>
  <c r="F656" i="6"/>
  <c r="F787" i="6"/>
  <c r="F984" i="6"/>
  <c r="F791" i="6"/>
  <c r="F832" i="6"/>
  <c r="F789" i="6"/>
  <c r="F927" i="6"/>
  <c r="F1026" i="6"/>
  <c r="F975" i="6"/>
  <c r="F931" i="6"/>
  <c r="F1075" i="6"/>
  <c r="F998" i="6"/>
  <c r="F959" i="6"/>
  <c r="F1103" i="6"/>
  <c r="F993" i="6"/>
  <c r="H214" i="6"/>
  <c r="H102" i="6"/>
  <c r="H115" i="6"/>
  <c r="H4" i="6"/>
  <c r="H97" i="6"/>
  <c r="H356" i="6"/>
  <c r="H86" i="6"/>
  <c r="H35" i="6"/>
  <c r="H316" i="6"/>
  <c r="H304" i="6"/>
  <c r="H232" i="6"/>
  <c r="H580" i="6"/>
  <c r="H131" i="6"/>
  <c r="H591" i="6"/>
  <c r="H349" i="6"/>
  <c r="H59" i="6"/>
  <c r="H454" i="6"/>
  <c r="H493" i="6"/>
  <c r="H128" i="6"/>
  <c r="H1070" i="6"/>
  <c r="H120" i="6"/>
  <c r="H541" i="6"/>
  <c r="H17" i="6"/>
  <c r="H207" i="6"/>
  <c r="H293" i="6"/>
  <c r="H182" i="6"/>
  <c r="H1000" i="6"/>
  <c r="H279" i="6"/>
  <c r="H941" i="6"/>
  <c r="H912" i="6"/>
  <c r="H521" i="6"/>
  <c r="H148" i="6"/>
  <c r="H1104" i="6"/>
  <c r="H430" i="6"/>
  <c r="H234" i="6"/>
  <c r="H713" i="6"/>
  <c r="H422" i="6"/>
  <c r="H1099" i="6"/>
  <c r="H508" i="6"/>
  <c r="H477" i="6"/>
  <c r="H403" i="6"/>
  <c r="H1074" i="6"/>
  <c r="H814" i="6"/>
  <c r="H1121" i="6"/>
  <c r="H861" i="6"/>
  <c r="H976" i="6"/>
  <c r="H957" i="6"/>
  <c r="H1058" i="6"/>
  <c r="H1033" i="6"/>
  <c r="G14" i="6"/>
  <c r="G463" i="6"/>
  <c r="G494" i="6"/>
  <c r="G26" i="6"/>
  <c r="G120" i="6"/>
  <c r="G401" i="6"/>
  <c r="G572" i="6"/>
  <c r="G229" i="6"/>
  <c r="G149" i="6"/>
  <c r="G787" i="6"/>
  <c r="G981" i="6"/>
  <c r="G586" i="6"/>
  <c r="G716" i="6"/>
  <c r="G850" i="6"/>
  <c r="G710" i="6"/>
  <c r="G592" i="6"/>
  <c r="G1097" i="6"/>
  <c r="G715" i="6"/>
  <c r="G1121" i="6"/>
  <c r="G593" i="6"/>
  <c r="G579" i="6"/>
  <c r="G767" i="6"/>
  <c r="G1119" i="6"/>
  <c r="G892" i="6"/>
  <c r="G616" i="6"/>
  <c r="G492" i="6"/>
  <c r="G180" i="6"/>
  <c r="G434" i="6"/>
  <c r="G832" i="6"/>
  <c r="H40" i="6"/>
  <c r="H202" i="6"/>
  <c r="H459" i="6"/>
  <c r="H231" i="6"/>
  <c r="H472" i="6"/>
  <c r="H77" i="6"/>
  <c r="H63" i="6"/>
  <c r="H687" i="6"/>
  <c r="H383" i="6"/>
  <c r="H860" i="6"/>
  <c r="H708" i="6"/>
  <c r="H1003" i="6"/>
  <c r="G25" i="6"/>
  <c r="G89" i="6"/>
  <c r="G271" i="6"/>
  <c r="G1055" i="6"/>
  <c r="G1078" i="6"/>
  <c r="H140" i="6"/>
  <c r="H392" i="6"/>
  <c r="H476" i="6"/>
  <c r="H280" i="6"/>
  <c r="H74" i="6"/>
  <c r="H346" i="6"/>
  <c r="H34" i="6"/>
  <c r="H785" i="6"/>
  <c r="H878" i="6"/>
  <c r="H749" i="6"/>
  <c r="H746" i="6"/>
  <c r="H929" i="6"/>
  <c r="H751" i="6"/>
  <c r="H904" i="6"/>
  <c r="H1043" i="6"/>
  <c r="G121" i="6"/>
  <c r="G101" i="6"/>
  <c r="G700" i="6"/>
  <c r="G214" i="6"/>
  <c r="G458" i="6"/>
  <c r="G1092" i="6"/>
  <c r="F240" i="6"/>
  <c r="F607" i="6"/>
  <c r="F23" i="6"/>
  <c r="F36" i="6"/>
  <c r="F580" i="6"/>
  <c r="F18" i="6"/>
  <c r="F132" i="6"/>
  <c r="F169" i="6"/>
  <c r="F87" i="6"/>
  <c r="F230" i="6"/>
  <c r="F257" i="6"/>
  <c r="F172" i="6"/>
  <c r="F198" i="6"/>
  <c r="F900" i="6"/>
  <c r="F765" i="6"/>
  <c r="F956" i="6"/>
  <c r="F866" i="6"/>
  <c r="F389" i="6"/>
  <c r="F781" i="6"/>
  <c r="F889" i="6"/>
  <c r="F1020" i="6"/>
  <c r="F1049" i="6"/>
  <c r="F1095" i="6"/>
  <c r="F1043" i="6"/>
  <c r="H112" i="6"/>
  <c r="H790" i="6"/>
  <c r="H78" i="6"/>
  <c r="H181" i="6"/>
  <c r="H242" i="6"/>
  <c r="H473" i="6"/>
  <c r="H456" i="6"/>
  <c r="H240" i="6"/>
  <c r="H782" i="6"/>
  <c r="H1002" i="6"/>
  <c r="H763" i="6"/>
  <c r="H972" i="6"/>
  <c r="G345" i="6"/>
  <c r="G125" i="6"/>
  <c r="G316" i="6"/>
  <c r="G428" i="6"/>
  <c r="G685" i="6"/>
  <c r="G889" i="6"/>
  <c r="F14" i="6"/>
  <c r="F566" i="6"/>
  <c r="F299" i="6"/>
  <c r="F81" i="6"/>
  <c r="F695" i="6"/>
  <c r="F494" i="6"/>
  <c r="F218" i="6"/>
  <c r="F593" i="6"/>
  <c r="F483" i="6"/>
  <c r="F426" i="6"/>
  <c r="F408" i="6"/>
  <c r="F545" i="6"/>
  <c r="F952" i="6"/>
  <c r="F788" i="6"/>
  <c r="F1015" i="6"/>
  <c r="F415" i="6"/>
  <c r="F401" i="6"/>
  <c r="F792" i="6"/>
  <c r="F922" i="6"/>
  <c r="F1052" i="6"/>
  <c r="F1073" i="6"/>
  <c r="F1098" i="6"/>
  <c r="F926" i="6"/>
  <c r="F1089" i="6"/>
  <c r="H272" i="6"/>
  <c r="H93" i="6"/>
  <c r="H689" i="6"/>
  <c r="H315" i="6"/>
  <c r="H1083" i="6"/>
  <c r="H535" i="6"/>
  <c r="H651" i="6"/>
  <c r="H811" i="6"/>
  <c r="H501" i="6"/>
  <c r="H429" i="6"/>
  <c r="H1011" i="6"/>
  <c r="H1116" i="6"/>
  <c r="G212" i="6"/>
  <c r="G104" i="6"/>
  <c r="G594" i="6"/>
  <c r="G1023" i="6"/>
  <c r="G975" i="6"/>
  <c r="F60" i="6"/>
  <c r="F154" i="6"/>
  <c r="F159" i="6"/>
  <c r="F21" i="6"/>
  <c r="F93" i="6"/>
  <c r="F838" i="6"/>
  <c r="F111" i="6"/>
  <c r="F279" i="6"/>
  <c r="F73" i="6"/>
  <c r="F460" i="6"/>
  <c r="F665" i="6"/>
  <c r="F328" i="6"/>
  <c r="F597" i="6"/>
  <c r="F197" i="6"/>
  <c r="F203" i="6"/>
  <c r="F471" i="6"/>
  <c r="F986" i="6"/>
  <c r="F224" i="6"/>
  <c r="F125" i="6"/>
  <c r="F201" i="6"/>
  <c r="F50" i="6"/>
  <c r="F242" i="6"/>
  <c r="F722" i="6"/>
  <c r="F269" i="6"/>
  <c r="F554" i="6"/>
  <c r="F482" i="6"/>
  <c r="F31" i="6"/>
  <c r="F95" i="6"/>
  <c r="F208" i="6"/>
  <c r="F664" i="6"/>
  <c r="F713" i="6"/>
  <c r="F270" i="6"/>
  <c r="F360" i="6"/>
  <c r="F110" i="6"/>
  <c r="F258" i="6"/>
  <c r="F431" i="6"/>
  <c r="F141" i="6"/>
  <c r="F113" i="6"/>
  <c r="F40" i="6"/>
  <c r="F234" i="6"/>
  <c r="F709" i="6"/>
  <c r="F94" i="6"/>
  <c r="F290" i="6"/>
  <c r="F501" i="6"/>
  <c r="F15" i="6"/>
  <c r="F264" i="6"/>
  <c r="F699" i="6"/>
  <c r="F20" i="6"/>
  <c r="F161" i="6"/>
  <c r="F326" i="6"/>
  <c r="F615" i="6"/>
  <c r="F551" i="6"/>
  <c r="F121" i="6"/>
  <c r="F466" i="6"/>
  <c r="F821" i="6"/>
  <c r="F525" i="6"/>
  <c r="F857" i="6"/>
  <c r="F330" i="6"/>
  <c r="F484" i="6"/>
  <c r="F793" i="6"/>
  <c r="F1059" i="6"/>
  <c r="F274" i="6"/>
  <c r="F630" i="6"/>
  <c r="F958" i="6"/>
  <c r="F277" i="6"/>
  <c r="F561" i="6"/>
  <c r="F256" i="6"/>
  <c r="F364" i="6"/>
  <c r="F472" i="6"/>
  <c r="F673" i="6"/>
  <c r="F976" i="6"/>
  <c r="F345" i="6"/>
  <c r="F527" i="6"/>
  <c r="F663" i="6"/>
  <c r="F901" i="6"/>
  <c r="F235" i="6"/>
  <c r="F387" i="6"/>
  <c r="F633" i="6"/>
  <c r="F331" i="6"/>
  <c r="F475" i="6"/>
  <c r="F617" i="6"/>
  <c r="F814" i="6"/>
  <c r="F317" i="6"/>
  <c r="F461" i="6"/>
  <c r="F612" i="6"/>
  <c r="F782" i="6"/>
  <c r="F1104" i="6"/>
  <c r="F871" i="6"/>
  <c r="F1087" i="6"/>
  <c r="F1102" i="6"/>
  <c r="F819" i="6"/>
  <c r="F1044" i="6"/>
  <c r="F550" i="6"/>
  <c r="F694" i="6"/>
  <c r="F834" i="6"/>
  <c r="F524" i="6"/>
  <c r="F668" i="6"/>
  <c r="F799" i="6"/>
  <c r="F992" i="6"/>
  <c r="F803" i="6"/>
  <c r="F844" i="6"/>
  <c r="F801" i="6"/>
  <c r="F930" i="6"/>
  <c r="F1033" i="6"/>
  <c r="F1011" i="6"/>
  <c r="F953" i="6"/>
  <c r="F1097" i="6"/>
  <c r="F1009" i="6"/>
  <c r="F971" i="6"/>
  <c r="F1115" i="6"/>
  <c r="F1005" i="6"/>
  <c r="H144" i="6"/>
  <c r="H109" i="6"/>
  <c r="H69" i="6"/>
  <c r="H76" i="6"/>
  <c r="H100" i="6"/>
  <c r="H373" i="6"/>
  <c r="H149" i="6"/>
  <c r="H178" i="6"/>
  <c r="H410" i="6"/>
  <c r="H360" i="6"/>
  <c r="H254" i="6"/>
  <c r="H722" i="6"/>
  <c r="H143" i="6"/>
  <c r="H631" i="6"/>
  <c r="H894" i="6"/>
  <c r="H62" i="6"/>
  <c r="H484" i="6"/>
  <c r="H772" i="6"/>
  <c r="H176" i="6"/>
  <c r="H723" i="6"/>
  <c r="H139" i="6"/>
  <c r="H551" i="6"/>
  <c r="H29" i="6"/>
  <c r="H226" i="6"/>
  <c r="H420" i="6"/>
  <c r="H241" i="6"/>
  <c r="H255" i="6"/>
  <c r="H302" i="6"/>
  <c r="H993" i="6"/>
  <c r="H1026" i="6"/>
  <c r="H529" i="6"/>
  <c r="H160" i="6"/>
  <c r="H165" i="6"/>
  <c r="H440" i="6"/>
  <c r="H246" i="6"/>
  <c r="H724" i="6"/>
  <c r="H458" i="6"/>
  <c r="H710" i="6"/>
  <c r="H511" i="6"/>
  <c r="H482" i="6"/>
  <c r="H415" i="6"/>
  <c r="H676" i="6"/>
  <c r="H836" i="6"/>
  <c r="H504" i="6"/>
  <c r="H871" i="6"/>
  <c r="H1085" i="6"/>
  <c r="H964" i="6"/>
  <c r="H1094" i="6"/>
  <c r="H1045" i="6"/>
  <c r="G47" i="6"/>
  <c r="G513" i="6"/>
  <c r="G554" i="6"/>
  <c r="G62" i="6"/>
  <c r="G539" i="6"/>
  <c r="G413" i="6"/>
  <c r="G614" i="6"/>
  <c r="G477" i="6"/>
  <c r="G173" i="6"/>
  <c r="G891" i="6"/>
  <c r="G1112" i="6"/>
  <c r="G618" i="6"/>
  <c r="G731" i="6"/>
  <c r="G1008" i="6"/>
  <c r="G739" i="6"/>
  <c r="G623" i="6"/>
  <c r="G336" i="6"/>
  <c r="G729" i="6"/>
  <c r="G863" i="6"/>
  <c r="G617" i="6"/>
  <c r="G603" i="6"/>
  <c r="G791" i="6"/>
  <c r="G883" i="6"/>
  <c r="G916" i="6"/>
  <c r="F1237" i="1"/>
  <c r="H15" i="1"/>
  <c r="F803" i="1"/>
  <c r="H20" i="1"/>
  <c r="I1237" i="1"/>
  <c r="I20" i="1"/>
  <c r="I1110" i="1"/>
  <c r="I15" i="1"/>
  <c r="I586" i="1"/>
  <c r="G15" i="1"/>
  <c r="F212" i="1"/>
  <c r="G1110" i="1"/>
  <c r="F1180" i="1"/>
  <c r="G20" i="1"/>
  <c r="F15" i="1"/>
  <c r="H1237" i="1"/>
  <c r="G586" i="1"/>
  <c r="F1177" i="1"/>
  <c r="G1237" i="1"/>
  <c r="F792" i="1"/>
  <c r="F586" i="1"/>
  <c r="F1110" i="1"/>
  <c r="H1110" i="1"/>
  <c r="H586" i="1"/>
  <c r="F20" i="1"/>
  <c r="F1113" i="1"/>
  <c r="F1137" i="1"/>
  <c r="F2" i="1"/>
  <c r="F39" i="1"/>
  <c r="G1126" i="1"/>
  <c r="H391" i="1"/>
  <c r="H781" i="1"/>
  <c r="H1188" i="1"/>
  <c r="G212" i="1"/>
  <c r="F373" i="1"/>
  <c r="F800" i="1"/>
  <c r="H823" i="1"/>
  <c r="H762" i="1"/>
  <c r="G757" i="1"/>
  <c r="F210" i="1"/>
  <c r="F795" i="1"/>
  <c r="F1141" i="1"/>
  <c r="H1116" i="1"/>
  <c r="H837" i="1"/>
  <c r="G1171" i="1"/>
  <c r="F1181" i="1"/>
  <c r="F823" i="1"/>
  <c r="F1161" i="1"/>
  <c r="H796" i="1"/>
  <c r="H1099" i="1"/>
  <c r="G1175" i="1"/>
  <c r="F778" i="1"/>
  <c r="F832" i="1"/>
  <c r="F1172" i="1"/>
  <c r="H1175" i="1"/>
  <c r="H1117" i="1"/>
  <c r="G832" i="1"/>
  <c r="F385" i="1"/>
  <c r="F839" i="1"/>
  <c r="F1169" i="1"/>
  <c r="H1162" i="1"/>
  <c r="H1114" i="1"/>
  <c r="G1145" i="1"/>
  <c r="F1119" i="1"/>
  <c r="F1165" i="1"/>
  <c r="H786" i="1"/>
  <c r="H212" i="1"/>
  <c r="H1148" i="1"/>
  <c r="G1156" i="1"/>
  <c r="F1175" i="1"/>
  <c r="F1167" i="1"/>
  <c r="H799" i="1"/>
  <c r="H757" i="1"/>
  <c r="H26" i="1"/>
  <c r="G1159" i="1"/>
  <c r="H1181" i="1"/>
  <c r="H1180" i="1"/>
  <c r="H203" i="1"/>
  <c r="G811" i="1"/>
  <c r="H805" i="1"/>
  <c r="H557" i="1"/>
  <c r="H1156" i="1"/>
  <c r="H215" i="1"/>
  <c r="G834" i="1"/>
  <c r="F785" i="1"/>
  <c r="H1118" i="1"/>
  <c r="H780" i="1"/>
  <c r="H379" i="1"/>
  <c r="G837" i="1"/>
  <c r="G1155" i="1"/>
  <c r="G1170" i="1"/>
  <c r="G1099" i="1"/>
  <c r="F757" i="1"/>
  <c r="F781" i="1"/>
  <c r="F391" i="1"/>
  <c r="F1108" i="1"/>
  <c r="F1174" i="1"/>
  <c r="F797" i="1"/>
  <c r="F1182" i="1"/>
  <c r="H1131" i="1"/>
  <c r="H1149" i="1"/>
  <c r="H836" i="1"/>
  <c r="H396" i="1"/>
  <c r="H1111" i="1"/>
  <c r="G780" i="1"/>
  <c r="G836" i="1"/>
  <c r="G2" i="1"/>
  <c r="G1167" i="1"/>
  <c r="G1117" i="1"/>
  <c r="F836" i="1"/>
  <c r="F1116" i="1"/>
  <c r="F557" i="1"/>
  <c r="F1125" i="1"/>
  <c r="F1188" i="1"/>
  <c r="F1117" i="1"/>
  <c r="F1179" i="1"/>
  <c r="H1137" i="1"/>
  <c r="H1160" i="1"/>
  <c r="H1170" i="1"/>
  <c r="H746" i="1"/>
  <c r="H1138" i="1"/>
  <c r="G805" i="1"/>
  <c r="G1142" i="1"/>
  <c r="G385" i="1"/>
  <c r="G1180" i="1"/>
  <c r="G1114" i="1"/>
  <c r="G798" i="1"/>
  <c r="F1160" i="1"/>
  <c r="F1131" i="1"/>
  <c r="F1114" i="1"/>
  <c r="F1176" i="1"/>
  <c r="G391" i="1"/>
  <c r="G1138" i="1"/>
  <c r="F552" i="1"/>
  <c r="F33" i="1"/>
  <c r="F1168" i="1"/>
  <c r="F786" i="1"/>
  <c r="F1145" i="1"/>
  <c r="F203" i="1"/>
  <c r="F1111" i="1"/>
  <c r="F1184" i="1"/>
  <c r="H1126" i="1"/>
  <c r="H1125" i="1"/>
  <c r="H756" i="1"/>
  <c r="H773" i="1"/>
  <c r="H1154" i="1"/>
  <c r="G799" i="1"/>
  <c r="G781" i="1"/>
  <c r="G1125" i="1"/>
  <c r="G396" i="1"/>
  <c r="G1148" i="1"/>
  <c r="F833" i="1"/>
  <c r="F802" i="1"/>
  <c r="F1178" i="1"/>
  <c r="F793" i="1"/>
  <c r="F1142" i="1"/>
  <c r="F215" i="1"/>
  <c r="F1127" i="1"/>
  <c r="F1203" i="1"/>
  <c r="H798" i="1"/>
  <c r="H1140" i="1"/>
  <c r="H552" i="1"/>
  <c r="H779" i="1"/>
  <c r="H1164" i="1"/>
  <c r="G1108" i="1"/>
  <c r="G823" i="1"/>
  <c r="G1140" i="1"/>
  <c r="G746" i="1"/>
  <c r="G1154" i="1"/>
  <c r="F1156" i="1"/>
  <c r="F1135" i="1"/>
  <c r="F1186" i="1"/>
  <c r="F804" i="1"/>
  <c r="F1139" i="1"/>
  <c r="F773" i="1"/>
  <c r="F1124" i="1"/>
  <c r="H1139" i="1"/>
  <c r="H1142" i="1"/>
  <c r="H1108" i="1"/>
  <c r="H801" i="1"/>
  <c r="H788" i="1"/>
  <c r="H1161" i="1"/>
  <c r="G1143" i="1"/>
  <c r="G1116" i="1"/>
  <c r="G756" i="1"/>
  <c r="G762" i="1"/>
  <c r="G1164" i="1"/>
  <c r="F756" i="1"/>
  <c r="G796" i="1"/>
  <c r="F787" i="1"/>
  <c r="F779" i="1"/>
  <c r="H1163" i="1"/>
  <c r="H1143" i="1"/>
  <c r="H833" i="1"/>
  <c r="H1172" i="1"/>
  <c r="G1181" i="1"/>
  <c r="G1149" i="1"/>
  <c r="G787" i="1"/>
  <c r="G773" i="1"/>
  <c r="G1161" i="1"/>
  <c r="F1153" i="1"/>
  <c r="F26" i="1"/>
  <c r="G786" i="1"/>
  <c r="G379" i="1"/>
  <c r="F1123" i="1"/>
  <c r="F805" i="1"/>
  <c r="F801" i="1"/>
  <c r="F1149" i="1"/>
  <c r="F1130" i="1"/>
  <c r="H1153" i="1"/>
  <c r="H811" i="1"/>
  <c r="F1163" i="1"/>
  <c r="F761" i="1"/>
  <c r="F1109" i="1"/>
  <c r="F798" i="1"/>
  <c r="F1155" i="1"/>
  <c r="F788" i="1"/>
  <c r="F1144" i="1"/>
  <c r="H210" i="1"/>
  <c r="H1135" i="1"/>
  <c r="H1171" i="1"/>
  <c r="H1145" i="1"/>
  <c r="H834" i="1"/>
  <c r="H1169" i="1"/>
  <c r="G557" i="1"/>
  <c r="G1160" i="1"/>
  <c r="G839" i="1"/>
  <c r="G779" i="1"/>
  <c r="G1172" i="1"/>
  <c r="G1109" i="1"/>
  <c r="H778" i="1"/>
  <c r="H787" i="1"/>
  <c r="H1182" i="1"/>
  <c r="G1113" i="1"/>
  <c r="G1137" i="1"/>
  <c r="G1165" i="1"/>
  <c r="G785" i="1"/>
  <c r="F379" i="1"/>
  <c r="F811" i="1"/>
  <c r="F1138" i="1"/>
  <c r="H373" i="1"/>
  <c r="H832" i="1"/>
  <c r="H33" i="1"/>
  <c r="H1178" i="1"/>
  <c r="H2" i="1"/>
  <c r="H839" i="1"/>
  <c r="H1123" i="1"/>
  <c r="H792" i="1"/>
  <c r="H1124" i="1"/>
  <c r="H1179" i="1"/>
  <c r="G761" i="1"/>
  <c r="G804" i="1"/>
  <c r="G777" i="1"/>
  <c r="G1186" i="1"/>
  <c r="G774" i="1"/>
  <c r="G39" i="1"/>
  <c r="G1188" i="1"/>
  <c r="G792" i="1"/>
  <c r="G1124" i="1"/>
  <c r="G1179" i="1"/>
  <c r="G778" i="1"/>
  <c r="G1168" i="1"/>
  <c r="G788" i="1"/>
  <c r="H1155" i="1"/>
  <c r="H785" i="1"/>
  <c r="G33" i="1"/>
  <c r="G1182" i="1"/>
  <c r="I1203" i="1"/>
  <c r="I1184" i="1"/>
  <c r="I1176" i="1"/>
  <c r="I1179" i="1"/>
  <c r="I1182" i="1"/>
  <c r="I1169" i="1"/>
  <c r="I1172" i="1"/>
  <c r="I1161" i="1"/>
  <c r="I1164" i="1"/>
  <c r="I1154" i="1"/>
  <c r="I1148" i="1"/>
  <c r="I1138" i="1"/>
  <c r="I1141" i="1"/>
  <c r="I1144" i="1"/>
  <c r="I1130" i="1"/>
  <c r="I1124" i="1"/>
  <c r="I1127" i="1"/>
  <c r="I1111" i="1"/>
  <c r="I1114" i="1"/>
  <c r="I1117" i="1"/>
  <c r="I1099" i="1"/>
  <c r="I837" i="1"/>
  <c r="I834" i="1"/>
  <c r="I811" i="1"/>
  <c r="I797" i="1"/>
  <c r="I800" i="1"/>
  <c r="I803" i="1"/>
  <c r="I792" i="1"/>
  <c r="I785" i="1"/>
  <c r="I788" i="1"/>
  <c r="I779" i="1"/>
  <c r="I773" i="1"/>
  <c r="I762" i="1"/>
  <c r="I746" i="1"/>
  <c r="I396" i="1"/>
  <c r="I379" i="1"/>
  <c r="I215" i="1"/>
  <c r="I203" i="1"/>
  <c r="I26" i="1"/>
  <c r="I1163" i="1"/>
  <c r="I1139" i="1"/>
  <c r="I1119" i="1"/>
  <c r="I795" i="1"/>
  <c r="I761" i="1"/>
  <c r="I373" i="1"/>
  <c r="I1188" i="1"/>
  <c r="I1177" i="1"/>
  <c r="I1167" i="1"/>
  <c r="I1159" i="1"/>
  <c r="I1123" i="1"/>
  <c r="I1115" i="1"/>
  <c r="I805" i="1"/>
  <c r="I780" i="1"/>
  <c r="I1156" i="1"/>
  <c r="I1145" i="1"/>
  <c r="I833" i="1"/>
  <c r="I801" i="1"/>
  <c r="I552" i="1"/>
  <c r="I39" i="1"/>
  <c r="I1178" i="1"/>
  <c r="I1135" i="1"/>
  <c r="I1112" i="1"/>
  <c r="I802" i="1"/>
  <c r="I1174" i="1"/>
  <c r="I1170" i="1"/>
  <c r="I836" i="1"/>
  <c r="I798" i="1"/>
  <c r="I1126" i="1"/>
  <c r="I784" i="1"/>
  <c r="I774" i="1"/>
  <c r="I1137" i="1"/>
  <c r="I1131" i="1"/>
  <c r="I824" i="1"/>
  <c r="I804" i="1"/>
  <c r="I385" i="1"/>
  <c r="I2" i="1"/>
  <c r="I1155" i="1"/>
  <c r="I778" i="1"/>
  <c r="I557" i="1"/>
  <c r="I1165" i="1"/>
  <c r="I1109" i="1"/>
  <c r="I839" i="1"/>
  <c r="I787" i="1"/>
  <c r="I756" i="1"/>
  <c r="I1140" i="1"/>
  <c r="I1125" i="1"/>
  <c r="I796" i="1"/>
  <c r="I793" i="1"/>
  <c r="I357" i="1"/>
  <c r="I1186" i="1"/>
  <c r="I1168" i="1"/>
  <c r="I1160" i="1"/>
  <c r="I1149" i="1"/>
  <c r="I1116" i="1"/>
  <c r="I823" i="1"/>
  <c r="I781" i="1"/>
  <c r="I391" i="1"/>
  <c r="I777" i="1"/>
  <c r="I33" i="1"/>
  <c r="I1180" i="1"/>
  <c r="I1153" i="1"/>
  <c r="I1142" i="1"/>
  <c r="I757" i="1"/>
  <c r="I212" i="1"/>
  <c r="I1162" i="1"/>
  <c r="I1118" i="1"/>
  <c r="I1113" i="1"/>
  <c r="I832" i="1"/>
  <c r="I1175" i="1"/>
  <c r="I1181" i="1"/>
  <c r="I1171" i="1"/>
  <c r="I1143" i="1"/>
  <c r="I1108" i="1"/>
  <c r="I799" i="1"/>
  <c r="I786" i="1"/>
  <c r="I210" i="1"/>
  <c r="F799" i="1"/>
  <c r="F774" i="1"/>
  <c r="F1162" i="1"/>
  <c r="F834" i="1"/>
  <c r="F1148" i="1"/>
  <c r="H761" i="1"/>
  <c r="H1113" i="1"/>
  <c r="H777" i="1"/>
  <c r="H1186" i="1"/>
  <c r="H385" i="1"/>
  <c r="H1109" i="1"/>
  <c r="H1159" i="1"/>
  <c r="H803" i="1"/>
  <c r="H1130" i="1"/>
  <c r="H1176" i="1"/>
  <c r="G1139" i="1"/>
  <c r="G824" i="1"/>
  <c r="G802" i="1"/>
  <c r="G373" i="1"/>
  <c r="G1162" i="1"/>
  <c r="G552" i="1"/>
  <c r="G26" i="1"/>
  <c r="G803" i="1"/>
  <c r="G1130" i="1"/>
  <c r="G1176" i="1"/>
  <c r="G1153" i="1"/>
  <c r="G1177" i="1"/>
  <c r="G1169" i="1"/>
  <c r="H1174" i="1"/>
  <c r="H1115" i="1"/>
  <c r="G1123" i="1"/>
  <c r="G1178" i="1"/>
  <c r="G1127" i="1"/>
  <c r="F824" i="1"/>
  <c r="F357" i="1"/>
  <c r="F1118" i="1"/>
  <c r="F396" i="1"/>
  <c r="G1129" i="1"/>
  <c r="F784" i="1"/>
  <c r="F1143" i="1"/>
  <c r="F796" i="1"/>
  <c r="F780" i="1"/>
  <c r="F1115" i="1"/>
  <c r="F1159" i="1"/>
  <c r="F746" i="1"/>
  <c r="F837" i="1"/>
  <c r="F1154" i="1"/>
  <c r="H795" i="1"/>
  <c r="H804" i="1"/>
  <c r="H802" i="1"/>
  <c r="H357" i="1"/>
  <c r="H774" i="1"/>
  <c r="H1165" i="1"/>
  <c r="H1167" i="1"/>
  <c r="H800" i="1"/>
  <c r="H1144" i="1"/>
  <c r="H1184" i="1"/>
  <c r="G1163" i="1"/>
  <c r="G784" i="1"/>
  <c r="G1112" i="1"/>
  <c r="G795" i="1"/>
  <c r="G357" i="1"/>
  <c r="G801" i="1"/>
  <c r="G203" i="1"/>
  <c r="G800" i="1"/>
  <c r="G1144" i="1"/>
  <c r="G1184" i="1"/>
  <c r="G1115" i="1"/>
  <c r="G1131" i="1"/>
  <c r="G1111" i="1"/>
  <c r="H1168" i="1"/>
  <c r="H1127" i="1"/>
  <c r="G1174" i="1"/>
  <c r="G1136" i="1"/>
  <c r="F1126" i="1"/>
  <c r="F1171" i="1"/>
  <c r="F1140" i="1"/>
  <c r="F777" i="1"/>
  <c r="F1112" i="1"/>
  <c r="F1170" i="1"/>
  <c r="F762" i="1"/>
  <c r="F1099" i="1"/>
  <c r="F1164" i="1"/>
  <c r="H1119" i="1"/>
  <c r="H824" i="1"/>
  <c r="H1112" i="1"/>
  <c r="H793" i="1"/>
  <c r="H784" i="1"/>
  <c r="H39" i="1"/>
  <c r="H1177" i="1"/>
  <c r="H797" i="1"/>
  <c r="H1141" i="1"/>
  <c r="H1203" i="1"/>
  <c r="G210" i="1"/>
  <c r="G1118" i="1"/>
  <c r="G1135" i="1"/>
  <c r="G1119" i="1"/>
  <c r="G793" i="1"/>
  <c r="G833" i="1"/>
  <c r="G215" i="1"/>
  <c r="G797" i="1"/>
  <c r="G1141" i="1"/>
  <c r="G1203" i="1"/>
  <c r="G1185" i="1"/>
  <c r="G1194" i="1"/>
  <c r="G790" i="1"/>
  <c r="G32" i="1"/>
  <c r="G812" i="1"/>
  <c r="G1152" i="1"/>
  <c r="G1158" i="1"/>
  <c r="G370" i="1"/>
  <c r="G398" i="1"/>
  <c r="G372" i="1"/>
  <c r="G397" i="1"/>
  <c r="G555" i="1"/>
  <c r="G541" i="1"/>
  <c r="G554" i="1"/>
  <c r="G820" i="1"/>
  <c r="G581" i="1"/>
  <c r="G775" i="1"/>
  <c r="G1072" i="1"/>
  <c r="G791" i="1"/>
  <c r="G1107" i="1"/>
  <c r="G816" i="1"/>
  <c r="G940" i="1"/>
  <c r="G1128" i="1"/>
  <c r="G831" i="1"/>
  <c r="G1106" i="1"/>
  <c r="G1146" i="1"/>
  <c r="G1059" i="1"/>
  <c r="G1122" i="1"/>
  <c r="G1183" i="1"/>
  <c r="H370" i="1"/>
  <c r="H1190" i="1"/>
  <c r="H397" i="1"/>
  <c r="H32" i="1"/>
  <c r="H1103" i="1"/>
  <c r="H1107" i="1"/>
  <c r="H183" i="1"/>
  <c r="H1128" i="1"/>
  <c r="H541" i="1"/>
  <c r="H219" i="1"/>
  <c r="H1195" i="1"/>
  <c r="H1239" i="1"/>
  <c r="H1133" i="1"/>
  <c r="H775" i="1"/>
  <c r="G1166" i="1"/>
  <c r="H1189" i="1"/>
  <c r="H812" i="1"/>
  <c r="H398" i="1"/>
  <c r="H497" i="1"/>
  <c r="H1194" i="1"/>
  <c r="H448" i="1"/>
  <c r="H1146" i="1"/>
  <c r="H581" i="1"/>
  <c r="H1166" i="1"/>
  <c r="H891" i="1"/>
  <c r="H1120" i="1"/>
  <c r="H571" i="1"/>
  <c r="H1129" i="1"/>
  <c r="H554" i="1"/>
  <c r="H190" i="1"/>
  <c r="H1152" i="1"/>
  <c r="H826" i="1"/>
  <c r="H1183" i="1"/>
  <c r="H1185" i="1"/>
  <c r="H1158" i="1"/>
  <c r="G1189" i="1"/>
  <c r="G1190" i="1"/>
  <c r="G1195" i="1"/>
  <c r="F790" i="1"/>
  <c r="F820" i="1"/>
  <c r="F791" i="1"/>
  <c r="F831" i="1"/>
  <c r="F1120" i="1"/>
  <c r="F940" i="1"/>
  <c r="F1133" i="1"/>
  <c r="F1103" i="1"/>
  <c r="F1152" i="1"/>
  <c r="F1106" i="1"/>
  <c r="F372" i="1"/>
  <c r="F1189" i="1"/>
  <c r="F1122" i="1"/>
  <c r="H791" i="1"/>
  <c r="H718" i="1"/>
  <c r="H940" i="1"/>
  <c r="F581" i="1"/>
  <c r="F32" i="1"/>
  <c r="F1183" i="1"/>
  <c r="F1136" i="1"/>
  <c r="H372" i="1"/>
  <c r="H816" i="1"/>
  <c r="H790" i="1"/>
  <c r="H1106" i="1"/>
  <c r="G1120" i="1"/>
  <c r="G826" i="1"/>
  <c r="G718" i="1"/>
  <c r="F816" i="1"/>
  <c r="F398" i="1"/>
  <c r="F1195" i="1"/>
  <c r="F1158" i="1"/>
  <c r="F1185" i="1"/>
  <c r="F775" i="1"/>
  <c r="F841" i="1"/>
  <c r="F826" i="1"/>
  <c r="F554" i="1"/>
  <c r="F541" i="1"/>
  <c r="F812" i="1"/>
  <c r="F1072" i="1"/>
  <c r="F1107" i="1"/>
  <c r="F1128" i="1"/>
  <c r="F1146" i="1"/>
  <c r="F1166" i="1"/>
  <c r="H555" i="1"/>
  <c r="H831" i="1"/>
  <c r="H841" i="1"/>
  <c r="H1122" i="1"/>
  <c r="F1059" i="1"/>
  <c r="F555" i="1"/>
  <c r="F370" i="1"/>
  <c r="F1190" i="1"/>
  <c r="I1183" i="1"/>
  <c r="I1107" i="1"/>
  <c r="I820" i="1"/>
  <c r="I718" i="1"/>
  <c r="I398" i="1"/>
  <c r="I1194" i="1"/>
  <c r="I1190" i="1"/>
  <c r="I1158" i="1"/>
  <c r="I1136" i="1"/>
  <c r="I1122" i="1"/>
  <c r="I1106" i="1"/>
  <c r="I1103" i="1"/>
  <c r="I940" i="1"/>
  <c r="I826" i="1"/>
  <c r="I812" i="1"/>
  <c r="I775" i="1"/>
  <c r="I554" i="1"/>
  <c r="I397" i="1"/>
  <c r="I370" i="1"/>
  <c r="I1195" i="1"/>
  <c r="I1166" i="1"/>
  <c r="I1146" i="1"/>
  <c r="I1128" i="1"/>
  <c r="I1072" i="1"/>
  <c r="I841" i="1"/>
  <c r="I790" i="1"/>
  <c r="I555" i="1"/>
  <c r="I32" i="1"/>
  <c r="I1189" i="1"/>
  <c r="I1059" i="1"/>
  <c r="I831" i="1"/>
  <c r="I816" i="1"/>
  <c r="I791" i="1"/>
  <c r="I581" i="1"/>
  <c r="I541" i="1"/>
  <c r="I1185" i="1"/>
  <c r="I372" i="1"/>
  <c r="I1120" i="1"/>
  <c r="I1152" i="1"/>
  <c r="I1133" i="1"/>
  <c r="I1129" i="1"/>
  <c r="H820" i="1"/>
  <c r="H1059" i="1"/>
  <c r="H1072" i="1"/>
  <c r="H1136" i="1"/>
  <c r="G1133" i="1"/>
  <c r="G1103" i="1"/>
  <c r="G841" i="1"/>
  <c r="F1129" i="1"/>
  <c r="F718" i="1"/>
  <c r="F397" i="1"/>
  <c r="F1194" i="1"/>
  <c r="F368" i="1"/>
  <c r="F551" i="1"/>
  <c r="F729" i="1"/>
  <c r="F190" i="1"/>
  <c r="G190" i="1"/>
  <c r="H460" i="1"/>
  <c r="H568" i="1"/>
  <c r="H217" i="1"/>
  <c r="H157" i="1"/>
  <c r="H390" i="1"/>
  <c r="H374" i="1"/>
  <c r="H1296" i="1"/>
  <c r="H486" i="1"/>
  <c r="H224" i="1"/>
  <c r="H872" i="1"/>
  <c r="H744" i="1"/>
  <c r="H237" i="1"/>
  <c r="H1288" i="1"/>
  <c r="H207" i="1"/>
  <c r="G729" i="1"/>
  <c r="G35" i="1"/>
  <c r="H904" i="1"/>
  <c r="G18" i="1"/>
  <c r="F374" i="1"/>
  <c r="H1098" i="1"/>
  <c r="H987" i="1"/>
  <c r="G315" i="1"/>
  <c r="H163" i="1"/>
  <c r="H954" i="1"/>
  <c r="G551" i="1"/>
  <c r="F568" i="1"/>
  <c r="H1057" i="1"/>
  <c r="H371" i="1"/>
  <c r="G679" i="1"/>
  <c r="G412" i="1"/>
  <c r="H1088" i="1"/>
  <c r="G567" i="1"/>
  <c r="H997" i="1"/>
  <c r="G838" i="1"/>
  <c r="F371" i="1"/>
  <c r="H729" i="1"/>
  <c r="G207" i="1"/>
  <c r="F744" i="1"/>
  <c r="G696" i="1"/>
  <c r="F1098" i="1"/>
  <c r="H601" i="1"/>
  <c r="H18" i="1"/>
  <c r="H36" i="1"/>
  <c r="H159" i="1"/>
  <c r="H110" i="1"/>
  <c r="G202" i="1"/>
  <c r="G1134" i="1"/>
  <c r="F567" i="1"/>
  <c r="H368" i="1"/>
  <c r="H223" i="1"/>
  <c r="G371" i="1"/>
  <c r="G1244" i="1"/>
  <c r="G460" i="1"/>
  <c r="F207" i="1"/>
  <c r="H233" i="1"/>
  <c r="G165" i="1"/>
  <c r="H253" i="1"/>
  <c r="H122" i="1"/>
  <c r="H214" i="1"/>
  <c r="H146" i="1"/>
  <c r="H28" i="1"/>
  <c r="F18" i="1"/>
  <c r="F1134" i="1"/>
  <c r="H551" i="1"/>
  <c r="G374" i="1"/>
  <c r="G368" i="1"/>
  <c r="G439" i="1"/>
  <c r="H631" i="1"/>
  <c r="H1021" i="1"/>
  <c r="G593" i="1"/>
  <c r="G568" i="1"/>
  <c r="G1057" i="1"/>
  <c r="H567" i="1"/>
  <c r="I551" i="1"/>
  <c r="I729" i="1"/>
  <c r="I368" i="1"/>
  <c r="I1057" i="1"/>
  <c r="I18" i="1"/>
  <c r="I1134" i="1"/>
  <c r="I838" i="1"/>
  <c r="I567" i="1"/>
  <c r="I371" i="1"/>
  <c r="I207" i="1"/>
  <c r="I1098" i="1"/>
  <c r="I744" i="1"/>
  <c r="I568" i="1"/>
  <c r="I374" i="1"/>
  <c r="I190" i="1"/>
  <c r="G753" i="1"/>
  <c r="H193" i="1"/>
  <c r="H1041" i="1"/>
  <c r="G601" i="1"/>
  <c r="G744" i="1"/>
  <c r="H838" i="1"/>
  <c r="G1301" i="1"/>
  <c r="H582" i="1"/>
  <c r="H1067" i="1"/>
  <c r="G870" i="1"/>
  <c r="G1098" i="1"/>
  <c r="F1057" i="1"/>
  <c r="F838" i="1"/>
  <c r="H1134" i="1"/>
  <c r="G267" i="1"/>
  <c r="H500" i="1"/>
  <c r="H228" i="1"/>
  <c r="H525" i="1"/>
  <c r="H892" i="1"/>
  <c r="G695" i="1"/>
  <c r="F28" i="1"/>
  <c r="G575" i="1"/>
  <c r="G179" i="1"/>
  <c r="F571" i="1"/>
  <c r="G712" i="1"/>
  <c r="G327" i="1"/>
  <c r="H376" i="1"/>
  <c r="H199" i="1"/>
  <c r="H135" i="1"/>
  <c r="G164" i="1"/>
  <c r="G519" i="1"/>
  <c r="G724" i="1"/>
  <c r="G382" i="1"/>
  <c r="G228" i="1"/>
  <c r="G582" i="1"/>
  <c r="F16" i="1"/>
  <c r="G16" i="1"/>
  <c r="G159" i="1"/>
  <c r="G704" i="1"/>
  <c r="F184" i="1"/>
  <c r="G184" i="1"/>
  <c r="G431" i="1"/>
  <c r="F21" i="1"/>
  <c r="G745" i="1"/>
  <c r="G214" i="1"/>
  <c r="H454" i="1"/>
  <c r="G329" i="1"/>
  <c r="H383" i="1"/>
  <c r="H575" i="1"/>
  <c r="H436" i="1"/>
  <c r="G317" i="1"/>
  <c r="G588" i="1"/>
  <c r="F382" i="1"/>
  <c r="G1239" i="1"/>
  <c r="F1239" i="1"/>
  <c r="G1271" i="1"/>
  <c r="G301" i="1"/>
  <c r="H492" i="1"/>
  <c r="G650" i="1"/>
  <c r="H412" i="1"/>
  <c r="H588" i="1"/>
  <c r="H457" i="1"/>
  <c r="G494" i="1"/>
  <c r="G713" i="1"/>
  <c r="F1240" i="1"/>
  <c r="G21" i="1"/>
  <c r="H317" i="1"/>
  <c r="H1046" i="1"/>
  <c r="H1035" i="1"/>
  <c r="H8" i="1"/>
  <c r="H1080" i="1"/>
  <c r="H1004" i="1"/>
  <c r="H288" i="1"/>
  <c r="H179" i="1"/>
  <c r="H584" i="1"/>
  <c r="H593" i="1"/>
  <c r="H1277" i="1"/>
  <c r="H516" i="1"/>
  <c r="H722" i="1"/>
  <c r="H227" i="1"/>
  <c r="H499" i="1"/>
  <c r="H494" i="1"/>
  <c r="H40" i="1"/>
  <c r="H1250" i="1"/>
  <c r="H547" i="1"/>
  <c r="H1027" i="1"/>
  <c r="H1037" i="1"/>
  <c r="H332" i="1"/>
  <c r="H577" i="1"/>
  <c r="H1033" i="1"/>
  <c r="H1043" i="1"/>
  <c r="H741" i="1"/>
  <c r="H605" i="1"/>
  <c r="G459" i="1"/>
  <c r="G872" i="1"/>
  <c r="H184" i="1"/>
  <c r="G28" i="1"/>
  <c r="H520" i="1"/>
  <c r="H675" i="1"/>
  <c r="H618" i="1"/>
  <c r="H165" i="1"/>
  <c r="H518" i="1"/>
  <c r="H523" i="1"/>
  <c r="H953" i="1"/>
  <c r="H733" i="1"/>
  <c r="H678" i="1"/>
  <c r="H533" i="1"/>
  <c r="H1077" i="1"/>
  <c r="H44" i="1"/>
  <c r="H713" i="1"/>
  <c r="H202" i="1"/>
  <c r="H1047" i="1"/>
  <c r="H16" i="1"/>
  <c r="H625" i="1"/>
  <c r="H1023" i="1"/>
  <c r="H871" i="1"/>
  <c r="H1054" i="1"/>
  <c r="H111" i="1"/>
  <c r="H375" i="1"/>
  <c r="H1289" i="1"/>
  <c r="H220" i="1"/>
  <c r="H1055" i="1"/>
  <c r="H638" i="1"/>
  <c r="H1048" i="1"/>
  <c r="G52" i="1"/>
  <c r="G639" i="1"/>
  <c r="H1258" i="1"/>
  <c r="H1286" i="1"/>
  <c r="H1242" i="1"/>
  <c r="H119" i="1"/>
  <c r="H392" i="1"/>
  <c r="H870" i="1"/>
  <c r="H1311" i="1"/>
  <c r="H229" i="1"/>
  <c r="H632" i="1"/>
  <c r="H1073" i="1"/>
  <c r="G493" i="1"/>
  <c r="G525" i="1"/>
  <c r="G954" i="1"/>
  <c r="H745" i="1"/>
  <c r="G571" i="1"/>
  <c r="H459" i="1"/>
  <c r="H382" i="1"/>
  <c r="H295" i="1"/>
  <c r="H1032" i="1"/>
  <c r="H1039" i="1"/>
  <c r="H1022" i="1"/>
  <c r="H45" i="1"/>
  <c r="H1292" i="1"/>
  <c r="H131" i="1"/>
  <c r="H452" i="1"/>
  <c r="H900" i="1"/>
  <c r="H17" i="1"/>
  <c r="H267" i="1"/>
  <c r="H685" i="1"/>
  <c r="H1229" i="1"/>
  <c r="H21" i="1"/>
  <c r="I1239" i="1"/>
  <c r="I571" i="1"/>
  <c r="I28" i="1"/>
  <c r="I1240" i="1"/>
  <c r="I382" i="1"/>
  <c r="I21" i="1"/>
  <c r="I745" i="1"/>
  <c r="I184" i="1"/>
  <c r="I16" i="1"/>
  <c r="H1063" i="1"/>
  <c r="H96" i="1"/>
  <c r="H106" i="1"/>
  <c r="H126" i="1"/>
  <c r="H957" i="1"/>
  <c r="H139" i="1"/>
  <c r="H942" i="1"/>
  <c r="H38" i="1"/>
  <c r="H331" i="1"/>
  <c r="H695" i="1"/>
  <c r="H1255" i="1"/>
  <c r="H1074" i="1"/>
  <c r="H114" i="1"/>
  <c r="G862" i="1"/>
  <c r="G1066" i="1"/>
  <c r="H164" i="1"/>
  <c r="H156" i="1"/>
  <c r="H148" i="1"/>
  <c r="H166" i="1"/>
  <c r="H493" i="1"/>
  <c r="H965" i="1"/>
  <c r="H58" i="1"/>
  <c r="H380" i="1"/>
  <c r="H724" i="1"/>
  <c r="H1276" i="1"/>
  <c r="G643" i="1"/>
  <c r="G157" i="1"/>
  <c r="F745" i="1"/>
  <c r="H1240" i="1"/>
  <c r="G1240" i="1"/>
  <c r="F165" i="1"/>
  <c r="F724" i="1"/>
  <c r="F494" i="1"/>
  <c r="F223" i="1"/>
  <c r="F395" i="1"/>
  <c r="F872" i="1"/>
  <c r="F161" i="1"/>
  <c r="F1027" i="1"/>
  <c r="F593" i="1"/>
  <c r="F704" i="1"/>
  <c r="F493" i="1"/>
  <c r="F8" i="1"/>
  <c r="F725" i="1"/>
  <c r="F311" i="1"/>
  <c r="F892" i="1"/>
  <c r="G376" i="1"/>
  <c r="G40" i="1"/>
  <c r="G1022" i="1"/>
  <c r="G733" i="1"/>
  <c r="G741" i="1"/>
  <c r="G311" i="1"/>
  <c r="G964" i="1"/>
  <c r="F638" i="1"/>
  <c r="F219" i="1"/>
  <c r="F590" i="1"/>
  <c r="F1032" i="1"/>
  <c r="F279" i="1"/>
  <c r="F119" i="1"/>
  <c r="F539" i="1"/>
  <c r="F1040" i="1"/>
  <c r="F334" i="1"/>
  <c r="F202" i="1"/>
  <c r="F953" i="1"/>
  <c r="F332" i="1"/>
  <c r="F998" i="1"/>
  <c r="F177" i="1"/>
  <c r="F523" i="1"/>
  <c r="F987" i="1"/>
  <c r="F684" i="1"/>
  <c r="F733" i="1"/>
  <c r="F575" i="1"/>
  <c r="F111" i="1"/>
  <c r="F1289" i="1"/>
  <c r="F403" i="1"/>
  <c r="F954" i="1"/>
  <c r="G448" i="1"/>
  <c r="G111" i="1"/>
  <c r="G1224" i="1"/>
  <c r="G1292" i="1"/>
  <c r="G1041" i="1"/>
  <c r="G403" i="1"/>
  <c r="G1055" i="1"/>
  <c r="F1094" i="1"/>
  <c r="G23" i="1"/>
  <c r="G364" i="1"/>
  <c r="G1093" i="1"/>
  <c r="F584" i="1"/>
  <c r="F36" i="1"/>
  <c r="F871" i="1"/>
  <c r="F891" i="1"/>
  <c r="F741" i="1"/>
  <c r="F158" i="1"/>
  <c r="F17" i="1"/>
  <c r="F436" i="1"/>
  <c r="F964" i="1"/>
  <c r="H395" i="1"/>
  <c r="H572" i="1"/>
  <c r="H279" i="1"/>
  <c r="H109" i="1"/>
  <c r="H128" i="1"/>
  <c r="H341" i="1"/>
  <c r="H643" i="1"/>
  <c r="H1045" i="1"/>
  <c r="H127" i="1"/>
  <c r="H351" i="1"/>
  <c r="H676" i="1"/>
  <c r="H1044" i="1"/>
  <c r="G572" i="1"/>
  <c r="G128" i="1"/>
  <c r="G1286" i="1"/>
  <c r="G8" i="1"/>
  <c r="G1080" i="1"/>
  <c r="G436" i="1"/>
  <c r="G1073" i="1"/>
  <c r="F1021" i="1"/>
  <c r="F695" i="1"/>
  <c r="F712" i="1"/>
  <c r="F220" i="1"/>
  <c r="F392" i="1"/>
  <c r="F1022" i="1"/>
  <c r="G722" i="1"/>
  <c r="G139" i="1"/>
  <c r="G45" i="1"/>
  <c r="G44" i="1"/>
  <c r="G1311" i="1"/>
  <c r="G457" i="1"/>
  <c r="G1225" i="1"/>
  <c r="F40" i="1"/>
  <c r="F1288" i="1"/>
  <c r="F657" i="1"/>
  <c r="F618" i="1"/>
  <c r="F715" i="1"/>
  <c r="F114" i="1"/>
  <c r="F151" i="1"/>
  <c r="F426" i="1"/>
  <c r="F500" i="1"/>
  <c r="F1041" i="1"/>
  <c r="F520" i="1"/>
  <c r="F1227" i="1"/>
  <c r="F1322" i="1"/>
  <c r="F412" i="1"/>
  <c r="F217" i="1"/>
  <c r="F122" i="1"/>
  <c r="F1311" i="1"/>
  <c r="F1223" i="1"/>
  <c r="F1023" i="1"/>
  <c r="F1043" i="1"/>
  <c r="F199" i="1"/>
  <c r="F457" i="1"/>
  <c r="G93" i="1"/>
  <c r="G738" i="1"/>
  <c r="F201" i="1"/>
  <c r="F1029" i="1"/>
  <c r="F572" i="1"/>
  <c r="F1286" i="1"/>
  <c r="F1224" i="1"/>
  <c r="F900" i="1"/>
  <c r="F601" i="1"/>
  <c r="F110" i="1"/>
  <c r="F486" i="1"/>
  <c r="F1073" i="1"/>
  <c r="G913" i="1"/>
  <c r="G158" i="1"/>
  <c r="G109" i="1"/>
  <c r="G119" i="1"/>
  <c r="G17" i="1"/>
  <c r="G486" i="1"/>
  <c r="G1229" i="1"/>
  <c r="H201" i="1"/>
  <c r="H161" i="1"/>
  <c r="H132" i="1"/>
  <c r="G344" i="1"/>
  <c r="G766" i="1"/>
  <c r="F233" i="1"/>
  <c r="F1048" i="1"/>
  <c r="F631" i="1"/>
  <c r="F156" i="1"/>
  <c r="F1037" i="1"/>
  <c r="F942" i="1"/>
  <c r="F713" i="1"/>
  <c r="F118" i="1"/>
  <c r="F499" i="1"/>
  <c r="F1225" i="1"/>
  <c r="H684" i="1"/>
  <c r="H913" i="1"/>
  <c r="H519" i="1"/>
  <c r="H334" i="1"/>
  <c r="H151" i="1"/>
  <c r="H431" i="1"/>
  <c r="H725" i="1"/>
  <c r="H1227" i="1"/>
  <c r="H153" i="1"/>
  <c r="H403" i="1"/>
  <c r="H712" i="1"/>
  <c r="H1225" i="1"/>
  <c r="G36" i="1"/>
  <c r="G217" i="1"/>
  <c r="G156" i="1"/>
  <c r="G166" i="1"/>
  <c r="G110" i="1"/>
  <c r="G577" i="1"/>
  <c r="G1288" i="1"/>
  <c r="F913" i="1"/>
  <c r="F1255" i="1"/>
  <c r="F1077" i="1"/>
  <c r="F163" i="1"/>
  <c r="F179" i="1"/>
  <c r="F106" i="1"/>
  <c r="F166" i="1"/>
  <c r="F1063" i="1"/>
  <c r="F1250" i="1"/>
  <c r="F460" i="1"/>
  <c r="F267" i="1"/>
  <c r="F448" i="1"/>
  <c r="F870" i="1"/>
  <c r="F38" i="1"/>
  <c r="F1055" i="1"/>
  <c r="G389" i="1"/>
  <c r="G1200" i="1"/>
  <c r="F625" i="1"/>
  <c r="F96" i="1"/>
  <c r="F722" i="1"/>
  <c r="F193" i="1"/>
  <c r="F1054" i="1"/>
  <c r="F965" i="1"/>
  <c r="F1277" i="1"/>
  <c r="F157" i="1"/>
  <c r="F577" i="1"/>
  <c r="F1229" i="1"/>
  <c r="G129" i="1"/>
  <c r="G227" i="1"/>
  <c r="G193" i="1"/>
  <c r="G199" i="1"/>
  <c r="G118" i="1"/>
  <c r="G590" i="1"/>
  <c r="G1322" i="1"/>
  <c r="G688" i="1"/>
  <c r="G126" i="1"/>
  <c r="G619" i="1"/>
  <c r="G131" i="1"/>
  <c r="G618" i="1"/>
  <c r="G38" i="1"/>
  <c r="G220" i="1"/>
  <c r="G499" i="1"/>
  <c r="G892" i="1"/>
  <c r="G1255" i="1"/>
  <c r="F1074" i="1"/>
  <c r="F1039" i="1"/>
  <c r="F1033" i="1"/>
  <c r="F1046" i="1"/>
  <c r="F1258" i="1"/>
  <c r="F383" i="1"/>
  <c r="F957" i="1"/>
  <c r="F452" i="1"/>
  <c r="F997" i="1"/>
  <c r="F131" i="1"/>
  <c r="F139" i="1"/>
  <c r="F58" i="1"/>
  <c r="F229" i="1"/>
  <c r="F533" i="1"/>
  <c r="F904" i="1"/>
  <c r="F1276" i="1"/>
  <c r="G631" i="1"/>
  <c r="G395" i="1"/>
  <c r="G163" i="1"/>
  <c r="G725" i="1"/>
  <c r="G148" i="1"/>
  <c r="G675" i="1"/>
  <c r="G151" i="1"/>
  <c r="G678" i="1"/>
  <c r="G58" i="1"/>
  <c r="G229" i="1"/>
  <c r="G533" i="1"/>
  <c r="G904" i="1"/>
  <c r="G1276" i="1"/>
  <c r="F1252" i="1"/>
  <c r="G914" i="1"/>
  <c r="G1274" i="1"/>
  <c r="F253" i="1"/>
  <c r="F224" i="1"/>
  <c r="F132" i="1"/>
  <c r="F129" i="1"/>
  <c r="F134" i="1"/>
  <c r="F45" i="1"/>
  <c r="F519" i="1"/>
  <c r="F1242" i="1"/>
  <c r="F588" i="1"/>
  <c r="F1045" i="1"/>
  <c r="F227" i="1"/>
  <c r="F288" i="1"/>
  <c r="F127" i="1"/>
  <c r="F331" i="1"/>
  <c r="F605" i="1"/>
  <c r="F1004" i="1"/>
  <c r="G1046" i="1"/>
  <c r="G684" i="1"/>
  <c r="G332" i="1"/>
  <c r="G957" i="1"/>
  <c r="G219" i="1"/>
  <c r="G891" i="1"/>
  <c r="G223" i="1"/>
  <c r="G900" i="1"/>
  <c r="G127" i="1"/>
  <c r="G331" i="1"/>
  <c r="G605" i="1"/>
  <c r="G1004" i="1"/>
  <c r="G1045" i="1"/>
  <c r="F349" i="1"/>
  <c r="H1040" i="1"/>
  <c r="H1029" i="1"/>
  <c r="H998" i="1"/>
  <c r="G1275" i="1"/>
  <c r="G293" i="1"/>
  <c r="F295" i="1"/>
  <c r="F237" i="1"/>
  <c r="F183" i="1"/>
  <c r="F159" i="1"/>
  <c r="F164" i="1"/>
  <c r="F109" i="1"/>
  <c r="F582" i="1"/>
  <c r="F1292" i="1"/>
  <c r="F643" i="1"/>
  <c r="F1050" i="1"/>
  <c r="F341" i="1"/>
  <c r="F375" i="1"/>
  <c r="F135" i="1"/>
  <c r="F351" i="1"/>
  <c r="F632" i="1"/>
  <c r="F1035" i="1"/>
  <c r="H129" i="1"/>
  <c r="H134" i="1"/>
  <c r="H1224" i="1"/>
  <c r="H704" i="1"/>
  <c r="H619" i="1"/>
  <c r="H158" i="1"/>
  <c r="H404" i="1"/>
  <c r="H688" i="1"/>
  <c r="H1050" i="1"/>
  <c r="H118" i="1"/>
  <c r="H311" i="1"/>
  <c r="H590" i="1"/>
  <c r="H964" i="1"/>
  <c r="H1322" i="1"/>
  <c r="G1077" i="1"/>
  <c r="G871" i="1"/>
  <c r="G375" i="1"/>
  <c r="G1021" i="1"/>
  <c r="G279" i="1"/>
  <c r="G1037" i="1"/>
  <c r="G288" i="1"/>
  <c r="G1050" i="1"/>
  <c r="G135" i="1"/>
  <c r="G351" i="1"/>
  <c r="G632" i="1"/>
  <c r="G1035" i="1"/>
  <c r="G1067" i="1"/>
  <c r="I1322" i="1"/>
  <c r="I1288" i="1"/>
  <c r="I1276" i="1"/>
  <c r="I1255" i="1"/>
  <c r="I1229" i="1"/>
  <c r="I1225" i="1"/>
  <c r="I1073" i="1"/>
  <c r="I1055" i="1"/>
  <c r="I1044" i="1"/>
  <c r="I1047" i="1"/>
  <c r="I1035" i="1"/>
  <c r="I1004" i="1"/>
  <c r="I964" i="1"/>
  <c r="I954" i="1"/>
  <c r="I904" i="1"/>
  <c r="I892" i="1"/>
  <c r="I872" i="1"/>
  <c r="I724" i="1"/>
  <c r="I712" i="1"/>
  <c r="I695" i="1"/>
  <c r="I685" i="1"/>
  <c r="I676" i="1"/>
  <c r="I632" i="1"/>
  <c r="I605" i="1"/>
  <c r="I590" i="1"/>
  <c r="I577" i="1"/>
  <c r="I533" i="1"/>
  <c r="I499" i="1"/>
  <c r="I486" i="1"/>
  <c r="I457" i="1"/>
  <c r="I436" i="1"/>
  <c r="I403" i="1"/>
  <c r="I390" i="1"/>
  <c r="I380" i="1"/>
  <c r="I351" i="1"/>
  <c r="I331" i="1"/>
  <c r="I311" i="1"/>
  <c r="I267" i="1"/>
  <c r="I229" i="1"/>
  <c r="I220" i="1"/>
  <c r="I202" i="1"/>
  <c r="I179" i="1"/>
  <c r="I165" i="1"/>
  <c r="I157" i="1"/>
  <c r="I153" i="1"/>
  <c r="I146" i="1"/>
  <c r="I135" i="1"/>
  <c r="I127" i="1"/>
  <c r="I118" i="1"/>
  <c r="I110" i="1"/>
  <c r="I58" i="1"/>
  <c r="I38" i="1"/>
  <c r="I17" i="1"/>
  <c r="I1311" i="1"/>
  <c r="I1289" i="1"/>
  <c r="I1277" i="1"/>
  <c r="I1250" i="1"/>
  <c r="I1227" i="1"/>
  <c r="I1080" i="1"/>
  <c r="I1067" i="1"/>
  <c r="I1050" i="1"/>
  <c r="I1045" i="1"/>
  <c r="I1041" i="1"/>
  <c r="I1021" i="1"/>
  <c r="I997" i="1"/>
  <c r="I965" i="1"/>
  <c r="I942" i="1"/>
  <c r="I987" i="1"/>
  <c r="I900" i="1"/>
  <c r="I741" i="1"/>
  <c r="I713" i="1"/>
  <c r="I678" i="1"/>
  <c r="I618" i="1"/>
  <c r="I588" i="1"/>
  <c r="I525" i="1"/>
  <c r="I459" i="1"/>
  <c r="I431" i="1"/>
  <c r="I392" i="1"/>
  <c r="I341" i="1"/>
  <c r="I288" i="1"/>
  <c r="I223" i="1"/>
  <c r="I199" i="1"/>
  <c r="I166" i="1"/>
  <c r="I151" i="1"/>
  <c r="I131" i="1"/>
  <c r="I119" i="1"/>
  <c r="I44" i="1"/>
  <c r="I8" i="1"/>
  <c r="I1292" i="1"/>
  <c r="I1242" i="1"/>
  <c r="I1054" i="1"/>
  <c r="I1037" i="1"/>
  <c r="I891" i="1"/>
  <c r="I733" i="1"/>
  <c r="I704" i="1"/>
  <c r="I675" i="1"/>
  <c r="I619" i="1"/>
  <c r="I582" i="1"/>
  <c r="I519" i="1"/>
  <c r="I460" i="1"/>
  <c r="I412" i="1"/>
  <c r="I383" i="1"/>
  <c r="I334" i="1"/>
  <c r="I279" i="1"/>
  <c r="I219" i="1"/>
  <c r="I193" i="1"/>
  <c r="I156" i="1"/>
  <c r="I148" i="1"/>
  <c r="I126" i="1"/>
  <c r="I109" i="1"/>
  <c r="I45" i="1"/>
  <c r="I957" i="1"/>
  <c r="I601" i="1"/>
  <c r="I158" i="1"/>
  <c r="I128" i="1"/>
  <c r="I40" i="1"/>
  <c r="I1022" i="1"/>
  <c r="I1258" i="1"/>
  <c r="I871" i="1"/>
  <c r="I684" i="1"/>
  <c r="I593" i="1"/>
  <c r="I494" i="1"/>
  <c r="I395" i="1"/>
  <c r="I228" i="1"/>
  <c r="I164" i="1"/>
  <c r="I134" i="1"/>
  <c r="I106" i="1"/>
  <c r="I1286" i="1"/>
  <c r="I1224" i="1"/>
  <c r="I1043" i="1"/>
  <c r="I870" i="1"/>
  <c r="I725" i="1"/>
  <c r="I688" i="1"/>
  <c r="I643" i="1"/>
  <c r="I575" i="1"/>
  <c r="I493" i="1"/>
  <c r="I452" i="1"/>
  <c r="I404" i="1"/>
  <c r="I375" i="1"/>
  <c r="I332" i="1"/>
  <c r="I227" i="1"/>
  <c r="I217" i="1"/>
  <c r="I163" i="1"/>
  <c r="I139" i="1"/>
  <c r="I111" i="1"/>
  <c r="I1077" i="1"/>
  <c r="I1046" i="1"/>
  <c r="I913" i="1"/>
  <c r="I722" i="1"/>
  <c r="I631" i="1"/>
  <c r="I572" i="1"/>
  <c r="I448" i="1"/>
  <c r="I376" i="1"/>
  <c r="I317" i="1"/>
  <c r="I214" i="1"/>
  <c r="I159" i="1"/>
  <c r="I129" i="1"/>
  <c r="I36" i="1"/>
  <c r="F518" i="1"/>
  <c r="F497" i="1"/>
  <c r="F454" i="1"/>
  <c r="F228" i="1"/>
  <c r="F214" i="1"/>
  <c r="F126" i="1"/>
  <c r="F619" i="1"/>
  <c r="F44" i="1"/>
  <c r="F678" i="1"/>
  <c r="F1067" i="1"/>
  <c r="F404" i="1"/>
  <c r="F431" i="1"/>
  <c r="F146" i="1"/>
  <c r="F380" i="1"/>
  <c r="F676" i="1"/>
  <c r="F1047" i="1"/>
  <c r="G106" i="1"/>
  <c r="G942" i="1"/>
  <c r="G997" i="1"/>
  <c r="G404" i="1"/>
  <c r="G965" i="1"/>
  <c r="G334" i="1"/>
  <c r="G1054" i="1"/>
  <c r="G341" i="1"/>
  <c r="G1227" i="1"/>
  <c r="G146" i="1"/>
  <c r="G380" i="1"/>
  <c r="G676" i="1"/>
  <c r="G1047" i="1"/>
  <c r="G1250" i="1"/>
  <c r="F1069" i="1"/>
  <c r="F547" i="1"/>
  <c r="F516" i="1"/>
  <c r="F492" i="1"/>
  <c r="F376" i="1"/>
  <c r="F317" i="1"/>
  <c r="F148" i="1"/>
  <c r="F675" i="1"/>
  <c r="F128" i="1"/>
  <c r="F688" i="1"/>
  <c r="F1080" i="1"/>
  <c r="F459" i="1"/>
  <c r="F525" i="1"/>
  <c r="F153" i="1"/>
  <c r="F390" i="1"/>
  <c r="F685" i="1"/>
  <c r="F1044" i="1"/>
  <c r="G134" i="1"/>
  <c r="G987" i="1"/>
  <c r="G1258" i="1"/>
  <c r="G452" i="1"/>
  <c r="G1043" i="1"/>
  <c r="G383" i="1"/>
  <c r="G1242" i="1"/>
  <c r="G392" i="1"/>
  <c r="G1277" i="1"/>
  <c r="G153" i="1"/>
  <c r="G390" i="1"/>
  <c r="G685" i="1"/>
  <c r="G1044" i="1"/>
  <c r="G1289" i="1"/>
  <c r="H313" i="1"/>
  <c r="H662" i="1"/>
  <c r="H1201" i="1"/>
  <c r="H284" i="1"/>
  <c r="H630" i="1"/>
  <c r="H1062" i="1"/>
  <c r="H226" i="1"/>
  <c r="H528" i="1"/>
  <c r="H1042" i="1"/>
  <c r="G117" i="1"/>
  <c r="G491" i="1"/>
  <c r="G1007" i="1"/>
  <c r="G92" i="1"/>
  <c r="G451" i="1"/>
  <c r="G943" i="1"/>
  <c r="G41" i="1"/>
  <c r="G369" i="1"/>
  <c r="G768" i="1"/>
  <c r="G1283" i="1"/>
  <c r="F313" i="1"/>
  <c r="F662" i="1"/>
  <c r="F1201" i="1"/>
  <c r="F284" i="1"/>
  <c r="F630" i="1"/>
  <c r="F1062" i="1"/>
  <c r="F226" i="1"/>
  <c r="F528" i="1"/>
  <c r="F1042" i="1"/>
  <c r="H727" i="1"/>
  <c r="H626" i="1"/>
  <c r="H1060" i="1"/>
  <c r="G147" i="1"/>
  <c r="G502" i="1"/>
  <c r="G1030" i="1"/>
  <c r="G112" i="1"/>
  <c r="G473" i="1"/>
  <c r="G990" i="1"/>
  <c r="G87" i="1"/>
  <c r="G425" i="1"/>
  <c r="G901" i="1"/>
  <c r="G1309" i="1"/>
  <c r="F328" i="1"/>
  <c r="F727" i="1"/>
  <c r="F1257" i="1"/>
  <c r="F302" i="1"/>
  <c r="F642" i="1"/>
  <c r="F1086" i="1"/>
  <c r="F249" i="1"/>
  <c r="F626" i="1"/>
  <c r="F1060" i="1"/>
  <c r="G401" i="1"/>
  <c r="G1270" i="1"/>
  <c r="H328" i="1"/>
  <c r="H642" i="1"/>
  <c r="H753" i="1"/>
  <c r="H293" i="1"/>
  <c r="G1032" i="1"/>
  <c r="G953" i="1"/>
  <c r="F1200" i="1"/>
  <c r="H52" i="1"/>
  <c r="H1093" i="1"/>
  <c r="G998" i="1"/>
  <c r="F301" i="1"/>
  <c r="H639" i="1"/>
  <c r="F679" i="1"/>
  <c r="H389" i="1"/>
  <c r="G547" i="1"/>
  <c r="F650" i="1"/>
  <c r="F80" i="1"/>
  <c r="H35" i="1"/>
  <c r="H766" i="1"/>
  <c r="H1274" i="1"/>
  <c r="H329" i="1"/>
  <c r="H696" i="1"/>
  <c r="H1244" i="1"/>
  <c r="G253" i="1"/>
  <c r="G625" i="1"/>
  <c r="G1063" i="1"/>
  <c r="G224" i="1"/>
  <c r="G523" i="1"/>
  <c r="G1048" i="1"/>
  <c r="G132" i="1"/>
  <c r="G500" i="1"/>
  <c r="G1027" i="1"/>
  <c r="F93" i="1"/>
  <c r="F439" i="1"/>
  <c r="F914" i="1"/>
  <c r="F35" i="1"/>
  <c r="F364" i="1"/>
  <c r="F766" i="1"/>
  <c r="F1274" i="1"/>
  <c r="F329" i="1"/>
  <c r="F696" i="1"/>
  <c r="F1244" i="1"/>
  <c r="G104" i="1"/>
  <c r="G75" i="1"/>
  <c r="G1310" i="1"/>
  <c r="H1257" i="1"/>
  <c r="H249" i="1"/>
  <c r="H23" i="1"/>
  <c r="H315" i="1"/>
  <c r="H1200" i="1"/>
  <c r="G518" i="1"/>
  <c r="G1023" i="1"/>
  <c r="G454" i="1"/>
  <c r="F753" i="1"/>
  <c r="F315" i="1"/>
  <c r="F293" i="1"/>
  <c r="F34" i="1"/>
  <c r="H862" i="1"/>
  <c r="H327" i="1"/>
  <c r="H1271" i="1"/>
  <c r="H650" i="1"/>
  <c r="G1040" i="1"/>
  <c r="G516" i="1"/>
  <c r="G1029" i="1"/>
  <c r="G492" i="1"/>
  <c r="F52" i="1"/>
  <c r="F389" i="1"/>
  <c r="F862" i="1"/>
  <c r="F1301" i="1"/>
  <c r="F327" i="1"/>
  <c r="F1271" i="1"/>
  <c r="F1093" i="1"/>
  <c r="F910" i="1"/>
  <c r="H93" i="1"/>
  <c r="H439" i="1"/>
  <c r="H914" i="1"/>
  <c r="H364" i="1"/>
  <c r="F656" i="1"/>
  <c r="F714" i="1"/>
  <c r="H104" i="1"/>
  <c r="H458" i="1"/>
  <c r="H959" i="1"/>
  <c r="H75" i="1"/>
  <c r="H401" i="1"/>
  <c r="H882" i="1"/>
  <c r="H1310" i="1"/>
  <c r="H342" i="1"/>
  <c r="H740" i="1"/>
  <c r="H1270" i="1"/>
  <c r="G295" i="1"/>
  <c r="G638" i="1"/>
  <c r="G1074" i="1"/>
  <c r="G237" i="1"/>
  <c r="G584" i="1"/>
  <c r="G1039" i="1"/>
  <c r="G183" i="1"/>
  <c r="G520" i="1"/>
  <c r="G1033" i="1"/>
  <c r="F104" i="1"/>
  <c r="F458" i="1"/>
  <c r="F959" i="1"/>
  <c r="F75" i="1"/>
  <c r="F401" i="1"/>
  <c r="F882" i="1"/>
  <c r="F1310" i="1"/>
  <c r="F342" i="1"/>
  <c r="F740" i="1"/>
  <c r="F1270" i="1"/>
  <c r="G959" i="1"/>
  <c r="G342" i="1"/>
  <c r="H1275" i="1"/>
  <c r="H1066" i="1"/>
  <c r="G497" i="1"/>
  <c r="F344" i="1"/>
  <c r="F1066" i="1"/>
  <c r="H491" i="1"/>
  <c r="F451" i="1"/>
  <c r="G458" i="1"/>
  <c r="G882" i="1"/>
  <c r="G740" i="1"/>
  <c r="I7" i="1"/>
  <c r="I1309" i="1"/>
  <c r="I1283" i="1"/>
  <c r="I1270" i="1"/>
  <c r="I1244" i="1"/>
  <c r="I1093" i="1"/>
  <c r="I1066" i="1"/>
  <c r="I1060" i="1"/>
  <c r="I1042" i="1"/>
  <c r="I1033" i="1"/>
  <c r="I1027" i="1"/>
  <c r="I998" i="1"/>
  <c r="I953" i="1"/>
  <c r="I901" i="1"/>
  <c r="I768" i="1"/>
  <c r="I740" i="1"/>
  <c r="I696" i="1"/>
  <c r="I650" i="1"/>
  <c r="I639" i="1"/>
  <c r="I626" i="1"/>
  <c r="I528" i="1"/>
  <c r="I520" i="1"/>
  <c r="I500" i="1"/>
  <c r="I492" i="1"/>
  <c r="I454" i="1"/>
  <c r="I425" i="1"/>
  <c r="I369" i="1"/>
  <c r="I342" i="1"/>
  <c r="I329" i="1"/>
  <c r="I301" i="1"/>
  <c r="I293" i="1"/>
  <c r="I249" i="1"/>
  <c r="I226" i="1"/>
  <c r="I183" i="1"/>
  <c r="I132" i="1"/>
  <c r="I114" i="1"/>
  <c r="I96" i="1"/>
  <c r="I87" i="1"/>
  <c r="I41" i="1"/>
  <c r="I1310" i="1"/>
  <c r="I1274" i="1"/>
  <c r="I1271" i="1"/>
  <c r="I1200" i="1"/>
  <c r="I1086" i="1"/>
  <c r="I1062" i="1"/>
  <c r="I1039" i="1"/>
  <c r="I1048" i="1"/>
  <c r="I1029" i="1"/>
  <c r="I1023" i="1"/>
  <c r="I990" i="1"/>
  <c r="I943" i="1"/>
  <c r="I882" i="1"/>
  <c r="I766" i="1"/>
  <c r="I738" i="1"/>
  <c r="I679" i="1"/>
  <c r="I642" i="1"/>
  <c r="I630" i="1"/>
  <c r="I584" i="1"/>
  <c r="I523" i="1"/>
  <c r="I516" i="1"/>
  <c r="I497" i="1"/>
  <c r="I473" i="1"/>
  <c r="I451" i="1"/>
  <c r="I401" i="1"/>
  <c r="I364" i="1"/>
  <c r="I327" i="1"/>
  <c r="I315" i="1"/>
  <c r="I302" i="1"/>
  <c r="I284" i="1"/>
  <c r="I237" i="1"/>
  <c r="I224" i="1"/>
  <c r="I161" i="1"/>
  <c r="I122" i="1"/>
  <c r="I112" i="1"/>
  <c r="I92" i="1"/>
  <c r="I75" i="1"/>
  <c r="I35" i="1"/>
  <c r="I1301" i="1"/>
  <c r="I1275" i="1"/>
  <c r="I1257" i="1"/>
  <c r="I1201" i="1"/>
  <c r="I1074" i="1"/>
  <c r="I1063" i="1"/>
  <c r="I1040" i="1"/>
  <c r="I1032" i="1"/>
  <c r="I1030" i="1"/>
  <c r="I1007" i="1"/>
  <c r="I959" i="1"/>
  <c r="I914" i="1"/>
  <c r="I862" i="1"/>
  <c r="I753" i="1"/>
  <c r="I727" i="1"/>
  <c r="I662" i="1"/>
  <c r="I638" i="1"/>
  <c r="I625" i="1"/>
  <c r="I547" i="1"/>
  <c r="I518" i="1"/>
  <c r="I502" i="1"/>
  <c r="I491" i="1"/>
  <c r="I458" i="1"/>
  <c r="I439" i="1"/>
  <c r="I389" i="1"/>
  <c r="I344" i="1"/>
  <c r="I328" i="1"/>
  <c r="I313" i="1"/>
  <c r="I295" i="1"/>
  <c r="I253" i="1"/>
  <c r="I233" i="1"/>
  <c r="I201" i="1"/>
  <c r="I147" i="1"/>
  <c r="I117" i="1"/>
  <c r="I104" i="1"/>
  <c r="I93" i="1"/>
  <c r="I52" i="1"/>
  <c r="I23" i="1"/>
  <c r="H302" i="1"/>
  <c r="H1086" i="1"/>
  <c r="F336" i="1"/>
  <c r="H344" i="1"/>
  <c r="H679" i="1"/>
  <c r="G201" i="1"/>
  <c r="G122" i="1"/>
  <c r="G96" i="1"/>
  <c r="F23" i="1"/>
  <c r="F1275" i="1"/>
  <c r="F639" i="1"/>
  <c r="F735" i="1"/>
  <c r="H1301" i="1"/>
  <c r="H738" i="1"/>
  <c r="H301" i="1"/>
  <c r="G233" i="1"/>
  <c r="G161" i="1"/>
  <c r="G114" i="1"/>
  <c r="F738" i="1"/>
  <c r="F671" i="1"/>
  <c r="F256" i="1"/>
  <c r="H117" i="1"/>
  <c r="H1007" i="1"/>
  <c r="H92" i="1"/>
  <c r="H451" i="1"/>
  <c r="H943" i="1"/>
  <c r="H41" i="1"/>
  <c r="H369" i="1"/>
  <c r="H768" i="1"/>
  <c r="H1283" i="1"/>
  <c r="G313" i="1"/>
  <c r="G662" i="1"/>
  <c r="G1201" i="1"/>
  <c r="G284" i="1"/>
  <c r="G630" i="1"/>
  <c r="G1062" i="1"/>
  <c r="G226" i="1"/>
  <c r="G528" i="1"/>
  <c r="G1042" i="1"/>
  <c r="F117" i="1"/>
  <c r="F491" i="1"/>
  <c r="F1007" i="1"/>
  <c r="F92" i="1"/>
  <c r="F943" i="1"/>
  <c r="F41" i="1"/>
  <c r="F369" i="1"/>
  <c r="F768" i="1"/>
  <c r="F1283" i="1"/>
  <c r="F687" i="1"/>
  <c r="F915" i="1"/>
  <c r="H147" i="1"/>
  <c r="H502" i="1"/>
  <c r="H1030" i="1"/>
  <c r="H112" i="1"/>
  <c r="H473" i="1"/>
  <c r="H990" i="1"/>
  <c r="H87" i="1"/>
  <c r="H425" i="1"/>
  <c r="H901" i="1"/>
  <c r="H1309" i="1"/>
  <c r="G328" i="1"/>
  <c r="G727" i="1"/>
  <c r="G1257" i="1"/>
  <c r="G302" i="1"/>
  <c r="G642" i="1"/>
  <c r="G1086" i="1"/>
  <c r="G249" i="1"/>
  <c r="G626" i="1"/>
  <c r="G1060" i="1"/>
  <c r="F147" i="1"/>
  <c r="F502" i="1"/>
  <c r="F1030" i="1"/>
  <c r="F112" i="1"/>
  <c r="F473" i="1"/>
  <c r="F990" i="1"/>
  <c r="F87" i="1"/>
  <c r="F425" i="1"/>
  <c r="F901" i="1"/>
  <c r="F1309" i="1"/>
  <c r="F616" i="1"/>
  <c r="F1247" i="1"/>
  <c r="F1121" i="1"/>
  <c r="F1088" i="1"/>
  <c r="F649" i="1"/>
  <c r="F346" i="1"/>
  <c r="F7" i="1"/>
  <c r="F1083" i="1"/>
  <c r="H160" i="1"/>
  <c r="F754" i="1"/>
  <c r="H7" i="1"/>
  <c r="F898" i="1"/>
  <c r="G7" i="1"/>
  <c r="H922" i="1"/>
  <c r="H1223" i="1"/>
  <c r="F1064" i="1"/>
  <c r="F294" i="1"/>
  <c r="H60" i="1"/>
  <c r="F316" i="1"/>
  <c r="H445" i="1"/>
  <c r="H924" i="1"/>
  <c r="F677" i="1"/>
  <c r="H1272" i="1"/>
  <c r="F355" i="1"/>
  <c r="F721" i="1"/>
  <c r="F74" i="1"/>
  <c r="H426" i="1"/>
  <c r="F524" i="1"/>
  <c r="F411" i="1"/>
  <c r="F889" i="1"/>
  <c r="H247" i="1"/>
  <c r="H286" i="1"/>
  <c r="G569" i="1"/>
  <c r="H268" i="1"/>
  <c r="G654" i="1"/>
  <c r="H952" i="1"/>
  <c r="G286" i="1"/>
  <c r="H752" i="1"/>
  <c r="G242" i="1"/>
  <c r="H977" i="1"/>
  <c r="F664" i="1"/>
  <c r="F958" i="1"/>
  <c r="F60" i="1"/>
  <c r="F445" i="1"/>
  <c r="F924" i="1"/>
  <c r="F1272" i="1"/>
  <c r="G429" i="1"/>
  <c r="G977" i="1"/>
  <c r="G1261" i="1"/>
  <c r="G346" i="1"/>
  <c r="G754" i="1"/>
  <c r="G1094" i="1"/>
  <c r="G294" i="1"/>
  <c r="G715" i="1"/>
  <c r="G1069" i="1"/>
  <c r="G962" i="1"/>
  <c r="H393" i="1"/>
  <c r="H105" i="1"/>
  <c r="G256" i="1"/>
  <c r="G531" i="1"/>
  <c r="H750" i="1"/>
  <c r="H700" i="1"/>
  <c r="H1302" i="1"/>
  <c r="H515" i="1"/>
  <c r="G652" i="1"/>
  <c r="G221" i="1"/>
  <c r="F133" i="1"/>
  <c r="F720" i="1"/>
  <c r="H654" i="1"/>
  <c r="H531" i="1"/>
  <c r="F652" i="1"/>
  <c r="F366" i="1"/>
  <c r="G287" i="1"/>
  <c r="G1000" i="1"/>
  <c r="F868" i="1"/>
  <c r="H1081" i="1"/>
  <c r="H994" i="1"/>
  <c r="F944" i="1"/>
  <c r="G535" i="1"/>
  <c r="G658" i="1"/>
  <c r="F927" i="1"/>
  <c r="H346" i="1"/>
  <c r="H1000" i="1"/>
  <c r="F113" i="1"/>
  <c r="F1070" i="1"/>
  <c r="H355" i="1"/>
  <c r="H983" i="1"/>
  <c r="F115" i="1"/>
  <c r="F975" i="1"/>
  <c r="F462" i="1"/>
  <c r="G73" i="1"/>
  <c r="G1223" i="1"/>
  <c r="F982" i="1"/>
  <c r="F273" i="1"/>
  <c r="F1291" i="1"/>
  <c r="F280" i="1"/>
  <c r="F1202" i="1"/>
  <c r="H243" i="1"/>
  <c r="G335" i="1"/>
  <c r="H14" i="1"/>
  <c r="H898" i="1"/>
  <c r="H754" i="1"/>
  <c r="H569" i="1"/>
  <c r="H177" i="1"/>
  <c r="H992" i="1"/>
  <c r="H294" i="1"/>
  <c r="H715" i="1"/>
  <c r="H1069" i="1"/>
  <c r="F977" i="1"/>
  <c r="F474" i="1"/>
  <c r="F73" i="1"/>
  <c r="F211" i="1"/>
  <c r="F569" i="1"/>
  <c r="F983" i="1"/>
  <c r="F162" i="1"/>
  <c r="F515" i="1"/>
  <c r="F962" i="1"/>
  <c r="G999" i="1"/>
  <c r="G1105" i="1"/>
  <c r="G447" i="1"/>
  <c r="G714" i="1"/>
  <c r="G411" i="1"/>
  <c r="G915" i="1"/>
  <c r="G1252" i="1"/>
  <c r="G349" i="1"/>
  <c r="G889" i="1"/>
  <c r="G1121" i="1"/>
  <c r="G524" i="1"/>
  <c r="G162" i="1"/>
  <c r="H336" i="1"/>
  <c r="H527" i="1"/>
  <c r="H462" i="1"/>
  <c r="H1313" i="1"/>
  <c r="G1081" i="1"/>
  <c r="G645" i="1"/>
  <c r="G974" i="1"/>
  <c r="H348" i="1"/>
  <c r="G617" i="1"/>
  <c r="G994" i="1"/>
  <c r="F683" i="1"/>
  <c r="H735" i="1"/>
  <c r="H204" i="1"/>
  <c r="F242" i="1"/>
  <c r="F921" i="1"/>
  <c r="F1245" i="1"/>
  <c r="G246" i="1"/>
  <c r="F176" i="1"/>
  <c r="H456" i="1"/>
  <c r="H958" i="1"/>
  <c r="F1296" i="1"/>
  <c r="F918" i="1"/>
  <c r="G1020" i="1"/>
  <c r="F187" i="1"/>
  <c r="H617" i="1"/>
  <c r="H975" i="1"/>
  <c r="F899" i="1"/>
  <c r="F653" i="1"/>
  <c r="H236" i="1"/>
  <c r="H447" i="1"/>
  <c r="H270" i="1"/>
  <c r="F922" i="1"/>
  <c r="F105" i="1"/>
  <c r="G922" i="1"/>
  <c r="G299" i="1"/>
  <c r="G355" i="1"/>
  <c r="G898" i="1"/>
  <c r="F1316" i="1"/>
  <c r="F1282" i="1"/>
  <c r="H609" i="1"/>
  <c r="G1249" i="1"/>
  <c r="H206" i="1"/>
  <c r="H113" i="1"/>
  <c r="H926" i="1"/>
  <c r="H714" i="1"/>
  <c r="H411" i="1"/>
  <c r="H1061" i="1"/>
  <c r="H316" i="1"/>
  <c r="H721" i="1"/>
  <c r="H1083" i="1"/>
  <c r="F999" i="1"/>
  <c r="F206" i="1"/>
  <c r="F447" i="1"/>
  <c r="F247" i="1"/>
  <c r="F645" i="1"/>
  <c r="F992" i="1"/>
  <c r="F204" i="1"/>
  <c r="F531" i="1"/>
  <c r="F974" i="1"/>
  <c r="G115" i="1"/>
  <c r="G336" i="1"/>
  <c r="G926" i="1"/>
  <c r="G14" i="1"/>
  <c r="G435" i="1"/>
  <c r="G921" i="1"/>
  <c r="G1260" i="1"/>
  <c r="G366" i="1"/>
  <c r="G897" i="1"/>
  <c r="G1245" i="1"/>
  <c r="G952" i="1"/>
  <c r="G983" i="1"/>
  <c r="H187" i="1"/>
  <c r="H1252" i="1"/>
  <c r="G1247" i="1"/>
  <c r="G204" i="1"/>
  <c r="I1313" i="1"/>
  <c r="I1272" i="1"/>
  <c r="I1302" i="1"/>
  <c r="I899" i="1"/>
  <c r="I654" i="1"/>
  <c r="I592" i="1"/>
  <c r="I348" i="1"/>
  <c r="I268" i="1"/>
  <c r="I221" i="1"/>
  <c r="I647" i="1"/>
  <c r="I898" i="1"/>
  <c r="I474" i="1"/>
  <c r="I316" i="1"/>
  <c r="I115" i="1"/>
  <c r="I1081" i="1"/>
  <c r="I999" i="1"/>
  <c r="I977" i="1"/>
  <c r="I952" i="1"/>
  <c r="I527" i="1"/>
  <c r="I287" i="1"/>
  <c r="I197" i="1"/>
  <c r="I915" i="1"/>
  <c r="I889" i="1"/>
  <c r="I524" i="1"/>
  <c r="I411" i="1"/>
  <c r="I349" i="1"/>
  <c r="I177" i="1"/>
  <c r="I299" i="1"/>
  <c r="I1223" i="1"/>
  <c r="I393" i="1"/>
  <c r="I1105" i="1"/>
  <c r="I462" i="1"/>
  <c r="I1251" i="1"/>
  <c r="I955" i="1"/>
  <c r="I658" i="1"/>
  <c r="I429" i="1"/>
  <c r="I1094" i="1"/>
  <c r="I430" i="1"/>
  <c r="I242" i="1"/>
  <c r="I714" i="1"/>
  <c r="I569" i="1"/>
  <c r="I515" i="1"/>
  <c r="I211" i="1"/>
  <c r="I162" i="1"/>
  <c r="I723" i="1"/>
  <c r="I1061" i="1"/>
  <c r="I992" i="1"/>
  <c r="I975" i="1"/>
  <c r="I944" i="1"/>
  <c r="I918" i="1"/>
  <c r="I617" i="1"/>
  <c r="I1247" i="1"/>
  <c r="I1088" i="1"/>
  <c r="I1064" i="1"/>
  <c r="I993" i="1"/>
  <c r="I961" i="1"/>
  <c r="I926" i="1"/>
  <c r="I754" i="1"/>
  <c r="I715" i="1"/>
  <c r="I447" i="1"/>
  <c r="I346" i="1"/>
  <c r="I294" i="1"/>
  <c r="I73" i="1"/>
  <c r="I1260" i="1"/>
  <c r="I983" i="1"/>
  <c r="I910" i="1"/>
  <c r="I700" i="1"/>
  <c r="I246" i="1"/>
  <c r="I645" i="1"/>
  <c r="I336" i="1"/>
  <c r="I204" i="1"/>
  <c r="I721" i="1"/>
  <c r="I1296" i="1"/>
  <c r="I1245" i="1"/>
  <c r="I1083" i="1"/>
  <c r="I1020" i="1"/>
  <c r="I994" i="1"/>
  <c r="I962" i="1"/>
  <c r="I924" i="1"/>
  <c r="I652" i="1"/>
  <c r="I506" i="1"/>
  <c r="I445" i="1"/>
  <c r="I256" i="1"/>
  <c r="I113" i="1"/>
  <c r="I60" i="1"/>
  <c r="I1079" i="1"/>
  <c r="I1003" i="1"/>
  <c r="I958" i="1"/>
  <c r="I286" i="1"/>
  <c r="I735" i="1"/>
  <c r="I531" i="1"/>
  <c r="I247" i="1"/>
  <c r="I1069" i="1"/>
  <c r="I974" i="1"/>
  <c r="I270" i="1"/>
  <c r="I921" i="1"/>
  <c r="I897" i="1"/>
  <c r="I535" i="1"/>
  <c r="I435" i="1"/>
  <c r="I366" i="1"/>
  <c r="I206" i="1"/>
  <c r="I14" i="1"/>
  <c r="I355" i="1"/>
  <c r="I1261" i="1"/>
  <c r="I664" i="1"/>
  <c r="I105" i="1"/>
  <c r="I1121" i="1"/>
  <c r="I1000" i="1"/>
  <c r="I922" i="1"/>
  <c r="I310" i="1"/>
  <c r="I1252" i="1"/>
  <c r="I456" i="1"/>
  <c r="I76" i="1"/>
  <c r="H415" i="1"/>
  <c r="H242" i="1"/>
  <c r="H162" i="1"/>
  <c r="G1003" i="1"/>
  <c r="H810" i="1"/>
  <c r="H197" i="1"/>
  <c r="H974" i="1"/>
  <c r="F435" i="1"/>
  <c r="F897" i="1"/>
  <c r="G1296" i="1"/>
  <c r="G647" i="1"/>
  <c r="F160" i="1"/>
  <c r="H73" i="1"/>
  <c r="H221" i="1"/>
  <c r="F617" i="1"/>
  <c r="F76" i="1"/>
  <c r="F1302" i="1"/>
  <c r="F1251" i="1"/>
  <c r="G310" i="1"/>
  <c r="G1079" i="1"/>
  <c r="F236" i="1"/>
  <c r="H1299" i="1"/>
  <c r="H246" i="1"/>
  <c r="F506" i="1"/>
  <c r="F1082" i="1"/>
  <c r="H1105" i="1"/>
  <c r="H474" i="1"/>
  <c r="H658" i="1"/>
  <c r="F197" i="1"/>
  <c r="F955" i="1"/>
  <c r="G1083" i="1"/>
  <c r="F1306" i="1"/>
  <c r="F95" i="1"/>
  <c r="H623" i="1"/>
  <c r="H435" i="1"/>
  <c r="H256" i="1"/>
  <c r="H961" i="1"/>
  <c r="H310" i="1"/>
  <c r="H524" i="1"/>
  <c r="H1079" i="1"/>
  <c r="H349" i="1"/>
  <c r="H889" i="1"/>
  <c r="H1121" i="1"/>
  <c r="F1081" i="1"/>
  <c r="F535" i="1"/>
  <c r="F926" i="1"/>
  <c r="F268" i="1"/>
  <c r="F654" i="1"/>
  <c r="F1003" i="1"/>
  <c r="F221" i="1"/>
  <c r="F592" i="1"/>
  <c r="F994" i="1"/>
  <c r="G474" i="1"/>
  <c r="G393" i="1"/>
  <c r="G961" i="1"/>
  <c r="G76" i="1"/>
  <c r="G456" i="1"/>
  <c r="G944" i="1"/>
  <c r="G1302" i="1"/>
  <c r="G430" i="1"/>
  <c r="G918" i="1"/>
  <c r="G1251" i="1"/>
  <c r="G211" i="1"/>
  <c r="G268" i="1"/>
  <c r="H910" i="1"/>
  <c r="G700" i="1"/>
  <c r="F978" i="1"/>
  <c r="H592" i="1"/>
  <c r="G723" i="1"/>
  <c r="F1008" i="1"/>
  <c r="H115" i="1"/>
  <c r="F235" i="1"/>
  <c r="F952" i="1"/>
  <c r="G316" i="1"/>
  <c r="F298" i="1"/>
  <c r="F415" i="1"/>
  <c r="H429" i="1"/>
  <c r="H366" i="1"/>
  <c r="H1245" i="1"/>
  <c r="F1105" i="1"/>
  <c r="F299" i="1"/>
  <c r="F961" i="1"/>
  <c r="F286" i="1"/>
  <c r="F700" i="1"/>
  <c r="F1061" i="1"/>
  <c r="F246" i="1"/>
  <c r="F647" i="1"/>
  <c r="F1000" i="1"/>
  <c r="G348" i="1"/>
  <c r="G910" i="1"/>
  <c r="G993" i="1"/>
  <c r="G113" i="1"/>
  <c r="G506" i="1"/>
  <c r="G958" i="1"/>
  <c r="G60" i="1"/>
  <c r="G445" i="1"/>
  <c r="G924" i="1"/>
  <c r="G1272" i="1"/>
  <c r="G1088" i="1"/>
  <c r="G515" i="1"/>
  <c r="H444" i="1"/>
  <c r="H1247" i="1"/>
  <c r="H955" i="1"/>
  <c r="G247" i="1"/>
  <c r="G992" i="1"/>
  <c r="H645" i="1"/>
  <c r="H664" i="1"/>
  <c r="H962" i="1"/>
  <c r="G735" i="1"/>
  <c r="G592" i="1"/>
  <c r="F939" i="1"/>
  <c r="H720" i="1"/>
  <c r="H944" i="1"/>
  <c r="F348" i="1"/>
  <c r="F14" i="1"/>
  <c r="F1260" i="1"/>
  <c r="G206" i="1"/>
  <c r="G1061" i="1"/>
  <c r="F290" i="1"/>
  <c r="H1306" i="1"/>
  <c r="H287" i="1"/>
  <c r="H1261" i="1"/>
  <c r="F287" i="1"/>
  <c r="F456" i="1"/>
  <c r="F430" i="1"/>
  <c r="G664" i="1"/>
  <c r="G270" i="1"/>
  <c r="F607" i="1"/>
  <c r="H34" i="1"/>
  <c r="H211" i="1"/>
  <c r="H647" i="1"/>
  <c r="F429" i="1"/>
  <c r="F243" i="1"/>
  <c r="G178" i="1"/>
  <c r="H299" i="1"/>
  <c r="H1020" i="1"/>
  <c r="F527" i="1"/>
  <c r="F1313" i="1"/>
  <c r="G721" i="1"/>
  <c r="F297" i="1"/>
  <c r="F178" i="1"/>
  <c r="F463" i="1"/>
  <c r="F343" i="1"/>
  <c r="F1299" i="1"/>
  <c r="H899" i="1"/>
  <c r="F444" i="1"/>
  <c r="F609" i="1"/>
  <c r="F271" i="1"/>
  <c r="H74" i="1"/>
  <c r="H978" i="1"/>
  <c r="H76" i="1"/>
  <c r="H535" i="1"/>
  <c r="H506" i="1"/>
  <c r="H993" i="1"/>
  <c r="H915" i="1"/>
  <c r="H1094" i="1"/>
  <c r="H897" i="1"/>
  <c r="F1016" i="1"/>
  <c r="F623" i="1"/>
  <c r="F326" i="1"/>
  <c r="F446" i="1"/>
  <c r="H95" i="1"/>
  <c r="H1008" i="1"/>
  <c r="H999" i="1"/>
  <c r="H921" i="1"/>
  <c r="H652" i="1"/>
  <c r="H1064" i="1"/>
  <c r="H723" i="1"/>
  <c r="H1003" i="1"/>
  <c r="H1260" i="1"/>
  <c r="H430" i="1"/>
  <c r="H918" i="1"/>
  <c r="H1251" i="1"/>
  <c r="F1261" i="1"/>
  <c r="F393" i="1"/>
  <c r="F993" i="1"/>
  <c r="F310" i="1"/>
  <c r="F723" i="1"/>
  <c r="F1079" i="1"/>
  <c r="F270" i="1"/>
  <c r="F658" i="1"/>
  <c r="G899" i="1"/>
  <c r="G177" i="1"/>
  <c r="G1064" i="1"/>
  <c r="G197" i="1"/>
  <c r="G527" i="1"/>
  <c r="G975" i="1"/>
  <c r="G105" i="1"/>
  <c r="G462" i="1"/>
  <c r="G955" i="1"/>
  <c r="G1313" i="1"/>
  <c r="G1082" i="1"/>
  <c r="G34" i="1"/>
  <c r="H326" i="1"/>
  <c r="H956" i="1"/>
  <c r="H495" i="1"/>
  <c r="H1249" i="1"/>
  <c r="H649" i="1"/>
  <c r="G399" i="1"/>
  <c r="G273" i="1"/>
  <c r="G919" i="1"/>
  <c r="G22" i="1"/>
  <c r="G343" i="1"/>
  <c r="G671" i="1"/>
  <c r="G621" i="1"/>
  <c r="G235" i="1"/>
  <c r="H399" i="1"/>
  <c r="H982" i="1"/>
  <c r="H546" i="1"/>
  <c r="H1291" i="1"/>
  <c r="H677" i="1"/>
  <c r="G657" i="1"/>
  <c r="G298" i="1"/>
  <c r="G939" i="1"/>
  <c r="G189" i="1"/>
  <c r="G1325" i="1"/>
  <c r="G1315" i="1"/>
  <c r="G677" i="1"/>
  <c r="G266" i="1"/>
  <c r="G1012" i="1"/>
  <c r="G501" i="1"/>
  <c r="G97" i="1"/>
  <c r="G489" i="1"/>
  <c r="G1147" i="1"/>
  <c r="G623" i="1"/>
  <c r="G176" i="1"/>
  <c r="G1306" i="1"/>
  <c r="G976" i="1"/>
  <c r="G477" i="1"/>
  <c r="G54" i="1"/>
  <c r="G95" i="1"/>
  <c r="G1070" i="1"/>
  <c r="G609" i="1"/>
  <c r="G149" i="1"/>
  <c r="G982" i="1"/>
  <c r="G945" i="1"/>
  <c r="G446" i="1"/>
  <c r="G1104" i="1"/>
  <c r="G1253" i="1"/>
  <c r="G1008" i="1"/>
  <c r="G546" i="1"/>
  <c r="G133" i="1"/>
  <c r="G956" i="1"/>
  <c r="G927" i="1"/>
  <c r="G810" i="1"/>
  <c r="G936" i="1"/>
  <c r="G978" i="1"/>
  <c r="G495" i="1"/>
  <c r="G80" i="1"/>
  <c r="G909" i="1"/>
  <c r="G415" i="1"/>
  <c r="G444" i="1"/>
  <c r="G463" i="1"/>
  <c r="G661" i="1"/>
  <c r="G720" i="1"/>
  <c r="G290" i="1"/>
  <c r="G408" i="1"/>
  <c r="G1291" i="1"/>
  <c r="G607" i="1"/>
  <c r="G616" i="1"/>
  <c r="G271" i="1"/>
  <c r="G659" i="1"/>
  <c r="H1284" i="1"/>
  <c r="H1082" i="1"/>
  <c r="H616" i="1"/>
  <c r="H130" i="1"/>
  <c r="H863" i="1"/>
  <c r="H408" i="1"/>
  <c r="H1281" i="1"/>
  <c r="H653" i="1"/>
  <c r="H244" i="1"/>
  <c r="H1012" i="1"/>
  <c r="H545" i="1"/>
  <c r="H97" i="1"/>
  <c r="H749" i="1"/>
  <c r="H335" i="1"/>
  <c r="H1253" i="1"/>
  <c r="H657" i="1"/>
  <c r="H189" i="1"/>
  <c r="H976" i="1"/>
  <c r="H501" i="1"/>
  <c r="H54" i="1"/>
  <c r="H687" i="1"/>
  <c r="H298" i="1"/>
  <c r="H1104" i="1"/>
  <c r="H621" i="1"/>
  <c r="H178" i="1"/>
  <c r="H945" i="1"/>
  <c r="H477" i="1"/>
  <c r="H1316" i="1"/>
  <c r="H671" i="1"/>
  <c r="H1016" i="1"/>
  <c r="H607" i="1"/>
  <c r="H137" i="1"/>
  <c r="H273" i="1"/>
  <c r="H489" i="1"/>
  <c r="H80" i="1"/>
  <c r="H656" i="1"/>
  <c r="H235" i="1"/>
  <c r="H868" i="1"/>
  <c r="G326" i="1"/>
  <c r="G433" i="1"/>
  <c r="G1316" i="1"/>
  <c r="G655" i="1"/>
  <c r="I1314" i="1"/>
  <c r="I1147" i="1"/>
  <c r="I149" i="1"/>
  <c r="I1070" i="1"/>
  <c r="I243" i="1"/>
  <c r="I1315" i="1"/>
  <c r="I1299" i="1"/>
  <c r="I1282" i="1"/>
  <c r="I1202" i="1"/>
  <c r="I1082" i="1"/>
  <c r="I1012" i="1"/>
  <c r="I976" i="1"/>
  <c r="I945" i="1"/>
  <c r="I927" i="1"/>
  <c r="I868" i="1"/>
  <c r="I752" i="1"/>
  <c r="I720" i="1"/>
  <c r="I677" i="1"/>
  <c r="I649" i="1"/>
  <c r="I655" i="1"/>
  <c r="I659" i="1"/>
  <c r="I616" i="1"/>
  <c r="I545" i="1"/>
  <c r="I501" i="1"/>
  <c r="I477" i="1"/>
  <c r="I446" i="1"/>
  <c r="I415" i="1"/>
  <c r="I343" i="1"/>
  <c r="I297" i="1"/>
  <c r="I280" i="1"/>
  <c r="I266" i="1"/>
  <c r="I235" i="1"/>
  <c r="I187" i="1"/>
  <c r="I160" i="1"/>
  <c r="I130" i="1"/>
  <c r="I97" i="1"/>
  <c r="I54" i="1"/>
  <c r="I1249" i="1"/>
  <c r="I34" i="1"/>
  <c r="I863" i="1"/>
  <c r="I1291" i="1"/>
  <c r="I978" i="1"/>
  <c r="I919" i="1"/>
  <c r="I687" i="1"/>
  <c r="I651" i="1"/>
  <c r="I623" i="1"/>
  <c r="I546" i="1"/>
  <c r="I463" i="1"/>
  <c r="I408" i="1"/>
  <c r="I298" i="1"/>
  <c r="I236" i="1"/>
  <c r="I133" i="1"/>
  <c r="I1306" i="1"/>
  <c r="I1281" i="1"/>
  <c r="I1253" i="1"/>
  <c r="I1104" i="1"/>
  <c r="I1016" i="1"/>
  <c r="I982" i="1"/>
  <c r="I956" i="1"/>
  <c r="I936" i="1"/>
  <c r="I909" i="1"/>
  <c r="I810" i="1"/>
  <c r="I750" i="1"/>
  <c r="I683" i="1"/>
  <c r="I661" i="1"/>
  <c r="I653" i="1"/>
  <c r="I657" i="1"/>
  <c r="I621" i="1"/>
  <c r="I607" i="1"/>
  <c r="I539" i="1"/>
  <c r="I489" i="1"/>
  <c r="I444" i="1"/>
  <c r="I426" i="1"/>
  <c r="I399" i="1"/>
  <c r="I326" i="1"/>
  <c r="I290" i="1"/>
  <c r="I271" i="1"/>
  <c r="I244" i="1"/>
  <c r="I189" i="1"/>
  <c r="I178" i="1"/>
  <c r="I137" i="1"/>
  <c r="I95" i="1"/>
  <c r="I74" i="1"/>
  <c r="I22" i="1"/>
  <c r="I1316" i="1"/>
  <c r="I1008" i="1"/>
  <c r="I939" i="1"/>
  <c r="I749" i="1"/>
  <c r="I671" i="1"/>
  <c r="I656" i="1"/>
  <c r="I609" i="1"/>
  <c r="I495" i="1"/>
  <c r="I433" i="1"/>
  <c r="I335" i="1"/>
  <c r="I273" i="1"/>
  <c r="I176" i="1"/>
  <c r="I80" i="1"/>
  <c r="H539" i="1"/>
  <c r="H133" i="1"/>
  <c r="H651" i="1"/>
  <c r="H927" i="1"/>
  <c r="G539" i="1"/>
  <c r="G74" i="1"/>
  <c r="F1222" i="1"/>
  <c r="F1012" i="1"/>
  <c r="F545" i="1"/>
  <c r="F130" i="1"/>
  <c r="F22" i="1"/>
  <c r="F919" i="1"/>
  <c r="F433" i="1"/>
  <c r="F1104" i="1"/>
  <c r="F936" i="1"/>
  <c r="F976" i="1"/>
  <c r="F501" i="1"/>
  <c r="F97" i="1"/>
  <c r="F1281" i="1"/>
  <c r="F863" i="1"/>
  <c r="F408" i="1"/>
  <c r="F909" i="1"/>
  <c r="F945" i="1"/>
  <c r="F477" i="1"/>
  <c r="F54" i="1"/>
  <c r="F489" i="1"/>
  <c r="F749" i="1"/>
  <c r="F335" i="1"/>
  <c r="F621" i="1"/>
  <c r="F750" i="1"/>
  <c r="F661" i="1"/>
  <c r="F244" i="1"/>
  <c r="F495" i="1"/>
  <c r="F1147" i="1"/>
  <c r="F810" i="1"/>
  <c r="F659" i="1"/>
  <c r="F1315" i="1"/>
  <c r="H661" i="1"/>
  <c r="H149" i="1"/>
  <c r="H919" i="1"/>
  <c r="H297" i="1"/>
  <c r="H1202" i="1"/>
  <c r="G653" i="1"/>
  <c r="G656" i="1"/>
  <c r="G244" i="1"/>
  <c r="G130" i="1"/>
  <c r="G752" i="1"/>
  <c r="F137" i="1"/>
  <c r="F399" i="1"/>
  <c r="F546" i="1"/>
  <c r="F1249" i="1"/>
  <c r="F1253" i="1"/>
  <c r="F655" i="1"/>
  <c r="H22" i="1"/>
  <c r="H683" i="1"/>
  <c r="H176" i="1"/>
  <c r="H939" i="1"/>
  <c r="H343" i="1"/>
  <c r="H1282" i="1"/>
  <c r="G750" i="1"/>
  <c r="G651" i="1"/>
  <c r="G426" i="1"/>
  <c r="G160" i="1"/>
  <c r="G868" i="1"/>
  <c r="G1016" i="1"/>
  <c r="G187" i="1"/>
  <c r="H446" i="1"/>
  <c r="H1315" i="1"/>
  <c r="G687" i="1"/>
  <c r="G683" i="1"/>
  <c r="G1202" i="1"/>
  <c r="H271" i="1"/>
  <c r="H909" i="1"/>
  <c r="H433" i="1"/>
  <c r="H1070" i="1"/>
  <c r="H659" i="1"/>
  <c r="H280" i="1"/>
  <c r="G236" i="1"/>
  <c r="G749" i="1"/>
  <c r="G1281" i="1"/>
  <c r="G280" i="1"/>
  <c r="G1282" i="1"/>
  <c r="F956" i="1"/>
  <c r="F149" i="1"/>
  <c r="F651" i="1"/>
  <c r="F189" i="1"/>
  <c r="F266" i="1"/>
  <c r="F752" i="1"/>
  <c r="H290" i="1"/>
  <c r="H936" i="1"/>
  <c r="H463" i="1"/>
  <c r="H1147" i="1"/>
  <c r="H655" i="1"/>
  <c r="G137" i="1"/>
  <c r="G243" i="1"/>
  <c r="G863" i="1"/>
  <c r="G649" i="1"/>
  <c r="G297" i="1"/>
  <c r="G1299" i="1"/>
  <c r="G1285" i="1"/>
  <c r="G55" i="1"/>
  <c r="F583" i="1"/>
  <c r="F968" i="1"/>
  <c r="F281" i="1"/>
  <c r="F564" i="1"/>
  <c r="F970" i="1"/>
  <c r="F1280" i="1"/>
  <c r="G88" i="1"/>
  <c r="G300" i="1"/>
  <c r="G50" i="1"/>
  <c r="G19" i="1"/>
  <c r="F1308" i="1"/>
  <c r="G566" i="1"/>
  <c r="G767" i="1"/>
  <c r="G583" i="1"/>
  <c r="G103" i="1"/>
  <c r="G1314" i="1"/>
  <c r="G641" i="1"/>
  <c r="G1006" i="1"/>
  <c r="G669" i="1"/>
  <c r="G281" i="1"/>
  <c r="G213" i="1"/>
  <c r="G755" i="1"/>
  <c r="G64" i="1"/>
  <c r="G751" i="1"/>
  <c r="F885" i="1"/>
  <c r="G438" i="1"/>
  <c r="G877" i="1"/>
  <c r="G604" i="1"/>
  <c r="G885" i="1"/>
  <c r="F24" i="1"/>
  <c r="G689" i="1"/>
  <c r="G911" i="1"/>
  <c r="G888" i="1"/>
  <c r="G930" i="1"/>
  <c r="F56" i="1"/>
  <c r="G933" i="1"/>
  <c r="G1049" i="1"/>
  <c r="G970" i="1"/>
  <c r="G995" i="1"/>
  <c r="G449" i="1"/>
  <c r="G564" i="1"/>
  <c r="G432" i="1"/>
  <c r="G1078" i="1"/>
  <c r="G1100" i="1"/>
  <c r="G1101" i="1"/>
  <c r="G1071" i="1"/>
  <c r="G427" i="1"/>
  <c r="F973" i="1"/>
  <c r="G1259" i="1"/>
  <c r="G1266" i="1"/>
  <c r="G1280" i="1"/>
  <c r="G1278" i="1"/>
  <c r="F1290" i="1"/>
  <c r="F64" i="1"/>
  <c r="F427" i="1"/>
  <c r="F1266" i="1"/>
  <c r="F995" i="1"/>
  <c r="H767" i="1"/>
  <c r="H1049" i="1"/>
  <c r="H300" i="1"/>
  <c r="H751" i="1"/>
  <c r="H689" i="1"/>
  <c r="G967" i="1"/>
  <c r="H566" i="1"/>
  <c r="H1228" i="1"/>
  <c r="H888" i="1"/>
  <c r="H432" i="1"/>
  <c r="F967" i="1"/>
  <c r="F1049" i="1"/>
  <c r="H911" i="1"/>
  <c r="H562" i="1"/>
  <c r="H1290" i="1"/>
  <c r="F352" i="1"/>
  <c r="F252" i="1"/>
  <c r="H281" i="1"/>
  <c r="H1280" i="1"/>
  <c r="H213" i="1"/>
  <c r="F562" i="1"/>
  <c r="F1100" i="1"/>
  <c r="H973" i="1"/>
  <c r="H669" i="1"/>
  <c r="H438" i="1"/>
  <c r="F265" i="1"/>
  <c r="F449" i="1"/>
  <c r="F1278" i="1"/>
  <c r="H1076" i="1"/>
  <c r="H885" i="1"/>
  <c r="F689" i="1"/>
  <c r="F566" i="1"/>
  <c r="F930" i="1"/>
  <c r="F50" i="1"/>
  <c r="H1101" i="1"/>
  <c r="H1100" i="1"/>
  <c r="H1308" i="1"/>
  <c r="H930" i="1"/>
  <c r="H1078" i="1"/>
  <c r="F641" i="1"/>
  <c r="F438" i="1"/>
  <c r="H1312" i="1"/>
  <c r="H1266" i="1"/>
  <c r="H19" i="1"/>
  <c r="H967" i="1"/>
  <c r="H1259" i="1"/>
  <c r="G24" i="1"/>
  <c r="G968" i="1"/>
  <c r="G1312" i="1"/>
  <c r="G265" i="1"/>
  <c r="G1096" i="1"/>
  <c r="H352" i="1"/>
  <c r="I1090" i="1"/>
  <c r="I1285" i="1"/>
  <c r="I1076" i="1"/>
  <c r="I911" i="1"/>
  <c r="I566" i="1"/>
  <c r="I300" i="1"/>
  <c r="I56" i="1"/>
  <c r="I1280" i="1"/>
  <c r="I1078" i="1"/>
  <c r="I933" i="1"/>
  <c r="I689" i="1"/>
  <c r="I438" i="1"/>
  <c r="I213" i="1"/>
  <c r="I50" i="1"/>
  <c r="I1290" i="1"/>
  <c r="I1278" i="1"/>
  <c r="I1228" i="1"/>
  <c r="I1096" i="1"/>
  <c r="I1071" i="1"/>
  <c r="I995" i="1"/>
  <c r="I967" i="1"/>
  <c r="I930" i="1"/>
  <c r="I885" i="1"/>
  <c r="I751" i="1"/>
  <c r="I669" i="1"/>
  <c r="I583" i="1"/>
  <c r="I562" i="1"/>
  <c r="I432" i="1"/>
  <c r="I352" i="1"/>
  <c r="I265" i="1"/>
  <c r="I103" i="1"/>
  <c r="I55" i="1"/>
  <c r="I19" i="1"/>
  <c r="I1266" i="1"/>
  <c r="I1100" i="1"/>
  <c r="I1049" i="1"/>
  <c r="I968" i="1"/>
  <c r="I755" i="1"/>
  <c r="I449" i="1"/>
  <c r="I252" i="1"/>
  <c r="I24" i="1"/>
  <c r="I1312" i="1"/>
  <c r="I1101" i="1"/>
  <c r="I970" i="1"/>
  <c r="I767" i="1"/>
  <c r="I564" i="1"/>
  <c r="I281" i="1"/>
  <c r="I1308" i="1"/>
  <c r="I973" i="1"/>
  <c r="I877" i="1"/>
  <c r="I641" i="1"/>
  <c r="I427" i="1"/>
  <c r="I88" i="1"/>
  <c r="I1259" i="1"/>
  <c r="I1006" i="1"/>
  <c r="I888" i="1"/>
  <c r="I604" i="1"/>
  <c r="I420" i="1"/>
  <c r="I64" i="1"/>
  <c r="F751" i="1"/>
  <c r="F933" i="1"/>
  <c r="F1071" i="1"/>
  <c r="F19" i="1"/>
  <c r="F1078" i="1"/>
  <c r="F755" i="1"/>
  <c r="F1228" i="1"/>
  <c r="F604" i="1"/>
  <c r="H88" i="1"/>
  <c r="H1314" i="1"/>
  <c r="H55" i="1"/>
  <c r="H995" i="1"/>
  <c r="H56" i="1"/>
  <c r="G56" i="1"/>
  <c r="G973" i="1"/>
  <c r="G1308" i="1"/>
  <c r="G352" i="1"/>
  <c r="G1228" i="1"/>
  <c r="H604" i="1"/>
  <c r="H1285" i="1"/>
  <c r="H641" i="1"/>
  <c r="H1278" i="1"/>
  <c r="F88" i="1"/>
  <c r="F767" i="1"/>
  <c r="H50" i="1"/>
  <c r="H1006" i="1"/>
  <c r="F1096" i="1"/>
  <c r="F1076" i="1"/>
  <c r="H968" i="1"/>
  <c r="H583" i="1"/>
  <c r="F300" i="1"/>
  <c r="F1101" i="1"/>
  <c r="H564" i="1"/>
  <c r="H24" i="1"/>
  <c r="F55" i="1"/>
  <c r="F420" i="1"/>
  <c r="F1285" i="1"/>
  <c r="H970" i="1"/>
  <c r="H755" i="1"/>
  <c r="H933" i="1"/>
  <c r="F669" i="1"/>
  <c r="F103" i="1"/>
  <c r="F1259" i="1"/>
  <c r="F877" i="1"/>
  <c r="F1314" i="1"/>
  <c r="F888" i="1"/>
  <c r="H252" i="1"/>
  <c r="H64" i="1"/>
  <c r="H103" i="1"/>
  <c r="H1071" i="1"/>
  <c r="H427" i="1"/>
  <c r="F432" i="1"/>
  <c r="F1312" i="1"/>
  <c r="F911" i="1"/>
  <c r="F213" i="1"/>
  <c r="F1006" i="1"/>
  <c r="H449" i="1"/>
  <c r="H420" i="1"/>
  <c r="H265" i="1"/>
  <c r="H1096" i="1"/>
  <c r="H877" i="1"/>
  <c r="G252" i="1"/>
  <c r="G1076" i="1"/>
  <c r="G420" i="1"/>
  <c r="G562" i="1"/>
  <c r="G1290" i="1"/>
  <c r="F1090" i="1"/>
  <c r="H864" i="1"/>
  <c r="H363" i="1"/>
  <c r="G261" i="1"/>
  <c r="H503" i="1"/>
  <c r="G1090" i="1"/>
  <c r="H1090" i="1"/>
  <c r="H699" i="1"/>
  <c r="H813" i="1"/>
  <c r="H887" i="1"/>
  <c r="H1018" i="1"/>
  <c r="H693" i="1"/>
  <c r="F691" i="1"/>
  <c r="F319" i="1"/>
  <c r="F985" i="1"/>
  <c r="F363" i="1"/>
  <c r="F719" i="1"/>
  <c r="F488" i="1"/>
  <c r="F709" i="1"/>
  <c r="F628" i="1"/>
  <c r="F479" i="1"/>
  <c r="F548" i="1"/>
  <c r="F949" i="1"/>
  <c r="F4" i="1"/>
  <c r="F437" i="1"/>
  <c r="F285" i="1"/>
  <c r="F482" i="1"/>
  <c r="F1284" i="1"/>
  <c r="H479" i="1"/>
  <c r="F529" i="1"/>
  <c r="F466" i="1"/>
  <c r="F478" i="1"/>
  <c r="F731" i="1"/>
  <c r="F259" i="1"/>
  <c r="F668" i="1"/>
  <c r="F303" i="1"/>
  <c r="F979" i="1"/>
  <c r="F594" i="1"/>
  <c r="F1295" i="1"/>
  <c r="F340" i="1"/>
  <c r="F693" i="1"/>
  <c r="F1320" i="1"/>
  <c r="G340" i="1"/>
  <c r="F292" i="1"/>
  <c r="F263" i="1"/>
  <c r="F1325" i="1"/>
  <c r="G292" i="1"/>
  <c r="F453" i="1"/>
  <c r="F283" i="1"/>
  <c r="H509" i="1"/>
  <c r="G453" i="1"/>
  <c r="G903" i="1"/>
  <c r="H542" i="1"/>
  <c r="H886" i="1"/>
  <c r="H989" i="1"/>
  <c r="G864" i="1"/>
  <c r="F174" i="1"/>
  <c r="F1319" i="1"/>
  <c r="H991" i="1"/>
  <c r="H1325" i="1"/>
  <c r="G338" i="1"/>
  <c r="H1052" i="1"/>
  <c r="H719" i="1"/>
  <c r="F1293" i="1"/>
  <c r="G594" i="1"/>
  <c r="G693" i="1"/>
  <c r="F886" i="1"/>
  <c r="F864" i="1"/>
  <c r="F866" i="1"/>
  <c r="H263" i="1"/>
  <c r="H985" i="1"/>
  <c r="H1053" i="1"/>
  <c r="F1198" i="1"/>
  <c r="F1307" i="1"/>
  <c r="F1317" i="1"/>
  <c r="F887" i="1"/>
  <c r="H691" i="1"/>
  <c r="F509" i="1"/>
  <c r="F62" i="1"/>
  <c r="F121" i="1"/>
  <c r="F916" i="1"/>
  <c r="H731" i="1"/>
  <c r="H1017" i="1"/>
  <c r="G140" i="1"/>
  <c r="G359" i="1"/>
  <c r="F354" i="1"/>
  <c r="F615" i="1"/>
  <c r="F277" i="1"/>
  <c r="F152" i="1"/>
  <c r="F907" i="1"/>
  <c r="H866" i="1"/>
  <c r="H152" i="1"/>
  <c r="G1026" i="1"/>
  <c r="G628" i="1"/>
  <c r="F140" i="1"/>
  <c r="F925" i="1"/>
  <c r="F634" i="1"/>
  <c r="F208" i="1"/>
  <c r="F934" i="1"/>
  <c r="H1010" i="1"/>
  <c r="H259" i="1"/>
  <c r="G912" i="1"/>
  <c r="G668" i="1"/>
  <c r="G950" i="1"/>
  <c r="G529" i="1"/>
  <c r="G479" i="1"/>
  <c r="G699" i="1"/>
  <c r="H867" i="1"/>
  <c r="H615" i="1"/>
  <c r="H931" i="1"/>
  <c r="H758" i="1"/>
  <c r="H1028" i="1"/>
  <c r="G1297" i="1"/>
  <c r="G886" i="1"/>
  <c r="G542" i="1"/>
  <c r="G716" i="1"/>
  <c r="G4" i="1"/>
  <c r="G633" i="1"/>
  <c r="H925" i="1"/>
  <c r="H1293" i="1"/>
  <c r="G472" i="1"/>
  <c r="H548" i="1"/>
  <c r="H979" i="1"/>
  <c r="H934" i="1"/>
  <c r="G509" i="1"/>
  <c r="G881" i="1"/>
  <c r="F1256" i="1"/>
  <c r="F503" i="1"/>
  <c r="F1001" i="1"/>
  <c r="H668" i="1"/>
  <c r="H1019" i="1"/>
  <c r="H488" i="1"/>
  <c r="H963" i="1"/>
  <c r="H1317" i="1"/>
  <c r="G615" i="1"/>
  <c r="G634" i="1"/>
  <c r="G263" i="1"/>
  <c r="G1019" i="1"/>
  <c r="G333" i="1"/>
  <c r="G758" i="1"/>
  <c r="H319" i="1"/>
  <c r="H1319" i="1"/>
  <c r="H903" i="1"/>
  <c r="G377" i="1"/>
  <c r="G985" i="1"/>
  <c r="H354" i="1"/>
  <c r="H1132" i="1"/>
  <c r="G485" i="1"/>
  <c r="G1001" i="1"/>
  <c r="F912" i="1"/>
  <c r="F903" i="1"/>
  <c r="F261" i="1"/>
  <c r="F950" i="1"/>
  <c r="F1018" i="1"/>
  <c r="F472" i="1"/>
  <c r="F1268" i="1"/>
  <c r="F536" i="1"/>
  <c r="F1204" i="1"/>
  <c r="H277" i="1"/>
  <c r="H476" i="1"/>
  <c r="H908" i="1"/>
  <c r="H285" i="1"/>
  <c r="H1295" i="1"/>
  <c r="G925" i="1"/>
  <c r="G709" i="1"/>
  <c r="G283" i="1"/>
  <c r="G1028" i="1"/>
  <c r="G782" i="1"/>
  <c r="F333" i="1"/>
  <c r="F633" i="1"/>
  <c r="F1297" i="1"/>
  <c r="F1052" i="1"/>
  <c r="F485" i="1"/>
  <c r="F1132" i="1"/>
  <c r="F559" i="1"/>
  <c r="F1246" i="1"/>
  <c r="H377" i="1"/>
  <c r="H707" i="1"/>
  <c r="H949" i="1"/>
  <c r="H338" i="1"/>
  <c r="H1320" i="1"/>
  <c r="G979" i="1"/>
  <c r="G482" i="1"/>
  <c r="G314" i="1"/>
  <c r="G1038" i="1"/>
  <c r="G1198" i="1"/>
  <c r="G691" i="1"/>
  <c r="G1256" i="1"/>
  <c r="G931" i="1"/>
  <c r="G876" i="1"/>
  <c r="G963" i="1"/>
  <c r="G937" i="1"/>
  <c r="G428" i="1"/>
  <c r="G809" i="1"/>
  <c r="G1091" i="1"/>
  <c r="H916" i="1"/>
  <c r="H912" i="1"/>
  <c r="H1025" i="1"/>
  <c r="H62" i="1"/>
  <c r="H208" i="1"/>
  <c r="H1268" i="1"/>
  <c r="H303" i="1"/>
  <c r="H1009" i="1"/>
  <c r="H633" i="1"/>
  <c r="H1198" i="1"/>
  <c r="G719" i="1"/>
  <c r="G731" i="1"/>
  <c r="G120" i="1"/>
  <c r="G1319" i="1"/>
  <c r="G908" i="1"/>
  <c r="G1009" i="1"/>
  <c r="G989" i="1"/>
  <c r="G466" i="1"/>
  <c r="G866" i="1"/>
  <c r="G1204" i="1"/>
  <c r="I1325" i="1"/>
  <c r="I1246" i="1"/>
  <c r="I1026" i="1"/>
  <c r="I1019" i="1"/>
  <c r="I979" i="1"/>
  <c r="I925" i="1"/>
  <c r="I916" i="1"/>
  <c r="I867" i="1"/>
  <c r="I719" i="1"/>
  <c r="I699" i="1"/>
  <c r="I615" i="1"/>
  <c r="I509" i="1"/>
  <c r="I488" i="1"/>
  <c r="I453" i="1"/>
  <c r="I340" i="1"/>
  <c r="I314" i="1"/>
  <c r="I261" i="1"/>
  <c r="I120" i="1"/>
  <c r="I1293" i="1"/>
  <c r="I1053" i="1"/>
  <c r="I1028" i="1"/>
  <c r="I989" i="1"/>
  <c r="I937" i="1"/>
  <c r="I907" i="1"/>
  <c r="I881" i="1"/>
  <c r="I782" i="1"/>
  <c r="I716" i="1"/>
  <c r="I633" i="1"/>
  <c r="I542" i="1"/>
  <c r="I503" i="1"/>
  <c r="I479" i="1"/>
  <c r="I363" i="1"/>
  <c r="I338" i="1"/>
  <c r="I285" i="1"/>
  <c r="I150" i="1"/>
  <c r="I121" i="1"/>
  <c r="I1326" i="1"/>
  <c r="I1208" i="1"/>
  <c r="I1038" i="1"/>
  <c r="I1009" i="1"/>
  <c r="I963" i="1"/>
  <c r="I934" i="1"/>
  <c r="I903" i="1"/>
  <c r="I864" i="1"/>
  <c r="I758" i="1"/>
  <c r="I693" i="1"/>
  <c r="I594" i="1"/>
  <c r="I536" i="1"/>
  <c r="I482" i="1"/>
  <c r="I437" i="1"/>
  <c r="I359" i="1"/>
  <c r="I303" i="1"/>
  <c r="I259" i="1"/>
  <c r="I152" i="1"/>
  <c r="I1307" i="1"/>
  <c r="I1198" i="1"/>
  <c r="I1284" i="1"/>
  <c r="I1317" i="1"/>
  <c r="I1132" i="1"/>
  <c r="I1091" i="1"/>
  <c r="I1017" i="1"/>
  <c r="I991" i="1"/>
  <c r="I809" i="1"/>
  <c r="I709" i="1"/>
  <c r="I634" i="1"/>
  <c r="I140" i="1"/>
  <c r="I1268" i="1"/>
  <c r="I354" i="1"/>
  <c r="I1319" i="1"/>
  <c r="I985" i="1"/>
  <c r="I931" i="1"/>
  <c r="I886" i="1"/>
  <c r="I628" i="1"/>
  <c r="I529" i="1"/>
  <c r="I1320" i="1"/>
  <c r="I292" i="1"/>
  <c r="I208" i="1"/>
  <c r="I1052" i="1"/>
  <c r="I1018" i="1"/>
  <c r="I887" i="1"/>
  <c r="I813" i="1"/>
  <c r="I707" i="1"/>
  <c r="I476" i="1"/>
  <c r="I428" i="1"/>
  <c r="I1256" i="1"/>
  <c r="I283" i="1"/>
  <c r="I62" i="1"/>
  <c r="I1295" i="1"/>
  <c r="I949" i="1"/>
  <c r="I908" i="1"/>
  <c r="I876" i="1"/>
  <c r="I559" i="1"/>
  <c r="I478" i="1"/>
  <c r="I333" i="1"/>
  <c r="I485" i="1"/>
  <c r="I174" i="1"/>
  <c r="I1209" i="1"/>
  <c r="I1025" i="1"/>
  <c r="I1010" i="1"/>
  <c r="I866" i="1"/>
  <c r="I731" i="1"/>
  <c r="I691" i="1"/>
  <c r="I377" i="1"/>
  <c r="I277" i="1"/>
  <c r="I1204" i="1"/>
  <c r="I472" i="1"/>
  <c r="I4" i="1"/>
  <c r="I1297" i="1"/>
  <c r="I319" i="1"/>
  <c r="I668" i="1"/>
  <c r="I263" i="1"/>
  <c r="I1001" i="1"/>
  <c r="I548" i="1"/>
  <c r="I950" i="1"/>
  <c r="I487" i="1"/>
  <c r="I912" i="1"/>
  <c r="I466" i="1"/>
  <c r="H466" i="1"/>
  <c r="H950" i="1"/>
  <c r="H1209" i="1"/>
  <c r="H283" i="1"/>
  <c r="H292" i="1"/>
  <c r="H559" i="1"/>
  <c r="H359" i="1"/>
  <c r="H1038" i="1"/>
  <c r="H716" i="1"/>
  <c r="H1307" i="1"/>
  <c r="G354" i="1"/>
  <c r="G1010" i="1"/>
  <c r="G476" i="1"/>
  <c r="G1268" i="1"/>
  <c r="G991" i="1"/>
  <c r="G1208" i="1"/>
  <c r="G1053" i="1"/>
  <c r="G478" i="1"/>
  <c r="G887" i="1"/>
  <c r="G1246" i="1"/>
  <c r="F867" i="1"/>
  <c r="F377" i="1"/>
  <c r="F120" i="1"/>
  <c r="F931" i="1"/>
  <c r="F876" i="1"/>
  <c r="F963" i="1"/>
  <c r="F314" i="1"/>
  <c r="F699" i="1"/>
  <c r="F1019" i="1"/>
  <c r="H487" i="1"/>
  <c r="H1001" i="1"/>
  <c r="H174" i="1"/>
  <c r="H340" i="1"/>
  <c r="H453" i="1"/>
  <c r="H634" i="1"/>
  <c r="H437" i="1"/>
  <c r="H1208" i="1"/>
  <c r="H782" i="1"/>
  <c r="H1091" i="1"/>
  <c r="G867" i="1"/>
  <c r="G1025" i="1"/>
  <c r="G707" i="1"/>
  <c r="G1132" i="1"/>
  <c r="G1017" i="1"/>
  <c r="G1326" i="1"/>
  <c r="G1293" i="1"/>
  <c r="G488" i="1"/>
  <c r="G916" i="1"/>
  <c r="G1284" i="1"/>
  <c r="F937" i="1"/>
  <c r="F1026" i="1"/>
  <c r="F782" i="1"/>
  <c r="F476" i="1"/>
  <c r="F1010" i="1"/>
  <c r="F908" i="1"/>
  <c r="F1009" i="1"/>
  <c r="F338" i="1"/>
  <c r="F716" i="1"/>
  <c r="F1028" i="1"/>
  <c r="H140" i="1"/>
  <c r="H1297" i="1"/>
  <c r="H485" i="1"/>
  <c r="H1256" i="1"/>
  <c r="H261" i="1"/>
  <c r="H709" i="1"/>
  <c r="H482" i="1"/>
  <c r="H1326" i="1"/>
  <c r="H881" i="1"/>
  <c r="H1204" i="1"/>
  <c r="G487" i="1"/>
  <c r="G1209" i="1"/>
  <c r="G813" i="1"/>
  <c r="G1317" i="1"/>
  <c r="G259" i="1"/>
  <c r="G150" i="1"/>
  <c r="G121" i="1"/>
  <c r="G503" i="1"/>
  <c r="G907" i="1"/>
  <c r="G1295" i="1"/>
  <c r="F542" i="1"/>
  <c r="F150" i="1"/>
  <c r="F881" i="1"/>
  <c r="F707" i="1"/>
  <c r="F1025" i="1"/>
  <c r="F991" i="1"/>
  <c r="F1208" i="1"/>
  <c r="F359" i="1"/>
  <c r="F758" i="1"/>
  <c r="F1038" i="1"/>
  <c r="H1026" i="1"/>
  <c r="H4" i="1"/>
  <c r="H333" i="1"/>
  <c r="H120" i="1"/>
  <c r="H529" i="1"/>
  <c r="H809" i="1"/>
  <c r="H536" i="1"/>
  <c r="H121" i="1"/>
  <c r="H907" i="1"/>
  <c r="H1246" i="1"/>
  <c r="G319" i="1"/>
  <c r="G174" i="1"/>
  <c r="G1018" i="1"/>
  <c r="G62" i="1"/>
  <c r="G303" i="1"/>
  <c r="G285" i="1"/>
  <c r="G152" i="1"/>
  <c r="G536" i="1"/>
  <c r="G934" i="1"/>
  <c r="G1320" i="1"/>
  <c r="F989" i="1"/>
  <c r="F487" i="1"/>
  <c r="F1053" i="1"/>
  <c r="F813" i="1"/>
  <c r="F1209" i="1"/>
  <c r="F1017" i="1"/>
  <c r="F1326" i="1"/>
  <c r="F428" i="1"/>
  <c r="F809" i="1"/>
  <c r="F1091" i="1"/>
  <c r="H314" i="1"/>
  <c r="H472" i="1"/>
  <c r="H478" i="1"/>
  <c r="H428" i="1"/>
  <c r="H628" i="1"/>
  <c r="H876" i="1"/>
  <c r="H594" i="1"/>
  <c r="H150" i="1"/>
  <c r="H937" i="1"/>
  <c r="G548" i="1"/>
  <c r="G1307" i="1"/>
  <c r="G1052" i="1"/>
  <c r="G277" i="1"/>
  <c r="G437" i="1"/>
  <c r="G363" i="1"/>
  <c r="G208" i="1"/>
  <c r="G559" i="1"/>
  <c r="G949" i="1"/>
  <c r="F847" i="1"/>
  <c r="F1207" i="1"/>
  <c r="F1217" i="1"/>
  <c r="F362" i="1"/>
  <c r="F307" i="1"/>
  <c r="F143" i="1"/>
  <c r="F672" i="1"/>
  <c r="F1196" i="1"/>
  <c r="F175" i="1"/>
  <c r="F405" i="1"/>
  <c r="F394" i="1"/>
  <c r="F1231" i="1"/>
  <c r="F1034" i="1"/>
  <c r="F1210" i="1"/>
  <c r="F966" i="1"/>
  <c r="F842" i="1"/>
  <c r="F218" i="1"/>
  <c r="F884" i="1"/>
  <c r="F702" i="1"/>
  <c r="F260" i="1"/>
  <c r="F948" i="1"/>
  <c r="F844" i="1"/>
  <c r="F829" i="1"/>
  <c r="F255" i="1"/>
  <c r="F282" i="1"/>
  <c r="F48" i="1"/>
  <c r="F388" i="1"/>
  <c r="F304" i="1"/>
  <c r="F209" i="1"/>
  <c r="F1233" i="1"/>
  <c r="F517" i="1"/>
  <c r="F1150" i="1"/>
  <c r="F1219" i="1"/>
  <c r="F102" i="1"/>
  <c r="F743" i="1"/>
  <c r="F1267" i="1"/>
  <c r="F339" i="1"/>
  <c r="F854" i="1"/>
  <c r="F108" i="1"/>
  <c r="F591" i="1"/>
  <c r="F526" i="1"/>
  <c r="F1084" i="1"/>
  <c r="F717" i="1"/>
  <c r="F596" i="1"/>
  <c r="F794" i="1"/>
  <c r="F99" i="1"/>
  <c r="F358" i="1"/>
  <c r="F1015" i="1"/>
  <c r="F248" i="1"/>
  <c r="F57" i="1"/>
  <c r="F496" i="1"/>
  <c r="F570" i="1"/>
  <c r="F980" i="1"/>
  <c r="F171" i="1"/>
  <c r="F1211" i="1"/>
  <c r="F272" i="1"/>
  <c r="F182" i="1"/>
  <c r="F622" i="1"/>
  <c r="F932" i="1"/>
  <c r="F852" i="1"/>
  <c r="F43" i="1"/>
  <c r="F264" i="1"/>
  <c r="F513" i="1"/>
  <c r="F9" i="1"/>
  <c r="F1226" i="1"/>
  <c r="F1102" i="1"/>
  <c r="F849" i="1"/>
  <c r="F464" i="1"/>
  <c r="F345" i="1"/>
  <c r="F416" i="1"/>
  <c r="F760" i="1"/>
  <c r="F192" i="1"/>
  <c r="F730" i="1"/>
  <c r="F91" i="1"/>
  <c r="F384" i="1"/>
  <c r="F603" i="1"/>
  <c r="F819" i="1"/>
  <c r="F613" i="1"/>
  <c r="F574" i="1"/>
  <c r="F996" i="1"/>
  <c r="F180" i="1"/>
  <c r="F27" i="1"/>
  <c r="F770" i="1"/>
  <c r="F353" i="1"/>
  <c r="F817" i="1"/>
  <c r="F843" i="1"/>
  <c r="F309" i="1"/>
  <c r="F450" i="1"/>
  <c r="F321" i="1"/>
  <c r="F100" i="1"/>
  <c r="F11" i="1"/>
  <c r="F1199" i="1"/>
  <c r="F706" i="1"/>
  <c r="F1056" i="1"/>
  <c r="F1241" i="1"/>
  <c r="F1075" i="1"/>
  <c r="F194" i="1"/>
  <c r="F367" i="1"/>
  <c r="F902" i="1"/>
  <c r="F783" i="1"/>
  <c r="F481" i="1"/>
  <c r="F1248" i="1"/>
  <c r="F186" i="1"/>
  <c r="F240" i="1"/>
  <c r="F1031" i="1"/>
  <c r="F981" i="1"/>
  <c r="F923" i="1"/>
  <c r="F324" i="1"/>
  <c r="F381" i="1"/>
  <c r="F682" i="1"/>
  <c r="F205" i="1"/>
  <c r="F318" i="1"/>
  <c r="F818" i="1"/>
  <c r="F361" i="1"/>
  <c r="F612" i="1"/>
  <c r="F874" i="1"/>
  <c r="F1264" i="1"/>
  <c r="F878" i="1"/>
  <c r="F1085" i="1"/>
  <c r="F250" i="1"/>
  <c r="F1173" i="1"/>
  <c r="F589" i="1"/>
  <c r="F51" i="1"/>
  <c r="F409" i="1"/>
  <c r="F200" i="1"/>
  <c r="F69" i="1"/>
  <c r="F772" i="1"/>
  <c r="F708" i="1"/>
  <c r="F585" i="1"/>
  <c r="F538" i="1"/>
  <c r="F94" i="1"/>
  <c r="F561" i="1"/>
  <c r="F1287" i="1"/>
  <c r="F347" i="1"/>
  <c r="F278" i="1"/>
  <c r="F573" i="1"/>
  <c r="F169" i="1"/>
  <c r="F860" i="1"/>
  <c r="F46" i="1"/>
  <c r="F969" i="1"/>
  <c r="F455" i="1"/>
  <c r="F728" i="1"/>
  <c r="F614" i="1"/>
  <c r="F81" i="1"/>
  <c r="F471" i="1"/>
  <c r="F698" i="1"/>
  <c r="F928" i="1"/>
  <c r="F600" i="1"/>
  <c r="F1220" i="1"/>
  <c r="F269" i="1"/>
  <c r="F461" i="1"/>
  <c r="F873" i="1"/>
  <c r="F665" i="1"/>
  <c r="F291" i="1"/>
  <c r="F10" i="1"/>
  <c r="F59" i="1"/>
  <c r="F710" i="1"/>
  <c r="F306" i="1"/>
  <c r="F1263" i="1"/>
  <c r="F1236" i="1"/>
  <c r="F312" i="1"/>
  <c r="F984" i="1"/>
  <c r="F1151" i="1"/>
  <c r="F511" i="1"/>
  <c r="F879" i="1"/>
  <c r="F467" i="1"/>
  <c r="F941" i="1"/>
  <c r="F25" i="1"/>
  <c r="F711" i="1"/>
  <c r="F670" i="1"/>
  <c r="F1221" i="1"/>
  <c r="F579" i="1"/>
  <c r="F12" i="1"/>
  <c r="F1065" i="1"/>
  <c r="F170" i="1"/>
  <c r="F869" i="1"/>
  <c r="F413" i="1"/>
  <c r="F360" i="1"/>
  <c r="F1014" i="1"/>
  <c r="F434" i="1"/>
  <c r="F1215" i="1"/>
  <c r="F483" i="1"/>
  <c r="F951" i="1"/>
  <c r="F276" i="1"/>
  <c r="F763" i="1"/>
  <c r="F296" i="1"/>
  <c r="F896" i="1"/>
  <c r="F859" i="1"/>
  <c r="F1024" i="1"/>
  <c r="F620" i="1"/>
  <c r="F894" i="1"/>
  <c r="F1262" i="1"/>
  <c r="F663" i="1"/>
  <c r="F29" i="1"/>
  <c r="F422" i="1"/>
  <c r="F637" i="1"/>
  <c r="F241" i="1"/>
  <c r="F856" i="1"/>
  <c r="F1323" i="1"/>
  <c r="F418" i="1"/>
  <c r="F142" i="1"/>
  <c r="F251" i="1"/>
  <c r="F1300" i="1"/>
  <c r="F231" i="1"/>
  <c r="F71" i="1"/>
  <c r="F739" i="1"/>
  <c r="F530" i="1"/>
  <c r="F90" i="1"/>
  <c r="F776" i="1"/>
  <c r="F419" i="1"/>
  <c r="F124" i="1"/>
  <c r="F222" i="1"/>
  <c r="F858" i="1"/>
  <c r="F827" i="1"/>
  <c r="F765" i="1"/>
  <c r="F606" i="1"/>
  <c r="F275" i="1"/>
  <c r="F890" i="1"/>
  <c r="F1013" i="1"/>
  <c r="F906" i="1"/>
  <c r="F667" i="1"/>
  <c r="F544" i="1"/>
  <c r="F325" i="1"/>
  <c r="F400" i="1"/>
  <c r="F690" i="1"/>
  <c r="F407" i="1"/>
  <c r="F701" i="1"/>
  <c r="F563" i="1"/>
  <c r="F1318" i="1"/>
  <c r="F82" i="1"/>
  <c r="F1213" i="1"/>
  <c r="F840" i="1"/>
  <c r="F61" i="1"/>
  <c r="F883" i="1"/>
  <c r="F1005" i="1"/>
  <c r="F580" i="1"/>
  <c r="F857" i="1"/>
  <c r="F386" i="1"/>
  <c r="F49" i="1"/>
  <c r="F629" i="1"/>
  <c r="F703" i="1"/>
  <c r="F895" i="1"/>
  <c r="F258" i="1"/>
  <c r="F947" i="1"/>
  <c r="F484" i="1"/>
  <c r="F441" i="1"/>
  <c r="F98" i="1"/>
  <c r="F646" i="1"/>
  <c r="F172" i="1"/>
  <c r="F1092" i="1"/>
  <c r="F144" i="1"/>
  <c r="F960" i="1"/>
  <c r="F806" i="1"/>
  <c r="F468" i="1"/>
  <c r="F553" i="1"/>
  <c r="F576" i="1"/>
  <c r="F402" i="1"/>
  <c r="F107" i="1"/>
  <c r="F1214" i="1"/>
  <c r="F138" i="1"/>
  <c r="F410" i="1"/>
  <c r="F232" i="1"/>
  <c r="F611" i="1"/>
  <c r="F1051" i="1"/>
  <c r="F694" i="1"/>
  <c r="F1089" i="1"/>
  <c r="F323" i="1"/>
  <c r="F595" i="1"/>
  <c r="F771" i="1"/>
  <c r="F1095" i="1"/>
  <c r="F1230" i="1"/>
  <c r="F814" i="1"/>
  <c r="F1234" i="1"/>
  <c r="F68" i="1"/>
  <c r="F78" i="1"/>
  <c r="F65" i="1"/>
  <c r="F168" i="1"/>
  <c r="F6" i="1"/>
  <c r="F1304" i="1"/>
  <c r="F540" i="1"/>
  <c r="F507" i="1"/>
  <c r="F465" i="1"/>
  <c r="F1087" i="1"/>
  <c r="F825" i="1"/>
  <c r="F764" i="1"/>
  <c r="F216" i="1"/>
  <c r="F1187" i="1"/>
  <c r="F597" i="1"/>
  <c r="F490" i="1"/>
  <c r="F742" i="1"/>
  <c r="F938" i="1"/>
  <c r="F225" i="1"/>
  <c r="F861" i="1"/>
  <c r="F602" i="1"/>
  <c r="F67" i="1"/>
  <c r="F1206" i="1"/>
  <c r="F1243" i="1"/>
  <c r="F47" i="1"/>
  <c r="F417" i="1"/>
  <c r="F198" i="1"/>
  <c r="F406" i="1"/>
  <c r="F1157" i="1"/>
  <c r="F920" i="1"/>
  <c r="F1303" i="1"/>
  <c r="F173" i="1"/>
  <c r="F808" i="1"/>
  <c r="F821" i="1"/>
  <c r="F365" i="1"/>
  <c r="F442" i="1"/>
  <c r="F929" i="1"/>
  <c r="F1191" i="1"/>
  <c r="F125" i="1"/>
  <c r="F424" i="1"/>
  <c r="F230" i="1"/>
  <c r="F917" i="1"/>
  <c r="F565" i="1"/>
  <c r="F1273" i="1"/>
  <c r="F89" i="1"/>
  <c r="F504" i="1"/>
  <c r="F692" i="1"/>
  <c r="F1068" i="1"/>
  <c r="F1305" i="1"/>
  <c r="F648" i="1"/>
  <c r="F440" i="1"/>
  <c r="F116" i="1"/>
  <c r="F610" i="1"/>
  <c r="F680" i="1"/>
  <c r="F1011" i="1"/>
  <c r="F598" i="1"/>
  <c r="F828" i="1"/>
  <c r="F185" i="1"/>
  <c r="F674" i="1"/>
  <c r="F512" i="1"/>
  <c r="F320" i="1"/>
  <c r="F30" i="1"/>
  <c r="F608" i="1"/>
  <c r="F508" i="1"/>
  <c r="F305" i="1"/>
  <c r="F807" i="1"/>
  <c r="F498" i="1"/>
  <c r="F350" i="1"/>
  <c r="F254" i="1"/>
  <c r="F414" i="1"/>
  <c r="F1197" i="1"/>
  <c r="F697" i="1"/>
  <c r="F946" i="1"/>
  <c r="F1235" i="1"/>
  <c r="F470" i="1"/>
  <c r="F1294" i="1"/>
  <c r="F1298" i="1"/>
  <c r="F521" i="1"/>
  <c r="F846" i="1"/>
  <c r="F196" i="1"/>
  <c r="F1193" i="1"/>
  <c r="F238" i="1"/>
  <c r="F37" i="1"/>
  <c r="F42" i="1"/>
  <c r="F330" i="1"/>
  <c r="F70" i="1"/>
  <c r="F72" i="1"/>
  <c r="F510" i="1"/>
  <c r="F681" i="1"/>
  <c r="F850" i="1"/>
  <c r="F337" i="1"/>
  <c r="F1265" i="1"/>
  <c r="F1036" i="1"/>
  <c r="F1279" i="1"/>
  <c r="F1218" i="1"/>
  <c r="F644" i="1"/>
  <c r="F549" i="1"/>
  <c r="F855" i="1"/>
  <c r="F86" i="1"/>
  <c r="F1254" i="1"/>
  <c r="F686" i="1"/>
  <c r="F748" i="1"/>
  <c r="F737" i="1"/>
  <c r="F322" i="1"/>
  <c r="F421" i="1"/>
  <c r="F986" i="1"/>
  <c r="F123" i="1"/>
  <c r="F475" i="1"/>
  <c r="F239" i="1"/>
  <c r="F245" i="1"/>
  <c r="F356" i="1"/>
  <c r="F705" i="1"/>
  <c r="F1192" i="1"/>
  <c r="F726" i="1"/>
  <c r="F480" i="1"/>
  <c r="F830" i="1"/>
  <c r="F167" i="1"/>
  <c r="F257" i="1"/>
  <c r="F578" i="1"/>
  <c r="F1205" i="1"/>
  <c r="F534" i="1"/>
  <c r="F181" i="1"/>
  <c r="F848" i="1"/>
  <c r="F308" i="1"/>
  <c r="F1212" i="1"/>
  <c r="F587" i="1"/>
  <c r="F853" i="1"/>
  <c r="F505" i="1"/>
  <c r="F627" i="1"/>
  <c r="F543" i="1"/>
  <c r="F789" i="1"/>
  <c r="F79" i="1"/>
  <c r="F1324" i="1"/>
  <c r="F1097" i="1"/>
  <c r="F560" i="1"/>
  <c r="F635" i="1"/>
  <c r="F972" i="1"/>
  <c r="F101" i="1"/>
  <c r="F423" i="1"/>
  <c r="F136" i="1"/>
  <c r="F3" i="1"/>
  <c r="F1232" i="1"/>
  <c r="F880" i="1"/>
  <c r="F759" i="1"/>
  <c r="F188" i="1"/>
  <c r="F234" i="1"/>
  <c r="F624" i="1"/>
  <c r="F83" i="1"/>
  <c r="F988" i="1"/>
  <c r="F558" i="1"/>
  <c r="F673" i="1"/>
  <c r="F769" i="1"/>
  <c r="F532" i="1"/>
  <c r="F289" i="1"/>
  <c r="F155" i="1"/>
  <c r="F13" i="1"/>
  <c r="F736" i="1"/>
  <c r="F1238" i="1"/>
  <c r="F274" i="1"/>
  <c r="F262" i="1"/>
  <c r="F141" i="1"/>
  <c r="F747" i="1"/>
  <c r="F875" i="1"/>
  <c r="F53" i="1"/>
  <c r="F599" i="1"/>
  <c r="F522" i="1"/>
  <c r="F85" i="1"/>
  <c r="F537" i="1"/>
  <c r="F84" i="1"/>
  <c r="F865" i="1"/>
  <c r="F636" i="1"/>
  <c r="F63" i="1"/>
  <c r="F971" i="1"/>
  <c r="F845" i="1"/>
  <c r="F905" i="1"/>
  <c r="F154" i="1"/>
  <c r="F77" i="1"/>
  <c r="F191" i="1"/>
  <c r="F660" i="1"/>
  <c r="F469" i="1"/>
  <c r="F550" i="1"/>
  <c r="F835" i="1"/>
  <c r="F935" i="1"/>
  <c r="F1216" i="1"/>
  <c r="F5" i="1"/>
  <c r="F145" i="1"/>
  <c r="F822" i="1"/>
  <c r="F556" i="1"/>
  <c r="F734" i="1"/>
  <c r="F1269" i="1"/>
  <c r="F443" i="1"/>
  <c r="F666" i="1"/>
  <c r="F851" i="1"/>
  <c r="F732" i="1"/>
  <c r="F514" i="1"/>
  <c r="F195" i="1"/>
  <c r="F893" i="1"/>
  <c r="F378" i="1"/>
  <c r="F640" i="1"/>
  <c r="F1058" i="1"/>
  <c r="F1321" i="1"/>
  <c r="F31" i="1"/>
  <c r="F1002" i="1"/>
  <c r="F815" i="1"/>
  <c r="F387" i="1"/>
  <c r="F66" i="1"/>
  <c r="H276" i="1"/>
  <c r="H660" i="1"/>
  <c r="H59" i="1"/>
  <c r="H580" i="1"/>
  <c r="H289" i="1"/>
  <c r="H574" i="1"/>
  <c r="H350" i="1"/>
  <c r="H419" i="1"/>
  <c r="H526" i="1"/>
  <c r="H611" i="1"/>
  <c r="H1265" i="1"/>
  <c r="H61" i="1"/>
  <c r="H421" i="1"/>
  <c r="H1051" i="1"/>
  <c r="H1323" i="1"/>
  <c r="G9" i="1"/>
  <c r="G857" i="1"/>
  <c r="G102" i="1"/>
  <c r="G245" i="1"/>
  <c r="G384" i="1"/>
  <c r="G67" i="1"/>
  <c r="G238" i="1"/>
  <c r="G405" i="1"/>
  <c r="G579" i="1"/>
  <c r="G747" i="1"/>
  <c r="G1241" i="1"/>
  <c r="G82" i="1"/>
  <c r="G422" i="1"/>
  <c r="G69" i="1"/>
  <c r="G291" i="1"/>
  <c r="G505" i="1"/>
  <c r="G144" i="1"/>
  <c r="G681" i="1"/>
  <c r="G902" i="1"/>
  <c r="G260" i="1"/>
  <c r="G514" i="1"/>
  <c r="G737" i="1"/>
  <c r="G960" i="1"/>
  <c r="G534" i="1"/>
  <c r="G1191" i="1"/>
  <c r="G627" i="1"/>
  <c r="G1075" i="1"/>
  <c r="G636" i="1"/>
  <c r="G972" i="1"/>
  <c r="G367" i="1"/>
  <c r="G558" i="1"/>
  <c r="G320" i="1"/>
  <c r="G1011" i="1"/>
  <c r="G702" i="1"/>
  <c r="G674" i="1"/>
  <c r="G71" i="1"/>
  <c r="G345" i="1"/>
  <c r="G1031" i="1"/>
  <c r="G818" i="1"/>
  <c r="G484" i="1"/>
  <c r="G441" i="1"/>
  <c r="G30" i="1"/>
  <c r="G173" i="1"/>
  <c r="G455" i="1"/>
  <c r="G595" i="1"/>
  <c r="G739" i="1"/>
  <c r="G269" i="1"/>
  <c r="G692" i="1"/>
  <c r="G603" i="1"/>
  <c r="G947" i="1"/>
  <c r="G1267" i="1"/>
  <c r="G450" i="1"/>
  <c r="G254" i="1"/>
  <c r="G141" i="1"/>
  <c r="G180" i="1"/>
  <c r="G815" i="1"/>
  <c r="G231" i="1"/>
  <c r="G717" i="1"/>
  <c r="G1206" i="1"/>
  <c r="G330" i="1"/>
  <c r="G414" i="1"/>
  <c r="G665" i="1"/>
  <c r="G308" i="1"/>
  <c r="G185" i="1"/>
  <c r="G467" i="1"/>
  <c r="G893" i="1"/>
  <c r="G138" i="1"/>
  <c r="G848" i="1"/>
  <c r="G282" i="1"/>
  <c r="G124" i="1"/>
  <c r="G464" i="1"/>
  <c r="G806" i="1"/>
  <c r="G1294" i="1"/>
  <c r="G169" i="1"/>
  <c r="G46" i="1"/>
  <c r="G423" i="1"/>
  <c r="G258" i="1"/>
  <c r="G513" i="1"/>
  <c r="G736" i="1"/>
  <c r="G49" i="1"/>
  <c r="G794" i="1"/>
  <c r="G1222" i="1"/>
  <c r="G350" i="1"/>
  <c r="G587" i="1"/>
  <c r="G814" i="1"/>
  <c r="G1243" i="1"/>
  <c r="G434" i="1"/>
  <c r="G362" i="1"/>
  <c r="G710" i="1"/>
  <c r="G743" i="1"/>
  <c r="G1265" i="1"/>
  <c r="G1058" i="1"/>
  <c r="G770" i="1"/>
  <c r="G1102" i="1"/>
  <c r="G637" i="1"/>
  <c r="G510" i="1"/>
  <c r="G1085" i="1"/>
  <c r="G116" i="1"/>
  <c r="G844" i="1"/>
  <c r="G188" i="1"/>
  <c r="G222" i="1"/>
  <c r="G530" i="1"/>
  <c r="G1232" i="1"/>
  <c r="G53" i="1"/>
  <c r="G763" i="1"/>
  <c r="G905" i="1"/>
  <c r="G10" i="1"/>
  <c r="G576" i="1"/>
  <c r="G858" i="1"/>
  <c r="G1002" i="1"/>
  <c r="G123" i="1"/>
  <c r="G296" i="1"/>
  <c r="G648" i="1"/>
  <c r="G1150" i="1"/>
  <c r="G142" i="1"/>
  <c r="G63" i="1"/>
  <c r="G218" i="1"/>
  <c r="G850" i="1"/>
  <c r="G278" i="1"/>
  <c r="G532" i="1"/>
  <c r="G980" i="1"/>
  <c r="G1036" i="1"/>
  <c r="G99" i="1"/>
  <c r="G606" i="1"/>
  <c r="G101" i="1"/>
  <c r="G304" i="1"/>
  <c r="G257" i="1"/>
  <c r="G480" i="1"/>
  <c r="G680" i="1"/>
  <c r="G906" i="1"/>
  <c r="G81" i="1"/>
  <c r="G589" i="1"/>
  <c r="G861" i="1"/>
  <c r="G25" i="1"/>
  <c r="G84" i="1"/>
  <c r="G602" i="1"/>
  <c r="G923" i="1"/>
  <c r="G663" i="1"/>
  <c r="G981" i="1"/>
  <c r="G1303" i="1"/>
  <c r="G306" i="1"/>
  <c r="G1273" i="1"/>
  <c r="G598" i="1"/>
  <c r="G1097" i="1"/>
  <c r="G629" i="1"/>
  <c r="G611" i="1"/>
  <c r="G635" i="1"/>
  <c r="G694" i="1"/>
  <c r="G386" i="1"/>
  <c r="G85" i="1"/>
  <c r="G136" i="1"/>
  <c r="G538" i="1"/>
  <c r="G873" i="1"/>
  <c r="G822" i="1"/>
  <c r="G108" i="1"/>
  <c r="G730" i="1"/>
  <c r="G1014" i="1"/>
  <c r="G705" i="1"/>
  <c r="G154" i="1"/>
  <c r="G890" i="1"/>
  <c r="G830" i="1"/>
  <c r="G66" i="1"/>
  <c r="G305" i="1"/>
  <c r="G728" i="1"/>
  <c r="G875" i="1"/>
  <c r="G325" i="1"/>
  <c r="G550" i="1"/>
  <c r="G865" i="1"/>
  <c r="G682" i="1"/>
  <c r="G1318" i="1"/>
  <c r="G307" i="1"/>
  <c r="G646" i="1"/>
  <c r="G194" i="1"/>
  <c r="G686" i="1"/>
  <c r="G666" i="1"/>
  <c r="G230" i="1"/>
  <c r="G1269" i="1"/>
  <c r="G1212" i="1"/>
  <c r="G418" i="1"/>
  <c r="G928" i="1"/>
  <c r="G988" i="1"/>
  <c r="G318" i="1"/>
  <c r="G614" i="1"/>
  <c r="G1013" i="1"/>
  <c r="G1238" i="1"/>
  <c r="G540" i="1"/>
  <c r="G764" i="1"/>
  <c r="G966" i="1"/>
  <c r="G181" i="1"/>
  <c r="G421" i="1"/>
  <c r="G83" i="1"/>
  <c r="G216" i="1"/>
  <c r="G11" i="1"/>
  <c r="G591" i="1"/>
  <c r="G1193" i="1"/>
  <c r="G698" i="1"/>
  <c r="G3" i="1"/>
  <c r="G5" i="1"/>
  <c r="G394" i="1"/>
  <c r="G1218" i="1"/>
  <c r="G272" i="1"/>
  <c r="G1199" i="1"/>
  <c r="G855" i="1"/>
  <c r="G337" i="1"/>
  <c r="G771" i="1"/>
  <c r="G378" i="1"/>
  <c r="G289" i="1"/>
  <c r="G1015" i="1"/>
  <c r="G697" i="1"/>
  <c r="G1092" i="1"/>
  <c r="G672" i="1"/>
  <c r="G613" i="1"/>
  <c r="G98" i="1"/>
  <c r="G125" i="1"/>
  <c r="G1214" i="1"/>
  <c r="G78" i="1"/>
  <c r="G504" i="1"/>
  <c r="G339" i="1"/>
  <c r="G471" i="1"/>
  <c r="G543" i="1"/>
  <c r="G883" i="1"/>
  <c r="G323" i="1"/>
  <c r="G640" i="1"/>
  <c r="G1287" i="1"/>
  <c r="G241" i="1"/>
  <c r="G413" i="1"/>
  <c r="G1056" i="1"/>
  <c r="G1304" i="1"/>
  <c r="G701" i="1"/>
  <c r="G742" i="1"/>
  <c r="G769" i="1"/>
  <c r="G1173" i="1"/>
  <c r="G172" i="1"/>
  <c r="G1197" i="1"/>
  <c r="G309" i="1"/>
  <c r="G511" i="1"/>
  <c r="G845" i="1"/>
  <c r="G470" i="1"/>
  <c r="G759" i="1"/>
  <c r="G986" i="1"/>
  <c r="G1279" i="1"/>
  <c r="G932" i="1"/>
  <c r="G563" i="1"/>
  <c r="G1226" i="1"/>
  <c r="G90" i="1"/>
  <c r="G167" i="1"/>
  <c r="G68" i="1"/>
  <c r="G580" i="1"/>
  <c r="G1087" i="1"/>
  <c r="G200" i="1"/>
  <c r="G276" i="1"/>
  <c r="G347" i="1"/>
  <c r="G660" i="1"/>
  <c r="G1089" i="1"/>
  <c r="G610" i="1"/>
  <c r="G1321" i="1"/>
  <c r="G264" i="1"/>
  <c r="G1196" i="1"/>
  <c r="G827" i="1"/>
  <c r="G1219" i="1"/>
  <c r="G1151" i="1"/>
  <c r="G807" i="1"/>
  <c r="G1211" i="1"/>
  <c r="G6" i="1"/>
  <c r="G821" i="1"/>
  <c r="G808" i="1"/>
  <c r="G984" i="1"/>
  <c r="G1234" i="1"/>
  <c r="G353" i="1"/>
  <c r="G776" i="1"/>
  <c r="G195" i="1"/>
  <c r="G12" i="1"/>
  <c r="G935" i="1"/>
  <c r="G772" i="1"/>
  <c r="G1233" i="1"/>
  <c r="G250" i="1"/>
  <c r="G465" i="1"/>
  <c r="G853" i="1"/>
  <c r="G703" i="1"/>
  <c r="G388" i="1"/>
  <c r="G91" i="1"/>
  <c r="H1269" i="1"/>
  <c r="H387" i="1"/>
  <c r="H1187" i="1"/>
  <c r="H48" i="1"/>
  <c r="G322" i="1"/>
  <c r="H946" i="1"/>
  <c r="H544" i="1"/>
  <c r="H1095" i="1"/>
  <c r="H951" i="1"/>
  <c r="G424" i="1"/>
  <c r="G61" i="1"/>
  <c r="G829" i="1"/>
  <c r="G356" i="1"/>
  <c r="G196" i="1"/>
  <c r="G620" i="1"/>
  <c r="G667" i="1"/>
  <c r="H947" i="1"/>
  <c r="H169" i="1"/>
  <c r="H537" i="1"/>
  <c r="H1287" i="1"/>
  <c r="G145" i="1"/>
  <c r="G47" i="1"/>
  <c r="G186" i="1"/>
  <c r="H760" i="1"/>
  <c r="H141" i="1"/>
  <c r="H13" i="1"/>
  <c r="G896" i="1"/>
  <c r="G358" i="1"/>
  <c r="G483" i="1"/>
  <c r="G1220" i="1"/>
  <c r="G1005" i="1"/>
  <c r="H406" i="1"/>
  <c r="H896" i="1"/>
  <c r="H461" i="1"/>
  <c r="G381" i="1"/>
  <c r="G859" i="1"/>
  <c r="G522" i="1"/>
  <c r="G941" i="1"/>
  <c r="H1084" i="1"/>
  <c r="G107" i="1"/>
  <c r="G1305" i="1"/>
  <c r="G517" i="1"/>
  <c r="G1221" i="1"/>
  <c r="G324" i="1"/>
  <c r="G31" i="1"/>
  <c r="G77" i="1"/>
  <c r="H1254" i="1"/>
  <c r="H902" i="1"/>
  <c r="H512" i="1"/>
  <c r="H10" i="1"/>
  <c r="H825" i="1"/>
  <c r="H923" i="1"/>
  <c r="G469" i="1"/>
  <c r="G1068" i="1"/>
  <c r="G817" i="1"/>
  <c r="G971" i="1"/>
  <c r="G400" i="1"/>
  <c r="G938" i="1"/>
  <c r="G1263" i="1"/>
  <c r="G192" i="1"/>
  <c r="G1187" i="1"/>
  <c r="G1205" i="1"/>
  <c r="G553" i="1"/>
  <c r="G312" i="1"/>
  <c r="G819" i="1"/>
  <c r="G917" i="1"/>
  <c r="G65" i="1"/>
  <c r="H465" i="1"/>
  <c r="H168" i="1"/>
  <c r="H480" i="1"/>
  <c r="H865" i="1"/>
  <c r="H144" i="1"/>
  <c r="H905" i="1"/>
  <c r="H972" i="1"/>
  <c r="H850" i="1"/>
  <c r="H598" i="1"/>
  <c r="H94" i="1"/>
  <c r="H296" i="1"/>
  <c r="H11" i="1"/>
  <c r="H717" i="1"/>
  <c r="H230" i="1"/>
  <c r="H692" i="1"/>
  <c r="H845" i="1"/>
  <c r="H194" i="1"/>
  <c r="H698" i="1"/>
  <c r="H861" i="1"/>
  <c r="H407" i="1"/>
  <c r="H591" i="1"/>
  <c r="H948" i="1"/>
  <c r="H1273" i="1"/>
  <c r="H304" i="1"/>
  <c r="H851" i="1"/>
  <c r="H674" i="1"/>
  <c r="H1092" i="1"/>
  <c r="H381" i="1"/>
  <c r="H600" i="1"/>
  <c r="H1218" i="1"/>
  <c r="H275" i="1"/>
  <c r="H883" i="1"/>
  <c r="H1150" i="1"/>
  <c r="H82" i="1"/>
  <c r="H378" i="1"/>
  <c r="H672" i="1"/>
  <c r="H1214" i="1"/>
  <c r="H1024" i="1"/>
  <c r="H1279" i="1"/>
  <c r="H251" i="1"/>
  <c r="H644" i="1"/>
  <c r="H873" i="1"/>
  <c r="H145" i="1"/>
  <c r="H245" i="1"/>
  <c r="H830" i="1"/>
  <c r="H6" i="1"/>
  <c r="H362" i="1"/>
  <c r="H703" i="1"/>
  <c r="H759" i="1"/>
  <c r="H1211" i="1"/>
  <c r="H1212" i="1"/>
  <c r="H1321" i="1"/>
  <c r="H29" i="1"/>
  <c r="H172" i="1"/>
  <c r="H1206" i="1"/>
  <c r="H1262" i="1"/>
  <c r="H175" i="1"/>
  <c r="H318" i="1"/>
  <c r="H597" i="1"/>
  <c r="H100" i="1"/>
  <c r="H1011" i="1"/>
  <c r="H51" i="1"/>
  <c r="H388" i="1"/>
  <c r="H726" i="1"/>
  <c r="H1191" i="1"/>
  <c r="H71" i="1"/>
  <c r="H257" i="1"/>
  <c r="H622" i="1"/>
  <c r="H807" i="1"/>
  <c r="H1298" i="1"/>
  <c r="H337" i="1"/>
  <c r="H701" i="1"/>
  <c r="H878" i="1"/>
  <c r="H47" i="1"/>
  <c r="H710" i="1"/>
  <c r="H200" i="1"/>
  <c r="H417" i="1"/>
  <c r="H636" i="1"/>
  <c r="H854" i="1"/>
  <c r="H89" i="1"/>
  <c r="H312" i="1"/>
  <c r="H530" i="1"/>
  <c r="H1173" i="1"/>
  <c r="H356" i="1"/>
  <c r="H646" i="1"/>
  <c r="H1193" i="1"/>
  <c r="H504" i="1"/>
  <c r="H1318" i="1"/>
  <c r="H154" i="1"/>
  <c r="H543" i="1"/>
  <c r="H928" i="1"/>
  <c r="H323" i="1"/>
  <c r="H829" i="1"/>
  <c r="H99" i="1"/>
  <c r="H1230" i="1"/>
  <c r="H827" i="1"/>
  <c r="H78" i="1"/>
  <c r="H116" i="1"/>
  <c r="H171" i="1"/>
  <c r="H858" i="1"/>
  <c r="H325" i="1"/>
  <c r="H996" i="1"/>
  <c r="H43" i="1"/>
  <c r="H330" i="1"/>
  <c r="H469" i="1"/>
  <c r="H269" i="1"/>
  <c r="H422" i="1"/>
  <c r="H579" i="1"/>
  <c r="H732" i="1"/>
  <c r="H879" i="1"/>
  <c r="H65" i="1"/>
  <c r="H402" i="1"/>
  <c r="H573" i="1"/>
  <c r="H86" i="1"/>
  <c r="H637" i="1"/>
  <c r="H822" i="1"/>
  <c r="H167" i="1"/>
  <c r="H534" i="1"/>
  <c r="H893" i="1"/>
  <c r="H1222" i="1"/>
  <c r="H66" i="1"/>
  <c r="H728" i="1"/>
  <c r="H938" i="1"/>
  <c r="H1324" i="1"/>
  <c r="H216" i="1"/>
  <c r="H1075" i="1"/>
  <c r="H107" i="1"/>
  <c r="H550" i="1"/>
  <c r="H770" i="1"/>
  <c r="H81" i="1"/>
  <c r="H667" i="1"/>
  <c r="H1213" i="1"/>
  <c r="H450" i="1"/>
  <c r="H232" i="1"/>
  <c r="H818" i="1"/>
  <c r="H1089" i="1"/>
  <c r="H806" i="1"/>
  <c r="H960" i="1"/>
  <c r="H1303" i="1"/>
  <c r="H742" i="1"/>
  <c r="H1305" i="1"/>
  <c r="H63" i="1"/>
  <c r="H1199" i="1"/>
  <c r="H969" i="1"/>
  <c r="H737" i="1"/>
  <c r="H849" i="1"/>
  <c r="H225" i="1"/>
  <c r="H521" i="1"/>
  <c r="H663" i="1"/>
  <c r="H481" i="1"/>
  <c r="H765" i="1"/>
  <c r="H250" i="1"/>
  <c r="H416" i="1"/>
  <c r="H1215" i="1"/>
  <c r="H102" i="1"/>
  <c r="H470" i="1"/>
  <c r="H182" i="1"/>
  <c r="H549" i="1"/>
  <c r="H1235" i="1"/>
  <c r="H84" i="1"/>
  <c r="H125" i="1"/>
  <c r="H347" i="1"/>
  <c r="H185" i="1"/>
  <c r="H1300" i="1"/>
  <c r="H844" i="1"/>
  <c r="H443" i="1"/>
  <c r="H610" i="1"/>
  <c r="H986" i="1"/>
  <c r="H556" i="1"/>
  <c r="H386" i="1"/>
  <c r="H191" i="1"/>
  <c r="H613" i="1"/>
  <c r="H3" i="1"/>
  <c r="H917" i="1"/>
  <c r="H101" i="1"/>
  <c r="H690" i="1"/>
  <c r="H1231" i="1"/>
  <c r="H441" i="1"/>
  <c r="H1013" i="1"/>
  <c r="H558" i="1"/>
  <c r="H894" i="1"/>
  <c r="H1243" i="1"/>
  <c r="H339" i="1"/>
  <c r="H857" i="1"/>
  <c r="H852" i="1"/>
  <c r="H508" i="1"/>
  <c r="H136" i="1"/>
  <c r="H874" i="1"/>
  <c r="H606" i="1"/>
  <c r="H57" i="1"/>
  <c r="H320" i="1"/>
  <c r="H30" i="1"/>
  <c r="H1294" i="1"/>
  <c r="H1233" i="1"/>
  <c r="H511" i="1"/>
  <c r="H856" i="1"/>
  <c r="H205" i="1"/>
  <c r="H620" i="1"/>
  <c r="H980" i="1"/>
  <c r="H932" i="1"/>
  <c r="H578" i="1"/>
  <c r="H353" i="1"/>
  <c r="H680" i="1"/>
  <c r="H484" i="1"/>
  <c r="H46" i="1"/>
  <c r="H405" i="1"/>
  <c r="H1085" i="1"/>
  <c r="H815" i="1"/>
  <c r="H522" i="1"/>
  <c r="H1207" i="1"/>
  <c r="H1234" i="1"/>
  <c r="H1248" i="1"/>
  <c r="H475" i="1"/>
  <c r="H305" i="1"/>
  <c r="H673" i="1"/>
  <c r="H67" i="1"/>
  <c r="H258" i="1"/>
  <c r="H681" i="1"/>
  <c r="H367" i="1"/>
  <c r="H906" i="1"/>
  <c r="H72" i="1"/>
  <c r="H31" i="1"/>
  <c r="H694" i="1"/>
  <c r="H218" i="1"/>
  <c r="H1219" i="1"/>
  <c r="H1087" i="1"/>
  <c r="H595" i="1"/>
  <c r="H1068" i="1"/>
  <c r="H83" i="1"/>
  <c r="H576" i="1"/>
  <c r="H90" i="1"/>
  <c r="H608" i="1"/>
  <c r="H1220" i="1"/>
  <c r="H384" i="1"/>
  <c r="H155" i="1"/>
  <c r="H360" i="1"/>
  <c r="H1014" i="1"/>
  <c r="H603" i="1"/>
  <c r="H1210" i="1"/>
  <c r="H464" i="1"/>
  <c r="H173" i="1"/>
  <c r="H640" i="1"/>
  <c r="H855" i="1"/>
  <c r="H966" i="1"/>
  <c r="H424" i="1"/>
  <c r="H1221" i="1"/>
  <c r="H686" i="1"/>
  <c r="H1196" i="1"/>
  <c r="H819" i="1"/>
  <c r="H85" i="1"/>
  <c r="H1267" i="1"/>
  <c r="H697" i="1"/>
  <c r="H186" i="1"/>
  <c r="H648" i="1"/>
  <c r="H188" i="1"/>
  <c r="H514" i="1"/>
  <c r="H195" i="1"/>
  <c r="H880" i="1"/>
  <c r="H394" i="1"/>
  <c r="H170" i="1"/>
  <c r="H814" i="1"/>
  <c r="H467" i="1"/>
  <c r="H138" i="1"/>
  <c r="H1205" i="1"/>
  <c r="H748" i="1"/>
  <c r="H1151" i="1"/>
  <c r="H414" i="1"/>
  <c r="H42" i="1"/>
  <c r="H764" i="1"/>
  <c r="H79" i="1"/>
  <c r="H505" i="1"/>
  <c r="H361" i="1"/>
  <c r="H614" i="1"/>
  <c r="H821" i="1"/>
  <c r="H670" i="1"/>
  <c r="H920" i="1"/>
  <c r="H935" i="1"/>
  <c r="H1157" i="1"/>
  <c r="H123" i="1"/>
  <c r="H1058" i="1"/>
  <c r="H49" i="1"/>
  <c r="H711" i="1"/>
  <c r="H602" i="1"/>
  <c r="H1236" i="1"/>
  <c r="H255" i="1"/>
  <c r="H743" i="1"/>
  <c r="H231" i="1"/>
  <c r="H624" i="1"/>
  <c r="H596" i="1"/>
  <c r="H981" i="1"/>
  <c r="H413" i="1"/>
  <c r="H835" i="1"/>
  <c r="H1304" i="1"/>
  <c r="H682" i="1"/>
  <c r="H736" i="1"/>
  <c r="H1065" i="1"/>
  <c r="H570" i="1"/>
  <c r="H532" i="1"/>
  <c r="H629" i="1"/>
  <c r="H91" i="1"/>
  <c r="H282" i="1"/>
  <c r="H517" i="1"/>
  <c r="H705" i="1"/>
  <c r="H627" i="1"/>
  <c r="H180" i="1"/>
  <c r="H410" i="1"/>
  <c r="H142" i="1"/>
  <c r="H434" i="1"/>
  <c r="H68" i="1"/>
  <c r="H365" i="1"/>
  <c r="H730" i="1"/>
  <c r="H254" i="1"/>
  <c r="H772" i="1"/>
  <c r="H260" i="1"/>
  <c r="H869" i="1"/>
  <c r="H25" i="1"/>
  <c r="H1056" i="1"/>
  <c r="H5" i="1"/>
  <c r="H1102" i="1"/>
  <c r="H702" i="1"/>
  <c r="H70" i="1"/>
  <c r="H665" i="1"/>
  <c r="H239" i="1"/>
  <c r="H859" i="1"/>
  <c r="H984" i="1"/>
  <c r="H1097" i="1"/>
  <c r="H306" i="1"/>
  <c r="H192" i="1"/>
  <c r="H264" i="1"/>
  <c r="H769" i="1"/>
  <c r="H181" i="1"/>
  <c r="H440" i="1"/>
  <c r="H929" i="1"/>
  <c r="H828" i="1"/>
  <c r="H98" i="1"/>
  <c r="H442" i="1"/>
  <c r="H1002" i="1"/>
  <c r="G544" i="1"/>
  <c r="G828" i="1"/>
  <c r="G191" i="1"/>
  <c r="G27" i="1"/>
  <c r="G225" i="1"/>
  <c r="G644" i="1"/>
  <c r="H423" i="1"/>
  <c r="H563" i="1"/>
  <c r="H409" i="1"/>
  <c r="G1095" i="1"/>
  <c r="G360" i="1"/>
  <c r="G43" i="1"/>
  <c r="G574" i="1"/>
  <c r="G846" i="1"/>
  <c r="G86" i="1"/>
  <c r="H209" i="1"/>
  <c r="H240" i="1"/>
  <c r="H776" i="1"/>
  <c r="H884" i="1"/>
  <c r="G402" i="1"/>
  <c r="G706" i="1"/>
  <c r="G13" i="1"/>
  <c r="H507" i="1"/>
  <c r="H324" i="1"/>
  <c r="H1197" i="1"/>
  <c r="H498" i="1"/>
  <c r="H599" i="1"/>
  <c r="H1263" i="1"/>
  <c r="H307" i="1"/>
  <c r="G670" i="1"/>
  <c r="G182" i="1"/>
  <c r="G608" i="1"/>
  <c r="G232" i="1"/>
  <c r="H468" i="1"/>
  <c r="H847" i="1"/>
  <c r="G1213" i="1"/>
  <c r="G1248" i="1"/>
  <c r="G1051" i="1"/>
  <c r="G599" i="1"/>
  <c r="G851" i="1"/>
  <c r="H262" i="1"/>
  <c r="H817" i="1"/>
  <c r="H783" i="1"/>
  <c r="H789" i="1"/>
  <c r="G597" i="1"/>
  <c r="G72" i="1"/>
  <c r="G490" i="1"/>
  <c r="G578" i="1"/>
  <c r="G262" i="1"/>
  <c r="G1034" i="1"/>
  <c r="G849" i="1"/>
  <c r="G42" i="1"/>
  <c r="H1241" i="1"/>
  <c r="H1264" i="1"/>
  <c r="H291" i="1"/>
  <c r="H322" i="1"/>
  <c r="G1235" i="1"/>
  <c r="G1065" i="1"/>
  <c r="G508" i="1"/>
  <c r="G929" i="1"/>
  <c r="H561" i="1"/>
  <c r="H538" i="1"/>
  <c r="H1226" i="1"/>
  <c r="H1192" i="1"/>
  <c r="H272" i="1"/>
  <c r="H345" i="1"/>
  <c r="H27" i="1"/>
  <c r="H612" i="1"/>
  <c r="H108" i="1"/>
  <c r="H222" i="1"/>
  <c r="G1192" i="1"/>
  <c r="G1324" i="1"/>
  <c r="G895" i="1"/>
  <c r="G561" i="1"/>
  <c r="G416" i="1"/>
  <c r="G1231" i="1"/>
  <c r="G409" i="1"/>
  <c r="G622" i="1"/>
  <c r="G789" i="1"/>
  <c r="G843" i="1"/>
  <c r="G860" i="1"/>
  <c r="G59" i="1"/>
  <c r="G171" i="1"/>
  <c r="G475" i="1"/>
  <c r="G387" i="1"/>
  <c r="G240" i="1"/>
  <c r="G948" i="1"/>
  <c r="G1254" i="1"/>
  <c r="G1298" i="1"/>
  <c r="G869" i="1"/>
  <c r="G443" i="1"/>
  <c r="H1238" i="1"/>
  <c r="H734" i="1"/>
  <c r="H69" i="1"/>
  <c r="H840" i="1"/>
  <c r="H1036" i="1"/>
  <c r="H241" i="1"/>
  <c r="H1031" i="1"/>
  <c r="H37" i="1"/>
  <c r="H706" i="1"/>
  <c r="H585" i="1"/>
  <c r="G1210" i="1"/>
  <c r="G175" i="1"/>
  <c r="G600" i="1"/>
  <c r="G556" i="1"/>
  <c r="G239" i="1"/>
  <c r="G51" i="1"/>
  <c r="G537" i="1"/>
  <c r="G734" i="1"/>
  <c r="G37" i="1"/>
  <c r="H971" i="1"/>
  <c r="H635" i="1"/>
  <c r="H274" i="1"/>
  <c r="H513" i="1"/>
  <c r="G361" i="1"/>
  <c r="G1230" i="1"/>
  <c r="G170" i="1"/>
  <c r="G1216" i="1"/>
  <c r="H1216" i="1"/>
  <c r="H1232" i="1"/>
  <c r="H321" i="1"/>
  <c r="G760" i="1"/>
  <c r="G251" i="1"/>
  <c r="G946" i="1"/>
  <c r="G94" i="1"/>
  <c r="G726" i="1"/>
  <c r="G854" i="1"/>
  <c r="G690" i="1"/>
  <c r="H238" i="1"/>
  <c r="H483" i="1"/>
  <c r="H843" i="1"/>
  <c r="H400" i="1"/>
  <c r="G842" i="1"/>
  <c r="G48" i="1"/>
  <c r="H763" i="1"/>
  <c r="G1217" i="1"/>
  <c r="G894" i="1"/>
  <c r="H941" i="1"/>
  <c r="H234" i="1"/>
  <c r="G570" i="1"/>
  <c r="H771" i="1"/>
  <c r="G442" i="1"/>
  <c r="G560" i="1"/>
  <c r="G275" i="1"/>
  <c r="G732" i="1"/>
  <c r="G481" i="1"/>
  <c r="G440" i="1"/>
  <c r="G880" i="1"/>
  <c r="G526" i="1"/>
  <c r="G57" i="1"/>
  <c r="G100" i="1"/>
  <c r="G496" i="1"/>
  <c r="G969" i="1"/>
  <c r="G274" i="1"/>
  <c r="G155" i="1"/>
  <c r="G920" i="1"/>
  <c r="G406" i="1"/>
  <c r="G847" i="1"/>
  <c r="G419" i="1"/>
  <c r="H895" i="1"/>
  <c r="H77" i="1"/>
  <c r="H890" i="1"/>
  <c r="H540" i="1"/>
  <c r="H846" i="1"/>
  <c r="H988" i="1"/>
  <c r="H53" i="1"/>
  <c r="H860" i="1"/>
  <c r="H143" i="1"/>
  <c r="H471" i="1"/>
  <c r="H1005" i="1"/>
  <c r="H12" i="1"/>
  <c r="H565" i="1"/>
  <c r="G708" i="1"/>
  <c r="G673" i="1"/>
  <c r="G856" i="1"/>
  <c r="G1157" i="1"/>
  <c r="G234" i="1"/>
  <c r="G765" i="1"/>
  <c r="G748" i="1"/>
  <c r="G565" i="1"/>
  <c r="G1323" i="1"/>
  <c r="G70" i="1"/>
  <c r="G825" i="1"/>
  <c r="G852" i="1"/>
  <c r="G143" i="1"/>
  <c r="G549" i="1"/>
  <c r="H1015" i="1"/>
  <c r="I3" i="1"/>
  <c r="I47" i="1"/>
  <c r="I59" i="1"/>
  <c r="I71" i="1"/>
  <c r="I83" i="1"/>
  <c r="I107" i="1"/>
  <c r="I143" i="1"/>
  <c r="I155" i="1"/>
  <c r="I167" i="1"/>
  <c r="I191" i="1"/>
  <c r="I25" i="1"/>
  <c r="I48" i="1"/>
  <c r="I72" i="1"/>
  <c r="I84" i="1"/>
  <c r="I108" i="1"/>
  <c r="I144" i="1"/>
  <c r="I168" i="1"/>
  <c r="I180" i="1"/>
  <c r="I192" i="1"/>
  <c r="I239" i="1"/>
  <c r="I251" i="1"/>
  <c r="I275" i="1"/>
  <c r="I323" i="1"/>
  <c r="I347" i="1"/>
  <c r="I402" i="1"/>
  <c r="I414" i="1"/>
  <c r="I450" i="1"/>
  <c r="I498" i="1"/>
  <c r="I510" i="1"/>
  <c r="I522" i="1"/>
  <c r="I534" i="1"/>
  <c r="I558" i="1"/>
  <c r="I570" i="1"/>
  <c r="I602" i="1"/>
  <c r="I614" i="1"/>
  <c r="I674" i="1"/>
  <c r="I686" i="1"/>
  <c r="I698" i="1"/>
  <c r="I710" i="1"/>
  <c r="I734" i="1"/>
  <c r="I770" i="1"/>
  <c r="I794" i="1"/>
  <c r="I806" i="1"/>
  <c r="I818" i="1"/>
  <c r="I830" i="1"/>
  <c r="I842" i="1"/>
  <c r="I948" i="1"/>
  <c r="I960" i="1"/>
  <c r="I972" i="1"/>
  <c r="I984" i="1"/>
  <c r="I996" i="1"/>
  <c r="I5" i="1"/>
  <c r="I37" i="1"/>
  <c r="I49" i="1"/>
  <c r="I61" i="1"/>
  <c r="I85" i="1"/>
  <c r="I145" i="1"/>
  <c r="I169" i="1"/>
  <c r="I181" i="1"/>
  <c r="I216" i="1"/>
  <c r="I240" i="1"/>
  <c r="I264" i="1"/>
  <c r="I276" i="1"/>
  <c r="I312" i="1"/>
  <c r="I324" i="1"/>
  <c r="I360" i="1"/>
  <c r="I475" i="1"/>
  <c r="I511" i="1"/>
  <c r="I591" i="1"/>
  <c r="I603" i="1"/>
  <c r="I627" i="1"/>
  <c r="I663" i="1"/>
  <c r="I711" i="1"/>
  <c r="I747" i="1"/>
  <c r="I759" i="1"/>
  <c r="I771" i="1"/>
  <c r="I783" i="1"/>
  <c r="I807" i="1"/>
  <c r="I819" i="1"/>
  <c r="I843" i="1"/>
  <c r="I853" i="1"/>
  <c r="I865" i="1"/>
  <c r="I6" i="1"/>
  <c r="I65" i="1"/>
  <c r="I98" i="1"/>
  <c r="I194" i="1"/>
  <c r="I307" i="1"/>
  <c r="I321" i="1"/>
  <c r="I337" i="1"/>
  <c r="I365" i="1"/>
  <c r="I388" i="1"/>
  <c r="I418" i="1"/>
  <c r="I490" i="1"/>
  <c r="I504" i="1"/>
  <c r="I532" i="1"/>
  <c r="I576" i="1"/>
  <c r="I600" i="1"/>
  <c r="I644" i="1"/>
  <c r="I672" i="1"/>
  <c r="I702" i="1"/>
  <c r="I730" i="1"/>
  <c r="I760" i="1"/>
  <c r="I846" i="1"/>
  <c r="I858" i="1"/>
  <c r="I902" i="1"/>
  <c r="I988" i="1"/>
  <c r="I1002" i="1"/>
  <c r="I1014" i="1"/>
  <c r="I1085" i="1"/>
  <c r="I1097" i="1"/>
  <c r="I51" i="1"/>
  <c r="I66" i="1"/>
  <c r="I81" i="1"/>
  <c r="I99" i="1"/>
  <c r="I195" i="1"/>
  <c r="I222" i="1"/>
  <c r="I250" i="1"/>
  <c r="I308" i="1"/>
  <c r="I322" i="1"/>
  <c r="I378" i="1"/>
  <c r="I405" i="1"/>
  <c r="I419" i="1"/>
  <c r="I461" i="1"/>
  <c r="I505" i="1"/>
  <c r="I549" i="1"/>
  <c r="I563" i="1"/>
  <c r="I587" i="1"/>
  <c r="I673" i="1"/>
  <c r="I703" i="1"/>
  <c r="I717" i="1"/>
  <c r="I789" i="1"/>
  <c r="I817" i="1"/>
  <c r="I847" i="1"/>
  <c r="I859" i="1"/>
  <c r="I873" i="1"/>
  <c r="I917" i="1"/>
  <c r="I1015" i="1"/>
  <c r="I1051" i="1"/>
  <c r="I1192" i="1"/>
  <c r="I1216" i="1"/>
  <c r="I1264" i="1"/>
  <c r="I1300" i="1"/>
  <c r="I1324" i="1"/>
  <c r="I78" i="1"/>
  <c r="I100" i="1"/>
  <c r="I154" i="1"/>
  <c r="I196" i="1"/>
  <c r="I245" i="1"/>
  <c r="I367" i="1"/>
  <c r="I381" i="1"/>
  <c r="I598" i="1"/>
  <c r="I772" i="1"/>
  <c r="I808" i="1"/>
  <c r="I840" i="1"/>
  <c r="I856" i="1"/>
  <c r="I874" i="1"/>
  <c r="I1024" i="1"/>
  <c r="I1068" i="1"/>
  <c r="I1095" i="1"/>
  <c r="I1151" i="1"/>
  <c r="I1207" i="1"/>
  <c r="I1220" i="1"/>
  <c r="I1233" i="1"/>
  <c r="I1298" i="1"/>
  <c r="I9" i="1"/>
  <c r="I27" i="1"/>
  <c r="I67" i="1"/>
  <c r="I171" i="1"/>
  <c r="I230" i="1"/>
  <c r="I304" i="1"/>
  <c r="I325" i="1"/>
  <c r="I361" i="1"/>
  <c r="I394" i="1"/>
  <c r="I469" i="1"/>
  <c r="I507" i="1"/>
  <c r="I526" i="1"/>
  <c r="I543" i="1"/>
  <c r="I596" i="1"/>
  <c r="I613" i="1"/>
  <c r="I635" i="1"/>
  <c r="I10" i="1"/>
  <c r="I68" i="1"/>
  <c r="I89" i="1"/>
  <c r="I172" i="1"/>
  <c r="I231" i="1"/>
  <c r="I248" i="1"/>
  <c r="I269" i="1"/>
  <c r="I305" i="1"/>
  <c r="I362" i="1"/>
  <c r="I413" i="1"/>
  <c r="I434" i="1"/>
  <c r="I470" i="1"/>
  <c r="I508" i="1"/>
  <c r="I544" i="1"/>
  <c r="I565" i="1"/>
  <c r="I597" i="1"/>
  <c r="I636" i="1"/>
  <c r="I825" i="1"/>
  <c r="I844" i="1"/>
  <c r="I861" i="1"/>
  <c r="I880" i="1"/>
  <c r="I935" i="1"/>
  <c r="I971" i="1"/>
  <c r="I1294" i="1"/>
  <c r="I11" i="1"/>
  <c r="I31" i="1"/>
  <c r="I79" i="1"/>
  <c r="I225" i="1"/>
  <c r="I272" i="1"/>
  <c r="I424" i="1"/>
  <c r="I471" i="1"/>
  <c r="I560" i="1"/>
  <c r="I624" i="1"/>
  <c r="I667" i="1"/>
  <c r="I690" i="1"/>
  <c r="I708" i="1"/>
  <c r="I728" i="1"/>
  <c r="I769" i="1"/>
  <c r="I851" i="1"/>
  <c r="I893" i="1"/>
  <c r="I1013" i="1"/>
  <c r="I1031" i="1"/>
  <c r="I1065" i="1"/>
  <c r="I1213" i="1"/>
  <c r="I1321" i="1"/>
  <c r="I12" i="1"/>
  <c r="I82" i="1"/>
  <c r="I205" i="1"/>
  <c r="I254" i="1"/>
  <c r="I296" i="1"/>
  <c r="I318" i="1"/>
  <c r="I406" i="1"/>
  <c r="I517" i="1"/>
  <c r="I540" i="1"/>
  <c r="I561" i="1"/>
  <c r="I606" i="1"/>
  <c r="I648" i="1"/>
  <c r="I732" i="1"/>
  <c r="I835" i="1"/>
  <c r="I852" i="1"/>
  <c r="I894" i="1"/>
  <c r="I1199" i="1"/>
  <c r="I1214" i="1"/>
  <c r="I1230" i="1"/>
  <c r="I1323" i="1"/>
  <c r="I13" i="1"/>
  <c r="I69" i="1"/>
  <c r="I94" i="1"/>
  <c r="I125" i="1"/>
  <c r="I353" i="1"/>
  <c r="I481" i="1"/>
  <c r="I537" i="1"/>
  <c r="I611" i="1"/>
  <c r="I665" i="1"/>
  <c r="I692" i="1"/>
  <c r="I764" i="1"/>
  <c r="I814" i="1"/>
  <c r="I884" i="1"/>
  <c r="I938" i="1"/>
  <c r="I1150" i="1"/>
  <c r="I1226" i="1"/>
  <c r="I1265" i="1"/>
  <c r="I70" i="1"/>
  <c r="I101" i="1"/>
  <c r="I188" i="1"/>
  <c r="I218" i="1"/>
  <c r="I400" i="1"/>
  <c r="I483" i="1"/>
  <c r="I512" i="1"/>
  <c r="I538" i="1"/>
  <c r="I589" i="1"/>
  <c r="I612" i="1"/>
  <c r="I666" i="1"/>
  <c r="I694" i="1"/>
  <c r="I765" i="1"/>
  <c r="I815" i="1"/>
  <c r="I986" i="1"/>
  <c r="I1210" i="1"/>
  <c r="I1248" i="1"/>
  <c r="I1267" i="1"/>
  <c r="I1303" i="1"/>
  <c r="I42" i="1"/>
  <c r="I102" i="1"/>
  <c r="I136" i="1"/>
  <c r="I274" i="1"/>
  <c r="I407" i="1"/>
  <c r="I484" i="1"/>
  <c r="I513" i="1"/>
  <c r="I620" i="1"/>
  <c r="I670" i="1"/>
  <c r="I742" i="1"/>
  <c r="I890" i="1"/>
  <c r="I1011" i="1"/>
  <c r="I1092" i="1"/>
  <c r="I1173" i="1"/>
  <c r="I1191" i="1"/>
  <c r="I1211" i="1"/>
  <c r="I1231" i="1"/>
  <c r="I1304" i="1"/>
  <c r="I53" i="1"/>
  <c r="I91" i="1"/>
  <c r="I138" i="1"/>
  <c r="I173" i="1"/>
  <c r="I209" i="1"/>
  <c r="I356" i="1"/>
  <c r="I386" i="1"/>
  <c r="I421" i="1"/>
  <c r="I496" i="1"/>
  <c r="I599" i="1"/>
  <c r="I701" i="1"/>
  <c r="I736" i="1"/>
  <c r="I829" i="1"/>
  <c r="I928" i="1"/>
  <c r="I966" i="1"/>
  <c r="I1212" i="1"/>
  <c r="I1236" i="1"/>
  <c r="I1287" i="1"/>
  <c r="I175" i="1"/>
  <c r="I255" i="1"/>
  <c r="I387" i="1"/>
  <c r="I422" i="1"/>
  <c r="I464" i="1"/>
  <c r="I530" i="1"/>
  <c r="I573" i="1"/>
  <c r="I637" i="1"/>
  <c r="I705" i="1"/>
  <c r="I737" i="1"/>
  <c r="I776" i="1"/>
  <c r="I929" i="1"/>
  <c r="I1056" i="1"/>
  <c r="I1187" i="1"/>
  <c r="I1215" i="1"/>
  <c r="I1238" i="1"/>
  <c r="I1262" i="1"/>
  <c r="I57" i="1"/>
  <c r="I289" i="1"/>
  <c r="I320" i="1"/>
  <c r="I358" i="1"/>
  <c r="I423" i="1"/>
  <c r="I465" i="1"/>
  <c r="I574" i="1"/>
  <c r="I640" i="1"/>
  <c r="I706" i="1"/>
  <c r="I739" i="1"/>
  <c r="I869" i="1"/>
  <c r="I932" i="1"/>
  <c r="I1058" i="1"/>
  <c r="I1217" i="1"/>
  <c r="I1263" i="1"/>
  <c r="I182" i="1"/>
  <c r="I232" i="1"/>
  <c r="I330" i="1"/>
  <c r="I416" i="1"/>
  <c r="I467" i="1"/>
  <c r="I514" i="1"/>
  <c r="I608" i="1"/>
  <c r="I743" i="1"/>
  <c r="I875" i="1"/>
  <c r="I1075" i="1"/>
  <c r="I1218" i="1"/>
  <c r="I1279" i="1"/>
  <c r="I123" i="1"/>
  <c r="I185" i="1"/>
  <c r="I278" i="1"/>
  <c r="I417" i="1"/>
  <c r="I468" i="1"/>
  <c r="I556" i="1"/>
  <c r="I697" i="1"/>
  <c r="I748" i="1"/>
  <c r="I827" i="1"/>
  <c r="I878" i="1"/>
  <c r="I920" i="1"/>
  <c r="I1005" i="1"/>
  <c r="I1219" i="1"/>
  <c r="I29" i="1"/>
  <c r="I77" i="1"/>
  <c r="I124" i="1"/>
  <c r="I186" i="1"/>
  <c r="I234" i="1"/>
  <c r="I282" i="1"/>
  <c r="I521" i="1"/>
  <c r="I610" i="1"/>
  <c r="I828" i="1"/>
  <c r="I879" i="1"/>
  <c r="I1221" i="1"/>
  <c r="I1254" i="1"/>
  <c r="I1318" i="1"/>
  <c r="I30" i="1"/>
  <c r="I86" i="1"/>
  <c r="I141" i="1"/>
  <c r="I198" i="1"/>
  <c r="I660" i="1"/>
  <c r="I845" i="1"/>
  <c r="I969" i="1"/>
  <c r="I1084" i="1"/>
  <c r="I1193" i="1"/>
  <c r="I1222" i="1"/>
  <c r="I339" i="1"/>
  <c r="I550" i="1"/>
  <c r="I622" i="1"/>
  <c r="I681" i="1"/>
  <c r="I946" i="1"/>
  <c r="I200" i="1"/>
  <c r="I260" i="1"/>
  <c r="I480" i="1"/>
  <c r="I682" i="1"/>
  <c r="I821" i="1"/>
  <c r="I883" i="1"/>
  <c r="I947" i="1"/>
  <c r="I1273" i="1"/>
  <c r="I291" i="1"/>
  <c r="I350" i="1"/>
  <c r="I578" i="1"/>
  <c r="I763" i="1"/>
  <c r="I848" i="1"/>
  <c r="I896" i="1"/>
  <c r="I1087" i="1"/>
  <c r="I1196" i="1"/>
  <c r="I1235" i="1"/>
  <c r="I43" i="1"/>
  <c r="I116" i="1"/>
  <c r="I262" i="1"/>
  <c r="I345" i="1"/>
  <c r="I409" i="1"/>
  <c r="I553" i="1"/>
  <c r="I822" i="1"/>
  <c r="I1232" i="1"/>
  <c r="I46" i="1"/>
  <c r="I410" i="1"/>
  <c r="I629" i="1"/>
  <c r="I895" i="1"/>
  <c r="I951" i="1"/>
  <c r="I1234" i="1"/>
  <c r="I142" i="1"/>
  <c r="I440" i="1"/>
  <c r="I579" i="1"/>
  <c r="I646" i="1"/>
  <c r="I849" i="1"/>
  <c r="I905" i="1"/>
  <c r="I1034" i="1"/>
  <c r="I1089" i="1"/>
  <c r="I1197" i="1"/>
  <c r="I1241" i="1"/>
  <c r="I63" i="1"/>
  <c r="I441" i="1"/>
  <c r="I580" i="1"/>
  <c r="I906" i="1"/>
  <c r="I980" i="1"/>
  <c r="I241" i="1"/>
  <c r="I585" i="1"/>
  <c r="I1206" i="1"/>
  <c r="I257" i="1"/>
  <c r="I442" i="1"/>
  <c r="I923" i="1"/>
  <c r="I1305" i="1"/>
  <c r="I90" i="1"/>
  <c r="I258" i="1"/>
  <c r="I443" i="1"/>
  <c r="I455" i="1"/>
  <c r="I850" i="1"/>
  <c r="I306" i="1"/>
  <c r="I595" i="1"/>
  <c r="I941" i="1"/>
  <c r="I309" i="1"/>
  <c r="I1205" i="1"/>
  <c r="I981" i="1"/>
  <c r="I1102" i="1"/>
  <c r="I1243" i="1"/>
  <c r="I680" i="1"/>
  <c r="I170" i="1"/>
  <c r="I1157" i="1"/>
  <c r="I854" i="1"/>
  <c r="I855" i="1"/>
  <c r="I238" i="1"/>
  <c r="I726" i="1"/>
  <c r="I384" i="1"/>
  <c r="I1269" i="1"/>
  <c r="I1036" i="1"/>
  <c r="I857" i="1"/>
  <c r="I860" i="1"/>
  <c r="G1207" i="1"/>
  <c r="G209" i="1"/>
  <c r="H560" i="1"/>
  <c r="H587" i="1"/>
  <c r="H9" i="1"/>
  <c r="H808" i="1"/>
  <c r="G840" i="1"/>
  <c r="G1300" i="1"/>
  <c r="G1264" i="1"/>
  <c r="G879" i="1"/>
  <c r="G498" i="1"/>
  <c r="G711" i="1"/>
  <c r="G521" i="1"/>
  <c r="G198" i="1"/>
  <c r="H739" i="1"/>
  <c r="H358" i="1"/>
  <c r="H418" i="1"/>
  <c r="H1217" i="1"/>
  <c r="H794" i="1"/>
  <c r="G410" i="1"/>
  <c r="G507" i="1"/>
  <c r="G1084" i="1"/>
  <c r="H490" i="1"/>
  <c r="H708" i="1"/>
  <c r="H510" i="1"/>
  <c r="G461" i="1"/>
  <c r="G1236" i="1"/>
  <c r="G29" i="1"/>
  <c r="G168" i="1"/>
  <c r="G596" i="1"/>
  <c r="H308" i="1"/>
  <c r="H1034" i="1"/>
  <c r="H278" i="1"/>
  <c r="G612" i="1"/>
  <c r="G585" i="1"/>
  <c r="G417" i="1"/>
  <c r="G468" i="1"/>
  <c r="G89" i="1"/>
  <c r="H589" i="1"/>
  <c r="G248" i="1"/>
  <c r="G79" i="1"/>
  <c r="G996" i="1"/>
  <c r="G624" i="1"/>
  <c r="H309" i="1"/>
  <c r="G783" i="1"/>
  <c r="G874" i="1"/>
  <c r="G205" i="1"/>
  <c r="G512" i="1"/>
  <c r="G321" i="1"/>
  <c r="G884" i="1"/>
  <c r="G1024" i="1"/>
  <c r="G878" i="1"/>
  <c r="G573" i="1"/>
  <c r="G951" i="1"/>
  <c r="G255" i="1"/>
  <c r="G1215" i="1"/>
  <c r="G365" i="1"/>
  <c r="G1262" i="1"/>
  <c r="G835" i="1"/>
  <c r="G407" i="1"/>
  <c r="H848" i="1"/>
  <c r="H496" i="1"/>
  <c r="H875" i="1"/>
  <c r="H248" i="1"/>
  <c r="H842" i="1"/>
  <c r="H124" i="1"/>
  <c r="H853" i="1"/>
  <c r="H198" i="1"/>
  <c r="H455" i="1"/>
  <c r="H747" i="1"/>
  <c r="H196" i="1"/>
  <c r="H666" i="1"/>
  <c r="H553" i="1"/>
</calcChain>
</file>

<file path=xl/sharedStrings.xml><?xml version="1.0" encoding="utf-8"?>
<sst xmlns="http://schemas.openxmlformats.org/spreadsheetml/2006/main" count="4217" uniqueCount="59">
  <si>
    <t>time</t>
  </si>
  <si>
    <t>tavg</t>
  </si>
  <si>
    <t>tmin</t>
  </si>
  <si>
    <t>tmax</t>
  </si>
  <si>
    <t>prcp</t>
  </si>
  <si>
    <t>To Find thew outliers</t>
  </si>
  <si>
    <t>Quartile 1</t>
  </si>
  <si>
    <t>Quartile 3</t>
  </si>
  <si>
    <t>for tavg:</t>
  </si>
  <si>
    <t>IQR</t>
  </si>
  <si>
    <t>Upper limit</t>
  </si>
  <si>
    <t>Lower limit</t>
  </si>
  <si>
    <t>for prcp:</t>
  </si>
  <si>
    <t>for tmin:</t>
  </si>
  <si>
    <t>for tmax:</t>
  </si>
  <si>
    <t>is outlier B</t>
  </si>
  <si>
    <t>is outlier C</t>
  </si>
  <si>
    <t>is outlier D</t>
  </si>
  <si>
    <t>is outlier E</t>
  </si>
  <si>
    <t>Year</t>
  </si>
  <si>
    <t>Row Labels</t>
  </si>
  <si>
    <t>Grand Total</t>
  </si>
  <si>
    <t>Sum of tavg</t>
  </si>
  <si>
    <t>Sum of prcp</t>
  </si>
  <si>
    <t>PREDICTED VALUES</t>
  </si>
  <si>
    <t>BUILDING REGRESSION MODEL</t>
  </si>
  <si>
    <t>R^2 value:</t>
  </si>
  <si>
    <t>polynomial regression:</t>
  </si>
  <si>
    <t>y = 553.71x2 - 2480x + 6682.7</t>
  </si>
  <si>
    <r>
      <t>y = 192.25x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- 1147.2x + 2580.8</t>
    </r>
  </si>
  <si>
    <t>Normal</t>
  </si>
  <si>
    <t>1</t>
  </si>
  <si>
    <t>2</t>
  </si>
  <si>
    <t>3</t>
  </si>
  <si>
    <t>4</t>
  </si>
  <si>
    <t>5</t>
  </si>
  <si>
    <t>6</t>
  </si>
  <si>
    <t>y = 842.23x + 2806.8</t>
  </si>
  <si>
    <t>y = 6.33x + 1235.1</t>
  </si>
  <si>
    <t>month</t>
  </si>
  <si>
    <t>month2</t>
  </si>
  <si>
    <t>year</t>
  </si>
  <si>
    <t>TRAINING</t>
  </si>
  <si>
    <t>MONTH</t>
  </si>
  <si>
    <t>TESTING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</si>
  <si>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</si>
  <si>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</si>
  <si>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</si>
  <si>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</si>
  <si>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</si>
  <si>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</si>
  <si>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</si>
  <si>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</si>
  <si>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</si>
  <si>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</si>
  <si>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</si>
  <si>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</si>
  <si>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</si>
  <si>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Average of tavg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</si>
</sst>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theme="1"/>
      </patternFill>
    </fill>
  </fills>
  <borders count="8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4" fontId="1" fillId="3" borderId="2" xfId="0" applyNumberFormat="1" applyFont="1" applyFill="1" applyBorder="1"/>
    <xf numFmtId="14" fontId="0" fillId="0" borderId="2" xfId="0" applyNumberFormat="1" applyBorder="1"/>
    <xf numFmtId="14" fontId="1" fillId="3" borderId="0" xfId="0" applyNumberFormat="1" applyFont="1" applyFill="1"/>
    <xf numFmtId="0" fontId="1" fillId="3" borderId="0" xfId="0" applyFont="1" applyFill="1"/>
    <xf numFmtId="0" fontId="3" fillId="0" borderId="6" xfId="0" applyFont="1" applyBorder="1" applyAlignment="1">
      <alignment horizontal="centerContinuous"/>
    </xf>
    <xf numFmtId="0" fontId="0" fillId="0" borderId="7" xfId="0" applyBorder="1"/>
    <xf numFmtId="14" fontId="0" fillId="0" borderId="4" xfId="0" applyNumberFormat="1" applyBorder="1"/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43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m/d/yyyy"/>
      <border diagonalUp="0" diagonalDown="0" outline="0">
        <left/>
        <right/>
        <top style="thin">
          <color theme="1"/>
        </top>
        <bottom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m/d/yyyy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</dxf>
    <dxf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m/d/yyyy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Trend Graph (tavg)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tavg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DATA!$A$2:$A$1326</c:f>
              <c:numCache>
                <c:formatCode>m/d/yyyy</c:formatCode>
                <c:ptCount val="1022"/>
                <c:pt idx="0">
                  <c:v>42761</c:v>
                </c:pt>
                <c:pt idx="1">
                  <c:v>42762</c:v>
                </c:pt>
                <c:pt idx="2">
                  <c:v>42763</c:v>
                </c:pt>
                <c:pt idx="3">
                  <c:v>42764</c:v>
                </c:pt>
                <c:pt idx="4">
                  <c:v>42801</c:v>
                </c:pt>
                <c:pt idx="5">
                  <c:v>42803</c:v>
                </c:pt>
                <c:pt idx="6">
                  <c:v>42805</c:v>
                </c:pt>
                <c:pt idx="7">
                  <c:v>42808</c:v>
                </c:pt>
                <c:pt idx="8">
                  <c:v>42809</c:v>
                </c:pt>
                <c:pt idx="9">
                  <c:v>42830</c:v>
                </c:pt>
                <c:pt idx="10">
                  <c:v>42831</c:v>
                </c:pt>
                <c:pt idx="11">
                  <c:v>42842</c:v>
                </c:pt>
                <c:pt idx="12">
                  <c:v>42845</c:v>
                </c:pt>
                <c:pt idx="13">
                  <c:v>42846</c:v>
                </c:pt>
                <c:pt idx="14">
                  <c:v>42854</c:v>
                </c:pt>
                <c:pt idx="15">
                  <c:v>42855</c:v>
                </c:pt>
                <c:pt idx="16">
                  <c:v>42856</c:v>
                </c:pt>
                <c:pt idx="17">
                  <c:v>42857</c:v>
                </c:pt>
                <c:pt idx="18">
                  <c:v>42858</c:v>
                </c:pt>
                <c:pt idx="19">
                  <c:v>42862</c:v>
                </c:pt>
                <c:pt idx="20">
                  <c:v>42864</c:v>
                </c:pt>
                <c:pt idx="21">
                  <c:v>42865</c:v>
                </c:pt>
                <c:pt idx="22">
                  <c:v>42866</c:v>
                </c:pt>
                <c:pt idx="23">
                  <c:v>42867</c:v>
                </c:pt>
                <c:pt idx="24">
                  <c:v>42870</c:v>
                </c:pt>
                <c:pt idx="25">
                  <c:v>42873</c:v>
                </c:pt>
                <c:pt idx="26">
                  <c:v>42875</c:v>
                </c:pt>
                <c:pt idx="27">
                  <c:v>42877</c:v>
                </c:pt>
                <c:pt idx="28">
                  <c:v>42880</c:v>
                </c:pt>
                <c:pt idx="29">
                  <c:v>42881</c:v>
                </c:pt>
                <c:pt idx="30">
                  <c:v>42884</c:v>
                </c:pt>
                <c:pt idx="31">
                  <c:v>42886</c:v>
                </c:pt>
                <c:pt idx="32">
                  <c:v>42892</c:v>
                </c:pt>
                <c:pt idx="33">
                  <c:v>42893</c:v>
                </c:pt>
                <c:pt idx="34">
                  <c:v>42894</c:v>
                </c:pt>
                <c:pt idx="35">
                  <c:v>42895</c:v>
                </c:pt>
                <c:pt idx="36">
                  <c:v>42896</c:v>
                </c:pt>
                <c:pt idx="37">
                  <c:v>42897</c:v>
                </c:pt>
                <c:pt idx="38">
                  <c:v>42898</c:v>
                </c:pt>
                <c:pt idx="39">
                  <c:v>42899</c:v>
                </c:pt>
                <c:pt idx="40">
                  <c:v>42900</c:v>
                </c:pt>
                <c:pt idx="41">
                  <c:v>42901</c:v>
                </c:pt>
                <c:pt idx="42">
                  <c:v>42904</c:v>
                </c:pt>
                <c:pt idx="43">
                  <c:v>42905</c:v>
                </c:pt>
                <c:pt idx="44">
                  <c:v>42906</c:v>
                </c:pt>
                <c:pt idx="45">
                  <c:v>42907</c:v>
                </c:pt>
                <c:pt idx="46">
                  <c:v>42908</c:v>
                </c:pt>
                <c:pt idx="47">
                  <c:v>42909</c:v>
                </c:pt>
                <c:pt idx="48">
                  <c:v>42910</c:v>
                </c:pt>
                <c:pt idx="49">
                  <c:v>42911</c:v>
                </c:pt>
                <c:pt idx="50">
                  <c:v>42912</c:v>
                </c:pt>
                <c:pt idx="51">
                  <c:v>42913</c:v>
                </c:pt>
                <c:pt idx="52">
                  <c:v>42914</c:v>
                </c:pt>
                <c:pt idx="53">
                  <c:v>42915</c:v>
                </c:pt>
                <c:pt idx="54">
                  <c:v>42917</c:v>
                </c:pt>
                <c:pt idx="55">
                  <c:v>42918</c:v>
                </c:pt>
                <c:pt idx="56">
                  <c:v>42920</c:v>
                </c:pt>
                <c:pt idx="57">
                  <c:v>42921</c:v>
                </c:pt>
                <c:pt idx="58">
                  <c:v>42922</c:v>
                </c:pt>
                <c:pt idx="59">
                  <c:v>42923</c:v>
                </c:pt>
                <c:pt idx="60">
                  <c:v>42924</c:v>
                </c:pt>
                <c:pt idx="61">
                  <c:v>42925</c:v>
                </c:pt>
                <c:pt idx="62">
                  <c:v>42928</c:v>
                </c:pt>
                <c:pt idx="63">
                  <c:v>42929</c:v>
                </c:pt>
                <c:pt idx="64">
                  <c:v>42930</c:v>
                </c:pt>
                <c:pt idx="65">
                  <c:v>42931</c:v>
                </c:pt>
                <c:pt idx="66">
                  <c:v>42932</c:v>
                </c:pt>
                <c:pt idx="67">
                  <c:v>42933</c:v>
                </c:pt>
                <c:pt idx="68">
                  <c:v>42934</c:v>
                </c:pt>
                <c:pt idx="69">
                  <c:v>42935</c:v>
                </c:pt>
                <c:pt idx="70">
                  <c:v>42936</c:v>
                </c:pt>
                <c:pt idx="71">
                  <c:v>42937</c:v>
                </c:pt>
                <c:pt idx="72">
                  <c:v>42938</c:v>
                </c:pt>
                <c:pt idx="73">
                  <c:v>42941</c:v>
                </c:pt>
                <c:pt idx="74">
                  <c:v>42942</c:v>
                </c:pt>
                <c:pt idx="75">
                  <c:v>42946</c:v>
                </c:pt>
                <c:pt idx="76">
                  <c:v>42947</c:v>
                </c:pt>
                <c:pt idx="77">
                  <c:v>42948</c:v>
                </c:pt>
                <c:pt idx="78">
                  <c:v>42949</c:v>
                </c:pt>
                <c:pt idx="79">
                  <c:v>42950</c:v>
                </c:pt>
                <c:pt idx="80">
                  <c:v>42951</c:v>
                </c:pt>
                <c:pt idx="81">
                  <c:v>42952</c:v>
                </c:pt>
                <c:pt idx="82">
                  <c:v>42953</c:v>
                </c:pt>
                <c:pt idx="83">
                  <c:v>42954</c:v>
                </c:pt>
                <c:pt idx="84">
                  <c:v>42956</c:v>
                </c:pt>
                <c:pt idx="85">
                  <c:v>42958</c:v>
                </c:pt>
                <c:pt idx="86">
                  <c:v>42960</c:v>
                </c:pt>
                <c:pt idx="87">
                  <c:v>42961</c:v>
                </c:pt>
                <c:pt idx="88">
                  <c:v>42965</c:v>
                </c:pt>
                <c:pt idx="89">
                  <c:v>42966</c:v>
                </c:pt>
                <c:pt idx="90">
                  <c:v>42968</c:v>
                </c:pt>
                <c:pt idx="91">
                  <c:v>42969</c:v>
                </c:pt>
                <c:pt idx="92">
                  <c:v>42973</c:v>
                </c:pt>
                <c:pt idx="93">
                  <c:v>42974</c:v>
                </c:pt>
                <c:pt idx="94">
                  <c:v>42975</c:v>
                </c:pt>
                <c:pt idx="95">
                  <c:v>42976</c:v>
                </c:pt>
                <c:pt idx="96">
                  <c:v>42977</c:v>
                </c:pt>
                <c:pt idx="97">
                  <c:v>42978</c:v>
                </c:pt>
                <c:pt idx="98">
                  <c:v>42983</c:v>
                </c:pt>
                <c:pt idx="99">
                  <c:v>42985</c:v>
                </c:pt>
                <c:pt idx="100">
                  <c:v>42986</c:v>
                </c:pt>
                <c:pt idx="101">
                  <c:v>42989</c:v>
                </c:pt>
                <c:pt idx="102">
                  <c:v>42993</c:v>
                </c:pt>
                <c:pt idx="103">
                  <c:v>42994</c:v>
                </c:pt>
                <c:pt idx="104">
                  <c:v>42996</c:v>
                </c:pt>
                <c:pt idx="105">
                  <c:v>42997</c:v>
                </c:pt>
                <c:pt idx="106">
                  <c:v>42998</c:v>
                </c:pt>
                <c:pt idx="107">
                  <c:v>43000</c:v>
                </c:pt>
                <c:pt idx="108">
                  <c:v>43001</c:v>
                </c:pt>
                <c:pt idx="109">
                  <c:v>43002</c:v>
                </c:pt>
                <c:pt idx="110">
                  <c:v>43004</c:v>
                </c:pt>
                <c:pt idx="111">
                  <c:v>43006</c:v>
                </c:pt>
                <c:pt idx="112">
                  <c:v>43007</c:v>
                </c:pt>
                <c:pt idx="113">
                  <c:v>43009</c:v>
                </c:pt>
                <c:pt idx="114">
                  <c:v>43011</c:v>
                </c:pt>
                <c:pt idx="115">
                  <c:v>43012</c:v>
                </c:pt>
                <c:pt idx="116">
                  <c:v>43017</c:v>
                </c:pt>
                <c:pt idx="117">
                  <c:v>43018</c:v>
                </c:pt>
                <c:pt idx="118">
                  <c:v>43019</c:v>
                </c:pt>
                <c:pt idx="119">
                  <c:v>43024</c:v>
                </c:pt>
                <c:pt idx="120">
                  <c:v>43025</c:v>
                </c:pt>
                <c:pt idx="121">
                  <c:v>43027</c:v>
                </c:pt>
                <c:pt idx="122">
                  <c:v>43035</c:v>
                </c:pt>
                <c:pt idx="123">
                  <c:v>43036</c:v>
                </c:pt>
                <c:pt idx="124">
                  <c:v>43039</c:v>
                </c:pt>
                <c:pt idx="125">
                  <c:v>43040</c:v>
                </c:pt>
                <c:pt idx="126">
                  <c:v>43041</c:v>
                </c:pt>
                <c:pt idx="127">
                  <c:v>43042</c:v>
                </c:pt>
                <c:pt idx="128">
                  <c:v>43044</c:v>
                </c:pt>
                <c:pt idx="129">
                  <c:v>43045</c:v>
                </c:pt>
                <c:pt idx="130">
                  <c:v>43046</c:v>
                </c:pt>
                <c:pt idx="131">
                  <c:v>43048</c:v>
                </c:pt>
                <c:pt idx="132">
                  <c:v>43056</c:v>
                </c:pt>
                <c:pt idx="133">
                  <c:v>43069</c:v>
                </c:pt>
                <c:pt idx="134">
                  <c:v>43072</c:v>
                </c:pt>
                <c:pt idx="135">
                  <c:v>43082</c:v>
                </c:pt>
                <c:pt idx="136">
                  <c:v>43139</c:v>
                </c:pt>
                <c:pt idx="137">
                  <c:v>43140</c:v>
                </c:pt>
                <c:pt idx="138">
                  <c:v>43141</c:v>
                </c:pt>
                <c:pt idx="139">
                  <c:v>43142</c:v>
                </c:pt>
                <c:pt idx="140">
                  <c:v>43173</c:v>
                </c:pt>
                <c:pt idx="141">
                  <c:v>43174</c:v>
                </c:pt>
                <c:pt idx="142">
                  <c:v>43176</c:v>
                </c:pt>
                <c:pt idx="143">
                  <c:v>43177</c:v>
                </c:pt>
                <c:pt idx="144">
                  <c:v>43189</c:v>
                </c:pt>
                <c:pt idx="145">
                  <c:v>43190</c:v>
                </c:pt>
                <c:pt idx="146">
                  <c:v>43191</c:v>
                </c:pt>
                <c:pt idx="147">
                  <c:v>43194</c:v>
                </c:pt>
                <c:pt idx="148">
                  <c:v>43213</c:v>
                </c:pt>
                <c:pt idx="149">
                  <c:v>43214</c:v>
                </c:pt>
                <c:pt idx="150">
                  <c:v>43215</c:v>
                </c:pt>
                <c:pt idx="151">
                  <c:v>43216</c:v>
                </c:pt>
                <c:pt idx="152">
                  <c:v>43217</c:v>
                </c:pt>
                <c:pt idx="153">
                  <c:v>43218</c:v>
                </c:pt>
                <c:pt idx="154">
                  <c:v>43220</c:v>
                </c:pt>
                <c:pt idx="155">
                  <c:v>43221</c:v>
                </c:pt>
                <c:pt idx="156">
                  <c:v>43222</c:v>
                </c:pt>
                <c:pt idx="157">
                  <c:v>43223</c:v>
                </c:pt>
                <c:pt idx="158">
                  <c:v>43225</c:v>
                </c:pt>
                <c:pt idx="159">
                  <c:v>43229</c:v>
                </c:pt>
                <c:pt idx="160">
                  <c:v>43233</c:v>
                </c:pt>
                <c:pt idx="161">
                  <c:v>43236</c:v>
                </c:pt>
                <c:pt idx="162">
                  <c:v>43237</c:v>
                </c:pt>
                <c:pt idx="163">
                  <c:v>43240</c:v>
                </c:pt>
                <c:pt idx="164">
                  <c:v>43241</c:v>
                </c:pt>
                <c:pt idx="165">
                  <c:v>43242</c:v>
                </c:pt>
                <c:pt idx="166">
                  <c:v>43247</c:v>
                </c:pt>
                <c:pt idx="167">
                  <c:v>43248</c:v>
                </c:pt>
                <c:pt idx="168">
                  <c:v>43250</c:v>
                </c:pt>
                <c:pt idx="169">
                  <c:v>43252</c:v>
                </c:pt>
                <c:pt idx="170">
                  <c:v>43253</c:v>
                </c:pt>
                <c:pt idx="171">
                  <c:v>43254</c:v>
                </c:pt>
                <c:pt idx="172">
                  <c:v>43255</c:v>
                </c:pt>
                <c:pt idx="173">
                  <c:v>43256</c:v>
                </c:pt>
                <c:pt idx="174">
                  <c:v>43257</c:v>
                </c:pt>
                <c:pt idx="175">
                  <c:v>43258</c:v>
                </c:pt>
                <c:pt idx="176">
                  <c:v>43259</c:v>
                </c:pt>
                <c:pt idx="177">
                  <c:v>43260</c:v>
                </c:pt>
                <c:pt idx="178">
                  <c:v>43261</c:v>
                </c:pt>
                <c:pt idx="179">
                  <c:v>43262</c:v>
                </c:pt>
                <c:pt idx="180">
                  <c:v>43265</c:v>
                </c:pt>
                <c:pt idx="181">
                  <c:v>43266</c:v>
                </c:pt>
                <c:pt idx="182">
                  <c:v>43267</c:v>
                </c:pt>
                <c:pt idx="183">
                  <c:v>43268</c:v>
                </c:pt>
                <c:pt idx="184">
                  <c:v>43270</c:v>
                </c:pt>
                <c:pt idx="185">
                  <c:v>43271</c:v>
                </c:pt>
                <c:pt idx="186">
                  <c:v>43273</c:v>
                </c:pt>
                <c:pt idx="187">
                  <c:v>43274</c:v>
                </c:pt>
                <c:pt idx="188">
                  <c:v>43276</c:v>
                </c:pt>
                <c:pt idx="189">
                  <c:v>43277</c:v>
                </c:pt>
                <c:pt idx="190">
                  <c:v>43279</c:v>
                </c:pt>
                <c:pt idx="191">
                  <c:v>43280</c:v>
                </c:pt>
                <c:pt idx="192">
                  <c:v>43281</c:v>
                </c:pt>
                <c:pt idx="193">
                  <c:v>43282</c:v>
                </c:pt>
                <c:pt idx="194">
                  <c:v>43283</c:v>
                </c:pt>
                <c:pt idx="195">
                  <c:v>43284</c:v>
                </c:pt>
                <c:pt idx="196">
                  <c:v>43285</c:v>
                </c:pt>
                <c:pt idx="197">
                  <c:v>43288</c:v>
                </c:pt>
                <c:pt idx="198">
                  <c:v>43289</c:v>
                </c:pt>
                <c:pt idx="199">
                  <c:v>43290</c:v>
                </c:pt>
                <c:pt idx="200">
                  <c:v>43291</c:v>
                </c:pt>
                <c:pt idx="201">
                  <c:v>43293</c:v>
                </c:pt>
                <c:pt idx="202">
                  <c:v>43294</c:v>
                </c:pt>
                <c:pt idx="203">
                  <c:v>43295</c:v>
                </c:pt>
                <c:pt idx="204">
                  <c:v>43296</c:v>
                </c:pt>
                <c:pt idx="205">
                  <c:v>43297</c:v>
                </c:pt>
                <c:pt idx="206">
                  <c:v>43298</c:v>
                </c:pt>
                <c:pt idx="207">
                  <c:v>43299</c:v>
                </c:pt>
                <c:pt idx="208">
                  <c:v>43301</c:v>
                </c:pt>
                <c:pt idx="209">
                  <c:v>43302</c:v>
                </c:pt>
                <c:pt idx="210">
                  <c:v>43303</c:v>
                </c:pt>
                <c:pt idx="211">
                  <c:v>43304</c:v>
                </c:pt>
                <c:pt idx="212">
                  <c:v>43306</c:v>
                </c:pt>
                <c:pt idx="213">
                  <c:v>43307</c:v>
                </c:pt>
                <c:pt idx="214">
                  <c:v>43308</c:v>
                </c:pt>
                <c:pt idx="215">
                  <c:v>43309</c:v>
                </c:pt>
                <c:pt idx="216">
                  <c:v>43311</c:v>
                </c:pt>
                <c:pt idx="217">
                  <c:v>43312</c:v>
                </c:pt>
                <c:pt idx="218">
                  <c:v>43313</c:v>
                </c:pt>
                <c:pt idx="219">
                  <c:v>43315</c:v>
                </c:pt>
                <c:pt idx="220">
                  <c:v>43316</c:v>
                </c:pt>
                <c:pt idx="221">
                  <c:v>43317</c:v>
                </c:pt>
                <c:pt idx="222">
                  <c:v>43318</c:v>
                </c:pt>
                <c:pt idx="223">
                  <c:v>43320</c:v>
                </c:pt>
                <c:pt idx="224">
                  <c:v>43321</c:v>
                </c:pt>
                <c:pt idx="225">
                  <c:v>43322</c:v>
                </c:pt>
                <c:pt idx="226">
                  <c:v>43323</c:v>
                </c:pt>
                <c:pt idx="227">
                  <c:v>43324</c:v>
                </c:pt>
                <c:pt idx="228">
                  <c:v>43325</c:v>
                </c:pt>
                <c:pt idx="229">
                  <c:v>43326</c:v>
                </c:pt>
                <c:pt idx="230">
                  <c:v>43327</c:v>
                </c:pt>
                <c:pt idx="231">
                  <c:v>43329</c:v>
                </c:pt>
                <c:pt idx="232">
                  <c:v>43330</c:v>
                </c:pt>
                <c:pt idx="233">
                  <c:v>43331</c:v>
                </c:pt>
                <c:pt idx="234">
                  <c:v>43332</c:v>
                </c:pt>
                <c:pt idx="235">
                  <c:v>43333</c:v>
                </c:pt>
                <c:pt idx="236">
                  <c:v>43334</c:v>
                </c:pt>
                <c:pt idx="237">
                  <c:v>43335</c:v>
                </c:pt>
                <c:pt idx="238">
                  <c:v>43336</c:v>
                </c:pt>
                <c:pt idx="239">
                  <c:v>43338</c:v>
                </c:pt>
                <c:pt idx="240">
                  <c:v>43339</c:v>
                </c:pt>
                <c:pt idx="241">
                  <c:v>43340</c:v>
                </c:pt>
                <c:pt idx="242">
                  <c:v>43341</c:v>
                </c:pt>
                <c:pt idx="243">
                  <c:v>43342</c:v>
                </c:pt>
                <c:pt idx="244">
                  <c:v>43344</c:v>
                </c:pt>
                <c:pt idx="245">
                  <c:v>43345</c:v>
                </c:pt>
                <c:pt idx="246">
                  <c:v>43346</c:v>
                </c:pt>
                <c:pt idx="247">
                  <c:v>43350</c:v>
                </c:pt>
                <c:pt idx="248">
                  <c:v>43351</c:v>
                </c:pt>
                <c:pt idx="249">
                  <c:v>43352</c:v>
                </c:pt>
                <c:pt idx="250">
                  <c:v>43354</c:v>
                </c:pt>
                <c:pt idx="251">
                  <c:v>43355</c:v>
                </c:pt>
                <c:pt idx="252">
                  <c:v>43357</c:v>
                </c:pt>
                <c:pt idx="253">
                  <c:v>43358</c:v>
                </c:pt>
                <c:pt idx="254">
                  <c:v>43359</c:v>
                </c:pt>
                <c:pt idx="255">
                  <c:v>43364</c:v>
                </c:pt>
                <c:pt idx="256">
                  <c:v>43365</c:v>
                </c:pt>
                <c:pt idx="257">
                  <c:v>43369</c:v>
                </c:pt>
                <c:pt idx="258">
                  <c:v>43371</c:v>
                </c:pt>
                <c:pt idx="259">
                  <c:v>43372</c:v>
                </c:pt>
                <c:pt idx="260">
                  <c:v>43373</c:v>
                </c:pt>
                <c:pt idx="261">
                  <c:v>43374</c:v>
                </c:pt>
                <c:pt idx="262">
                  <c:v>43375</c:v>
                </c:pt>
                <c:pt idx="263">
                  <c:v>43376</c:v>
                </c:pt>
                <c:pt idx="264">
                  <c:v>43378</c:v>
                </c:pt>
                <c:pt idx="265">
                  <c:v>43379</c:v>
                </c:pt>
                <c:pt idx="266">
                  <c:v>43380</c:v>
                </c:pt>
                <c:pt idx="267">
                  <c:v>43381</c:v>
                </c:pt>
                <c:pt idx="268">
                  <c:v>43382</c:v>
                </c:pt>
                <c:pt idx="269">
                  <c:v>43383</c:v>
                </c:pt>
                <c:pt idx="270">
                  <c:v>43388</c:v>
                </c:pt>
                <c:pt idx="271">
                  <c:v>43389</c:v>
                </c:pt>
                <c:pt idx="272">
                  <c:v>43390</c:v>
                </c:pt>
                <c:pt idx="273">
                  <c:v>43392</c:v>
                </c:pt>
                <c:pt idx="274">
                  <c:v>43393</c:v>
                </c:pt>
                <c:pt idx="275">
                  <c:v>43407</c:v>
                </c:pt>
                <c:pt idx="276">
                  <c:v>43408</c:v>
                </c:pt>
                <c:pt idx="277">
                  <c:v>43409</c:v>
                </c:pt>
                <c:pt idx="278">
                  <c:v>43420</c:v>
                </c:pt>
                <c:pt idx="279">
                  <c:v>43421</c:v>
                </c:pt>
                <c:pt idx="280">
                  <c:v>43422</c:v>
                </c:pt>
                <c:pt idx="281">
                  <c:v>43424</c:v>
                </c:pt>
                <c:pt idx="282">
                  <c:v>43426</c:v>
                </c:pt>
                <c:pt idx="283">
                  <c:v>43427</c:v>
                </c:pt>
                <c:pt idx="284">
                  <c:v>43429</c:v>
                </c:pt>
                <c:pt idx="285">
                  <c:v>43439</c:v>
                </c:pt>
                <c:pt idx="286">
                  <c:v>43440</c:v>
                </c:pt>
                <c:pt idx="287">
                  <c:v>43454</c:v>
                </c:pt>
                <c:pt idx="288">
                  <c:v>43464</c:v>
                </c:pt>
                <c:pt idx="289">
                  <c:v>43494</c:v>
                </c:pt>
                <c:pt idx="290">
                  <c:v>43495</c:v>
                </c:pt>
                <c:pt idx="291">
                  <c:v>43529</c:v>
                </c:pt>
                <c:pt idx="292">
                  <c:v>43564</c:v>
                </c:pt>
                <c:pt idx="293">
                  <c:v>43575</c:v>
                </c:pt>
                <c:pt idx="294">
                  <c:v>43576</c:v>
                </c:pt>
                <c:pt idx="295">
                  <c:v>43578</c:v>
                </c:pt>
                <c:pt idx="296">
                  <c:v>43586</c:v>
                </c:pt>
                <c:pt idx="297">
                  <c:v>43592</c:v>
                </c:pt>
                <c:pt idx="298">
                  <c:v>43594</c:v>
                </c:pt>
                <c:pt idx="299">
                  <c:v>43598</c:v>
                </c:pt>
                <c:pt idx="300">
                  <c:v>43599</c:v>
                </c:pt>
                <c:pt idx="301">
                  <c:v>43600</c:v>
                </c:pt>
                <c:pt idx="302">
                  <c:v>43602</c:v>
                </c:pt>
                <c:pt idx="303">
                  <c:v>43609</c:v>
                </c:pt>
                <c:pt idx="304">
                  <c:v>43610</c:v>
                </c:pt>
                <c:pt idx="305">
                  <c:v>43614</c:v>
                </c:pt>
                <c:pt idx="306">
                  <c:v>43615</c:v>
                </c:pt>
                <c:pt idx="307">
                  <c:v>43617</c:v>
                </c:pt>
                <c:pt idx="308">
                  <c:v>43618</c:v>
                </c:pt>
                <c:pt idx="309">
                  <c:v>43619</c:v>
                </c:pt>
                <c:pt idx="310">
                  <c:v>43620</c:v>
                </c:pt>
                <c:pt idx="311">
                  <c:v>43624</c:v>
                </c:pt>
                <c:pt idx="312">
                  <c:v>43629</c:v>
                </c:pt>
                <c:pt idx="313">
                  <c:v>43635</c:v>
                </c:pt>
                <c:pt idx="314">
                  <c:v>43636</c:v>
                </c:pt>
                <c:pt idx="315">
                  <c:v>43637</c:v>
                </c:pt>
                <c:pt idx="316">
                  <c:v>43638</c:v>
                </c:pt>
                <c:pt idx="317">
                  <c:v>43639</c:v>
                </c:pt>
                <c:pt idx="318">
                  <c:v>43641</c:v>
                </c:pt>
                <c:pt idx="319">
                  <c:v>43642</c:v>
                </c:pt>
                <c:pt idx="320">
                  <c:v>43644</c:v>
                </c:pt>
                <c:pt idx="321">
                  <c:v>43645</c:v>
                </c:pt>
                <c:pt idx="322">
                  <c:v>43647</c:v>
                </c:pt>
                <c:pt idx="323">
                  <c:v>43649</c:v>
                </c:pt>
                <c:pt idx="324">
                  <c:v>43651</c:v>
                </c:pt>
                <c:pt idx="325">
                  <c:v>43653</c:v>
                </c:pt>
                <c:pt idx="326">
                  <c:v>43654</c:v>
                </c:pt>
                <c:pt idx="327">
                  <c:v>43655</c:v>
                </c:pt>
                <c:pt idx="328">
                  <c:v>43656</c:v>
                </c:pt>
                <c:pt idx="329">
                  <c:v>43657</c:v>
                </c:pt>
                <c:pt idx="330">
                  <c:v>43658</c:v>
                </c:pt>
                <c:pt idx="331">
                  <c:v>43659</c:v>
                </c:pt>
                <c:pt idx="332">
                  <c:v>43660</c:v>
                </c:pt>
                <c:pt idx="333">
                  <c:v>43661</c:v>
                </c:pt>
                <c:pt idx="334">
                  <c:v>43662</c:v>
                </c:pt>
                <c:pt idx="335">
                  <c:v>43663</c:v>
                </c:pt>
                <c:pt idx="336">
                  <c:v>43665</c:v>
                </c:pt>
                <c:pt idx="337">
                  <c:v>43666</c:v>
                </c:pt>
                <c:pt idx="338">
                  <c:v>43667</c:v>
                </c:pt>
                <c:pt idx="339">
                  <c:v>43668</c:v>
                </c:pt>
                <c:pt idx="340">
                  <c:v>43670</c:v>
                </c:pt>
                <c:pt idx="341">
                  <c:v>43671</c:v>
                </c:pt>
                <c:pt idx="342">
                  <c:v>43673</c:v>
                </c:pt>
                <c:pt idx="343">
                  <c:v>43674</c:v>
                </c:pt>
                <c:pt idx="344">
                  <c:v>43675</c:v>
                </c:pt>
                <c:pt idx="345">
                  <c:v>43676</c:v>
                </c:pt>
                <c:pt idx="346">
                  <c:v>43682</c:v>
                </c:pt>
                <c:pt idx="347">
                  <c:v>43683</c:v>
                </c:pt>
                <c:pt idx="348">
                  <c:v>43684</c:v>
                </c:pt>
                <c:pt idx="349">
                  <c:v>43685</c:v>
                </c:pt>
                <c:pt idx="350">
                  <c:v>43687</c:v>
                </c:pt>
                <c:pt idx="351">
                  <c:v>43688</c:v>
                </c:pt>
                <c:pt idx="352">
                  <c:v>43689</c:v>
                </c:pt>
                <c:pt idx="353">
                  <c:v>43691</c:v>
                </c:pt>
                <c:pt idx="354">
                  <c:v>43692</c:v>
                </c:pt>
                <c:pt idx="355">
                  <c:v>43693</c:v>
                </c:pt>
                <c:pt idx="356">
                  <c:v>43694</c:v>
                </c:pt>
                <c:pt idx="357">
                  <c:v>43699</c:v>
                </c:pt>
                <c:pt idx="358">
                  <c:v>43700</c:v>
                </c:pt>
                <c:pt idx="359">
                  <c:v>43701</c:v>
                </c:pt>
                <c:pt idx="360">
                  <c:v>43702</c:v>
                </c:pt>
                <c:pt idx="361">
                  <c:v>43703</c:v>
                </c:pt>
                <c:pt idx="362">
                  <c:v>43704</c:v>
                </c:pt>
                <c:pt idx="363">
                  <c:v>43705</c:v>
                </c:pt>
                <c:pt idx="364">
                  <c:v>43706</c:v>
                </c:pt>
                <c:pt idx="365">
                  <c:v>43707</c:v>
                </c:pt>
                <c:pt idx="366">
                  <c:v>43708</c:v>
                </c:pt>
                <c:pt idx="367">
                  <c:v>43709</c:v>
                </c:pt>
                <c:pt idx="368">
                  <c:v>43710</c:v>
                </c:pt>
                <c:pt idx="369">
                  <c:v>43712</c:v>
                </c:pt>
                <c:pt idx="370">
                  <c:v>43713</c:v>
                </c:pt>
                <c:pt idx="371">
                  <c:v>43714</c:v>
                </c:pt>
                <c:pt idx="372">
                  <c:v>43715</c:v>
                </c:pt>
                <c:pt idx="373">
                  <c:v>43716</c:v>
                </c:pt>
                <c:pt idx="374">
                  <c:v>43717</c:v>
                </c:pt>
                <c:pt idx="375">
                  <c:v>43718</c:v>
                </c:pt>
                <c:pt idx="376">
                  <c:v>43720</c:v>
                </c:pt>
                <c:pt idx="377">
                  <c:v>43721</c:v>
                </c:pt>
                <c:pt idx="378">
                  <c:v>43722</c:v>
                </c:pt>
                <c:pt idx="379">
                  <c:v>43723</c:v>
                </c:pt>
                <c:pt idx="380">
                  <c:v>43724</c:v>
                </c:pt>
                <c:pt idx="381">
                  <c:v>43726</c:v>
                </c:pt>
                <c:pt idx="382">
                  <c:v>43727</c:v>
                </c:pt>
                <c:pt idx="383">
                  <c:v>43728</c:v>
                </c:pt>
                <c:pt idx="384">
                  <c:v>43729</c:v>
                </c:pt>
                <c:pt idx="385">
                  <c:v>43730</c:v>
                </c:pt>
                <c:pt idx="386">
                  <c:v>43734</c:v>
                </c:pt>
                <c:pt idx="387">
                  <c:v>43735</c:v>
                </c:pt>
                <c:pt idx="388">
                  <c:v>43736</c:v>
                </c:pt>
                <c:pt idx="389">
                  <c:v>43737</c:v>
                </c:pt>
                <c:pt idx="390">
                  <c:v>43741</c:v>
                </c:pt>
                <c:pt idx="391">
                  <c:v>43742</c:v>
                </c:pt>
                <c:pt idx="392">
                  <c:v>43743</c:v>
                </c:pt>
                <c:pt idx="393">
                  <c:v>43744</c:v>
                </c:pt>
                <c:pt idx="394">
                  <c:v>43745</c:v>
                </c:pt>
                <c:pt idx="395">
                  <c:v>43746</c:v>
                </c:pt>
                <c:pt idx="396">
                  <c:v>43747</c:v>
                </c:pt>
                <c:pt idx="397">
                  <c:v>43748</c:v>
                </c:pt>
                <c:pt idx="398">
                  <c:v>43749</c:v>
                </c:pt>
                <c:pt idx="399">
                  <c:v>43750</c:v>
                </c:pt>
                <c:pt idx="400">
                  <c:v>43751</c:v>
                </c:pt>
                <c:pt idx="401">
                  <c:v>43752</c:v>
                </c:pt>
                <c:pt idx="402">
                  <c:v>43753</c:v>
                </c:pt>
                <c:pt idx="403">
                  <c:v>43754</c:v>
                </c:pt>
                <c:pt idx="404">
                  <c:v>43755</c:v>
                </c:pt>
                <c:pt idx="405">
                  <c:v>43756</c:v>
                </c:pt>
                <c:pt idx="406">
                  <c:v>43757</c:v>
                </c:pt>
                <c:pt idx="407">
                  <c:v>43758</c:v>
                </c:pt>
                <c:pt idx="408">
                  <c:v>43759</c:v>
                </c:pt>
                <c:pt idx="409">
                  <c:v>43762</c:v>
                </c:pt>
                <c:pt idx="410">
                  <c:v>43763</c:v>
                </c:pt>
                <c:pt idx="411">
                  <c:v>43764</c:v>
                </c:pt>
                <c:pt idx="412">
                  <c:v>43765</c:v>
                </c:pt>
                <c:pt idx="413">
                  <c:v>43767</c:v>
                </c:pt>
                <c:pt idx="414">
                  <c:v>43768</c:v>
                </c:pt>
                <c:pt idx="415">
                  <c:v>43769</c:v>
                </c:pt>
                <c:pt idx="416">
                  <c:v>43770</c:v>
                </c:pt>
                <c:pt idx="417">
                  <c:v>43771</c:v>
                </c:pt>
                <c:pt idx="418">
                  <c:v>43777</c:v>
                </c:pt>
                <c:pt idx="419">
                  <c:v>43778</c:v>
                </c:pt>
                <c:pt idx="420">
                  <c:v>43780</c:v>
                </c:pt>
                <c:pt idx="421">
                  <c:v>43784</c:v>
                </c:pt>
                <c:pt idx="422">
                  <c:v>43785</c:v>
                </c:pt>
                <c:pt idx="423">
                  <c:v>43786</c:v>
                </c:pt>
                <c:pt idx="424">
                  <c:v>43788</c:v>
                </c:pt>
                <c:pt idx="425">
                  <c:v>43790</c:v>
                </c:pt>
                <c:pt idx="426">
                  <c:v>43791</c:v>
                </c:pt>
                <c:pt idx="427">
                  <c:v>43792</c:v>
                </c:pt>
                <c:pt idx="428">
                  <c:v>43796</c:v>
                </c:pt>
                <c:pt idx="429">
                  <c:v>43797</c:v>
                </c:pt>
                <c:pt idx="430">
                  <c:v>43798</c:v>
                </c:pt>
                <c:pt idx="431">
                  <c:v>43799</c:v>
                </c:pt>
                <c:pt idx="432">
                  <c:v>43800</c:v>
                </c:pt>
                <c:pt idx="433">
                  <c:v>43801</c:v>
                </c:pt>
                <c:pt idx="434">
                  <c:v>43802</c:v>
                </c:pt>
                <c:pt idx="435">
                  <c:v>43803</c:v>
                </c:pt>
                <c:pt idx="436">
                  <c:v>43804</c:v>
                </c:pt>
                <c:pt idx="437">
                  <c:v>43807</c:v>
                </c:pt>
                <c:pt idx="438">
                  <c:v>43808</c:v>
                </c:pt>
                <c:pt idx="439">
                  <c:v>43813</c:v>
                </c:pt>
                <c:pt idx="440">
                  <c:v>43814</c:v>
                </c:pt>
                <c:pt idx="441">
                  <c:v>43815</c:v>
                </c:pt>
                <c:pt idx="442">
                  <c:v>43816</c:v>
                </c:pt>
                <c:pt idx="443">
                  <c:v>43817</c:v>
                </c:pt>
                <c:pt idx="444">
                  <c:v>43834</c:v>
                </c:pt>
                <c:pt idx="445">
                  <c:v>43836</c:v>
                </c:pt>
                <c:pt idx="446">
                  <c:v>43837</c:v>
                </c:pt>
                <c:pt idx="447">
                  <c:v>43893</c:v>
                </c:pt>
                <c:pt idx="448">
                  <c:v>43894</c:v>
                </c:pt>
                <c:pt idx="449">
                  <c:v>43895</c:v>
                </c:pt>
                <c:pt idx="450">
                  <c:v>43897</c:v>
                </c:pt>
                <c:pt idx="451">
                  <c:v>43898</c:v>
                </c:pt>
                <c:pt idx="452">
                  <c:v>43911</c:v>
                </c:pt>
                <c:pt idx="453">
                  <c:v>43912</c:v>
                </c:pt>
                <c:pt idx="454">
                  <c:v>43913</c:v>
                </c:pt>
                <c:pt idx="455">
                  <c:v>43914</c:v>
                </c:pt>
                <c:pt idx="456">
                  <c:v>43915</c:v>
                </c:pt>
                <c:pt idx="457">
                  <c:v>43929</c:v>
                </c:pt>
                <c:pt idx="458">
                  <c:v>43930</c:v>
                </c:pt>
                <c:pt idx="459">
                  <c:v>43932</c:v>
                </c:pt>
                <c:pt idx="460">
                  <c:v>43946</c:v>
                </c:pt>
                <c:pt idx="461">
                  <c:v>43947</c:v>
                </c:pt>
                <c:pt idx="462">
                  <c:v>43948</c:v>
                </c:pt>
                <c:pt idx="463">
                  <c:v>43949</c:v>
                </c:pt>
                <c:pt idx="464">
                  <c:v>43951</c:v>
                </c:pt>
                <c:pt idx="465">
                  <c:v>43970</c:v>
                </c:pt>
                <c:pt idx="466">
                  <c:v>43975</c:v>
                </c:pt>
                <c:pt idx="467">
                  <c:v>43977</c:v>
                </c:pt>
                <c:pt idx="468">
                  <c:v>43979</c:v>
                </c:pt>
                <c:pt idx="469">
                  <c:v>43980</c:v>
                </c:pt>
                <c:pt idx="470">
                  <c:v>43982</c:v>
                </c:pt>
                <c:pt idx="471">
                  <c:v>43983</c:v>
                </c:pt>
                <c:pt idx="472">
                  <c:v>43984</c:v>
                </c:pt>
                <c:pt idx="473">
                  <c:v>43985</c:v>
                </c:pt>
                <c:pt idx="474">
                  <c:v>43986</c:v>
                </c:pt>
                <c:pt idx="475">
                  <c:v>43987</c:v>
                </c:pt>
                <c:pt idx="476">
                  <c:v>43988</c:v>
                </c:pt>
                <c:pt idx="477">
                  <c:v>43990</c:v>
                </c:pt>
                <c:pt idx="478">
                  <c:v>43991</c:v>
                </c:pt>
                <c:pt idx="479">
                  <c:v>43993</c:v>
                </c:pt>
                <c:pt idx="480">
                  <c:v>43995</c:v>
                </c:pt>
                <c:pt idx="481">
                  <c:v>43996</c:v>
                </c:pt>
                <c:pt idx="482">
                  <c:v>43997</c:v>
                </c:pt>
                <c:pt idx="483">
                  <c:v>43998</c:v>
                </c:pt>
                <c:pt idx="484">
                  <c:v>43999</c:v>
                </c:pt>
                <c:pt idx="485">
                  <c:v>44000</c:v>
                </c:pt>
                <c:pt idx="486">
                  <c:v>44001</c:v>
                </c:pt>
                <c:pt idx="487">
                  <c:v>44002</c:v>
                </c:pt>
                <c:pt idx="488">
                  <c:v>44003</c:v>
                </c:pt>
                <c:pt idx="489">
                  <c:v>44004</c:v>
                </c:pt>
                <c:pt idx="490">
                  <c:v>44005</c:v>
                </c:pt>
                <c:pt idx="491">
                  <c:v>44006</c:v>
                </c:pt>
                <c:pt idx="492">
                  <c:v>44009</c:v>
                </c:pt>
                <c:pt idx="493">
                  <c:v>44010</c:v>
                </c:pt>
                <c:pt idx="494">
                  <c:v>44011</c:v>
                </c:pt>
                <c:pt idx="495">
                  <c:v>44012</c:v>
                </c:pt>
                <c:pt idx="496">
                  <c:v>44013</c:v>
                </c:pt>
                <c:pt idx="497">
                  <c:v>44015</c:v>
                </c:pt>
                <c:pt idx="498">
                  <c:v>44016</c:v>
                </c:pt>
                <c:pt idx="499">
                  <c:v>44017</c:v>
                </c:pt>
                <c:pt idx="500">
                  <c:v>44018</c:v>
                </c:pt>
                <c:pt idx="501">
                  <c:v>44019</c:v>
                </c:pt>
                <c:pt idx="502">
                  <c:v>44020</c:v>
                </c:pt>
                <c:pt idx="503">
                  <c:v>44023</c:v>
                </c:pt>
                <c:pt idx="504">
                  <c:v>44024</c:v>
                </c:pt>
                <c:pt idx="505">
                  <c:v>44025</c:v>
                </c:pt>
                <c:pt idx="506">
                  <c:v>44026</c:v>
                </c:pt>
                <c:pt idx="507">
                  <c:v>44027</c:v>
                </c:pt>
                <c:pt idx="508">
                  <c:v>44028</c:v>
                </c:pt>
                <c:pt idx="509">
                  <c:v>44030</c:v>
                </c:pt>
                <c:pt idx="510">
                  <c:v>44031</c:v>
                </c:pt>
                <c:pt idx="511">
                  <c:v>44034</c:v>
                </c:pt>
                <c:pt idx="512">
                  <c:v>44036</c:v>
                </c:pt>
                <c:pt idx="513">
                  <c:v>44037</c:v>
                </c:pt>
                <c:pt idx="514">
                  <c:v>44038</c:v>
                </c:pt>
                <c:pt idx="515">
                  <c:v>44039</c:v>
                </c:pt>
                <c:pt idx="516">
                  <c:v>44040</c:v>
                </c:pt>
                <c:pt idx="517">
                  <c:v>44041</c:v>
                </c:pt>
                <c:pt idx="518">
                  <c:v>44042</c:v>
                </c:pt>
                <c:pt idx="519">
                  <c:v>44043</c:v>
                </c:pt>
                <c:pt idx="520">
                  <c:v>44044</c:v>
                </c:pt>
                <c:pt idx="521">
                  <c:v>44045</c:v>
                </c:pt>
                <c:pt idx="522">
                  <c:v>44046</c:v>
                </c:pt>
                <c:pt idx="523">
                  <c:v>44047</c:v>
                </c:pt>
                <c:pt idx="524">
                  <c:v>44048</c:v>
                </c:pt>
                <c:pt idx="525">
                  <c:v>44049</c:v>
                </c:pt>
                <c:pt idx="526">
                  <c:v>44050</c:v>
                </c:pt>
                <c:pt idx="527">
                  <c:v>44051</c:v>
                </c:pt>
                <c:pt idx="528">
                  <c:v>44052</c:v>
                </c:pt>
                <c:pt idx="529">
                  <c:v>44054</c:v>
                </c:pt>
                <c:pt idx="530">
                  <c:v>44055</c:v>
                </c:pt>
                <c:pt idx="531">
                  <c:v>44056</c:v>
                </c:pt>
                <c:pt idx="532">
                  <c:v>44057</c:v>
                </c:pt>
                <c:pt idx="533">
                  <c:v>44058</c:v>
                </c:pt>
                <c:pt idx="534">
                  <c:v>44060</c:v>
                </c:pt>
                <c:pt idx="535">
                  <c:v>44061</c:v>
                </c:pt>
                <c:pt idx="536">
                  <c:v>44062</c:v>
                </c:pt>
                <c:pt idx="537">
                  <c:v>44067</c:v>
                </c:pt>
                <c:pt idx="538">
                  <c:v>44068</c:v>
                </c:pt>
                <c:pt idx="539">
                  <c:v>44069</c:v>
                </c:pt>
                <c:pt idx="540">
                  <c:v>44071</c:v>
                </c:pt>
                <c:pt idx="541">
                  <c:v>44076</c:v>
                </c:pt>
                <c:pt idx="542">
                  <c:v>44078</c:v>
                </c:pt>
                <c:pt idx="543">
                  <c:v>44079</c:v>
                </c:pt>
                <c:pt idx="544">
                  <c:v>44080</c:v>
                </c:pt>
                <c:pt idx="545">
                  <c:v>44081</c:v>
                </c:pt>
                <c:pt idx="546">
                  <c:v>44082</c:v>
                </c:pt>
                <c:pt idx="547">
                  <c:v>44085</c:v>
                </c:pt>
                <c:pt idx="548">
                  <c:v>44086</c:v>
                </c:pt>
                <c:pt idx="549">
                  <c:v>44088</c:v>
                </c:pt>
                <c:pt idx="550">
                  <c:v>44089</c:v>
                </c:pt>
                <c:pt idx="551">
                  <c:v>44090</c:v>
                </c:pt>
                <c:pt idx="552">
                  <c:v>44091</c:v>
                </c:pt>
                <c:pt idx="553">
                  <c:v>44092</c:v>
                </c:pt>
                <c:pt idx="554">
                  <c:v>44093</c:v>
                </c:pt>
                <c:pt idx="555">
                  <c:v>44096</c:v>
                </c:pt>
                <c:pt idx="556">
                  <c:v>44097</c:v>
                </c:pt>
                <c:pt idx="557">
                  <c:v>44099</c:v>
                </c:pt>
                <c:pt idx="558">
                  <c:v>44100</c:v>
                </c:pt>
                <c:pt idx="559">
                  <c:v>44101</c:v>
                </c:pt>
                <c:pt idx="560">
                  <c:v>44102</c:v>
                </c:pt>
                <c:pt idx="561">
                  <c:v>44103</c:v>
                </c:pt>
                <c:pt idx="562">
                  <c:v>44105</c:v>
                </c:pt>
                <c:pt idx="563">
                  <c:v>44106</c:v>
                </c:pt>
                <c:pt idx="564">
                  <c:v>44107</c:v>
                </c:pt>
                <c:pt idx="565">
                  <c:v>44108</c:v>
                </c:pt>
                <c:pt idx="566">
                  <c:v>44109</c:v>
                </c:pt>
                <c:pt idx="567">
                  <c:v>44110</c:v>
                </c:pt>
                <c:pt idx="568">
                  <c:v>44113</c:v>
                </c:pt>
                <c:pt idx="569">
                  <c:v>44116</c:v>
                </c:pt>
                <c:pt idx="570">
                  <c:v>44117</c:v>
                </c:pt>
                <c:pt idx="571">
                  <c:v>44118</c:v>
                </c:pt>
                <c:pt idx="572">
                  <c:v>44119</c:v>
                </c:pt>
                <c:pt idx="573">
                  <c:v>44120</c:v>
                </c:pt>
                <c:pt idx="574">
                  <c:v>44122</c:v>
                </c:pt>
                <c:pt idx="575">
                  <c:v>44123</c:v>
                </c:pt>
                <c:pt idx="576">
                  <c:v>44124</c:v>
                </c:pt>
                <c:pt idx="577">
                  <c:v>44126</c:v>
                </c:pt>
                <c:pt idx="578">
                  <c:v>44129</c:v>
                </c:pt>
                <c:pt idx="579">
                  <c:v>44130</c:v>
                </c:pt>
                <c:pt idx="580">
                  <c:v>44131</c:v>
                </c:pt>
                <c:pt idx="581">
                  <c:v>44134</c:v>
                </c:pt>
                <c:pt idx="582">
                  <c:v>44136</c:v>
                </c:pt>
                <c:pt idx="583">
                  <c:v>44137</c:v>
                </c:pt>
                <c:pt idx="584">
                  <c:v>44138</c:v>
                </c:pt>
                <c:pt idx="585">
                  <c:v>44142</c:v>
                </c:pt>
                <c:pt idx="586">
                  <c:v>44143</c:v>
                </c:pt>
                <c:pt idx="587">
                  <c:v>44144</c:v>
                </c:pt>
                <c:pt idx="588">
                  <c:v>44148</c:v>
                </c:pt>
                <c:pt idx="589">
                  <c:v>44149</c:v>
                </c:pt>
                <c:pt idx="590">
                  <c:v>44150</c:v>
                </c:pt>
                <c:pt idx="591">
                  <c:v>44151</c:v>
                </c:pt>
                <c:pt idx="592">
                  <c:v>44153</c:v>
                </c:pt>
                <c:pt idx="593">
                  <c:v>44154</c:v>
                </c:pt>
                <c:pt idx="594">
                  <c:v>44161</c:v>
                </c:pt>
                <c:pt idx="595">
                  <c:v>44163</c:v>
                </c:pt>
                <c:pt idx="596">
                  <c:v>44164</c:v>
                </c:pt>
                <c:pt idx="597">
                  <c:v>44165</c:v>
                </c:pt>
                <c:pt idx="598">
                  <c:v>44168</c:v>
                </c:pt>
                <c:pt idx="599">
                  <c:v>44169</c:v>
                </c:pt>
                <c:pt idx="600">
                  <c:v>44170</c:v>
                </c:pt>
                <c:pt idx="601">
                  <c:v>44171</c:v>
                </c:pt>
                <c:pt idx="602">
                  <c:v>44172</c:v>
                </c:pt>
                <c:pt idx="603">
                  <c:v>44173</c:v>
                </c:pt>
                <c:pt idx="604">
                  <c:v>44174</c:v>
                </c:pt>
                <c:pt idx="605">
                  <c:v>44182</c:v>
                </c:pt>
                <c:pt idx="606">
                  <c:v>44183</c:v>
                </c:pt>
                <c:pt idx="607">
                  <c:v>44196</c:v>
                </c:pt>
                <c:pt idx="608">
                  <c:v>44199</c:v>
                </c:pt>
                <c:pt idx="609">
                  <c:v>44200</c:v>
                </c:pt>
                <c:pt idx="610">
                  <c:v>44201</c:v>
                </c:pt>
                <c:pt idx="611">
                  <c:v>44202</c:v>
                </c:pt>
                <c:pt idx="612">
                  <c:v>44203</c:v>
                </c:pt>
                <c:pt idx="613">
                  <c:v>44204</c:v>
                </c:pt>
                <c:pt idx="614">
                  <c:v>44205</c:v>
                </c:pt>
                <c:pt idx="615">
                  <c:v>44206</c:v>
                </c:pt>
                <c:pt idx="616">
                  <c:v>44207</c:v>
                </c:pt>
                <c:pt idx="617">
                  <c:v>44208</c:v>
                </c:pt>
                <c:pt idx="618">
                  <c:v>44211</c:v>
                </c:pt>
                <c:pt idx="619">
                  <c:v>44212</c:v>
                </c:pt>
                <c:pt idx="620">
                  <c:v>44213</c:v>
                </c:pt>
                <c:pt idx="621">
                  <c:v>44217</c:v>
                </c:pt>
                <c:pt idx="622">
                  <c:v>44218</c:v>
                </c:pt>
                <c:pt idx="623">
                  <c:v>44219</c:v>
                </c:pt>
                <c:pt idx="624">
                  <c:v>44220</c:v>
                </c:pt>
                <c:pt idx="625">
                  <c:v>44225</c:v>
                </c:pt>
                <c:pt idx="626">
                  <c:v>44226</c:v>
                </c:pt>
                <c:pt idx="627">
                  <c:v>44227</c:v>
                </c:pt>
                <c:pt idx="628">
                  <c:v>44230</c:v>
                </c:pt>
                <c:pt idx="629">
                  <c:v>44242</c:v>
                </c:pt>
                <c:pt idx="630">
                  <c:v>44243</c:v>
                </c:pt>
                <c:pt idx="631">
                  <c:v>44244</c:v>
                </c:pt>
                <c:pt idx="632">
                  <c:v>44245</c:v>
                </c:pt>
                <c:pt idx="633">
                  <c:v>44246</c:v>
                </c:pt>
                <c:pt idx="634">
                  <c:v>44248</c:v>
                </c:pt>
                <c:pt idx="635">
                  <c:v>44249</c:v>
                </c:pt>
                <c:pt idx="636">
                  <c:v>44250</c:v>
                </c:pt>
                <c:pt idx="637">
                  <c:v>44251</c:v>
                </c:pt>
                <c:pt idx="638">
                  <c:v>44252</c:v>
                </c:pt>
                <c:pt idx="639">
                  <c:v>44253</c:v>
                </c:pt>
                <c:pt idx="640">
                  <c:v>44254</c:v>
                </c:pt>
                <c:pt idx="641">
                  <c:v>44255</c:v>
                </c:pt>
                <c:pt idx="642">
                  <c:v>44256</c:v>
                </c:pt>
                <c:pt idx="643">
                  <c:v>44257</c:v>
                </c:pt>
                <c:pt idx="644">
                  <c:v>44258</c:v>
                </c:pt>
                <c:pt idx="645">
                  <c:v>44261</c:v>
                </c:pt>
                <c:pt idx="646">
                  <c:v>44262</c:v>
                </c:pt>
                <c:pt idx="647">
                  <c:v>44263</c:v>
                </c:pt>
                <c:pt idx="648">
                  <c:v>44264</c:v>
                </c:pt>
                <c:pt idx="649">
                  <c:v>44265</c:v>
                </c:pt>
                <c:pt idx="650">
                  <c:v>44266</c:v>
                </c:pt>
                <c:pt idx="651">
                  <c:v>44267</c:v>
                </c:pt>
                <c:pt idx="652">
                  <c:v>44271</c:v>
                </c:pt>
                <c:pt idx="653">
                  <c:v>44273</c:v>
                </c:pt>
                <c:pt idx="654">
                  <c:v>44274</c:v>
                </c:pt>
                <c:pt idx="655">
                  <c:v>44275</c:v>
                </c:pt>
                <c:pt idx="656">
                  <c:v>44276</c:v>
                </c:pt>
                <c:pt idx="657">
                  <c:v>44277</c:v>
                </c:pt>
                <c:pt idx="658">
                  <c:v>44278</c:v>
                </c:pt>
                <c:pt idx="659">
                  <c:v>44279</c:v>
                </c:pt>
                <c:pt idx="660">
                  <c:v>44280</c:v>
                </c:pt>
                <c:pt idx="661">
                  <c:v>44281</c:v>
                </c:pt>
                <c:pt idx="662">
                  <c:v>44282</c:v>
                </c:pt>
                <c:pt idx="663">
                  <c:v>44283</c:v>
                </c:pt>
                <c:pt idx="664">
                  <c:v>44284</c:v>
                </c:pt>
                <c:pt idx="665">
                  <c:v>44285</c:v>
                </c:pt>
                <c:pt idx="666">
                  <c:v>44287</c:v>
                </c:pt>
                <c:pt idx="667">
                  <c:v>44288</c:v>
                </c:pt>
                <c:pt idx="668">
                  <c:v>44289</c:v>
                </c:pt>
                <c:pt idx="669">
                  <c:v>44291</c:v>
                </c:pt>
                <c:pt idx="670">
                  <c:v>44292</c:v>
                </c:pt>
                <c:pt idx="671">
                  <c:v>44293</c:v>
                </c:pt>
                <c:pt idx="672">
                  <c:v>44294</c:v>
                </c:pt>
                <c:pt idx="673">
                  <c:v>44295</c:v>
                </c:pt>
                <c:pt idx="674">
                  <c:v>44296</c:v>
                </c:pt>
                <c:pt idx="675">
                  <c:v>44297</c:v>
                </c:pt>
                <c:pt idx="676">
                  <c:v>44298</c:v>
                </c:pt>
                <c:pt idx="677">
                  <c:v>44299</c:v>
                </c:pt>
                <c:pt idx="678">
                  <c:v>44300</c:v>
                </c:pt>
                <c:pt idx="679">
                  <c:v>44301</c:v>
                </c:pt>
                <c:pt idx="680">
                  <c:v>44302</c:v>
                </c:pt>
                <c:pt idx="681">
                  <c:v>44303</c:v>
                </c:pt>
                <c:pt idx="682">
                  <c:v>44304</c:v>
                </c:pt>
                <c:pt idx="683">
                  <c:v>44305</c:v>
                </c:pt>
                <c:pt idx="684">
                  <c:v>44306</c:v>
                </c:pt>
                <c:pt idx="685">
                  <c:v>44307</c:v>
                </c:pt>
                <c:pt idx="686">
                  <c:v>44311</c:v>
                </c:pt>
                <c:pt idx="687">
                  <c:v>44312</c:v>
                </c:pt>
                <c:pt idx="688">
                  <c:v>44313</c:v>
                </c:pt>
                <c:pt idx="689">
                  <c:v>44314</c:v>
                </c:pt>
                <c:pt idx="690">
                  <c:v>44315</c:v>
                </c:pt>
                <c:pt idx="691">
                  <c:v>44316</c:v>
                </c:pt>
                <c:pt idx="692">
                  <c:v>44317</c:v>
                </c:pt>
                <c:pt idx="693">
                  <c:v>44318</c:v>
                </c:pt>
                <c:pt idx="694">
                  <c:v>44319</c:v>
                </c:pt>
                <c:pt idx="695">
                  <c:v>44320</c:v>
                </c:pt>
                <c:pt idx="696">
                  <c:v>44321</c:v>
                </c:pt>
                <c:pt idx="697">
                  <c:v>44322</c:v>
                </c:pt>
                <c:pt idx="698">
                  <c:v>44323</c:v>
                </c:pt>
                <c:pt idx="699">
                  <c:v>44324</c:v>
                </c:pt>
                <c:pt idx="700">
                  <c:v>44325</c:v>
                </c:pt>
                <c:pt idx="701">
                  <c:v>44326</c:v>
                </c:pt>
                <c:pt idx="702">
                  <c:v>44327</c:v>
                </c:pt>
                <c:pt idx="703">
                  <c:v>44328</c:v>
                </c:pt>
                <c:pt idx="704">
                  <c:v>44331</c:v>
                </c:pt>
                <c:pt idx="705">
                  <c:v>44332</c:v>
                </c:pt>
                <c:pt idx="706">
                  <c:v>44333</c:v>
                </c:pt>
                <c:pt idx="707">
                  <c:v>44334</c:v>
                </c:pt>
                <c:pt idx="708">
                  <c:v>44335</c:v>
                </c:pt>
                <c:pt idx="709">
                  <c:v>44336</c:v>
                </c:pt>
                <c:pt idx="710">
                  <c:v>44337</c:v>
                </c:pt>
                <c:pt idx="711">
                  <c:v>44339</c:v>
                </c:pt>
                <c:pt idx="712">
                  <c:v>44340</c:v>
                </c:pt>
                <c:pt idx="713">
                  <c:v>44341</c:v>
                </c:pt>
                <c:pt idx="714">
                  <c:v>44343</c:v>
                </c:pt>
                <c:pt idx="715">
                  <c:v>44344</c:v>
                </c:pt>
                <c:pt idx="716">
                  <c:v>44345</c:v>
                </c:pt>
                <c:pt idx="717">
                  <c:v>44346</c:v>
                </c:pt>
                <c:pt idx="718">
                  <c:v>44347</c:v>
                </c:pt>
                <c:pt idx="719">
                  <c:v>44348</c:v>
                </c:pt>
                <c:pt idx="720">
                  <c:v>44349</c:v>
                </c:pt>
                <c:pt idx="721">
                  <c:v>44350</c:v>
                </c:pt>
                <c:pt idx="722">
                  <c:v>44353</c:v>
                </c:pt>
                <c:pt idx="723">
                  <c:v>44354</c:v>
                </c:pt>
                <c:pt idx="724">
                  <c:v>44355</c:v>
                </c:pt>
                <c:pt idx="725">
                  <c:v>44356</c:v>
                </c:pt>
                <c:pt idx="726">
                  <c:v>44357</c:v>
                </c:pt>
                <c:pt idx="727">
                  <c:v>44358</c:v>
                </c:pt>
                <c:pt idx="728">
                  <c:v>44359</c:v>
                </c:pt>
                <c:pt idx="729">
                  <c:v>44360</c:v>
                </c:pt>
                <c:pt idx="730">
                  <c:v>44361</c:v>
                </c:pt>
                <c:pt idx="731">
                  <c:v>44362</c:v>
                </c:pt>
                <c:pt idx="732">
                  <c:v>44363</c:v>
                </c:pt>
                <c:pt idx="733">
                  <c:v>44364</c:v>
                </c:pt>
                <c:pt idx="734">
                  <c:v>44365</c:v>
                </c:pt>
                <c:pt idx="735">
                  <c:v>44366</c:v>
                </c:pt>
                <c:pt idx="736">
                  <c:v>44367</c:v>
                </c:pt>
                <c:pt idx="737">
                  <c:v>44368</c:v>
                </c:pt>
                <c:pt idx="738">
                  <c:v>44369</c:v>
                </c:pt>
                <c:pt idx="739">
                  <c:v>44370</c:v>
                </c:pt>
                <c:pt idx="740">
                  <c:v>44371</c:v>
                </c:pt>
                <c:pt idx="741">
                  <c:v>44372</c:v>
                </c:pt>
                <c:pt idx="742">
                  <c:v>44373</c:v>
                </c:pt>
                <c:pt idx="743">
                  <c:v>44374</c:v>
                </c:pt>
                <c:pt idx="744">
                  <c:v>44375</c:v>
                </c:pt>
                <c:pt idx="745">
                  <c:v>44376</c:v>
                </c:pt>
                <c:pt idx="746">
                  <c:v>44377</c:v>
                </c:pt>
                <c:pt idx="747">
                  <c:v>44378</c:v>
                </c:pt>
                <c:pt idx="748">
                  <c:v>44379</c:v>
                </c:pt>
                <c:pt idx="749">
                  <c:v>44381</c:v>
                </c:pt>
                <c:pt idx="750">
                  <c:v>44382</c:v>
                </c:pt>
                <c:pt idx="751">
                  <c:v>44383</c:v>
                </c:pt>
                <c:pt idx="752">
                  <c:v>44384</c:v>
                </c:pt>
                <c:pt idx="753">
                  <c:v>44385</c:v>
                </c:pt>
                <c:pt idx="754">
                  <c:v>44386</c:v>
                </c:pt>
                <c:pt idx="755">
                  <c:v>44387</c:v>
                </c:pt>
                <c:pt idx="756">
                  <c:v>44388</c:v>
                </c:pt>
                <c:pt idx="757">
                  <c:v>44389</c:v>
                </c:pt>
                <c:pt idx="758">
                  <c:v>44390</c:v>
                </c:pt>
                <c:pt idx="759">
                  <c:v>44393</c:v>
                </c:pt>
                <c:pt idx="760">
                  <c:v>44394</c:v>
                </c:pt>
                <c:pt idx="761">
                  <c:v>44396</c:v>
                </c:pt>
                <c:pt idx="762">
                  <c:v>44397</c:v>
                </c:pt>
                <c:pt idx="763">
                  <c:v>44398</c:v>
                </c:pt>
                <c:pt idx="764">
                  <c:v>44399</c:v>
                </c:pt>
                <c:pt idx="765">
                  <c:v>44400</c:v>
                </c:pt>
                <c:pt idx="766">
                  <c:v>44401</c:v>
                </c:pt>
                <c:pt idx="767">
                  <c:v>44404</c:v>
                </c:pt>
                <c:pt idx="768">
                  <c:v>44405</c:v>
                </c:pt>
                <c:pt idx="769">
                  <c:v>44406</c:v>
                </c:pt>
                <c:pt idx="770">
                  <c:v>44407</c:v>
                </c:pt>
                <c:pt idx="771">
                  <c:v>44408</c:v>
                </c:pt>
                <c:pt idx="772">
                  <c:v>44409</c:v>
                </c:pt>
                <c:pt idx="773">
                  <c:v>44410</c:v>
                </c:pt>
                <c:pt idx="774">
                  <c:v>44411</c:v>
                </c:pt>
                <c:pt idx="775">
                  <c:v>44412</c:v>
                </c:pt>
                <c:pt idx="776">
                  <c:v>44413</c:v>
                </c:pt>
                <c:pt idx="777">
                  <c:v>44414</c:v>
                </c:pt>
                <c:pt idx="778">
                  <c:v>44415</c:v>
                </c:pt>
                <c:pt idx="779">
                  <c:v>44416</c:v>
                </c:pt>
                <c:pt idx="780">
                  <c:v>44417</c:v>
                </c:pt>
                <c:pt idx="781">
                  <c:v>44418</c:v>
                </c:pt>
                <c:pt idx="782">
                  <c:v>44419</c:v>
                </c:pt>
                <c:pt idx="783">
                  <c:v>44420</c:v>
                </c:pt>
                <c:pt idx="784">
                  <c:v>44421</c:v>
                </c:pt>
                <c:pt idx="785">
                  <c:v>44422</c:v>
                </c:pt>
                <c:pt idx="786">
                  <c:v>44423</c:v>
                </c:pt>
                <c:pt idx="787">
                  <c:v>44424</c:v>
                </c:pt>
                <c:pt idx="788">
                  <c:v>44426</c:v>
                </c:pt>
                <c:pt idx="789">
                  <c:v>44427</c:v>
                </c:pt>
                <c:pt idx="790">
                  <c:v>44428</c:v>
                </c:pt>
                <c:pt idx="791">
                  <c:v>44429</c:v>
                </c:pt>
                <c:pt idx="792">
                  <c:v>44430</c:v>
                </c:pt>
                <c:pt idx="793">
                  <c:v>44431</c:v>
                </c:pt>
                <c:pt idx="794">
                  <c:v>44432</c:v>
                </c:pt>
                <c:pt idx="795">
                  <c:v>44433</c:v>
                </c:pt>
                <c:pt idx="796">
                  <c:v>44434</c:v>
                </c:pt>
                <c:pt idx="797">
                  <c:v>44437</c:v>
                </c:pt>
                <c:pt idx="798">
                  <c:v>44438</c:v>
                </c:pt>
                <c:pt idx="799">
                  <c:v>44439</c:v>
                </c:pt>
                <c:pt idx="800">
                  <c:v>44440</c:v>
                </c:pt>
                <c:pt idx="801">
                  <c:v>44441</c:v>
                </c:pt>
                <c:pt idx="802">
                  <c:v>44443</c:v>
                </c:pt>
                <c:pt idx="803">
                  <c:v>44444</c:v>
                </c:pt>
                <c:pt idx="804">
                  <c:v>44445</c:v>
                </c:pt>
                <c:pt idx="805">
                  <c:v>44446</c:v>
                </c:pt>
                <c:pt idx="806">
                  <c:v>44447</c:v>
                </c:pt>
                <c:pt idx="807">
                  <c:v>44448</c:v>
                </c:pt>
                <c:pt idx="808">
                  <c:v>44449</c:v>
                </c:pt>
                <c:pt idx="809">
                  <c:v>44450</c:v>
                </c:pt>
                <c:pt idx="810">
                  <c:v>44451</c:v>
                </c:pt>
                <c:pt idx="811">
                  <c:v>44452</c:v>
                </c:pt>
                <c:pt idx="812">
                  <c:v>44453</c:v>
                </c:pt>
                <c:pt idx="813">
                  <c:v>44454</c:v>
                </c:pt>
                <c:pt idx="814">
                  <c:v>44455</c:v>
                </c:pt>
                <c:pt idx="815">
                  <c:v>44456</c:v>
                </c:pt>
                <c:pt idx="816">
                  <c:v>44457</c:v>
                </c:pt>
                <c:pt idx="817">
                  <c:v>44458</c:v>
                </c:pt>
                <c:pt idx="818">
                  <c:v>44462</c:v>
                </c:pt>
                <c:pt idx="819">
                  <c:v>44463</c:v>
                </c:pt>
                <c:pt idx="820">
                  <c:v>44464</c:v>
                </c:pt>
                <c:pt idx="821">
                  <c:v>44466</c:v>
                </c:pt>
                <c:pt idx="822">
                  <c:v>44467</c:v>
                </c:pt>
                <c:pt idx="823">
                  <c:v>44468</c:v>
                </c:pt>
                <c:pt idx="824">
                  <c:v>44469</c:v>
                </c:pt>
                <c:pt idx="825">
                  <c:v>44470</c:v>
                </c:pt>
                <c:pt idx="826">
                  <c:v>44471</c:v>
                </c:pt>
                <c:pt idx="827">
                  <c:v>44472</c:v>
                </c:pt>
                <c:pt idx="828">
                  <c:v>44474</c:v>
                </c:pt>
                <c:pt idx="829">
                  <c:v>44476</c:v>
                </c:pt>
                <c:pt idx="830">
                  <c:v>44477</c:v>
                </c:pt>
                <c:pt idx="831">
                  <c:v>44478</c:v>
                </c:pt>
                <c:pt idx="832">
                  <c:v>44486</c:v>
                </c:pt>
                <c:pt idx="833">
                  <c:v>44487</c:v>
                </c:pt>
                <c:pt idx="834">
                  <c:v>44489</c:v>
                </c:pt>
                <c:pt idx="835">
                  <c:v>44490</c:v>
                </c:pt>
                <c:pt idx="836">
                  <c:v>44491</c:v>
                </c:pt>
                <c:pt idx="837">
                  <c:v>44494</c:v>
                </c:pt>
                <c:pt idx="838">
                  <c:v>44495</c:v>
                </c:pt>
                <c:pt idx="839">
                  <c:v>44496</c:v>
                </c:pt>
                <c:pt idx="840">
                  <c:v>44497</c:v>
                </c:pt>
                <c:pt idx="841">
                  <c:v>44499</c:v>
                </c:pt>
                <c:pt idx="842">
                  <c:v>44500</c:v>
                </c:pt>
                <c:pt idx="843">
                  <c:v>44501</c:v>
                </c:pt>
                <c:pt idx="844">
                  <c:v>44502</c:v>
                </c:pt>
                <c:pt idx="845">
                  <c:v>44503</c:v>
                </c:pt>
                <c:pt idx="846">
                  <c:v>44506</c:v>
                </c:pt>
                <c:pt idx="847">
                  <c:v>44507</c:v>
                </c:pt>
                <c:pt idx="848">
                  <c:v>44508</c:v>
                </c:pt>
                <c:pt idx="849">
                  <c:v>44509</c:v>
                </c:pt>
                <c:pt idx="850">
                  <c:v>44510</c:v>
                </c:pt>
                <c:pt idx="851">
                  <c:v>44513</c:v>
                </c:pt>
                <c:pt idx="852">
                  <c:v>44514</c:v>
                </c:pt>
                <c:pt idx="853">
                  <c:v>44515</c:v>
                </c:pt>
                <c:pt idx="854">
                  <c:v>44517</c:v>
                </c:pt>
                <c:pt idx="855">
                  <c:v>44518</c:v>
                </c:pt>
                <c:pt idx="856">
                  <c:v>44520</c:v>
                </c:pt>
                <c:pt idx="857">
                  <c:v>44521</c:v>
                </c:pt>
                <c:pt idx="858">
                  <c:v>44522</c:v>
                </c:pt>
                <c:pt idx="859">
                  <c:v>44523</c:v>
                </c:pt>
                <c:pt idx="860">
                  <c:v>44524</c:v>
                </c:pt>
                <c:pt idx="861">
                  <c:v>44526</c:v>
                </c:pt>
                <c:pt idx="862">
                  <c:v>44527</c:v>
                </c:pt>
                <c:pt idx="863">
                  <c:v>44528</c:v>
                </c:pt>
                <c:pt idx="864">
                  <c:v>44529</c:v>
                </c:pt>
                <c:pt idx="865">
                  <c:v>44530</c:v>
                </c:pt>
                <c:pt idx="866">
                  <c:v>44531</c:v>
                </c:pt>
                <c:pt idx="867">
                  <c:v>44532</c:v>
                </c:pt>
                <c:pt idx="868">
                  <c:v>44533</c:v>
                </c:pt>
                <c:pt idx="869">
                  <c:v>44534</c:v>
                </c:pt>
                <c:pt idx="870">
                  <c:v>44535</c:v>
                </c:pt>
                <c:pt idx="871">
                  <c:v>44536</c:v>
                </c:pt>
                <c:pt idx="872">
                  <c:v>44537</c:v>
                </c:pt>
                <c:pt idx="873">
                  <c:v>44538</c:v>
                </c:pt>
                <c:pt idx="874">
                  <c:v>44539</c:v>
                </c:pt>
                <c:pt idx="875">
                  <c:v>44540</c:v>
                </c:pt>
                <c:pt idx="876">
                  <c:v>44541</c:v>
                </c:pt>
                <c:pt idx="877">
                  <c:v>44542</c:v>
                </c:pt>
                <c:pt idx="878">
                  <c:v>44543</c:v>
                </c:pt>
                <c:pt idx="879">
                  <c:v>44544</c:v>
                </c:pt>
                <c:pt idx="880">
                  <c:v>44545</c:v>
                </c:pt>
                <c:pt idx="881">
                  <c:v>44546</c:v>
                </c:pt>
                <c:pt idx="882">
                  <c:v>44559</c:v>
                </c:pt>
                <c:pt idx="883">
                  <c:v>44561</c:v>
                </c:pt>
                <c:pt idx="884">
                  <c:v>44562</c:v>
                </c:pt>
                <c:pt idx="885">
                  <c:v>44563</c:v>
                </c:pt>
                <c:pt idx="886">
                  <c:v>44569</c:v>
                </c:pt>
                <c:pt idx="887">
                  <c:v>44570</c:v>
                </c:pt>
                <c:pt idx="888">
                  <c:v>44573</c:v>
                </c:pt>
                <c:pt idx="889">
                  <c:v>44574</c:v>
                </c:pt>
                <c:pt idx="890">
                  <c:v>44575</c:v>
                </c:pt>
                <c:pt idx="891">
                  <c:v>44577</c:v>
                </c:pt>
                <c:pt idx="892">
                  <c:v>44587</c:v>
                </c:pt>
                <c:pt idx="893">
                  <c:v>44588</c:v>
                </c:pt>
                <c:pt idx="894">
                  <c:v>44589</c:v>
                </c:pt>
                <c:pt idx="895">
                  <c:v>44591</c:v>
                </c:pt>
                <c:pt idx="896">
                  <c:v>44592</c:v>
                </c:pt>
                <c:pt idx="897">
                  <c:v>44593</c:v>
                </c:pt>
                <c:pt idx="898">
                  <c:v>44598</c:v>
                </c:pt>
                <c:pt idx="899">
                  <c:v>44599</c:v>
                </c:pt>
                <c:pt idx="900">
                  <c:v>44607</c:v>
                </c:pt>
                <c:pt idx="901">
                  <c:v>44614</c:v>
                </c:pt>
                <c:pt idx="902">
                  <c:v>44622</c:v>
                </c:pt>
                <c:pt idx="903">
                  <c:v>44624</c:v>
                </c:pt>
                <c:pt idx="904">
                  <c:v>44626</c:v>
                </c:pt>
                <c:pt idx="905">
                  <c:v>44628</c:v>
                </c:pt>
                <c:pt idx="906">
                  <c:v>44630</c:v>
                </c:pt>
                <c:pt idx="907">
                  <c:v>44631</c:v>
                </c:pt>
                <c:pt idx="908">
                  <c:v>44632</c:v>
                </c:pt>
                <c:pt idx="909">
                  <c:v>44633</c:v>
                </c:pt>
                <c:pt idx="910">
                  <c:v>44634</c:v>
                </c:pt>
                <c:pt idx="911">
                  <c:v>44635</c:v>
                </c:pt>
                <c:pt idx="912">
                  <c:v>44636</c:v>
                </c:pt>
                <c:pt idx="913">
                  <c:v>44637</c:v>
                </c:pt>
                <c:pt idx="914">
                  <c:v>44638</c:v>
                </c:pt>
                <c:pt idx="915">
                  <c:v>44639</c:v>
                </c:pt>
                <c:pt idx="916">
                  <c:v>44640</c:v>
                </c:pt>
                <c:pt idx="917">
                  <c:v>44641</c:v>
                </c:pt>
                <c:pt idx="918">
                  <c:v>44642</c:v>
                </c:pt>
                <c:pt idx="919">
                  <c:v>44643</c:v>
                </c:pt>
                <c:pt idx="920">
                  <c:v>44645</c:v>
                </c:pt>
                <c:pt idx="921">
                  <c:v>44646</c:v>
                </c:pt>
                <c:pt idx="922">
                  <c:v>44647</c:v>
                </c:pt>
                <c:pt idx="923">
                  <c:v>44648</c:v>
                </c:pt>
                <c:pt idx="924">
                  <c:v>44649</c:v>
                </c:pt>
                <c:pt idx="925">
                  <c:v>44650</c:v>
                </c:pt>
                <c:pt idx="926">
                  <c:v>44651</c:v>
                </c:pt>
                <c:pt idx="927">
                  <c:v>44652</c:v>
                </c:pt>
                <c:pt idx="928">
                  <c:v>44653</c:v>
                </c:pt>
                <c:pt idx="929">
                  <c:v>44654</c:v>
                </c:pt>
                <c:pt idx="930">
                  <c:v>44655</c:v>
                </c:pt>
                <c:pt idx="931">
                  <c:v>44656</c:v>
                </c:pt>
                <c:pt idx="932">
                  <c:v>44657</c:v>
                </c:pt>
                <c:pt idx="933">
                  <c:v>44658</c:v>
                </c:pt>
                <c:pt idx="934">
                  <c:v>44659</c:v>
                </c:pt>
                <c:pt idx="935">
                  <c:v>44660</c:v>
                </c:pt>
                <c:pt idx="936">
                  <c:v>44661</c:v>
                </c:pt>
                <c:pt idx="937">
                  <c:v>44662</c:v>
                </c:pt>
                <c:pt idx="938">
                  <c:v>44663</c:v>
                </c:pt>
                <c:pt idx="939">
                  <c:v>44664</c:v>
                </c:pt>
                <c:pt idx="940">
                  <c:v>44667</c:v>
                </c:pt>
                <c:pt idx="941">
                  <c:v>44669</c:v>
                </c:pt>
                <c:pt idx="942">
                  <c:v>44671</c:v>
                </c:pt>
                <c:pt idx="943">
                  <c:v>44672</c:v>
                </c:pt>
                <c:pt idx="944">
                  <c:v>44673</c:v>
                </c:pt>
                <c:pt idx="945">
                  <c:v>44674</c:v>
                </c:pt>
                <c:pt idx="946">
                  <c:v>44675</c:v>
                </c:pt>
                <c:pt idx="947">
                  <c:v>44676</c:v>
                </c:pt>
                <c:pt idx="948">
                  <c:v>44677</c:v>
                </c:pt>
                <c:pt idx="949">
                  <c:v>44679</c:v>
                </c:pt>
                <c:pt idx="950">
                  <c:v>44682</c:v>
                </c:pt>
                <c:pt idx="951">
                  <c:v>44684</c:v>
                </c:pt>
                <c:pt idx="952">
                  <c:v>44685</c:v>
                </c:pt>
                <c:pt idx="953">
                  <c:v>44686</c:v>
                </c:pt>
                <c:pt idx="954">
                  <c:v>44687</c:v>
                </c:pt>
                <c:pt idx="955">
                  <c:v>44688</c:v>
                </c:pt>
                <c:pt idx="956">
                  <c:v>44689</c:v>
                </c:pt>
                <c:pt idx="957">
                  <c:v>44690</c:v>
                </c:pt>
                <c:pt idx="958">
                  <c:v>44692</c:v>
                </c:pt>
                <c:pt idx="959">
                  <c:v>44693</c:v>
                </c:pt>
                <c:pt idx="960">
                  <c:v>44694</c:v>
                </c:pt>
                <c:pt idx="961">
                  <c:v>44695</c:v>
                </c:pt>
                <c:pt idx="962">
                  <c:v>44697</c:v>
                </c:pt>
                <c:pt idx="963">
                  <c:v>44698</c:v>
                </c:pt>
                <c:pt idx="964">
                  <c:v>44700</c:v>
                </c:pt>
                <c:pt idx="965">
                  <c:v>44701</c:v>
                </c:pt>
                <c:pt idx="966">
                  <c:v>44702</c:v>
                </c:pt>
                <c:pt idx="967">
                  <c:v>44703</c:v>
                </c:pt>
                <c:pt idx="968">
                  <c:v>44704</c:v>
                </c:pt>
                <c:pt idx="969">
                  <c:v>44705</c:v>
                </c:pt>
                <c:pt idx="970">
                  <c:v>44706</c:v>
                </c:pt>
                <c:pt idx="971">
                  <c:v>44707</c:v>
                </c:pt>
                <c:pt idx="972">
                  <c:v>44708</c:v>
                </c:pt>
                <c:pt idx="973">
                  <c:v>44709</c:v>
                </c:pt>
                <c:pt idx="974">
                  <c:v>44710</c:v>
                </c:pt>
                <c:pt idx="975">
                  <c:v>44712</c:v>
                </c:pt>
                <c:pt idx="976">
                  <c:v>44713</c:v>
                </c:pt>
                <c:pt idx="977">
                  <c:v>44714</c:v>
                </c:pt>
                <c:pt idx="978">
                  <c:v>44716</c:v>
                </c:pt>
                <c:pt idx="979">
                  <c:v>44719</c:v>
                </c:pt>
                <c:pt idx="980">
                  <c:v>44720</c:v>
                </c:pt>
                <c:pt idx="981">
                  <c:v>44721</c:v>
                </c:pt>
                <c:pt idx="982">
                  <c:v>44722</c:v>
                </c:pt>
                <c:pt idx="983">
                  <c:v>44723</c:v>
                </c:pt>
                <c:pt idx="984">
                  <c:v>44724</c:v>
                </c:pt>
                <c:pt idx="985">
                  <c:v>44725</c:v>
                </c:pt>
                <c:pt idx="986">
                  <c:v>44726</c:v>
                </c:pt>
                <c:pt idx="987">
                  <c:v>44728</c:v>
                </c:pt>
                <c:pt idx="988">
                  <c:v>44731</c:v>
                </c:pt>
                <c:pt idx="989">
                  <c:v>44732</c:v>
                </c:pt>
                <c:pt idx="990">
                  <c:v>44734</c:v>
                </c:pt>
                <c:pt idx="991">
                  <c:v>44735</c:v>
                </c:pt>
                <c:pt idx="992">
                  <c:v>44736</c:v>
                </c:pt>
                <c:pt idx="993">
                  <c:v>44737</c:v>
                </c:pt>
                <c:pt idx="994">
                  <c:v>44738</c:v>
                </c:pt>
                <c:pt idx="995">
                  <c:v>44739</c:v>
                </c:pt>
                <c:pt idx="996">
                  <c:v>44740</c:v>
                </c:pt>
                <c:pt idx="997">
                  <c:v>44741</c:v>
                </c:pt>
                <c:pt idx="998">
                  <c:v>44742</c:v>
                </c:pt>
                <c:pt idx="999">
                  <c:v>44743</c:v>
                </c:pt>
                <c:pt idx="1000">
                  <c:v>44744</c:v>
                </c:pt>
                <c:pt idx="1001">
                  <c:v>44745</c:v>
                </c:pt>
                <c:pt idx="1002">
                  <c:v>44746</c:v>
                </c:pt>
                <c:pt idx="1003">
                  <c:v>44747</c:v>
                </c:pt>
                <c:pt idx="1004">
                  <c:v>44748</c:v>
                </c:pt>
                <c:pt idx="1005">
                  <c:v>44749</c:v>
                </c:pt>
                <c:pt idx="1006">
                  <c:v>44750</c:v>
                </c:pt>
                <c:pt idx="1007">
                  <c:v>44751</c:v>
                </c:pt>
                <c:pt idx="1008">
                  <c:v>44753</c:v>
                </c:pt>
                <c:pt idx="1009">
                  <c:v>44754</c:v>
                </c:pt>
                <c:pt idx="1010">
                  <c:v>44755</c:v>
                </c:pt>
                <c:pt idx="1011">
                  <c:v>44756</c:v>
                </c:pt>
                <c:pt idx="1012">
                  <c:v>44757</c:v>
                </c:pt>
                <c:pt idx="1013">
                  <c:v>44758</c:v>
                </c:pt>
                <c:pt idx="1014">
                  <c:v>44759</c:v>
                </c:pt>
                <c:pt idx="1015">
                  <c:v>44760</c:v>
                </c:pt>
                <c:pt idx="1016">
                  <c:v>44761</c:v>
                </c:pt>
                <c:pt idx="1017">
                  <c:v>44762</c:v>
                </c:pt>
                <c:pt idx="1018">
                  <c:v>44764</c:v>
                </c:pt>
                <c:pt idx="1019">
                  <c:v>44765</c:v>
                </c:pt>
                <c:pt idx="1020">
                  <c:v>44766</c:v>
                </c:pt>
                <c:pt idx="1021">
                  <c:v>44767</c:v>
                </c:pt>
              </c:numCache>
            </c:numRef>
          </c:cat>
          <c:val>
            <c:numRef>
              <c:f>DATA!$B$2:$B$1326</c:f>
              <c:numCache>
                <c:formatCode>General</c:formatCode>
                <c:ptCount val="1022"/>
                <c:pt idx="0">
                  <c:v>21.9</c:v>
                </c:pt>
                <c:pt idx="1">
                  <c:v>22.1</c:v>
                </c:pt>
                <c:pt idx="2">
                  <c:v>22.7</c:v>
                </c:pt>
                <c:pt idx="3">
                  <c:v>23.7</c:v>
                </c:pt>
                <c:pt idx="4">
                  <c:v>26.2</c:v>
                </c:pt>
                <c:pt idx="5">
                  <c:v>26.7</c:v>
                </c:pt>
                <c:pt idx="6">
                  <c:v>27.2</c:v>
                </c:pt>
                <c:pt idx="7">
                  <c:v>25.1</c:v>
                </c:pt>
                <c:pt idx="8">
                  <c:v>25.3</c:v>
                </c:pt>
                <c:pt idx="9">
                  <c:v>27.3</c:v>
                </c:pt>
                <c:pt idx="10">
                  <c:v>27.8</c:v>
                </c:pt>
                <c:pt idx="11">
                  <c:v>25.7</c:v>
                </c:pt>
                <c:pt idx="12">
                  <c:v>26.6</c:v>
                </c:pt>
                <c:pt idx="13">
                  <c:v>26.8</c:v>
                </c:pt>
                <c:pt idx="14">
                  <c:v>25.6</c:v>
                </c:pt>
                <c:pt idx="15">
                  <c:v>28.3</c:v>
                </c:pt>
                <c:pt idx="16">
                  <c:v>26.8</c:v>
                </c:pt>
                <c:pt idx="17">
                  <c:v>27.6</c:v>
                </c:pt>
                <c:pt idx="18">
                  <c:v>28.1</c:v>
                </c:pt>
                <c:pt idx="19">
                  <c:v>27.3</c:v>
                </c:pt>
                <c:pt idx="20">
                  <c:v>26</c:v>
                </c:pt>
                <c:pt idx="21">
                  <c:v>27</c:v>
                </c:pt>
                <c:pt idx="22">
                  <c:v>26.9</c:v>
                </c:pt>
                <c:pt idx="23">
                  <c:v>27.6</c:v>
                </c:pt>
                <c:pt idx="24">
                  <c:v>27.1</c:v>
                </c:pt>
                <c:pt idx="25">
                  <c:v>26</c:v>
                </c:pt>
                <c:pt idx="26">
                  <c:v>26.8</c:v>
                </c:pt>
                <c:pt idx="27">
                  <c:v>25.7</c:v>
                </c:pt>
                <c:pt idx="28">
                  <c:v>27.6</c:v>
                </c:pt>
                <c:pt idx="29">
                  <c:v>26.2</c:v>
                </c:pt>
                <c:pt idx="30">
                  <c:v>25.5</c:v>
                </c:pt>
                <c:pt idx="31">
                  <c:v>24.9</c:v>
                </c:pt>
                <c:pt idx="32">
                  <c:v>25.8</c:v>
                </c:pt>
                <c:pt idx="33">
                  <c:v>23.9</c:v>
                </c:pt>
                <c:pt idx="34">
                  <c:v>25</c:v>
                </c:pt>
                <c:pt idx="35">
                  <c:v>23.3</c:v>
                </c:pt>
                <c:pt idx="36">
                  <c:v>23.9</c:v>
                </c:pt>
                <c:pt idx="37">
                  <c:v>23.4</c:v>
                </c:pt>
                <c:pt idx="38">
                  <c:v>22.3</c:v>
                </c:pt>
                <c:pt idx="39">
                  <c:v>24.2</c:v>
                </c:pt>
                <c:pt idx="40">
                  <c:v>25.8</c:v>
                </c:pt>
                <c:pt idx="41">
                  <c:v>25.1</c:v>
                </c:pt>
                <c:pt idx="42">
                  <c:v>23.8</c:v>
                </c:pt>
                <c:pt idx="43">
                  <c:v>23.4</c:v>
                </c:pt>
                <c:pt idx="44">
                  <c:v>24.1</c:v>
                </c:pt>
                <c:pt idx="45">
                  <c:v>24.6</c:v>
                </c:pt>
                <c:pt idx="46">
                  <c:v>24.4</c:v>
                </c:pt>
                <c:pt idx="47">
                  <c:v>24.9</c:v>
                </c:pt>
                <c:pt idx="48">
                  <c:v>24.4</c:v>
                </c:pt>
                <c:pt idx="49">
                  <c:v>23.8</c:v>
                </c:pt>
                <c:pt idx="50">
                  <c:v>24</c:v>
                </c:pt>
                <c:pt idx="51">
                  <c:v>23.6</c:v>
                </c:pt>
                <c:pt idx="52">
                  <c:v>24.3</c:v>
                </c:pt>
                <c:pt idx="53">
                  <c:v>24.3</c:v>
                </c:pt>
                <c:pt idx="54">
                  <c:v>24.6</c:v>
                </c:pt>
                <c:pt idx="55">
                  <c:v>25.2</c:v>
                </c:pt>
                <c:pt idx="56">
                  <c:v>23.7</c:v>
                </c:pt>
                <c:pt idx="57">
                  <c:v>23.2</c:v>
                </c:pt>
                <c:pt idx="58">
                  <c:v>23.7</c:v>
                </c:pt>
                <c:pt idx="59">
                  <c:v>23.2</c:v>
                </c:pt>
                <c:pt idx="60">
                  <c:v>23.3</c:v>
                </c:pt>
                <c:pt idx="61">
                  <c:v>24.5</c:v>
                </c:pt>
                <c:pt idx="62">
                  <c:v>23.7</c:v>
                </c:pt>
                <c:pt idx="63">
                  <c:v>22.8</c:v>
                </c:pt>
                <c:pt idx="64">
                  <c:v>22.9</c:v>
                </c:pt>
                <c:pt idx="65">
                  <c:v>22.2</c:v>
                </c:pt>
                <c:pt idx="66">
                  <c:v>23.2</c:v>
                </c:pt>
                <c:pt idx="67">
                  <c:v>23.8</c:v>
                </c:pt>
                <c:pt idx="68">
                  <c:v>22.8</c:v>
                </c:pt>
                <c:pt idx="69">
                  <c:v>22.2</c:v>
                </c:pt>
                <c:pt idx="70">
                  <c:v>23.6</c:v>
                </c:pt>
                <c:pt idx="71">
                  <c:v>23.8</c:v>
                </c:pt>
                <c:pt idx="72">
                  <c:v>24.8</c:v>
                </c:pt>
                <c:pt idx="73">
                  <c:v>25.2</c:v>
                </c:pt>
                <c:pt idx="74">
                  <c:v>25.4</c:v>
                </c:pt>
                <c:pt idx="75">
                  <c:v>25.2</c:v>
                </c:pt>
                <c:pt idx="76">
                  <c:v>24.9</c:v>
                </c:pt>
                <c:pt idx="77">
                  <c:v>25.2</c:v>
                </c:pt>
                <c:pt idx="78">
                  <c:v>25.1</c:v>
                </c:pt>
                <c:pt idx="79">
                  <c:v>24.3</c:v>
                </c:pt>
                <c:pt idx="80">
                  <c:v>23.8</c:v>
                </c:pt>
                <c:pt idx="81">
                  <c:v>24.4</c:v>
                </c:pt>
                <c:pt idx="82">
                  <c:v>24.8</c:v>
                </c:pt>
                <c:pt idx="83">
                  <c:v>25.7</c:v>
                </c:pt>
                <c:pt idx="84">
                  <c:v>23.7</c:v>
                </c:pt>
                <c:pt idx="85">
                  <c:v>23.5</c:v>
                </c:pt>
                <c:pt idx="86">
                  <c:v>23.3</c:v>
                </c:pt>
                <c:pt idx="87">
                  <c:v>24.7</c:v>
                </c:pt>
                <c:pt idx="88">
                  <c:v>23.2</c:v>
                </c:pt>
                <c:pt idx="89">
                  <c:v>22.6</c:v>
                </c:pt>
                <c:pt idx="90">
                  <c:v>23.6</c:v>
                </c:pt>
                <c:pt idx="91">
                  <c:v>23.4</c:v>
                </c:pt>
                <c:pt idx="92">
                  <c:v>23.8</c:v>
                </c:pt>
                <c:pt idx="93">
                  <c:v>22.3</c:v>
                </c:pt>
                <c:pt idx="94">
                  <c:v>22.8</c:v>
                </c:pt>
                <c:pt idx="95">
                  <c:v>22.4</c:v>
                </c:pt>
                <c:pt idx="96">
                  <c:v>24.5</c:v>
                </c:pt>
                <c:pt idx="97">
                  <c:v>24.8</c:v>
                </c:pt>
                <c:pt idx="98">
                  <c:v>24.8</c:v>
                </c:pt>
                <c:pt idx="99">
                  <c:v>24.1</c:v>
                </c:pt>
                <c:pt idx="100">
                  <c:v>23.2</c:v>
                </c:pt>
                <c:pt idx="101">
                  <c:v>24.8</c:v>
                </c:pt>
                <c:pt idx="102">
                  <c:v>23.7</c:v>
                </c:pt>
                <c:pt idx="103">
                  <c:v>23.7</c:v>
                </c:pt>
                <c:pt idx="104">
                  <c:v>22.6</c:v>
                </c:pt>
                <c:pt idx="105">
                  <c:v>23.1</c:v>
                </c:pt>
                <c:pt idx="106">
                  <c:v>23.2</c:v>
                </c:pt>
                <c:pt idx="107">
                  <c:v>24.3</c:v>
                </c:pt>
                <c:pt idx="108">
                  <c:v>25.6</c:v>
                </c:pt>
                <c:pt idx="109">
                  <c:v>24.2</c:v>
                </c:pt>
                <c:pt idx="110">
                  <c:v>23.8</c:v>
                </c:pt>
                <c:pt idx="111">
                  <c:v>22.5</c:v>
                </c:pt>
                <c:pt idx="112">
                  <c:v>22.7</c:v>
                </c:pt>
                <c:pt idx="113">
                  <c:v>23.1</c:v>
                </c:pt>
                <c:pt idx="114">
                  <c:v>24.9</c:v>
                </c:pt>
                <c:pt idx="115">
                  <c:v>24.3</c:v>
                </c:pt>
                <c:pt idx="116">
                  <c:v>24.8</c:v>
                </c:pt>
                <c:pt idx="117">
                  <c:v>24.5</c:v>
                </c:pt>
                <c:pt idx="118">
                  <c:v>23.8</c:v>
                </c:pt>
                <c:pt idx="119">
                  <c:v>22.4</c:v>
                </c:pt>
                <c:pt idx="120">
                  <c:v>23.1</c:v>
                </c:pt>
                <c:pt idx="121">
                  <c:v>23.7</c:v>
                </c:pt>
                <c:pt idx="122">
                  <c:v>23.9</c:v>
                </c:pt>
                <c:pt idx="123">
                  <c:v>23.9</c:v>
                </c:pt>
                <c:pt idx="124">
                  <c:v>22.2</c:v>
                </c:pt>
                <c:pt idx="125">
                  <c:v>21.7</c:v>
                </c:pt>
                <c:pt idx="126">
                  <c:v>22.9</c:v>
                </c:pt>
                <c:pt idx="127">
                  <c:v>23.2</c:v>
                </c:pt>
                <c:pt idx="128">
                  <c:v>21.5</c:v>
                </c:pt>
                <c:pt idx="129">
                  <c:v>21.7</c:v>
                </c:pt>
                <c:pt idx="130">
                  <c:v>21.5</c:v>
                </c:pt>
                <c:pt idx="131">
                  <c:v>22.5</c:v>
                </c:pt>
                <c:pt idx="132">
                  <c:v>23.8</c:v>
                </c:pt>
                <c:pt idx="133">
                  <c:v>21.3</c:v>
                </c:pt>
                <c:pt idx="134">
                  <c:v>20.8</c:v>
                </c:pt>
                <c:pt idx="135">
                  <c:v>22.7</c:v>
                </c:pt>
                <c:pt idx="136">
                  <c:v>23.3</c:v>
                </c:pt>
                <c:pt idx="137">
                  <c:v>24.4</c:v>
                </c:pt>
                <c:pt idx="138">
                  <c:v>24.2</c:v>
                </c:pt>
                <c:pt idx="139">
                  <c:v>24</c:v>
                </c:pt>
                <c:pt idx="140">
                  <c:v>26.5</c:v>
                </c:pt>
                <c:pt idx="141">
                  <c:v>25.8</c:v>
                </c:pt>
                <c:pt idx="142">
                  <c:v>23.7</c:v>
                </c:pt>
                <c:pt idx="143">
                  <c:v>24.7</c:v>
                </c:pt>
                <c:pt idx="144">
                  <c:v>25.7</c:v>
                </c:pt>
                <c:pt idx="145">
                  <c:v>25.9</c:v>
                </c:pt>
                <c:pt idx="146">
                  <c:v>27.6</c:v>
                </c:pt>
                <c:pt idx="147">
                  <c:v>26.2</c:v>
                </c:pt>
                <c:pt idx="148">
                  <c:v>27.2</c:v>
                </c:pt>
                <c:pt idx="149">
                  <c:v>25.1</c:v>
                </c:pt>
                <c:pt idx="150">
                  <c:v>26.6</c:v>
                </c:pt>
                <c:pt idx="151">
                  <c:v>27.2</c:v>
                </c:pt>
                <c:pt idx="152">
                  <c:v>28.3</c:v>
                </c:pt>
                <c:pt idx="153">
                  <c:v>27.7</c:v>
                </c:pt>
                <c:pt idx="154">
                  <c:v>27</c:v>
                </c:pt>
                <c:pt idx="155">
                  <c:v>26.9</c:v>
                </c:pt>
                <c:pt idx="156">
                  <c:v>26.5</c:v>
                </c:pt>
                <c:pt idx="157">
                  <c:v>25.9</c:v>
                </c:pt>
                <c:pt idx="158">
                  <c:v>27</c:v>
                </c:pt>
                <c:pt idx="159">
                  <c:v>27.2</c:v>
                </c:pt>
                <c:pt idx="160">
                  <c:v>24.9</c:v>
                </c:pt>
                <c:pt idx="161">
                  <c:v>26.2</c:v>
                </c:pt>
                <c:pt idx="162">
                  <c:v>26.7</c:v>
                </c:pt>
                <c:pt idx="163">
                  <c:v>25.2</c:v>
                </c:pt>
                <c:pt idx="164">
                  <c:v>24</c:v>
                </c:pt>
                <c:pt idx="165">
                  <c:v>26.3</c:v>
                </c:pt>
                <c:pt idx="166">
                  <c:v>26</c:v>
                </c:pt>
                <c:pt idx="167">
                  <c:v>26.3</c:v>
                </c:pt>
                <c:pt idx="168">
                  <c:v>24.5</c:v>
                </c:pt>
                <c:pt idx="169">
                  <c:v>24.4</c:v>
                </c:pt>
                <c:pt idx="170">
                  <c:v>23.8</c:v>
                </c:pt>
                <c:pt idx="171">
                  <c:v>23.7</c:v>
                </c:pt>
                <c:pt idx="172">
                  <c:v>23.8</c:v>
                </c:pt>
                <c:pt idx="173">
                  <c:v>24.8</c:v>
                </c:pt>
                <c:pt idx="174">
                  <c:v>25.6</c:v>
                </c:pt>
                <c:pt idx="175">
                  <c:v>23.9</c:v>
                </c:pt>
                <c:pt idx="176">
                  <c:v>23.3</c:v>
                </c:pt>
                <c:pt idx="177">
                  <c:v>22</c:v>
                </c:pt>
                <c:pt idx="178">
                  <c:v>22.7</c:v>
                </c:pt>
                <c:pt idx="179">
                  <c:v>23.7</c:v>
                </c:pt>
                <c:pt idx="180">
                  <c:v>23.2</c:v>
                </c:pt>
                <c:pt idx="181">
                  <c:v>23.8</c:v>
                </c:pt>
                <c:pt idx="182">
                  <c:v>24.1</c:v>
                </c:pt>
                <c:pt idx="183">
                  <c:v>23.6</c:v>
                </c:pt>
                <c:pt idx="184">
                  <c:v>23.8</c:v>
                </c:pt>
                <c:pt idx="185">
                  <c:v>23.4</c:v>
                </c:pt>
                <c:pt idx="186">
                  <c:v>23.2</c:v>
                </c:pt>
                <c:pt idx="187">
                  <c:v>22.5</c:v>
                </c:pt>
                <c:pt idx="188">
                  <c:v>23.5</c:v>
                </c:pt>
                <c:pt idx="189">
                  <c:v>23.1</c:v>
                </c:pt>
                <c:pt idx="190">
                  <c:v>22.4</c:v>
                </c:pt>
                <c:pt idx="191">
                  <c:v>23.1</c:v>
                </c:pt>
                <c:pt idx="192">
                  <c:v>23.8</c:v>
                </c:pt>
                <c:pt idx="193">
                  <c:v>24.2</c:v>
                </c:pt>
                <c:pt idx="194">
                  <c:v>24.8</c:v>
                </c:pt>
                <c:pt idx="195">
                  <c:v>24.4</c:v>
                </c:pt>
                <c:pt idx="196">
                  <c:v>24.1</c:v>
                </c:pt>
                <c:pt idx="197">
                  <c:v>22.9</c:v>
                </c:pt>
                <c:pt idx="198">
                  <c:v>22.4</c:v>
                </c:pt>
                <c:pt idx="199">
                  <c:v>22.8</c:v>
                </c:pt>
                <c:pt idx="200">
                  <c:v>22.7</c:v>
                </c:pt>
                <c:pt idx="201">
                  <c:v>22.8</c:v>
                </c:pt>
                <c:pt idx="202">
                  <c:v>22.2</c:v>
                </c:pt>
                <c:pt idx="203">
                  <c:v>22.4</c:v>
                </c:pt>
                <c:pt idx="204">
                  <c:v>23.6</c:v>
                </c:pt>
                <c:pt idx="205">
                  <c:v>22.2</c:v>
                </c:pt>
                <c:pt idx="206">
                  <c:v>22.5</c:v>
                </c:pt>
                <c:pt idx="207">
                  <c:v>23.8</c:v>
                </c:pt>
                <c:pt idx="208">
                  <c:v>23</c:v>
                </c:pt>
                <c:pt idx="209">
                  <c:v>22.7</c:v>
                </c:pt>
                <c:pt idx="210">
                  <c:v>23.6</c:v>
                </c:pt>
                <c:pt idx="211">
                  <c:v>22.7</c:v>
                </c:pt>
                <c:pt idx="212">
                  <c:v>23.3</c:v>
                </c:pt>
                <c:pt idx="213">
                  <c:v>23.7</c:v>
                </c:pt>
                <c:pt idx="214">
                  <c:v>23.3</c:v>
                </c:pt>
                <c:pt idx="215">
                  <c:v>23.5</c:v>
                </c:pt>
                <c:pt idx="216">
                  <c:v>23.8</c:v>
                </c:pt>
                <c:pt idx="217">
                  <c:v>23.1</c:v>
                </c:pt>
                <c:pt idx="218">
                  <c:v>21.9</c:v>
                </c:pt>
                <c:pt idx="219">
                  <c:v>23.3</c:v>
                </c:pt>
                <c:pt idx="220">
                  <c:v>22.8</c:v>
                </c:pt>
                <c:pt idx="221">
                  <c:v>23.8</c:v>
                </c:pt>
                <c:pt idx="222">
                  <c:v>22.7</c:v>
                </c:pt>
                <c:pt idx="223">
                  <c:v>22</c:v>
                </c:pt>
                <c:pt idx="224">
                  <c:v>23.4</c:v>
                </c:pt>
                <c:pt idx="225">
                  <c:v>22.7</c:v>
                </c:pt>
                <c:pt idx="226">
                  <c:v>21.9</c:v>
                </c:pt>
                <c:pt idx="227">
                  <c:v>21.5</c:v>
                </c:pt>
                <c:pt idx="228">
                  <c:v>21.7</c:v>
                </c:pt>
                <c:pt idx="229">
                  <c:v>21.9</c:v>
                </c:pt>
                <c:pt idx="230">
                  <c:v>22.2</c:v>
                </c:pt>
                <c:pt idx="231">
                  <c:v>23.2</c:v>
                </c:pt>
                <c:pt idx="232">
                  <c:v>23.4</c:v>
                </c:pt>
                <c:pt idx="233">
                  <c:v>23.3</c:v>
                </c:pt>
                <c:pt idx="234">
                  <c:v>22.8</c:v>
                </c:pt>
                <c:pt idx="235">
                  <c:v>23.3</c:v>
                </c:pt>
                <c:pt idx="236">
                  <c:v>23.7</c:v>
                </c:pt>
                <c:pt idx="237">
                  <c:v>23.3</c:v>
                </c:pt>
                <c:pt idx="238">
                  <c:v>22.4</c:v>
                </c:pt>
                <c:pt idx="239">
                  <c:v>22.4</c:v>
                </c:pt>
                <c:pt idx="240">
                  <c:v>21.9</c:v>
                </c:pt>
                <c:pt idx="241">
                  <c:v>22.6</c:v>
                </c:pt>
                <c:pt idx="242">
                  <c:v>22.9</c:v>
                </c:pt>
                <c:pt idx="243">
                  <c:v>23.3</c:v>
                </c:pt>
                <c:pt idx="244">
                  <c:v>23.7</c:v>
                </c:pt>
                <c:pt idx="245">
                  <c:v>23.7</c:v>
                </c:pt>
                <c:pt idx="246">
                  <c:v>24.7</c:v>
                </c:pt>
                <c:pt idx="247">
                  <c:v>24.4</c:v>
                </c:pt>
                <c:pt idx="248">
                  <c:v>24.3</c:v>
                </c:pt>
                <c:pt idx="249">
                  <c:v>25.7</c:v>
                </c:pt>
                <c:pt idx="250">
                  <c:v>25.3</c:v>
                </c:pt>
                <c:pt idx="251">
                  <c:v>25.9</c:v>
                </c:pt>
                <c:pt idx="252">
                  <c:v>24.8</c:v>
                </c:pt>
                <c:pt idx="253">
                  <c:v>23.2</c:v>
                </c:pt>
                <c:pt idx="254">
                  <c:v>23.3</c:v>
                </c:pt>
                <c:pt idx="255">
                  <c:v>23.5</c:v>
                </c:pt>
                <c:pt idx="256">
                  <c:v>23.9</c:v>
                </c:pt>
                <c:pt idx="257">
                  <c:v>24.4</c:v>
                </c:pt>
                <c:pt idx="258">
                  <c:v>25.1</c:v>
                </c:pt>
                <c:pt idx="259">
                  <c:v>25.3</c:v>
                </c:pt>
                <c:pt idx="260">
                  <c:v>25.4</c:v>
                </c:pt>
                <c:pt idx="261">
                  <c:v>25.5</c:v>
                </c:pt>
                <c:pt idx="262">
                  <c:v>24.9</c:v>
                </c:pt>
                <c:pt idx="263">
                  <c:v>24.1</c:v>
                </c:pt>
                <c:pt idx="264">
                  <c:v>23</c:v>
                </c:pt>
                <c:pt idx="265">
                  <c:v>22.5</c:v>
                </c:pt>
                <c:pt idx="266">
                  <c:v>24.3</c:v>
                </c:pt>
                <c:pt idx="267">
                  <c:v>24.1</c:v>
                </c:pt>
                <c:pt idx="268">
                  <c:v>24.3</c:v>
                </c:pt>
                <c:pt idx="269">
                  <c:v>24</c:v>
                </c:pt>
                <c:pt idx="270">
                  <c:v>23.4</c:v>
                </c:pt>
                <c:pt idx="271">
                  <c:v>24.3</c:v>
                </c:pt>
                <c:pt idx="272">
                  <c:v>22.4</c:v>
                </c:pt>
                <c:pt idx="273">
                  <c:v>23.9</c:v>
                </c:pt>
                <c:pt idx="274">
                  <c:v>23.8</c:v>
                </c:pt>
                <c:pt idx="275">
                  <c:v>22.8</c:v>
                </c:pt>
                <c:pt idx="276">
                  <c:v>23.5</c:v>
                </c:pt>
                <c:pt idx="277">
                  <c:v>23.6</c:v>
                </c:pt>
                <c:pt idx="278">
                  <c:v>21.9</c:v>
                </c:pt>
                <c:pt idx="279">
                  <c:v>23.9</c:v>
                </c:pt>
                <c:pt idx="280">
                  <c:v>24.3</c:v>
                </c:pt>
                <c:pt idx="281">
                  <c:v>24.4</c:v>
                </c:pt>
                <c:pt idx="282">
                  <c:v>21.6</c:v>
                </c:pt>
                <c:pt idx="283">
                  <c:v>20.9</c:v>
                </c:pt>
                <c:pt idx="284">
                  <c:v>22.6</c:v>
                </c:pt>
                <c:pt idx="285">
                  <c:v>23.2</c:v>
                </c:pt>
                <c:pt idx="286">
                  <c:v>23.5</c:v>
                </c:pt>
                <c:pt idx="287">
                  <c:v>22.2</c:v>
                </c:pt>
                <c:pt idx="288">
                  <c:v>20.6</c:v>
                </c:pt>
                <c:pt idx="289">
                  <c:v>21.9</c:v>
                </c:pt>
                <c:pt idx="290">
                  <c:v>22.1</c:v>
                </c:pt>
                <c:pt idx="291">
                  <c:v>27.8</c:v>
                </c:pt>
                <c:pt idx="292">
                  <c:v>28.2</c:v>
                </c:pt>
                <c:pt idx="293">
                  <c:v>26.8</c:v>
                </c:pt>
                <c:pt idx="294">
                  <c:v>27.4</c:v>
                </c:pt>
                <c:pt idx="295">
                  <c:v>27.9</c:v>
                </c:pt>
                <c:pt idx="296">
                  <c:v>26.3</c:v>
                </c:pt>
                <c:pt idx="297">
                  <c:v>25.5</c:v>
                </c:pt>
                <c:pt idx="298">
                  <c:v>27.9</c:v>
                </c:pt>
                <c:pt idx="299">
                  <c:v>26.7</c:v>
                </c:pt>
                <c:pt idx="300">
                  <c:v>27.9</c:v>
                </c:pt>
                <c:pt idx="301">
                  <c:v>25.6</c:v>
                </c:pt>
                <c:pt idx="302">
                  <c:v>24</c:v>
                </c:pt>
                <c:pt idx="303">
                  <c:v>26.1</c:v>
                </c:pt>
                <c:pt idx="304">
                  <c:v>24.8</c:v>
                </c:pt>
                <c:pt idx="305">
                  <c:v>27.9</c:v>
                </c:pt>
                <c:pt idx="306">
                  <c:v>27.8</c:v>
                </c:pt>
                <c:pt idx="307">
                  <c:v>27.5</c:v>
                </c:pt>
                <c:pt idx="308">
                  <c:v>26.2</c:v>
                </c:pt>
                <c:pt idx="309">
                  <c:v>25.5</c:v>
                </c:pt>
                <c:pt idx="310">
                  <c:v>26.9</c:v>
                </c:pt>
                <c:pt idx="311">
                  <c:v>26.3</c:v>
                </c:pt>
                <c:pt idx="312">
                  <c:v>24.8</c:v>
                </c:pt>
                <c:pt idx="313">
                  <c:v>26.6</c:v>
                </c:pt>
                <c:pt idx="314">
                  <c:v>25.7</c:v>
                </c:pt>
                <c:pt idx="315">
                  <c:v>24.6</c:v>
                </c:pt>
                <c:pt idx="316">
                  <c:v>25.1</c:v>
                </c:pt>
                <c:pt idx="317">
                  <c:v>23.8</c:v>
                </c:pt>
                <c:pt idx="318">
                  <c:v>25</c:v>
                </c:pt>
                <c:pt idx="319">
                  <c:v>24.6</c:v>
                </c:pt>
                <c:pt idx="320">
                  <c:v>25.2</c:v>
                </c:pt>
                <c:pt idx="321">
                  <c:v>25.1</c:v>
                </c:pt>
                <c:pt idx="322">
                  <c:v>25.6</c:v>
                </c:pt>
                <c:pt idx="323">
                  <c:v>25.4</c:v>
                </c:pt>
                <c:pt idx="324">
                  <c:v>23.7</c:v>
                </c:pt>
                <c:pt idx="325">
                  <c:v>24.5</c:v>
                </c:pt>
                <c:pt idx="326">
                  <c:v>24.4</c:v>
                </c:pt>
                <c:pt idx="327">
                  <c:v>23.8</c:v>
                </c:pt>
                <c:pt idx="328">
                  <c:v>23.2</c:v>
                </c:pt>
                <c:pt idx="329">
                  <c:v>24.2</c:v>
                </c:pt>
                <c:pt idx="330">
                  <c:v>25.3</c:v>
                </c:pt>
                <c:pt idx="331">
                  <c:v>25.2</c:v>
                </c:pt>
                <c:pt idx="332">
                  <c:v>24.7</c:v>
                </c:pt>
                <c:pt idx="333">
                  <c:v>24.2</c:v>
                </c:pt>
                <c:pt idx="334">
                  <c:v>24.8</c:v>
                </c:pt>
                <c:pt idx="335">
                  <c:v>24.8</c:v>
                </c:pt>
                <c:pt idx="336">
                  <c:v>23.6</c:v>
                </c:pt>
                <c:pt idx="337">
                  <c:v>23.4</c:v>
                </c:pt>
                <c:pt idx="338">
                  <c:v>23</c:v>
                </c:pt>
                <c:pt idx="339">
                  <c:v>22.2</c:v>
                </c:pt>
                <c:pt idx="340">
                  <c:v>24.3</c:v>
                </c:pt>
                <c:pt idx="341">
                  <c:v>23.8</c:v>
                </c:pt>
                <c:pt idx="342">
                  <c:v>24.1</c:v>
                </c:pt>
                <c:pt idx="343">
                  <c:v>23.4</c:v>
                </c:pt>
                <c:pt idx="344">
                  <c:v>23.4</c:v>
                </c:pt>
                <c:pt idx="345">
                  <c:v>22.9</c:v>
                </c:pt>
                <c:pt idx="346">
                  <c:v>22.4</c:v>
                </c:pt>
                <c:pt idx="347">
                  <c:v>21.8</c:v>
                </c:pt>
                <c:pt idx="348">
                  <c:v>22.1</c:v>
                </c:pt>
                <c:pt idx="349">
                  <c:v>22</c:v>
                </c:pt>
                <c:pt idx="350">
                  <c:v>22.7</c:v>
                </c:pt>
                <c:pt idx="351">
                  <c:v>23</c:v>
                </c:pt>
                <c:pt idx="352">
                  <c:v>23.2</c:v>
                </c:pt>
                <c:pt idx="353">
                  <c:v>22.8</c:v>
                </c:pt>
                <c:pt idx="354">
                  <c:v>23.2</c:v>
                </c:pt>
                <c:pt idx="355">
                  <c:v>23.1</c:v>
                </c:pt>
                <c:pt idx="356">
                  <c:v>22.2</c:v>
                </c:pt>
                <c:pt idx="357">
                  <c:v>22.7</c:v>
                </c:pt>
                <c:pt idx="358">
                  <c:v>22.7</c:v>
                </c:pt>
                <c:pt idx="359">
                  <c:v>22.7</c:v>
                </c:pt>
                <c:pt idx="360">
                  <c:v>23</c:v>
                </c:pt>
                <c:pt idx="361">
                  <c:v>23</c:v>
                </c:pt>
                <c:pt idx="362">
                  <c:v>23.9</c:v>
                </c:pt>
                <c:pt idx="363">
                  <c:v>23.7</c:v>
                </c:pt>
                <c:pt idx="364">
                  <c:v>24.1</c:v>
                </c:pt>
                <c:pt idx="365">
                  <c:v>24.3</c:v>
                </c:pt>
                <c:pt idx="366">
                  <c:v>23</c:v>
                </c:pt>
                <c:pt idx="367">
                  <c:v>23</c:v>
                </c:pt>
                <c:pt idx="368">
                  <c:v>22.3</c:v>
                </c:pt>
                <c:pt idx="369">
                  <c:v>22.2</c:v>
                </c:pt>
                <c:pt idx="370">
                  <c:v>22.6</c:v>
                </c:pt>
                <c:pt idx="371">
                  <c:v>22.8</c:v>
                </c:pt>
                <c:pt idx="372">
                  <c:v>23.2</c:v>
                </c:pt>
                <c:pt idx="373">
                  <c:v>23.6</c:v>
                </c:pt>
                <c:pt idx="374">
                  <c:v>24.1</c:v>
                </c:pt>
                <c:pt idx="375">
                  <c:v>24.2</c:v>
                </c:pt>
                <c:pt idx="376">
                  <c:v>24</c:v>
                </c:pt>
                <c:pt idx="377">
                  <c:v>24.7</c:v>
                </c:pt>
                <c:pt idx="378">
                  <c:v>25.1</c:v>
                </c:pt>
                <c:pt idx="379">
                  <c:v>24.8</c:v>
                </c:pt>
                <c:pt idx="380">
                  <c:v>23.2</c:v>
                </c:pt>
                <c:pt idx="381">
                  <c:v>23.9</c:v>
                </c:pt>
                <c:pt idx="382">
                  <c:v>24.2</c:v>
                </c:pt>
                <c:pt idx="383">
                  <c:v>24.2</c:v>
                </c:pt>
                <c:pt idx="384">
                  <c:v>25.2</c:v>
                </c:pt>
                <c:pt idx="385">
                  <c:v>23.2</c:v>
                </c:pt>
                <c:pt idx="386">
                  <c:v>23.9</c:v>
                </c:pt>
                <c:pt idx="387">
                  <c:v>23.9</c:v>
                </c:pt>
                <c:pt idx="388">
                  <c:v>24.7</c:v>
                </c:pt>
                <c:pt idx="389">
                  <c:v>24.7</c:v>
                </c:pt>
                <c:pt idx="390">
                  <c:v>23.5</c:v>
                </c:pt>
                <c:pt idx="391">
                  <c:v>23</c:v>
                </c:pt>
                <c:pt idx="392">
                  <c:v>23.5</c:v>
                </c:pt>
                <c:pt idx="393">
                  <c:v>24.3</c:v>
                </c:pt>
                <c:pt idx="394">
                  <c:v>24.1</c:v>
                </c:pt>
                <c:pt idx="395">
                  <c:v>23.3</c:v>
                </c:pt>
                <c:pt idx="396">
                  <c:v>24.3</c:v>
                </c:pt>
                <c:pt idx="397">
                  <c:v>24.7</c:v>
                </c:pt>
                <c:pt idx="398">
                  <c:v>24.4</c:v>
                </c:pt>
                <c:pt idx="399">
                  <c:v>25</c:v>
                </c:pt>
                <c:pt idx="400">
                  <c:v>24.9</c:v>
                </c:pt>
                <c:pt idx="401">
                  <c:v>26.7</c:v>
                </c:pt>
                <c:pt idx="402">
                  <c:v>24.7</c:v>
                </c:pt>
                <c:pt idx="403">
                  <c:v>24.5</c:v>
                </c:pt>
                <c:pt idx="404">
                  <c:v>22.4</c:v>
                </c:pt>
                <c:pt idx="405">
                  <c:v>23</c:v>
                </c:pt>
                <c:pt idx="406">
                  <c:v>23.4</c:v>
                </c:pt>
                <c:pt idx="407">
                  <c:v>23.3</c:v>
                </c:pt>
                <c:pt idx="408">
                  <c:v>22.2</c:v>
                </c:pt>
                <c:pt idx="409">
                  <c:v>22.5</c:v>
                </c:pt>
                <c:pt idx="410">
                  <c:v>21.5</c:v>
                </c:pt>
                <c:pt idx="411">
                  <c:v>22.4</c:v>
                </c:pt>
                <c:pt idx="412">
                  <c:v>22.3</c:v>
                </c:pt>
                <c:pt idx="413">
                  <c:v>22</c:v>
                </c:pt>
                <c:pt idx="414">
                  <c:v>21.4</c:v>
                </c:pt>
                <c:pt idx="415">
                  <c:v>22.5</c:v>
                </c:pt>
                <c:pt idx="416">
                  <c:v>23.8</c:v>
                </c:pt>
                <c:pt idx="417">
                  <c:v>24.2</c:v>
                </c:pt>
                <c:pt idx="418">
                  <c:v>24.4</c:v>
                </c:pt>
                <c:pt idx="419">
                  <c:v>24.3</c:v>
                </c:pt>
                <c:pt idx="420">
                  <c:v>23.8</c:v>
                </c:pt>
                <c:pt idx="421">
                  <c:v>22.7</c:v>
                </c:pt>
                <c:pt idx="422">
                  <c:v>23.5</c:v>
                </c:pt>
                <c:pt idx="423">
                  <c:v>24</c:v>
                </c:pt>
                <c:pt idx="424">
                  <c:v>23.6</c:v>
                </c:pt>
                <c:pt idx="425">
                  <c:v>22.4</c:v>
                </c:pt>
                <c:pt idx="426">
                  <c:v>22.3</c:v>
                </c:pt>
                <c:pt idx="427">
                  <c:v>23.2</c:v>
                </c:pt>
                <c:pt idx="428">
                  <c:v>21.9</c:v>
                </c:pt>
                <c:pt idx="429">
                  <c:v>22.6</c:v>
                </c:pt>
                <c:pt idx="430">
                  <c:v>22.5</c:v>
                </c:pt>
                <c:pt idx="431">
                  <c:v>21.4</c:v>
                </c:pt>
                <c:pt idx="432">
                  <c:v>21.2</c:v>
                </c:pt>
                <c:pt idx="433">
                  <c:v>21.3</c:v>
                </c:pt>
                <c:pt idx="434">
                  <c:v>21.1</c:v>
                </c:pt>
                <c:pt idx="435">
                  <c:v>21.2</c:v>
                </c:pt>
                <c:pt idx="436">
                  <c:v>20.8</c:v>
                </c:pt>
                <c:pt idx="437">
                  <c:v>20.2</c:v>
                </c:pt>
                <c:pt idx="438">
                  <c:v>21.5</c:v>
                </c:pt>
                <c:pt idx="439">
                  <c:v>21.1</c:v>
                </c:pt>
                <c:pt idx="440">
                  <c:v>21.7</c:v>
                </c:pt>
                <c:pt idx="441">
                  <c:v>22.1</c:v>
                </c:pt>
                <c:pt idx="442">
                  <c:v>21.3</c:v>
                </c:pt>
                <c:pt idx="443">
                  <c:v>21.6</c:v>
                </c:pt>
                <c:pt idx="444">
                  <c:v>23.6</c:v>
                </c:pt>
                <c:pt idx="445">
                  <c:v>22.1</c:v>
                </c:pt>
                <c:pt idx="446">
                  <c:v>22.2</c:v>
                </c:pt>
                <c:pt idx="447">
                  <c:v>25.8</c:v>
                </c:pt>
                <c:pt idx="448">
                  <c:v>26.4</c:v>
                </c:pt>
                <c:pt idx="449">
                  <c:v>27.4</c:v>
                </c:pt>
                <c:pt idx="450">
                  <c:v>26.1</c:v>
                </c:pt>
                <c:pt idx="451">
                  <c:v>26.4</c:v>
                </c:pt>
                <c:pt idx="452">
                  <c:v>27.4</c:v>
                </c:pt>
                <c:pt idx="453">
                  <c:v>27.8</c:v>
                </c:pt>
                <c:pt idx="454">
                  <c:v>25.3</c:v>
                </c:pt>
                <c:pt idx="455">
                  <c:v>27.4</c:v>
                </c:pt>
                <c:pt idx="456">
                  <c:v>26.8</c:v>
                </c:pt>
                <c:pt idx="457">
                  <c:v>26.8</c:v>
                </c:pt>
                <c:pt idx="458">
                  <c:v>24.9</c:v>
                </c:pt>
                <c:pt idx="459">
                  <c:v>26.6</c:v>
                </c:pt>
                <c:pt idx="460">
                  <c:v>25.8</c:v>
                </c:pt>
                <c:pt idx="461">
                  <c:v>26.7</c:v>
                </c:pt>
                <c:pt idx="462">
                  <c:v>26.7</c:v>
                </c:pt>
                <c:pt idx="463">
                  <c:v>27.2</c:v>
                </c:pt>
                <c:pt idx="464">
                  <c:v>26.5</c:v>
                </c:pt>
                <c:pt idx="465">
                  <c:v>26.7</c:v>
                </c:pt>
                <c:pt idx="466">
                  <c:v>25.6</c:v>
                </c:pt>
                <c:pt idx="467">
                  <c:v>25.6</c:v>
                </c:pt>
                <c:pt idx="468">
                  <c:v>24.9</c:v>
                </c:pt>
                <c:pt idx="469">
                  <c:v>24.1</c:v>
                </c:pt>
                <c:pt idx="470">
                  <c:v>26.3</c:v>
                </c:pt>
                <c:pt idx="471">
                  <c:v>25.9</c:v>
                </c:pt>
                <c:pt idx="472">
                  <c:v>24.4</c:v>
                </c:pt>
                <c:pt idx="473">
                  <c:v>24.7</c:v>
                </c:pt>
                <c:pt idx="474">
                  <c:v>25.4</c:v>
                </c:pt>
                <c:pt idx="475">
                  <c:v>25.7</c:v>
                </c:pt>
                <c:pt idx="476">
                  <c:v>24.6</c:v>
                </c:pt>
                <c:pt idx="477">
                  <c:v>26.2</c:v>
                </c:pt>
                <c:pt idx="478">
                  <c:v>25.4</c:v>
                </c:pt>
                <c:pt idx="479">
                  <c:v>23.1</c:v>
                </c:pt>
                <c:pt idx="480">
                  <c:v>23.3</c:v>
                </c:pt>
                <c:pt idx="481">
                  <c:v>23.9</c:v>
                </c:pt>
                <c:pt idx="482">
                  <c:v>25</c:v>
                </c:pt>
                <c:pt idx="483">
                  <c:v>24.8</c:v>
                </c:pt>
                <c:pt idx="484">
                  <c:v>23.4</c:v>
                </c:pt>
                <c:pt idx="485">
                  <c:v>23.3</c:v>
                </c:pt>
                <c:pt idx="486">
                  <c:v>24.7</c:v>
                </c:pt>
                <c:pt idx="487">
                  <c:v>25.2</c:v>
                </c:pt>
                <c:pt idx="488">
                  <c:v>23.8</c:v>
                </c:pt>
                <c:pt idx="489">
                  <c:v>23.4</c:v>
                </c:pt>
                <c:pt idx="490">
                  <c:v>25.3</c:v>
                </c:pt>
                <c:pt idx="491">
                  <c:v>24.2</c:v>
                </c:pt>
                <c:pt idx="492">
                  <c:v>24.4</c:v>
                </c:pt>
                <c:pt idx="493">
                  <c:v>24.8</c:v>
                </c:pt>
                <c:pt idx="494">
                  <c:v>23.6</c:v>
                </c:pt>
                <c:pt idx="495">
                  <c:v>24.6</c:v>
                </c:pt>
                <c:pt idx="496">
                  <c:v>24.7</c:v>
                </c:pt>
                <c:pt idx="497">
                  <c:v>22.6</c:v>
                </c:pt>
                <c:pt idx="498">
                  <c:v>22.8</c:v>
                </c:pt>
                <c:pt idx="499">
                  <c:v>23.3</c:v>
                </c:pt>
                <c:pt idx="500">
                  <c:v>23.1</c:v>
                </c:pt>
                <c:pt idx="501">
                  <c:v>23.4</c:v>
                </c:pt>
                <c:pt idx="502">
                  <c:v>22.9</c:v>
                </c:pt>
                <c:pt idx="503">
                  <c:v>24.6</c:v>
                </c:pt>
                <c:pt idx="504">
                  <c:v>25.1</c:v>
                </c:pt>
                <c:pt idx="505">
                  <c:v>24.3</c:v>
                </c:pt>
                <c:pt idx="506">
                  <c:v>23.8</c:v>
                </c:pt>
                <c:pt idx="507">
                  <c:v>22.4</c:v>
                </c:pt>
                <c:pt idx="508">
                  <c:v>21.8</c:v>
                </c:pt>
                <c:pt idx="509">
                  <c:v>23.4</c:v>
                </c:pt>
                <c:pt idx="510">
                  <c:v>24.4</c:v>
                </c:pt>
                <c:pt idx="511">
                  <c:v>25.8</c:v>
                </c:pt>
                <c:pt idx="512">
                  <c:v>23.8</c:v>
                </c:pt>
                <c:pt idx="513">
                  <c:v>23.7</c:v>
                </c:pt>
                <c:pt idx="514">
                  <c:v>23.6</c:v>
                </c:pt>
                <c:pt idx="515">
                  <c:v>24.1</c:v>
                </c:pt>
                <c:pt idx="516">
                  <c:v>24.7</c:v>
                </c:pt>
                <c:pt idx="517">
                  <c:v>22.9</c:v>
                </c:pt>
                <c:pt idx="518">
                  <c:v>23.5</c:v>
                </c:pt>
                <c:pt idx="519">
                  <c:v>23.9</c:v>
                </c:pt>
                <c:pt idx="520">
                  <c:v>23</c:v>
                </c:pt>
                <c:pt idx="521">
                  <c:v>22.8</c:v>
                </c:pt>
                <c:pt idx="522">
                  <c:v>22.9</c:v>
                </c:pt>
                <c:pt idx="523">
                  <c:v>21.9</c:v>
                </c:pt>
                <c:pt idx="524">
                  <c:v>22.1</c:v>
                </c:pt>
                <c:pt idx="525">
                  <c:v>23.4</c:v>
                </c:pt>
                <c:pt idx="526">
                  <c:v>23.4</c:v>
                </c:pt>
                <c:pt idx="527">
                  <c:v>22.4</c:v>
                </c:pt>
                <c:pt idx="528">
                  <c:v>21.8</c:v>
                </c:pt>
                <c:pt idx="529">
                  <c:v>22.8</c:v>
                </c:pt>
                <c:pt idx="530">
                  <c:v>23.4</c:v>
                </c:pt>
                <c:pt idx="531">
                  <c:v>23.7</c:v>
                </c:pt>
                <c:pt idx="532">
                  <c:v>22.7</c:v>
                </c:pt>
                <c:pt idx="533">
                  <c:v>22.4</c:v>
                </c:pt>
                <c:pt idx="534">
                  <c:v>22.2</c:v>
                </c:pt>
                <c:pt idx="535">
                  <c:v>23</c:v>
                </c:pt>
                <c:pt idx="536">
                  <c:v>23.1</c:v>
                </c:pt>
                <c:pt idx="537">
                  <c:v>24.1</c:v>
                </c:pt>
                <c:pt idx="538">
                  <c:v>25</c:v>
                </c:pt>
                <c:pt idx="539">
                  <c:v>25.6</c:v>
                </c:pt>
                <c:pt idx="540">
                  <c:v>25.3</c:v>
                </c:pt>
                <c:pt idx="541">
                  <c:v>22.9</c:v>
                </c:pt>
                <c:pt idx="542">
                  <c:v>24.9</c:v>
                </c:pt>
                <c:pt idx="543">
                  <c:v>24.8</c:v>
                </c:pt>
                <c:pt idx="544">
                  <c:v>25.5</c:v>
                </c:pt>
                <c:pt idx="545">
                  <c:v>24.4</c:v>
                </c:pt>
                <c:pt idx="546">
                  <c:v>24.4</c:v>
                </c:pt>
                <c:pt idx="547">
                  <c:v>22.1</c:v>
                </c:pt>
                <c:pt idx="548">
                  <c:v>21.5</c:v>
                </c:pt>
                <c:pt idx="549">
                  <c:v>22.5</c:v>
                </c:pt>
                <c:pt idx="550">
                  <c:v>22.8</c:v>
                </c:pt>
                <c:pt idx="551">
                  <c:v>23.3</c:v>
                </c:pt>
                <c:pt idx="552">
                  <c:v>23.8</c:v>
                </c:pt>
                <c:pt idx="553">
                  <c:v>24</c:v>
                </c:pt>
                <c:pt idx="554">
                  <c:v>22.1</c:v>
                </c:pt>
                <c:pt idx="555">
                  <c:v>21.7</c:v>
                </c:pt>
                <c:pt idx="556">
                  <c:v>22.8</c:v>
                </c:pt>
                <c:pt idx="557">
                  <c:v>24.3</c:v>
                </c:pt>
                <c:pt idx="558">
                  <c:v>22.8</c:v>
                </c:pt>
                <c:pt idx="559">
                  <c:v>23.3</c:v>
                </c:pt>
                <c:pt idx="560">
                  <c:v>24.1</c:v>
                </c:pt>
                <c:pt idx="561">
                  <c:v>22.4</c:v>
                </c:pt>
                <c:pt idx="562">
                  <c:v>23.5</c:v>
                </c:pt>
                <c:pt idx="563">
                  <c:v>24.7</c:v>
                </c:pt>
                <c:pt idx="564">
                  <c:v>23.5</c:v>
                </c:pt>
                <c:pt idx="565">
                  <c:v>22.5</c:v>
                </c:pt>
                <c:pt idx="566">
                  <c:v>23.6</c:v>
                </c:pt>
                <c:pt idx="567">
                  <c:v>25.1</c:v>
                </c:pt>
                <c:pt idx="568">
                  <c:v>23.7</c:v>
                </c:pt>
                <c:pt idx="569">
                  <c:v>21.8</c:v>
                </c:pt>
                <c:pt idx="570">
                  <c:v>21.2</c:v>
                </c:pt>
                <c:pt idx="571">
                  <c:v>21.5</c:v>
                </c:pt>
                <c:pt idx="572">
                  <c:v>22.5</c:v>
                </c:pt>
                <c:pt idx="573">
                  <c:v>23.4</c:v>
                </c:pt>
                <c:pt idx="574">
                  <c:v>23.8</c:v>
                </c:pt>
                <c:pt idx="575">
                  <c:v>23.3</c:v>
                </c:pt>
                <c:pt idx="576">
                  <c:v>22.9</c:v>
                </c:pt>
                <c:pt idx="577">
                  <c:v>22.2</c:v>
                </c:pt>
                <c:pt idx="578">
                  <c:v>23.5</c:v>
                </c:pt>
                <c:pt idx="579">
                  <c:v>23.6</c:v>
                </c:pt>
                <c:pt idx="580">
                  <c:v>23.7</c:v>
                </c:pt>
                <c:pt idx="581">
                  <c:v>22.9</c:v>
                </c:pt>
                <c:pt idx="582">
                  <c:v>24.8</c:v>
                </c:pt>
                <c:pt idx="583">
                  <c:v>24.3</c:v>
                </c:pt>
                <c:pt idx="584">
                  <c:v>24.7</c:v>
                </c:pt>
                <c:pt idx="585">
                  <c:v>23.4</c:v>
                </c:pt>
                <c:pt idx="586">
                  <c:v>23.4</c:v>
                </c:pt>
                <c:pt idx="587">
                  <c:v>22.7</c:v>
                </c:pt>
                <c:pt idx="588">
                  <c:v>22.1</c:v>
                </c:pt>
                <c:pt idx="589">
                  <c:v>22.8</c:v>
                </c:pt>
                <c:pt idx="590">
                  <c:v>21.6</c:v>
                </c:pt>
                <c:pt idx="591">
                  <c:v>21.6</c:v>
                </c:pt>
                <c:pt idx="592">
                  <c:v>22.8</c:v>
                </c:pt>
                <c:pt idx="593">
                  <c:v>22.9</c:v>
                </c:pt>
                <c:pt idx="594">
                  <c:v>19.399999999999999</c:v>
                </c:pt>
                <c:pt idx="595">
                  <c:v>21.5</c:v>
                </c:pt>
                <c:pt idx="596">
                  <c:v>21.6</c:v>
                </c:pt>
                <c:pt idx="597">
                  <c:v>21.9</c:v>
                </c:pt>
                <c:pt idx="598">
                  <c:v>19.899999999999999</c:v>
                </c:pt>
                <c:pt idx="599">
                  <c:v>20.8</c:v>
                </c:pt>
                <c:pt idx="600">
                  <c:v>21</c:v>
                </c:pt>
                <c:pt idx="601">
                  <c:v>20.9</c:v>
                </c:pt>
                <c:pt idx="602">
                  <c:v>21.7</c:v>
                </c:pt>
                <c:pt idx="603">
                  <c:v>21.3</c:v>
                </c:pt>
                <c:pt idx="604">
                  <c:v>21.7</c:v>
                </c:pt>
                <c:pt idx="605">
                  <c:v>21.7</c:v>
                </c:pt>
                <c:pt idx="606">
                  <c:v>22.1</c:v>
                </c:pt>
                <c:pt idx="607">
                  <c:v>21.1</c:v>
                </c:pt>
                <c:pt idx="608">
                  <c:v>21.9</c:v>
                </c:pt>
                <c:pt idx="609">
                  <c:v>20.8</c:v>
                </c:pt>
                <c:pt idx="610">
                  <c:v>21.9</c:v>
                </c:pt>
                <c:pt idx="611">
                  <c:v>21.2</c:v>
                </c:pt>
                <c:pt idx="612">
                  <c:v>21.6</c:v>
                </c:pt>
                <c:pt idx="613">
                  <c:v>22.3</c:v>
                </c:pt>
                <c:pt idx="614">
                  <c:v>21.4</c:v>
                </c:pt>
                <c:pt idx="615">
                  <c:v>22.2</c:v>
                </c:pt>
                <c:pt idx="616">
                  <c:v>21.6</c:v>
                </c:pt>
                <c:pt idx="617">
                  <c:v>20.399999999999999</c:v>
                </c:pt>
                <c:pt idx="618">
                  <c:v>21.8</c:v>
                </c:pt>
                <c:pt idx="619">
                  <c:v>22.2</c:v>
                </c:pt>
                <c:pt idx="620">
                  <c:v>22.2</c:v>
                </c:pt>
                <c:pt idx="621">
                  <c:v>23.8</c:v>
                </c:pt>
                <c:pt idx="622">
                  <c:v>23.8</c:v>
                </c:pt>
                <c:pt idx="623">
                  <c:v>22.5</c:v>
                </c:pt>
                <c:pt idx="624">
                  <c:v>21.9</c:v>
                </c:pt>
                <c:pt idx="625">
                  <c:v>22.4</c:v>
                </c:pt>
                <c:pt idx="626">
                  <c:v>22.8</c:v>
                </c:pt>
                <c:pt idx="627">
                  <c:v>22.7</c:v>
                </c:pt>
                <c:pt idx="628">
                  <c:v>21.8</c:v>
                </c:pt>
                <c:pt idx="629">
                  <c:v>24</c:v>
                </c:pt>
                <c:pt idx="630">
                  <c:v>23.9</c:v>
                </c:pt>
                <c:pt idx="631">
                  <c:v>23.8</c:v>
                </c:pt>
                <c:pt idx="632">
                  <c:v>22.8</c:v>
                </c:pt>
                <c:pt idx="633">
                  <c:v>22.8</c:v>
                </c:pt>
                <c:pt idx="634">
                  <c:v>20.6</c:v>
                </c:pt>
                <c:pt idx="635">
                  <c:v>22.8</c:v>
                </c:pt>
                <c:pt idx="636">
                  <c:v>24.5</c:v>
                </c:pt>
                <c:pt idx="637">
                  <c:v>24.4</c:v>
                </c:pt>
                <c:pt idx="638">
                  <c:v>25.3</c:v>
                </c:pt>
                <c:pt idx="639">
                  <c:v>25.8</c:v>
                </c:pt>
                <c:pt idx="640">
                  <c:v>26.2</c:v>
                </c:pt>
                <c:pt idx="641">
                  <c:v>26</c:v>
                </c:pt>
                <c:pt idx="642">
                  <c:v>25.4</c:v>
                </c:pt>
                <c:pt idx="643">
                  <c:v>25.3</c:v>
                </c:pt>
                <c:pt idx="644">
                  <c:v>25</c:v>
                </c:pt>
                <c:pt idx="645">
                  <c:v>26.7</c:v>
                </c:pt>
                <c:pt idx="646">
                  <c:v>26.5</c:v>
                </c:pt>
                <c:pt idx="647">
                  <c:v>26</c:v>
                </c:pt>
                <c:pt idx="648">
                  <c:v>25.6</c:v>
                </c:pt>
                <c:pt idx="649">
                  <c:v>27</c:v>
                </c:pt>
                <c:pt idx="650">
                  <c:v>25</c:v>
                </c:pt>
                <c:pt idx="651">
                  <c:v>24.6</c:v>
                </c:pt>
                <c:pt idx="652">
                  <c:v>25.9</c:v>
                </c:pt>
                <c:pt idx="653">
                  <c:v>25.5</c:v>
                </c:pt>
                <c:pt idx="654">
                  <c:v>25.3</c:v>
                </c:pt>
                <c:pt idx="655">
                  <c:v>25.3</c:v>
                </c:pt>
                <c:pt idx="656">
                  <c:v>25.9</c:v>
                </c:pt>
                <c:pt idx="657">
                  <c:v>26.2</c:v>
                </c:pt>
                <c:pt idx="658">
                  <c:v>26.6</c:v>
                </c:pt>
                <c:pt idx="659">
                  <c:v>26.7</c:v>
                </c:pt>
                <c:pt idx="660">
                  <c:v>27.2</c:v>
                </c:pt>
                <c:pt idx="661">
                  <c:v>27.2</c:v>
                </c:pt>
                <c:pt idx="662">
                  <c:v>27.2</c:v>
                </c:pt>
                <c:pt idx="663">
                  <c:v>27.2</c:v>
                </c:pt>
                <c:pt idx="664">
                  <c:v>27.5</c:v>
                </c:pt>
                <c:pt idx="665">
                  <c:v>27.7</c:v>
                </c:pt>
                <c:pt idx="666">
                  <c:v>28.1</c:v>
                </c:pt>
                <c:pt idx="667">
                  <c:v>27.7</c:v>
                </c:pt>
                <c:pt idx="668">
                  <c:v>27.7</c:v>
                </c:pt>
                <c:pt idx="669">
                  <c:v>27.7</c:v>
                </c:pt>
                <c:pt idx="670">
                  <c:v>27.3</c:v>
                </c:pt>
                <c:pt idx="671">
                  <c:v>27.6</c:v>
                </c:pt>
                <c:pt idx="672">
                  <c:v>27.3</c:v>
                </c:pt>
                <c:pt idx="673">
                  <c:v>27.1</c:v>
                </c:pt>
                <c:pt idx="674">
                  <c:v>26.5</c:v>
                </c:pt>
                <c:pt idx="675">
                  <c:v>26.5</c:v>
                </c:pt>
                <c:pt idx="676">
                  <c:v>26.6</c:v>
                </c:pt>
                <c:pt idx="677">
                  <c:v>26.6</c:v>
                </c:pt>
                <c:pt idx="678">
                  <c:v>25.1</c:v>
                </c:pt>
                <c:pt idx="679">
                  <c:v>25.3</c:v>
                </c:pt>
                <c:pt idx="680">
                  <c:v>27.2</c:v>
                </c:pt>
                <c:pt idx="681">
                  <c:v>27.7</c:v>
                </c:pt>
                <c:pt idx="682">
                  <c:v>26.8</c:v>
                </c:pt>
                <c:pt idx="683">
                  <c:v>27.1</c:v>
                </c:pt>
                <c:pt idx="684">
                  <c:v>26</c:v>
                </c:pt>
                <c:pt idx="685">
                  <c:v>26.6</c:v>
                </c:pt>
                <c:pt idx="686">
                  <c:v>26.5</c:v>
                </c:pt>
                <c:pt idx="687">
                  <c:v>26.5</c:v>
                </c:pt>
                <c:pt idx="688">
                  <c:v>26.6</c:v>
                </c:pt>
                <c:pt idx="689">
                  <c:v>27</c:v>
                </c:pt>
                <c:pt idx="690">
                  <c:v>26.5</c:v>
                </c:pt>
                <c:pt idx="691">
                  <c:v>26.4</c:v>
                </c:pt>
                <c:pt idx="692">
                  <c:v>27.1</c:v>
                </c:pt>
                <c:pt idx="693">
                  <c:v>26.7</c:v>
                </c:pt>
                <c:pt idx="694">
                  <c:v>26.4</c:v>
                </c:pt>
                <c:pt idx="695">
                  <c:v>25.1</c:v>
                </c:pt>
                <c:pt idx="696">
                  <c:v>26.9</c:v>
                </c:pt>
                <c:pt idx="697">
                  <c:v>27</c:v>
                </c:pt>
                <c:pt idx="698">
                  <c:v>26.5</c:v>
                </c:pt>
                <c:pt idx="699">
                  <c:v>26.8</c:v>
                </c:pt>
                <c:pt idx="700">
                  <c:v>27.2</c:v>
                </c:pt>
                <c:pt idx="701">
                  <c:v>26.7</c:v>
                </c:pt>
                <c:pt idx="702">
                  <c:v>26.1</c:v>
                </c:pt>
                <c:pt idx="703">
                  <c:v>25.5</c:v>
                </c:pt>
                <c:pt idx="704">
                  <c:v>23.8</c:v>
                </c:pt>
                <c:pt idx="705">
                  <c:v>24</c:v>
                </c:pt>
                <c:pt idx="706">
                  <c:v>25.7</c:v>
                </c:pt>
                <c:pt idx="707">
                  <c:v>25.7</c:v>
                </c:pt>
                <c:pt idx="708">
                  <c:v>25.1</c:v>
                </c:pt>
                <c:pt idx="709">
                  <c:v>24.2</c:v>
                </c:pt>
                <c:pt idx="710">
                  <c:v>23.3</c:v>
                </c:pt>
                <c:pt idx="711">
                  <c:v>25.8</c:v>
                </c:pt>
                <c:pt idx="712">
                  <c:v>26.1</c:v>
                </c:pt>
                <c:pt idx="713">
                  <c:v>24.3</c:v>
                </c:pt>
                <c:pt idx="714">
                  <c:v>25.3</c:v>
                </c:pt>
                <c:pt idx="715">
                  <c:v>24.7</c:v>
                </c:pt>
                <c:pt idx="716">
                  <c:v>24.8</c:v>
                </c:pt>
                <c:pt idx="717">
                  <c:v>25.2</c:v>
                </c:pt>
                <c:pt idx="718">
                  <c:v>25.3</c:v>
                </c:pt>
                <c:pt idx="719">
                  <c:v>25.5</c:v>
                </c:pt>
                <c:pt idx="720">
                  <c:v>25.9</c:v>
                </c:pt>
                <c:pt idx="721">
                  <c:v>24.6</c:v>
                </c:pt>
                <c:pt idx="722">
                  <c:v>24.8</c:v>
                </c:pt>
                <c:pt idx="723">
                  <c:v>25.4</c:v>
                </c:pt>
                <c:pt idx="724">
                  <c:v>25.6</c:v>
                </c:pt>
                <c:pt idx="725">
                  <c:v>23.4</c:v>
                </c:pt>
                <c:pt idx="726">
                  <c:v>23.6</c:v>
                </c:pt>
                <c:pt idx="727">
                  <c:v>24.2</c:v>
                </c:pt>
                <c:pt idx="728">
                  <c:v>23.2</c:v>
                </c:pt>
                <c:pt idx="729">
                  <c:v>22.6</c:v>
                </c:pt>
                <c:pt idx="730">
                  <c:v>22.3</c:v>
                </c:pt>
                <c:pt idx="731">
                  <c:v>22.7</c:v>
                </c:pt>
                <c:pt idx="732">
                  <c:v>22.7</c:v>
                </c:pt>
                <c:pt idx="733">
                  <c:v>23.4</c:v>
                </c:pt>
                <c:pt idx="734">
                  <c:v>23.4</c:v>
                </c:pt>
                <c:pt idx="735">
                  <c:v>23.4</c:v>
                </c:pt>
                <c:pt idx="736">
                  <c:v>24.3</c:v>
                </c:pt>
                <c:pt idx="737">
                  <c:v>23.9</c:v>
                </c:pt>
                <c:pt idx="738">
                  <c:v>24.1</c:v>
                </c:pt>
                <c:pt idx="739">
                  <c:v>24.9</c:v>
                </c:pt>
                <c:pt idx="740">
                  <c:v>24.5</c:v>
                </c:pt>
                <c:pt idx="741">
                  <c:v>24.6</c:v>
                </c:pt>
                <c:pt idx="742">
                  <c:v>22.8</c:v>
                </c:pt>
                <c:pt idx="743">
                  <c:v>22.6</c:v>
                </c:pt>
                <c:pt idx="744">
                  <c:v>23.7</c:v>
                </c:pt>
                <c:pt idx="745">
                  <c:v>26.2</c:v>
                </c:pt>
                <c:pt idx="746">
                  <c:v>26</c:v>
                </c:pt>
                <c:pt idx="747">
                  <c:v>25.7</c:v>
                </c:pt>
                <c:pt idx="748">
                  <c:v>26</c:v>
                </c:pt>
                <c:pt idx="749">
                  <c:v>23.6</c:v>
                </c:pt>
                <c:pt idx="750">
                  <c:v>23.3</c:v>
                </c:pt>
                <c:pt idx="751">
                  <c:v>24.9</c:v>
                </c:pt>
                <c:pt idx="752">
                  <c:v>24.6</c:v>
                </c:pt>
                <c:pt idx="753">
                  <c:v>25.3</c:v>
                </c:pt>
                <c:pt idx="754">
                  <c:v>24.2</c:v>
                </c:pt>
                <c:pt idx="755">
                  <c:v>22.8</c:v>
                </c:pt>
                <c:pt idx="756">
                  <c:v>22.8</c:v>
                </c:pt>
                <c:pt idx="757">
                  <c:v>23.2</c:v>
                </c:pt>
                <c:pt idx="758">
                  <c:v>21.8</c:v>
                </c:pt>
                <c:pt idx="759">
                  <c:v>22.7</c:v>
                </c:pt>
                <c:pt idx="760">
                  <c:v>22.1</c:v>
                </c:pt>
                <c:pt idx="761">
                  <c:v>22.6</c:v>
                </c:pt>
                <c:pt idx="762">
                  <c:v>23.1</c:v>
                </c:pt>
                <c:pt idx="763">
                  <c:v>21.8</c:v>
                </c:pt>
                <c:pt idx="764">
                  <c:v>21.2</c:v>
                </c:pt>
                <c:pt idx="765">
                  <c:v>21.4</c:v>
                </c:pt>
                <c:pt idx="766">
                  <c:v>22.6</c:v>
                </c:pt>
                <c:pt idx="767">
                  <c:v>23.4</c:v>
                </c:pt>
                <c:pt idx="768">
                  <c:v>23.1</c:v>
                </c:pt>
                <c:pt idx="769">
                  <c:v>22.7</c:v>
                </c:pt>
                <c:pt idx="770">
                  <c:v>23.5</c:v>
                </c:pt>
                <c:pt idx="771">
                  <c:v>23.1</c:v>
                </c:pt>
                <c:pt idx="772">
                  <c:v>23.2</c:v>
                </c:pt>
                <c:pt idx="773">
                  <c:v>23.6</c:v>
                </c:pt>
                <c:pt idx="774">
                  <c:v>23.2</c:v>
                </c:pt>
                <c:pt idx="775">
                  <c:v>23.3</c:v>
                </c:pt>
                <c:pt idx="776">
                  <c:v>22.7</c:v>
                </c:pt>
                <c:pt idx="777">
                  <c:v>23.5</c:v>
                </c:pt>
                <c:pt idx="778">
                  <c:v>24.3</c:v>
                </c:pt>
                <c:pt idx="779">
                  <c:v>24.9</c:v>
                </c:pt>
                <c:pt idx="780">
                  <c:v>25.5</c:v>
                </c:pt>
                <c:pt idx="781">
                  <c:v>23.9</c:v>
                </c:pt>
                <c:pt idx="782">
                  <c:v>24</c:v>
                </c:pt>
                <c:pt idx="783">
                  <c:v>22.8</c:v>
                </c:pt>
                <c:pt idx="784">
                  <c:v>23.2</c:v>
                </c:pt>
                <c:pt idx="785">
                  <c:v>23.6</c:v>
                </c:pt>
                <c:pt idx="786">
                  <c:v>22.7</c:v>
                </c:pt>
                <c:pt idx="787">
                  <c:v>22.8</c:v>
                </c:pt>
                <c:pt idx="788">
                  <c:v>23.6</c:v>
                </c:pt>
                <c:pt idx="789">
                  <c:v>23.6</c:v>
                </c:pt>
                <c:pt idx="790">
                  <c:v>24.1</c:v>
                </c:pt>
                <c:pt idx="791">
                  <c:v>22.4</c:v>
                </c:pt>
                <c:pt idx="792">
                  <c:v>22.8</c:v>
                </c:pt>
                <c:pt idx="793">
                  <c:v>23.6</c:v>
                </c:pt>
                <c:pt idx="794">
                  <c:v>24.5</c:v>
                </c:pt>
                <c:pt idx="795">
                  <c:v>24.1</c:v>
                </c:pt>
                <c:pt idx="796">
                  <c:v>24.1</c:v>
                </c:pt>
                <c:pt idx="797">
                  <c:v>21.7</c:v>
                </c:pt>
                <c:pt idx="798">
                  <c:v>22.4</c:v>
                </c:pt>
                <c:pt idx="799">
                  <c:v>23.9</c:v>
                </c:pt>
                <c:pt idx="800">
                  <c:v>23.6</c:v>
                </c:pt>
                <c:pt idx="801">
                  <c:v>22.6</c:v>
                </c:pt>
                <c:pt idx="802">
                  <c:v>22.3</c:v>
                </c:pt>
                <c:pt idx="803">
                  <c:v>22.1</c:v>
                </c:pt>
                <c:pt idx="804">
                  <c:v>22.6</c:v>
                </c:pt>
                <c:pt idx="805">
                  <c:v>22.2</c:v>
                </c:pt>
                <c:pt idx="806">
                  <c:v>23.1</c:v>
                </c:pt>
                <c:pt idx="807">
                  <c:v>24</c:v>
                </c:pt>
                <c:pt idx="808">
                  <c:v>24.1</c:v>
                </c:pt>
                <c:pt idx="809">
                  <c:v>22.8</c:v>
                </c:pt>
                <c:pt idx="810">
                  <c:v>23.6</c:v>
                </c:pt>
                <c:pt idx="811">
                  <c:v>23.7</c:v>
                </c:pt>
                <c:pt idx="812">
                  <c:v>24.1</c:v>
                </c:pt>
                <c:pt idx="813">
                  <c:v>23.2</c:v>
                </c:pt>
                <c:pt idx="814">
                  <c:v>23.7</c:v>
                </c:pt>
                <c:pt idx="815">
                  <c:v>24</c:v>
                </c:pt>
                <c:pt idx="816">
                  <c:v>24.3</c:v>
                </c:pt>
                <c:pt idx="817">
                  <c:v>24.4</c:v>
                </c:pt>
                <c:pt idx="818">
                  <c:v>23.8</c:v>
                </c:pt>
                <c:pt idx="819">
                  <c:v>24</c:v>
                </c:pt>
                <c:pt idx="820">
                  <c:v>24.2</c:v>
                </c:pt>
                <c:pt idx="821">
                  <c:v>22.7</c:v>
                </c:pt>
                <c:pt idx="822">
                  <c:v>22.3</c:v>
                </c:pt>
                <c:pt idx="823">
                  <c:v>23.4</c:v>
                </c:pt>
                <c:pt idx="824">
                  <c:v>24</c:v>
                </c:pt>
                <c:pt idx="825">
                  <c:v>23</c:v>
                </c:pt>
                <c:pt idx="826">
                  <c:v>23.1</c:v>
                </c:pt>
                <c:pt idx="827">
                  <c:v>23.7</c:v>
                </c:pt>
                <c:pt idx="828">
                  <c:v>23.3</c:v>
                </c:pt>
                <c:pt idx="829">
                  <c:v>24.9</c:v>
                </c:pt>
                <c:pt idx="830">
                  <c:v>22.8</c:v>
                </c:pt>
                <c:pt idx="831">
                  <c:v>22.1</c:v>
                </c:pt>
                <c:pt idx="832">
                  <c:v>22.7</c:v>
                </c:pt>
                <c:pt idx="833">
                  <c:v>22.9</c:v>
                </c:pt>
                <c:pt idx="834">
                  <c:v>24.7</c:v>
                </c:pt>
                <c:pt idx="835">
                  <c:v>25.5</c:v>
                </c:pt>
                <c:pt idx="836">
                  <c:v>25.1</c:v>
                </c:pt>
                <c:pt idx="837">
                  <c:v>23.9</c:v>
                </c:pt>
                <c:pt idx="838">
                  <c:v>22.5</c:v>
                </c:pt>
                <c:pt idx="839">
                  <c:v>22.3</c:v>
                </c:pt>
                <c:pt idx="840">
                  <c:v>22</c:v>
                </c:pt>
                <c:pt idx="841">
                  <c:v>22.5</c:v>
                </c:pt>
                <c:pt idx="842">
                  <c:v>22.3</c:v>
                </c:pt>
                <c:pt idx="843">
                  <c:v>21.7</c:v>
                </c:pt>
                <c:pt idx="844">
                  <c:v>21.9</c:v>
                </c:pt>
                <c:pt idx="845">
                  <c:v>22.3</c:v>
                </c:pt>
                <c:pt idx="846">
                  <c:v>22.8</c:v>
                </c:pt>
                <c:pt idx="847">
                  <c:v>21</c:v>
                </c:pt>
                <c:pt idx="848">
                  <c:v>20.5</c:v>
                </c:pt>
                <c:pt idx="849">
                  <c:v>21.4</c:v>
                </c:pt>
                <c:pt idx="850">
                  <c:v>20.7</c:v>
                </c:pt>
                <c:pt idx="851">
                  <c:v>21.8</c:v>
                </c:pt>
                <c:pt idx="852">
                  <c:v>22.4</c:v>
                </c:pt>
                <c:pt idx="853">
                  <c:v>22.8</c:v>
                </c:pt>
                <c:pt idx="854">
                  <c:v>22.5</c:v>
                </c:pt>
                <c:pt idx="855">
                  <c:v>20.6</c:v>
                </c:pt>
                <c:pt idx="856">
                  <c:v>21.1</c:v>
                </c:pt>
                <c:pt idx="857">
                  <c:v>22.5</c:v>
                </c:pt>
                <c:pt idx="858">
                  <c:v>22.8</c:v>
                </c:pt>
                <c:pt idx="859">
                  <c:v>24.2</c:v>
                </c:pt>
                <c:pt idx="860">
                  <c:v>22.8</c:v>
                </c:pt>
                <c:pt idx="861">
                  <c:v>21.8</c:v>
                </c:pt>
                <c:pt idx="862">
                  <c:v>20.399999999999999</c:v>
                </c:pt>
                <c:pt idx="863">
                  <c:v>21</c:v>
                </c:pt>
                <c:pt idx="864">
                  <c:v>21.1</c:v>
                </c:pt>
                <c:pt idx="865">
                  <c:v>22.4</c:v>
                </c:pt>
                <c:pt idx="866">
                  <c:v>21.7</c:v>
                </c:pt>
                <c:pt idx="867">
                  <c:v>21.6</c:v>
                </c:pt>
                <c:pt idx="868">
                  <c:v>21.9</c:v>
                </c:pt>
                <c:pt idx="869">
                  <c:v>23.9</c:v>
                </c:pt>
                <c:pt idx="870">
                  <c:v>23.2</c:v>
                </c:pt>
                <c:pt idx="871">
                  <c:v>23.2</c:v>
                </c:pt>
                <c:pt idx="872">
                  <c:v>22.1</c:v>
                </c:pt>
                <c:pt idx="873">
                  <c:v>21.7</c:v>
                </c:pt>
                <c:pt idx="874">
                  <c:v>22.1</c:v>
                </c:pt>
                <c:pt idx="875">
                  <c:v>22.7</c:v>
                </c:pt>
                <c:pt idx="876">
                  <c:v>21.6</c:v>
                </c:pt>
                <c:pt idx="877">
                  <c:v>20.9</c:v>
                </c:pt>
                <c:pt idx="878">
                  <c:v>20.6</c:v>
                </c:pt>
                <c:pt idx="879">
                  <c:v>21.2</c:v>
                </c:pt>
                <c:pt idx="880">
                  <c:v>20.6</c:v>
                </c:pt>
                <c:pt idx="881">
                  <c:v>21.5</c:v>
                </c:pt>
                <c:pt idx="882">
                  <c:v>21</c:v>
                </c:pt>
                <c:pt idx="883">
                  <c:v>20.3</c:v>
                </c:pt>
                <c:pt idx="884">
                  <c:v>21.4</c:v>
                </c:pt>
                <c:pt idx="885">
                  <c:v>22</c:v>
                </c:pt>
                <c:pt idx="886">
                  <c:v>21.6</c:v>
                </c:pt>
                <c:pt idx="887">
                  <c:v>21.7</c:v>
                </c:pt>
                <c:pt idx="888">
                  <c:v>22.4</c:v>
                </c:pt>
                <c:pt idx="889">
                  <c:v>22.1</c:v>
                </c:pt>
                <c:pt idx="890">
                  <c:v>21.8</c:v>
                </c:pt>
                <c:pt idx="891">
                  <c:v>21.9</c:v>
                </c:pt>
                <c:pt idx="892">
                  <c:v>22.2</c:v>
                </c:pt>
                <c:pt idx="893">
                  <c:v>21.5</c:v>
                </c:pt>
                <c:pt idx="894">
                  <c:v>21.1</c:v>
                </c:pt>
                <c:pt idx="895">
                  <c:v>23</c:v>
                </c:pt>
                <c:pt idx="896">
                  <c:v>23.4</c:v>
                </c:pt>
                <c:pt idx="897">
                  <c:v>23.2</c:v>
                </c:pt>
                <c:pt idx="898">
                  <c:v>22.7</c:v>
                </c:pt>
                <c:pt idx="899">
                  <c:v>22.6</c:v>
                </c:pt>
                <c:pt idx="900">
                  <c:v>22.7</c:v>
                </c:pt>
                <c:pt idx="901">
                  <c:v>24.7</c:v>
                </c:pt>
                <c:pt idx="902">
                  <c:v>23.7</c:v>
                </c:pt>
                <c:pt idx="903">
                  <c:v>24</c:v>
                </c:pt>
                <c:pt idx="904">
                  <c:v>23.8</c:v>
                </c:pt>
                <c:pt idx="905">
                  <c:v>24.9</c:v>
                </c:pt>
                <c:pt idx="906">
                  <c:v>25.4</c:v>
                </c:pt>
                <c:pt idx="907">
                  <c:v>25.2</c:v>
                </c:pt>
                <c:pt idx="908">
                  <c:v>25.5</c:v>
                </c:pt>
                <c:pt idx="909">
                  <c:v>25.6</c:v>
                </c:pt>
                <c:pt idx="910">
                  <c:v>26</c:v>
                </c:pt>
                <c:pt idx="911">
                  <c:v>25.7</c:v>
                </c:pt>
                <c:pt idx="912">
                  <c:v>25.7</c:v>
                </c:pt>
                <c:pt idx="913">
                  <c:v>26.6</c:v>
                </c:pt>
                <c:pt idx="914">
                  <c:v>26.6</c:v>
                </c:pt>
                <c:pt idx="915">
                  <c:v>26.2</c:v>
                </c:pt>
                <c:pt idx="916">
                  <c:v>24.9</c:v>
                </c:pt>
                <c:pt idx="917">
                  <c:v>24.7</c:v>
                </c:pt>
                <c:pt idx="918">
                  <c:v>25.6</c:v>
                </c:pt>
                <c:pt idx="919">
                  <c:v>27</c:v>
                </c:pt>
                <c:pt idx="920">
                  <c:v>26.4</c:v>
                </c:pt>
                <c:pt idx="921">
                  <c:v>26.7</c:v>
                </c:pt>
                <c:pt idx="922">
                  <c:v>27.1</c:v>
                </c:pt>
                <c:pt idx="923">
                  <c:v>27.3</c:v>
                </c:pt>
                <c:pt idx="924">
                  <c:v>27.5</c:v>
                </c:pt>
                <c:pt idx="925">
                  <c:v>27.6</c:v>
                </c:pt>
                <c:pt idx="926">
                  <c:v>27.5</c:v>
                </c:pt>
                <c:pt idx="927">
                  <c:v>27.2</c:v>
                </c:pt>
                <c:pt idx="928">
                  <c:v>26.8</c:v>
                </c:pt>
                <c:pt idx="929">
                  <c:v>26.6</c:v>
                </c:pt>
                <c:pt idx="930">
                  <c:v>26.5</c:v>
                </c:pt>
                <c:pt idx="931">
                  <c:v>26.3</c:v>
                </c:pt>
                <c:pt idx="932">
                  <c:v>26.7</c:v>
                </c:pt>
                <c:pt idx="933">
                  <c:v>27.1</c:v>
                </c:pt>
                <c:pt idx="934">
                  <c:v>26.7</c:v>
                </c:pt>
                <c:pt idx="935">
                  <c:v>27.1</c:v>
                </c:pt>
                <c:pt idx="936">
                  <c:v>27</c:v>
                </c:pt>
                <c:pt idx="937">
                  <c:v>27.2</c:v>
                </c:pt>
                <c:pt idx="938">
                  <c:v>26.7</c:v>
                </c:pt>
                <c:pt idx="939">
                  <c:v>25</c:v>
                </c:pt>
                <c:pt idx="940">
                  <c:v>26.3</c:v>
                </c:pt>
                <c:pt idx="941">
                  <c:v>23.8</c:v>
                </c:pt>
                <c:pt idx="942">
                  <c:v>27.9</c:v>
                </c:pt>
                <c:pt idx="943">
                  <c:v>27.3</c:v>
                </c:pt>
                <c:pt idx="944">
                  <c:v>26.7</c:v>
                </c:pt>
                <c:pt idx="945">
                  <c:v>26.3</c:v>
                </c:pt>
                <c:pt idx="946">
                  <c:v>27</c:v>
                </c:pt>
                <c:pt idx="947">
                  <c:v>27.8</c:v>
                </c:pt>
                <c:pt idx="948">
                  <c:v>27.9</c:v>
                </c:pt>
                <c:pt idx="949">
                  <c:v>28.2</c:v>
                </c:pt>
                <c:pt idx="950">
                  <c:v>24.9</c:v>
                </c:pt>
                <c:pt idx="951">
                  <c:v>26.3</c:v>
                </c:pt>
                <c:pt idx="952">
                  <c:v>25.5</c:v>
                </c:pt>
                <c:pt idx="953">
                  <c:v>23.9</c:v>
                </c:pt>
                <c:pt idx="954">
                  <c:v>25.2</c:v>
                </c:pt>
                <c:pt idx="955">
                  <c:v>26</c:v>
                </c:pt>
                <c:pt idx="956">
                  <c:v>26.1</c:v>
                </c:pt>
                <c:pt idx="957">
                  <c:v>25.3</c:v>
                </c:pt>
                <c:pt idx="958">
                  <c:v>22.1</c:v>
                </c:pt>
                <c:pt idx="959">
                  <c:v>21.3</c:v>
                </c:pt>
                <c:pt idx="960">
                  <c:v>22.9</c:v>
                </c:pt>
                <c:pt idx="961">
                  <c:v>25.2</c:v>
                </c:pt>
                <c:pt idx="962">
                  <c:v>23.9</c:v>
                </c:pt>
                <c:pt idx="963">
                  <c:v>23.8</c:v>
                </c:pt>
                <c:pt idx="964">
                  <c:v>20.6</c:v>
                </c:pt>
                <c:pt idx="965">
                  <c:v>21.8</c:v>
                </c:pt>
                <c:pt idx="966">
                  <c:v>22.8</c:v>
                </c:pt>
                <c:pt idx="967">
                  <c:v>23.8</c:v>
                </c:pt>
                <c:pt idx="968">
                  <c:v>24.5</c:v>
                </c:pt>
                <c:pt idx="969">
                  <c:v>26.2</c:v>
                </c:pt>
                <c:pt idx="970">
                  <c:v>24.6</c:v>
                </c:pt>
                <c:pt idx="971">
                  <c:v>24.9</c:v>
                </c:pt>
                <c:pt idx="972">
                  <c:v>26.1</c:v>
                </c:pt>
                <c:pt idx="973">
                  <c:v>24.5</c:v>
                </c:pt>
                <c:pt idx="974">
                  <c:v>24.8</c:v>
                </c:pt>
                <c:pt idx="975">
                  <c:v>24.1</c:v>
                </c:pt>
                <c:pt idx="976">
                  <c:v>25.2</c:v>
                </c:pt>
                <c:pt idx="977">
                  <c:v>25.7</c:v>
                </c:pt>
                <c:pt idx="978">
                  <c:v>24.2</c:v>
                </c:pt>
                <c:pt idx="979">
                  <c:v>24.9</c:v>
                </c:pt>
                <c:pt idx="980">
                  <c:v>25.1</c:v>
                </c:pt>
                <c:pt idx="981">
                  <c:v>24.3</c:v>
                </c:pt>
                <c:pt idx="982">
                  <c:v>24</c:v>
                </c:pt>
                <c:pt idx="983">
                  <c:v>23.6</c:v>
                </c:pt>
                <c:pt idx="984">
                  <c:v>23</c:v>
                </c:pt>
                <c:pt idx="985">
                  <c:v>23.6</c:v>
                </c:pt>
                <c:pt idx="986">
                  <c:v>23.6</c:v>
                </c:pt>
                <c:pt idx="987">
                  <c:v>24.5</c:v>
                </c:pt>
                <c:pt idx="988">
                  <c:v>24.2</c:v>
                </c:pt>
                <c:pt idx="989">
                  <c:v>24.1</c:v>
                </c:pt>
                <c:pt idx="990">
                  <c:v>22.7</c:v>
                </c:pt>
                <c:pt idx="991">
                  <c:v>23.1</c:v>
                </c:pt>
                <c:pt idx="992">
                  <c:v>22.8</c:v>
                </c:pt>
                <c:pt idx="993">
                  <c:v>22.4</c:v>
                </c:pt>
                <c:pt idx="994">
                  <c:v>23.2</c:v>
                </c:pt>
                <c:pt idx="995">
                  <c:v>23.7</c:v>
                </c:pt>
                <c:pt idx="996">
                  <c:v>22.5</c:v>
                </c:pt>
                <c:pt idx="997">
                  <c:v>23.9</c:v>
                </c:pt>
                <c:pt idx="998">
                  <c:v>23.2</c:v>
                </c:pt>
                <c:pt idx="999">
                  <c:v>23.6</c:v>
                </c:pt>
                <c:pt idx="1000">
                  <c:v>24.1</c:v>
                </c:pt>
                <c:pt idx="1001">
                  <c:v>23.5</c:v>
                </c:pt>
                <c:pt idx="1002">
                  <c:v>22.5</c:v>
                </c:pt>
                <c:pt idx="1003">
                  <c:v>22.9</c:v>
                </c:pt>
                <c:pt idx="1004">
                  <c:v>22.1</c:v>
                </c:pt>
                <c:pt idx="1005">
                  <c:v>21.4</c:v>
                </c:pt>
                <c:pt idx="1006">
                  <c:v>21.4</c:v>
                </c:pt>
                <c:pt idx="1007">
                  <c:v>21.7</c:v>
                </c:pt>
                <c:pt idx="1008">
                  <c:v>21.7</c:v>
                </c:pt>
                <c:pt idx="1009">
                  <c:v>23.2</c:v>
                </c:pt>
                <c:pt idx="1010">
                  <c:v>21.6</c:v>
                </c:pt>
                <c:pt idx="1011">
                  <c:v>21.2</c:v>
                </c:pt>
                <c:pt idx="1012">
                  <c:v>22.3</c:v>
                </c:pt>
                <c:pt idx="1013">
                  <c:v>22</c:v>
                </c:pt>
                <c:pt idx="1014">
                  <c:v>23.2</c:v>
                </c:pt>
                <c:pt idx="1015">
                  <c:v>22.6</c:v>
                </c:pt>
                <c:pt idx="1016">
                  <c:v>24.7</c:v>
                </c:pt>
                <c:pt idx="1017">
                  <c:v>24.9</c:v>
                </c:pt>
                <c:pt idx="1018">
                  <c:v>23.2</c:v>
                </c:pt>
                <c:pt idx="1019">
                  <c:v>23.1</c:v>
                </c:pt>
                <c:pt idx="1020">
                  <c:v>22.8</c:v>
                </c:pt>
                <c:pt idx="1021">
                  <c:v>24.1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F5-406C-BFA6-7642E608D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8166752"/>
        <c:axId val="1248167232"/>
      </c:lineChart>
      <c:dateAx>
        <c:axId val="12481667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167232"/>
        <c:crosses val="autoZero"/>
        <c:auto val="1"/>
        <c:lblOffset val="100"/>
        <c:baseTimeUnit val="days"/>
      </c:dateAx>
      <c:valAx>
        <c:axId val="124816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166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Rainfall trend graph (prcp)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DATA!$E$1</c:f>
              <c:strCache>
                <c:ptCount val="1"/>
                <c:pt idx="0">
                  <c:v>prcp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30"/>
            <c:dispRSqr val="0"/>
            <c:dispEq val="0"/>
          </c:trendline>
          <c:cat>
            <c:numRef>
              <c:f>DATA!$A$2:$A$1326</c:f>
              <c:numCache>
                <c:formatCode>m/d/yyyy</c:formatCode>
                <c:ptCount val="1022"/>
                <c:pt idx="0">
                  <c:v>42761</c:v>
                </c:pt>
                <c:pt idx="1">
                  <c:v>42762</c:v>
                </c:pt>
                <c:pt idx="2">
                  <c:v>42763</c:v>
                </c:pt>
                <c:pt idx="3">
                  <c:v>42764</c:v>
                </c:pt>
                <c:pt idx="4">
                  <c:v>42801</c:v>
                </c:pt>
                <c:pt idx="5">
                  <c:v>42803</c:v>
                </c:pt>
                <c:pt idx="6">
                  <c:v>42805</c:v>
                </c:pt>
                <c:pt idx="7">
                  <c:v>42808</c:v>
                </c:pt>
                <c:pt idx="8">
                  <c:v>42809</c:v>
                </c:pt>
                <c:pt idx="9">
                  <c:v>42830</c:v>
                </c:pt>
                <c:pt idx="10">
                  <c:v>42831</c:v>
                </c:pt>
                <c:pt idx="11">
                  <c:v>42842</c:v>
                </c:pt>
                <c:pt idx="12">
                  <c:v>42845</c:v>
                </c:pt>
                <c:pt idx="13">
                  <c:v>42846</c:v>
                </c:pt>
                <c:pt idx="14">
                  <c:v>42854</c:v>
                </c:pt>
                <c:pt idx="15">
                  <c:v>42855</c:v>
                </c:pt>
                <c:pt idx="16">
                  <c:v>42856</c:v>
                </c:pt>
                <c:pt idx="17">
                  <c:v>42857</c:v>
                </c:pt>
                <c:pt idx="18">
                  <c:v>42858</c:v>
                </c:pt>
                <c:pt idx="19">
                  <c:v>42862</c:v>
                </c:pt>
                <c:pt idx="20">
                  <c:v>42864</c:v>
                </c:pt>
                <c:pt idx="21">
                  <c:v>42865</c:v>
                </c:pt>
                <c:pt idx="22">
                  <c:v>42866</c:v>
                </c:pt>
                <c:pt idx="23">
                  <c:v>42867</c:v>
                </c:pt>
                <c:pt idx="24">
                  <c:v>42870</c:v>
                </c:pt>
                <c:pt idx="25">
                  <c:v>42873</c:v>
                </c:pt>
                <c:pt idx="26">
                  <c:v>42875</c:v>
                </c:pt>
                <c:pt idx="27">
                  <c:v>42877</c:v>
                </c:pt>
                <c:pt idx="28">
                  <c:v>42880</c:v>
                </c:pt>
                <c:pt idx="29">
                  <c:v>42881</c:v>
                </c:pt>
                <c:pt idx="30">
                  <c:v>42884</c:v>
                </c:pt>
                <c:pt idx="31">
                  <c:v>42886</c:v>
                </c:pt>
                <c:pt idx="32">
                  <c:v>42892</c:v>
                </c:pt>
                <c:pt idx="33">
                  <c:v>42893</c:v>
                </c:pt>
                <c:pt idx="34">
                  <c:v>42894</c:v>
                </c:pt>
                <c:pt idx="35">
                  <c:v>42895</c:v>
                </c:pt>
                <c:pt idx="36">
                  <c:v>42896</c:v>
                </c:pt>
                <c:pt idx="37">
                  <c:v>42897</c:v>
                </c:pt>
                <c:pt idx="38">
                  <c:v>42898</c:v>
                </c:pt>
                <c:pt idx="39">
                  <c:v>42899</c:v>
                </c:pt>
                <c:pt idx="40">
                  <c:v>42900</c:v>
                </c:pt>
                <c:pt idx="41">
                  <c:v>42901</c:v>
                </c:pt>
                <c:pt idx="42">
                  <c:v>42904</c:v>
                </c:pt>
                <c:pt idx="43">
                  <c:v>42905</c:v>
                </c:pt>
                <c:pt idx="44">
                  <c:v>42906</c:v>
                </c:pt>
                <c:pt idx="45">
                  <c:v>42907</c:v>
                </c:pt>
                <c:pt idx="46">
                  <c:v>42908</c:v>
                </c:pt>
                <c:pt idx="47">
                  <c:v>42909</c:v>
                </c:pt>
                <c:pt idx="48">
                  <c:v>42910</c:v>
                </c:pt>
                <c:pt idx="49">
                  <c:v>42911</c:v>
                </c:pt>
                <c:pt idx="50">
                  <c:v>42912</c:v>
                </c:pt>
                <c:pt idx="51">
                  <c:v>42913</c:v>
                </c:pt>
                <c:pt idx="52">
                  <c:v>42914</c:v>
                </c:pt>
                <c:pt idx="53">
                  <c:v>42915</c:v>
                </c:pt>
                <c:pt idx="54">
                  <c:v>42917</c:v>
                </c:pt>
                <c:pt idx="55">
                  <c:v>42918</c:v>
                </c:pt>
                <c:pt idx="56">
                  <c:v>42920</c:v>
                </c:pt>
                <c:pt idx="57">
                  <c:v>42921</c:v>
                </c:pt>
                <c:pt idx="58">
                  <c:v>42922</c:v>
                </c:pt>
                <c:pt idx="59">
                  <c:v>42923</c:v>
                </c:pt>
                <c:pt idx="60">
                  <c:v>42924</c:v>
                </c:pt>
                <c:pt idx="61">
                  <c:v>42925</c:v>
                </c:pt>
                <c:pt idx="62">
                  <c:v>42928</c:v>
                </c:pt>
                <c:pt idx="63">
                  <c:v>42929</c:v>
                </c:pt>
                <c:pt idx="64">
                  <c:v>42930</c:v>
                </c:pt>
                <c:pt idx="65">
                  <c:v>42931</c:v>
                </c:pt>
                <c:pt idx="66">
                  <c:v>42932</c:v>
                </c:pt>
                <c:pt idx="67">
                  <c:v>42933</c:v>
                </c:pt>
                <c:pt idx="68">
                  <c:v>42934</c:v>
                </c:pt>
                <c:pt idx="69">
                  <c:v>42935</c:v>
                </c:pt>
                <c:pt idx="70">
                  <c:v>42936</c:v>
                </c:pt>
                <c:pt idx="71">
                  <c:v>42937</c:v>
                </c:pt>
                <c:pt idx="72">
                  <c:v>42938</c:v>
                </c:pt>
                <c:pt idx="73">
                  <c:v>42941</c:v>
                </c:pt>
                <c:pt idx="74">
                  <c:v>42942</c:v>
                </c:pt>
                <c:pt idx="75">
                  <c:v>42946</c:v>
                </c:pt>
                <c:pt idx="76">
                  <c:v>42947</c:v>
                </c:pt>
                <c:pt idx="77">
                  <c:v>42948</c:v>
                </c:pt>
                <c:pt idx="78">
                  <c:v>42949</c:v>
                </c:pt>
                <c:pt idx="79">
                  <c:v>42950</c:v>
                </c:pt>
                <c:pt idx="80">
                  <c:v>42951</c:v>
                </c:pt>
                <c:pt idx="81">
                  <c:v>42952</c:v>
                </c:pt>
                <c:pt idx="82">
                  <c:v>42953</c:v>
                </c:pt>
                <c:pt idx="83">
                  <c:v>42954</c:v>
                </c:pt>
                <c:pt idx="84">
                  <c:v>42956</c:v>
                </c:pt>
                <c:pt idx="85">
                  <c:v>42958</c:v>
                </c:pt>
                <c:pt idx="86">
                  <c:v>42960</c:v>
                </c:pt>
                <c:pt idx="87">
                  <c:v>42961</c:v>
                </c:pt>
                <c:pt idx="88">
                  <c:v>42965</c:v>
                </c:pt>
                <c:pt idx="89">
                  <c:v>42966</c:v>
                </c:pt>
                <c:pt idx="90">
                  <c:v>42968</c:v>
                </c:pt>
                <c:pt idx="91">
                  <c:v>42969</c:v>
                </c:pt>
                <c:pt idx="92">
                  <c:v>42973</c:v>
                </c:pt>
                <c:pt idx="93">
                  <c:v>42974</c:v>
                </c:pt>
                <c:pt idx="94">
                  <c:v>42975</c:v>
                </c:pt>
                <c:pt idx="95">
                  <c:v>42976</c:v>
                </c:pt>
                <c:pt idx="96">
                  <c:v>42977</c:v>
                </c:pt>
                <c:pt idx="97">
                  <c:v>42978</c:v>
                </c:pt>
                <c:pt idx="98">
                  <c:v>42983</c:v>
                </c:pt>
                <c:pt idx="99">
                  <c:v>42985</c:v>
                </c:pt>
                <c:pt idx="100">
                  <c:v>42986</c:v>
                </c:pt>
                <c:pt idx="101">
                  <c:v>42989</c:v>
                </c:pt>
                <c:pt idx="102">
                  <c:v>42993</c:v>
                </c:pt>
                <c:pt idx="103">
                  <c:v>42994</c:v>
                </c:pt>
                <c:pt idx="104">
                  <c:v>42996</c:v>
                </c:pt>
                <c:pt idx="105">
                  <c:v>42997</c:v>
                </c:pt>
                <c:pt idx="106">
                  <c:v>42998</c:v>
                </c:pt>
                <c:pt idx="107">
                  <c:v>43000</c:v>
                </c:pt>
                <c:pt idx="108">
                  <c:v>43001</c:v>
                </c:pt>
                <c:pt idx="109">
                  <c:v>43002</c:v>
                </c:pt>
                <c:pt idx="110">
                  <c:v>43004</c:v>
                </c:pt>
                <c:pt idx="111">
                  <c:v>43006</c:v>
                </c:pt>
                <c:pt idx="112">
                  <c:v>43007</c:v>
                </c:pt>
                <c:pt idx="113">
                  <c:v>43009</c:v>
                </c:pt>
                <c:pt idx="114">
                  <c:v>43011</c:v>
                </c:pt>
                <c:pt idx="115">
                  <c:v>43012</c:v>
                </c:pt>
                <c:pt idx="116">
                  <c:v>43017</c:v>
                </c:pt>
                <c:pt idx="117">
                  <c:v>43018</c:v>
                </c:pt>
                <c:pt idx="118">
                  <c:v>43019</c:v>
                </c:pt>
                <c:pt idx="119">
                  <c:v>43024</c:v>
                </c:pt>
                <c:pt idx="120">
                  <c:v>43025</c:v>
                </c:pt>
                <c:pt idx="121">
                  <c:v>43027</c:v>
                </c:pt>
                <c:pt idx="122">
                  <c:v>43035</c:v>
                </c:pt>
                <c:pt idx="123">
                  <c:v>43036</c:v>
                </c:pt>
                <c:pt idx="124">
                  <c:v>43039</c:v>
                </c:pt>
                <c:pt idx="125">
                  <c:v>43040</c:v>
                </c:pt>
                <c:pt idx="126">
                  <c:v>43041</c:v>
                </c:pt>
                <c:pt idx="127">
                  <c:v>43042</c:v>
                </c:pt>
                <c:pt idx="128">
                  <c:v>43044</c:v>
                </c:pt>
                <c:pt idx="129">
                  <c:v>43045</c:v>
                </c:pt>
                <c:pt idx="130">
                  <c:v>43046</c:v>
                </c:pt>
                <c:pt idx="131">
                  <c:v>43048</c:v>
                </c:pt>
                <c:pt idx="132">
                  <c:v>43056</c:v>
                </c:pt>
                <c:pt idx="133">
                  <c:v>43069</c:v>
                </c:pt>
                <c:pt idx="134">
                  <c:v>43072</c:v>
                </c:pt>
                <c:pt idx="135">
                  <c:v>43082</c:v>
                </c:pt>
                <c:pt idx="136">
                  <c:v>43139</c:v>
                </c:pt>
                <c:pt idx="137">
                  <c:v>43140</c:v>
                </c:pt>
                <c:pt idx="138">
                  <c:v>43141</c:v>
                </c:pt>
                <c:pt idx="139">
                  <c:v>43142</c:v>
                </c:pt>
                <c:pt idx="140">
                  <c:v>43173</c:v>
                </c:pt>
                <c:pt idx="141">
                  <c:v>43174</c:v>
                </c:pt>
                <c:pt idx="142">
                  <c:v>43176</c:v>
                </c:pt>
                <c:pt idx="143">
                  <c:v>43177</c:v>
                </c:pt>
                <c:pt idx="144">
                  <c:v>43189</c:v>
                </c:pt>
                <c:pt idx="145">
                  <c:v>43190</c:v>
                </c:pt>
                <c:pt idx="146">
                  <c:v>43191</c:v>
                </c:pt>
                <c:pt idx="147">
                  <c:v>43194</c:v>
                </c:pt>
                <c:pt idx="148">
                  <c:v>43213</c:v>
                </c:pt>
                <c:pt idx="149">
                  <c:v>43214</c:v>
                </c:pt>
                <c:pt idx="150">
                  <c:v>43215</c:v>
                </c:pt>
                <c:pt idx="151">
                  <c:v>43216</c:v>
                </c:pt>
                <c:pt idx="152">
                  <c:v>43217</c:v>
                </c:pt>
                <c:pt idx="153">
                  <c:v>43218</c:v>
                </c:pt>
                <c:pt idx="154">
                  <c:v>43220</c:v>
                </c:pt>
                <c:pt idx="155">
                  <c:v>43221</c:v>
                </c:pt>
                <c:pt idx="156">
                  <c:v>43222</c:v>
                </c:pt>
                <c:pt idx="157">
                  <c:v>43223</c:v>
                </c:pt>
                <c:pt idx="158">
                  <c:v>43225</c:v>
                </c:pt>
                <c:pt idx="159">
                  <c:v>43229</c:v>
                </c:pt>
                <c:pt idx="160">
                  <c:v>43233</c:v>
                </c:pt>
                <c:pt idx="161">
                  <c:v>43236</c:v>
                </c:pt>
                <c:pt idx="162">
                  <c:v>43237</c:v>
                </c:pt>
                <c:pt idx="163">
                  <c:v>43240</c:v>
                </c:pt>
                <c:pt idx="164">
                  <c:v>43241</c:v>
                </c:pt>
                <c:pt idx="165">
                  <c:v>43242</c:v>
                </c:pt>
                <c:pt idx="166">
                  <c:v>43247</c:v>
                </c:pt>
                <c:pt idx="167">
                  <c:v>43248</c:v>
                </c:pt>
                <c:pt idx="168">
                  <c:v>43250</c:v>
                </c:pt>
                <c:pt idx="169">
                  <c:v>43252</c:v>
                </c:pt>
                <c:pt idx="170">
                  <c:v>43253</c:v>
                </c:pt>
                <c:pt idx="171">
                  <c:v>43254</c:v>
                </c:pt>
                <c:pt idx="172">
                  <c:v>43255</c:v>
                </c:pt>
                <c:pt idx="173">
                  <c:v>43256</c:v>
                </c:pt>
                <c:pt idx="174">
                  <c:v>43257</c:v>
                </c:pt>
                <c:pt idx="175">
                  <c:v>43258</c:v>
                </c:pt>
                <c:pt idx="176">
                  <c:v>43259</c:v>
                </c:pt>
                <c:pt idx="177">
                  <c:v>43260</c:v>
                </c:pt>
                <c:pt idx="178">
                  <c:v>43261</c:v>
                </c:pt>
                <c:pt idx="179">
                  <c:v>43262</c:v>
                </c:pt>
                <c:pt idx="180">
                  <c:v>43265</c:v>
                </c:pt>
                <c:pt idx="181">
                  <c:v>43266</c:v>
                </c:pt>
                <c:pt idx="182">
                  <c:v>43267</c:v>
                </c:pt>
                <c:pt idx="183">
                  <c:v>43268</c:v>
                </c:pt>
                <c:pt idx="184">
                  <c:v>43270</c:v>
                </c:pt>
                <c:pt idx="185">
                  <c:v>43271</c:v>
                </c:pt>
                <c:pt idx="186">
                  <c:v>43273</c:v>
                </c:pt>
                <c:pt idx="187">
                  <c:v>43274</c:v>
                </c:pt>
                <c:pt idx="188">
                  <c:v>43276</c:v>
                </c:pt>
                <c:pt idx="189">
                  <c:v>43277</c:v>
                </c:pt>
                <c:pt idx="190">
                  <c:v>43279</c:v>
                </c:pt>
                <c:pt idx="191">
                  <c:v>43280</c:v>
                </c:pt>
                <c:pt idx="192">
                  <c:v>43281</c:v>
                </c:pt>
                <c:pt idx="193">
                  <c:v>43282</c:v>
                </c:pt>
                <c:pt idx="194">
                  <c:v>43283</c:v>
                </c:pt>
                <c:pt idx="195">
                  <c:v>43284</c:v>
                </c:pt>
                <c:pt idx="196">
                  <c:v>43285</c:v>
                </c:pt>
                <c:pt idx="197">
                  <c:v>43288</c:v>
                </c:pt>
                <c:pt idx="198">
                  <c:v>43289</c:v>
                </c:pt>
                <c:pt idx="199">
                  <c:v>43290</c:v>
                </c:pt>
                <c:pt idx="200">
                  <c:v>43291</c:v>
                </c:pt>
                <c:pt idx="201">
                  <c:v>43293</c:v>
                </c:pt>
                <c:pt idx="202">
                  <c:v>43294</c:v>
                </c:pt>
                <c:pt idx="203">
                  <c:v>43295</c:v>
                </c:pt>
                <c:pt idx="204">
                  <c:v>43296</c:v>
                </c:pt>
                <c:pt idx="205">
                  <c:v>43297</c:v>
                </c:pt>
                <c:pt idx="206">
                  <c:v>43298</c:v>
                </c:pt>
                <c:pt idx="207">
                  <c:v>43299</c:v>
                </c:pt>
                <c:pt idx="208">
                  <c:v>43301</c:v>
                </c:pt>
                <c:pt idx="209">
                  <c:v>43302</c:v>
                </c:pt>
                <c:pt idx="210">
                  <c:v>43303</c:v>
                </c:pt>
                <c:pt idx="211">
                  <c:v>43304</c:v>
                </c:pt>
                <c:pt idx="212">
                  <c:v>43306</c:v>
                </c:pt>
                <c:pt idx="213">
                  <c:v>43307</c:v>
                </c:pt>
                <c:pt idx="214">
                  <c:v>43308</c:v>
                </c:pt>
                <c:pt idx="215">
                  <c:v>43309</c:v>
                </c:pt>
                <c:pt idx="216">
                  <c:v>43311</c:v>
                </c:pt>
                <c:pt idx="217">
                  <c:v>43312</c:v>
                </c:pt>
                <c:pt idx="218">
                  <c:v>43313</c:v>
                </c:pt>
                <c:pt idx="219">
                  <c:v>43315</c:v>
                </c:pt>
                <c:pt idx="220">
                  <c:v>43316</c:v>
                </c:pt>
                <c:pt idx="221">
                  <c:v>43317</c:v>
                </c:pt>
                <c:pt idx="222">
                  <c:v>43318</c:v>
                </c:pt>
                <c:pt idx="223">
                  <c:v>43320</c:v>
                </c:pt>
                <c:pt idx="224">
                  <c:v>43321</c:v>
                </c:pt>
                <c:pt idx="225">
                  <c:v>43322</c:v>
                </c:pt>
                <c:pt idx="226">
                  <c:v>43323</c:v>
                </c:pt>
                <c:pt idx="227">
                  <c:v>43324</c:v>
                </c:pt>
                <c:pt idx="228">
                  <c:v>43325</c:v>
                </c:pt>
                <c:pt idx="229">
                  <c:v>43326</c:v>
                </c:pt>
                <c:pt idx="230">
                  <c:v>43327</c:v>
                </c:pt>
                <c:pt idx="231">
                  <c:v>43329</c:v>
                </c:pt>
                <c:pt idx="232">
                  <c:v>43330</c:v>
                </c:pt>
                <c:pt idx="233">
                  <c:v>43331</c:v>
                </c:pt>
                <c:pt idx="234">
                  <c:v>43332</c:v>
                </c:pt>
                <c:pt idx="235">
                  <c:v>43333</c:v>
                </c:pt>
                <c:pt idx="236">
                  <c:v>43334</c:v>
                </c:pt>
                <c:pt idx="237">
                  <c:v>43335</c:v>
                </c:pt>
                <c:pt idx="238">
                  <c:v>43336</c:v>
                </c:pt>
                <c:pt idx="239">
                  <c:v>43338</c:v>
                </c:pt>
                <c:pt idx="240">
                  <c:v>43339</c:v>
                </c:pt>
                <c:pt idx="241">
                  <c:v>43340</c:v>
                </c:pt>
                <c:pt idx="242">
                  <c:v>43341</c:v>
                </c:pt>
                <c:pt idx="243">
                  <c:v>43342</c:v>
                </c:pt>
                <c:pt idx="244">
                  <c:v>43344</c:v>
                </c:pt>
                <c:pt idx="245">
                  <c:v>43345</c:v>
                </c:pt>
                <c:pt idx="246">
                  <c:v>43346</c:v>
                </c:pt>
                <c:pt idx="247">
                  <c:v>43350</c:v>
                </c:pt>
                <c:pt idx="248">
                  <c:v>43351</c:v>
                </c:pt>
                <c:pt idx="249">
                  <c:v>43352</c:v>
                </c:pt>
                <c:pt idx="250">
                  <c:v>43354</c:v>
                </c:pt>
                <c:pt idx="251">
                  <c:v>43355</c:v>
                </c:pt>
                <c:pt idx="252">
                  <c:v>43357</c:v>
                </c:pt>
                <c:pt idx="253">
                  <c:v>43358</c:v>
                </c:pt>
                <c:pt idx="254">
                  <c:v>43359</c:v>
                </c:pt>
                <c:pt idx="255">
                  <c:v>43364</c:v>
                </c:pt>
                <c:pt idx="256">
                  <c:v>43365</c:v>
                </c:pt>
                <c:pt idx="257">
                  <c:v>43369</c:v>
                </c:pt>
                <c:pt idx="258">
                  <c:v>43371</c:v>
                </c:pt>
                <c:pt idx="259">
                  <c:v>43372</c:v>
                </c:pt>
                <c:pt idx="260">
                  <c:v>43373</c:v>
                </c:pt>
                <c:pt idx="261">
                  <c:v>43374</c:v>
                </c:pt>
                <c:pt idx="262">
                  <c:v>43375</c:v>
                </c:pt>
                <c:pt idx="263">
                  <c:v>43376</c:v>
                </c:pt>
                <c:pt idx="264">
                  <c:v>43378</c:v>
                </c:pt>
                <c:pt idx="265">
                  <c:v>43379</c:v>
                </c:pt>
                <c:pt idx="266">
                  <c:v>43380</c:v>
                </c:pt>
                <c:pt idx="267">
                  <c:v>43381</c:v>
                </c:pt>
                <c:pt idx="268">
                  <c:v>43382</c:v>
                </c:pt>
                <c:pt idx="269">
                  <c:v>43383</c:v>
                </c:pt>
                <c:pt idx="270">
                  <c:v>43388</c:v>
                </c:pt>
                <c:pt idx="271">
                  <c:v>43389</c:v>
                </c:pt>
                <c:pt idx="272">
                  <c:v>43390</c:v>
                </c:pt>
                <c:pt idx="273">
                  <c:v>43392</c:v>
                </c:pt>
                <c:pt idx="274">
                  <c:v>43393</c:v>
                </c:pt>
                <c:pt idx="275">
                  <c:v>43407</c:v>
                </c:pt>
                <c:pt idx="276">
                  <c:v>43408</c:v>
                </c:pt>
                <c:pt idx="277">
                  <c:v>43409</c:v>
                </c:pt>
                <c:pt idx="278">
                  <c:v>43420</c:v>
                </c:pt>
                <c:pt idx="279">
                  <c:v>43421</c:v>
                </c:pt>
                <c:pt idx="280">
                  <c:v>43422</c:v>
                </c:pt>
                <c:pt idx="281">
                  <c:v>43424</c:v>
                </c:pt>
                <c:pt idx="282">
                  <c:v>43426</c:v>
                </c:pt>
                <c:pt idx="283">
                  <c:v>43427</c:v>
                </c:pt>
                <c:pt idx="284">
                  <c:v>43429</c:v>
                </c:pt>
                <c:pt idx="285">
                  <c:v>43439</c:v>
                </c:pt>
                <c:pt idx="286">
                  <c:v>43440</c:v>
                </c:pt>
                <c:pt idx="287">
                  <c:v>43454</c:v>
                </c:pt>
                <c:pt idx="288">
                  <c:v>43464</c:v>
                </c:pt>
                <c:pt idx="289">
                  <c:v>43494</c:v>
                </c:pt>
                <c:pt idx="290">
                  <c:v>43495</c:v>
                </c:pt>
                <c:pt idx="291">
                  <c:v>43529</c:v>
                </c:pt>
                <c:pt idx="292">
                  <c:v>43564</c:v>
                </c:pt>
                <c:pt idx="293">
                  <c:v>43575</c:v>
                </c:pt>
                <c:pt idx="294">
                  <c:v>43576</c:v>
                </c:pt>
                <c:pt idx="295">
                  <c:v>43578</c:v>
                </c:pt>
                <c:pt idx="296">
                  <c:v>43586</c:v>
                </c:pt>
                <c:pt idx="297">
                  <c:v>43592</c:v>
                </c:pt>
                <c:pt idx="298">
                  <c:v>43594</c:v>
                </c:pt>
                <c:pt idx="299">
                  <c:v>43598</c:v>
                </c:pt>
                <c:pt idx="300">
                  <c:v>43599</c:v>
                </c:pt>
                <c:pt idx="301">
                  <c:v>43600</c:v>
                </c:pt>
                <c:pt idx="302">
                  <c:v>43602</c:v>
                </c:pt>
                <c:pt idx="303">
                  <c:v>43609</c:v>
                </c:pt>
                <c:pt idx="304">
                  <c:v>43610</c:v>
                </c:pt>
                <c:pt idx="305">
                  <c:v>43614</c:v>
                </c:pt>
                <c:pt idx="306">
                  <c:v>43615</c:v>
                </c:pt>
                <c:pt idx="307">
                  <c:v>43617</c:v>
                </c:pt>
                <c:pt idx="308">
                  <c:v>43618</c:v>
                </c:pt>
                <c:pt idx="309">
                  <c:v>43619</c:v>
                </c:pt>
                <c:pt idx="310">
                  <c:v>43620</c:v>
                </c:pt>
                <c:pt idx="311">
                  <c:v>43624</c:v>
                </c:pt>
                <c:pt idx="312">
                  <c:v>43629</c:v>
                </c:pt>
                <c:pt idx="313">
                  <c:v>43635</c:v>
                </c:pt>
                <c:pt idx="314">
                  <c:v>43636</c:v>
                </c:pt>
                <c:pt idx="315">
                  <c:v>43637</c:v>
                </c:pt>
                <c:pt idx="316">
                  <c:v>43638</c:v>
                </c:pt>
                <c:pt idx="317">
                  <c:v>43639</c:v>
                </c:pt>
                <c:pt idx="318">
                  <c:v>43641</c:v>
                </c:pt>
                <c:pt idx="319">
                  <c:v>43642</c:v>
                </c:pt>
                <c:pt idx="320">
                  <c:v>43644</c:v>
                </c:pt>
                <c:pt idx="321">
                  <c:v>43645</c:v>
                </c:pt>
                <c:pt idx="322">
                  <c:v>43647</c:v>
                </c:pt>
                <c:pt idx="323">
                  <c:v>43649</c:v>
                </c:pt>
                <c:pt idx="324">
                  <c:v>43651</c:v>
                </c:pt>
                <c:pt idx="325">
                  <c:v>43653</c:v>
                </c:pt>
                <c:pt idx="326">
                  <c:v>43654</c:v>
                </c:pt>
                <c:pt idx="327">
                  <c:v>43655</c:v>
                </c:pt>
                <c:pt idx="328">
                  <c:v>43656</c:v>
                </c:pt>
                <c:pt idx="329">
                  <c:v>43657</c:v>
                </c:pt>
                <c:pt idx="330">
                  <c:v>43658</c:v>
                </c:pt>
                <c:pt idx="331">
                  <c:v>43659</c:v>
                </c:pt>
                <c:pt idx="332">
                  <c:v>43660</c:v>
                </c:pt>
                <c:pt idx="333">
                  <c:v>43661</c:v>
                </c:pt>
                <c:pt idx="334">
                  <c:v>43662</c:v>
                </c:pt>
                <c:pt idx="335">
                  <c:v>43663</c:v>
                </c:pt>
                <c:pt idx="336">
                  <c:v>43665</c:v>
                </c:pt>
                <c:pt idx="337">
                  <c:v>43666</c:v>
                </c:pt>
                <c:pt idx="338">
                  <c:v>43667</c:v>
                </c:pt>
                <c:pt idx="339">
                  <c:v>43668</c:v>
                </c:pt>
                <c:pt idx="340">
                  <c:v>43670</c:v>
                </c:pt>
                <c:pt idx="341">
                  <c:v>43671</c:v>
                </c:pt>
                <c:pt idx="342">
                  <c:v>43673</c:v>
                </c:pt>
                <c:pt idx="343">
                  <c:v>43674</c:v>
                </c:pt>
                <c:pt idx="344">
                  <c:v>43675</c:v>
                </c:pt>
                <c:pt idx="345">
                  <c:v>43676</c:v>
                </c:pt>
                <c:pt idx="346">
                  <c:v>43682</c:v>
                </c:pt>
                <c:pt idx="347">
                  <c:v>43683</c:v>
                </c:pt>
                <c:pt idx="348">
                  <c:v>43684</c:v>
                </c:pt>
                <c:pt idx="349">
                  <c:v>43685</c:v>
                </c:pt>
                <c:pt idx="350">
                  <c:v>43687</c:v>
                </c:pt>
                <c:pt idx="351">
                  <c:v>43688</c:v>
                </c:pt>
                <c:pt idx="352">
                  <c:v>43689</c:v>
                </c:pt>
                <c:pt idx="353">
                  <c:v>43691</c:v>
                </c:pt>
                <c:pt idx="354">
                  <c:v>43692</c:v>
                </c:pt>
                <c:pt idx="355">
                  <c:v>43693</c:v>
                </c:pt>
                <c:pt idx="356">
                  <c:v>43694</c:v>
                </c:pt>
                <c:pt idx="357">
                  <c:v>43699</c:v>
                </c:pt>
                <c:pt idx="358">
                  <c:v>43700</c:v>
                </c:pt>
                <c:pt idx="359">
                  <c:v>43701</c:v>
                </c:pt>
                <c:pt idx="360">
                  <c:v>43702</c:v>
                </c:pt>
                <c:pt idx="361">
                  <c:v>43703</c:v>
                </c:pt>
                <c:pt idx="362">
                  <c:v>43704</c:v>
                </c:pt>
                <c:pt idx="363">
                  <c:v>43705</c:v>
                </c:pt>
                <c:pt idx="364">
                  <c:v>43706</c:v>
                </c:pt>
                <c:pt idx="365">
                  <c:v>43707</c:v>
                </c:pt>
                <c:pt idx="366">
                  <c:v>43708</c:v>
                </c:pt>
                <c:pt idx="367">
                  <c:v>43709</c:v>
                </c:pt>
                <c:pt idx="368">
                  <c:v>43710</c:v>
                </c:pt>
                <c:pt idx="369">
                  <c:v>43712</c:v>
                </c:pt>
                <c:pt idx="370">
                  <c:v>43713</c:v>
                </c:pt>
                <c:pt idx="371">
                  <c:v>43714</c:v>
                </c:pt>
                <c:pt idx="372">
                  <c:v>43715</c:v>
                </c:pt>
                <c:pt idx="373">
                  <c:v>43716</c:v>
                </c:pt>
                <c:pt idx="374">
                  <c:v>43717</c:v>
                </c:pt>
                <c:pt idx="375">
                  <c:v>43718</c:v>
                </c:pt>
                <c:pt idx="376">
                  <c:v>43720</c:v>
                </c:pt>
                <c:pt idx="377">
                  <c:v>43721</c:v>
                </c:pt>
                <c:pt idx="378">
                  <c:v>43722</c:v>
                </c:pt>
                <c:pt idx="379">
                  <c:v>43723</c:v>
                </c:pt>
                <c:pt idx="380">
                  <c:v>43724</c:v>
                </c:pt>
                <c:pt idx="381">
                  <c:v>43726</c:v>
                </c:pt>
                <c:pt idx="382">
                  <c:v>43727</c:v>
                </c:pt>
                <c:pt idx="383">
                  <c:v>43728</c:v>
                </c:pt>
                <c:pt idx="384">
                  <c:v>43729</c:v>
                </c:pt>
                <c:pt idx="385">
                  <c:v>43730</c:v>
                </c:pt>
                <c:pt idx="386">
                  <c:v>43734</c:v>
                </c:pt>
                <c:pt idx="387">
                  <c:v>43735</c:v>
                </c:pt>
                <c:pt idx="388">
                  <c:v>43736</c:v>
                </c:pt>
                <c:pt idx="389">
                  <c:v>43737</c:v>
                </c:pt>
                <c:pt idx="390">
                  <c:v>43741</c:v>
                </c:pt>
                <c:pt idx="391">
                  <c:v>43742</c:v>
                </c:pt>
                <c:pt idx="392">
                  <c:v>43743</c:v>
                </c:pt>
                <c:pt idx="393">
                  <c:v>43744</c:v>
                </c:pt>
                <c:pt idx="394">
                  <c:v>43745</c:v>
                </c:pt>
                <c:pt idx="395">
                  <c:v>43746</c:v>
                </c:pt>
                <c:pt idx="396">
                  <c:v>43747</c:v>
                </c:pt>
                <c:pt idx="397">
                  <c:v>43748</c:v>
                </c:pt>
                <c:pt idx="398">
                  <c:v>43749</c:v>
                </c:pt>
                <c:pt idx="399">
                  <c:v>43750</c:v>
                </c:pt>
                <c:pt idx="400">
                  <c:v>43751</c:v>
                </c:pt>
                <c:pt idx="401">
                  <c:v>43752</c:v>
                </c:pt>
                <c:pt idx="402">
                  <c:v>43753</c:v>
                </c:pt>
                <c:pt idx="403">
                  <c:v>43754</c:v>
                </c:pt>
                <c:pt idx="404">
                  <c:v>43755</c:v>
                </c:pt>
                <c:pt idx="405">
                  <c:v>43756</c:v>
                </c:pt>
                <c:pt idx="406">
                  <c:v>43757</c:v>
                </c:pt>
                <c:pt idx="407">
                  <c:v>43758</c:v>
                </c:pt>
                <c:pt idx="408">
                  <c:v>43759</c:v>
                </c:pt>
                <c:pt idx="409">
                  <c:v>43762</c:v>
                </c:pt>
                <c:pt idx="410">
                  <c:v>43763</c:v>
                </c:pt>
                <c:pt idx="411">
                  <c:v>43764</c:v>
                </c:pt>
                <c:pt idx="412">
                  <c:v>43765</c:v>
                </c:pt>
                <c:pt idx="413">
                  <c:v>43767</c:v>
                </c:pt>
                <c:pt idx="414">
                  <c:v>43768</c:v>
                </c:pt>
                <c:pt idx="415">
                  <c:v>43769</c:v>
                </c:pt>
                <c:pt idx="416">
                  <c:v>43770</c:v>
                </c:pt>
                <c:pt idx="417">
                  <c:v>43771</c:v>
                </c:pt>
                <c:pt idx="418">
                  <c:v>43777</c:v>
                </c:pt>
                <c:pt idx="419">
                  <c:v>43778</c:v>
                </c:pt>
                <c:pt idx="420">
                  <c:v>43780</c:v>
                </c:pt>
                <c:pt idx="421">
                  <c:v>43784</c:v>
                </c:pt>
                <c:pt idx="422">
                  <c:v>43785</c:v>
                </c:pt>
                <c:pt idx="423">
                  <c:v>43786</c:v>
                </c:pt>
                <c:pt idx="424">
                  <c:v>43788</c:v>
                </c:pt>
                <c:pt idx="425">
                  <c:v>43790</c:v>
                </c:pt>
                <c:pt idx="426">
                  <c:v>43791</c:v>
                </c:pt>
                <c:pt idx="427">
                  <c:v>43792</c:v>
                </c:pt>
                <c:pt idx="428">
                  <c:v>43796</c:v>
                </c:pt>
                <c:pt idx="429">
                  <c:v>43797</c:v>
                </c:pt>
                <c:pt idx="430">
                  <c:v>43798</c:v>
                </c:pt>
                <c:pt idx="431">
                  <c:v>43799</c:v>
                </c:pt>
                <c:pt idx="432">
                  <c:v>43800</c:v>
                </c:pt>
                <c:pt idx="433">
                  <c:v>43801</c:v>
                </c:pt>
                <c:pt idx="434">
                  <c:v>43802</c:v>
                </c:pt>
                <c:pt idx="435">
                  <c:v>43803</c:v>
                </c:pt>
                <c:pt idx="436">
                  <c:v>43804</c:v>
                </c:pt>
                <c:pt idx="437">
                  <c:v>43807</c:v>
                </c:pt>
                <c:pt idx="438">
                  <c:v>43808</c:v>
                </c:pt>
                <c:pt idx="439">
                  <c:v>43813</c:v>
                </c:pt>
                <c:pt idx="440">
                  <c:v>43814</c:v>
                </c:pt>
                <c:pt idx="441">
                  <c:v>43815</c:v>
                </c:pt>
                <c:pt idx="442">
                  <c:v>43816</c:v>
                </c:pt>
                <c:pt idx="443">
                  <c:v>43817</c:v>
                </c:pt>
                <c:pt idx="444">
                  <c:v>43834</c:v>
                </c:pt>
                <c:pt idx="445">
                  <c:v>43836</c:v>
                </c:pt>
                <c:pt idx="446">
                  <c:v>43837</c:v>
                </c:pt>
                <c:pt idx="447">
                  <c:v>43893</c:v>
                </c:pt>
                <c:pt idx="448">
                  <c:v>43894</c:v>
                </c:pt>
                <c:pt idx="449">
                  <c:v>43895</c:v>
                </c:pt>
                <c:pt idx="450">
                  <c:v>43897</c:v>
                </c:pt>
                <c:pt idx="451">
                  <c:v>43898</c:v>
                </c:pt>
                <c:pt idx="452">
                  <c:v>43911</c:v>
                </c:pt>
                <c:pt idx="453">
                  <c:v>43912</c:v>
                </c:pt>
                <c:pt idx="454">
                  <c:v>43913</c:v>
                </c:pt>
                <c:pt idx="455">
                  <c:v>43914</c:v>
                </c:pt>
                <c:pt idx="456">
                  <c:v>43915</c:v>
                </c:pt>
                <c:pt idx="457">
                  <c:v>43929</c:v>
                </c:pt>
                <c:pt idx="458">
                  <c:v>43930</c:v>
                </c:pt>
                <c:pt idx="459">
                  <c:v>43932</c:v>
                </c:pt>
                <c:pt idx="460">
                  <c:v>43946</c:v>
                </c:pt>
                <c:pt idx="461">
                  <c:v>43947</c:v>
                </c:pt>
                <c:pt idx="462">
                  <c:v>43948</c:v>
                </c:pt>
                <c:pt idx="463">
                  <c:v>43949</c:v>
                </c:pt>
                <c:pt idx="464">
                  <c:v>43951</c:v>
                </c:pt>
                <c:pt idx="465">
                  <c:v>43970</c:v>
                </c:pt>
                <c:pt idx="466">
                  <c:v>43975</c:v>
                </c:pt>
                <c:pt idx="467">
                  <c:v>43977</c:v>
                </c:pt>
                <c:pt idx="468">
                  <c:v>43979</c:v>
                </c:pt>
                <c:pt idx="469">
                  <c:v>43980</c:v>
                </c:pt>
                <c:pt idx="470">
                  <c:v>43982</c:v>
                </c:pt>
                <c:pt idx="471">
                  <c:v>43983</c:v>
                </c:pt>
                <c:pt idx="472">
                  <c:v>43984</c:v>
                </c:pt>
                <c:pt idx="473">
                  <c:v>43985</c:v>
                </c:pt>
                <c:pt idx="474">
                  <c:v>43986</c:v>
                </c:pt>
                <c:pt idx="475">
                  <c:v>43987</c:v>
                </c:pt>
                <c:pt idx="476">
                  <c:v>43988</c:v>
                </c:pt>
                <c:pt idx="477">
                  <c:v>43990</c:v>
                </c:pt>
                <c:pt idx="478">
                  <c:v>43991</c:v>
                </c:pt>
                <c:pt idx="479">
                  <c:v>43993</c:v>
                </c:pt>
                <c:pt idx="480">
                  <c:v>43995</c:v>
                </c:pt>
                <c:pt idx="481">
                  <c:v>43996</c:v>
                </c:pt>
                <c:pt idx="482">
                  <c:v>43997</c:v>
                </c:pt>
                <c:pt idx="483">
                  <c:v>43998</c:v>
                </c:pt>
                <c:pt idx="484">
                  <c:v>43999</c:v>
                </c:pt>
                <c:pt idx="485">
                  <c:v>44000</c:v>
                </c:pt>
                <c:pt idx="486">
                  <c:v>44001</c:v>
                </c:pt>
                <c:pt idx="487">
                  <c:v>44002</c:v>
                </c:pt>
                <c:pt idx="488">
                  <c:v>44003</c:v>
                </c:pt>
                <c:pt idx="489">
                  <c:v>44004</c:v>
                </c:pt>
                <c:pt idx="490">
                  <c:v>44005</c:v>
                </c:pt>
                <c:pt idx="491">
                  <c:v>44006</c:v>
                </c:pt>
                <c:pt idx="492">
                  <c:v>44009</c:v>
                </c:pt>
                <c:pt idx="493">
                  <c:v>44010</c:v>
                </c:pt>
                <c:pt idx="494">
                  <c:v>44011</c:v>
                </c:pt>
                <c:pt idx="495">
                  <c:v>44012</c:v>
                </c:pt>
                <c:pt idx="496">
                  <c:v>44013</c:v>
                </c:pt>
                <c:pt idx="497">
                  <c:v>44015</c:v>
                </c:pt>
                <c:pt idx="498">
                  <c:v>44016</c:v>
                </c:pt>
                <c:pt idx="499">
                  <c:v>44017</c:v>
                </c:pt>
                <c:pt idx="500">
                  <c:v>44018</c:v>
                </c:pt>
                <c:pt idx="501">
                  <c:v>44019</c:v>
                </c:pt>
                <c:pt idx="502">
                  <c:v>44020</c:v>
                </c:pt>
                <c:pt idx="503">
                  <c:v>44023</c:v>
                </c:pt>
                <c:pt idx="504">
                  <c:v>44024</c:v>
                </c:pt>
                <c:pt idx="505">
                  <c:v>44025</c:v>
                </c:pt>
                <c:pt idx="506">
                  <c:v>44026</c:v>
                </c:pt>
                <c:pt idx="507">
                  <c:v>44027</c:v>
                </c:pt>
                <c:pt idx="508">
                  <c:v>44028</c:v>
                </c:pt>
                <c:pt idx="509">
                  <c:v>44030</c:v>
                </c:pt>
                <c:pt idx="510">
                  <c:v>44031</c:v>
                </c:pt>
                <c:pt idx="511">
                  <c:v>44034</c:v>
                </c:pt>
                <c:pt idx="512">
                  <c:v>44036</c:v>
                </c:pt>
                <c:pt idx="513">
                  <c:v>44037</c:v>
                </c:pt>
                <c:pt idx="514">
                  <c:v>44038</c:v>
                </c:pt>
                <c:pt idx="515">
                  <c:v>44039</c:v>
                </c:pt>
                <c:pt idx="516">
                  <c:v>44040</c:v>
                </c:pt>
                <c:pt idx="517">
                  <c:v>44041</c:v>
                </c:pt>
                <c:pt idx="518">
                  <c:v>44042</c:v>
                </c:pt>
                <c:pt idx="519">
                  <c:v>44043</c:v>
                </c:pt>
                <c:pt idx="520">
                  <c:v>44044</c:v>
                </c:pt>
                <c:pt idx="521">
                  <c:v>44045</c:v>
                </c:pt>
                <c:pt idx="522">
                  <c:v>44046</c:v>
                </c:pt>
                <c:pt idx="523">
                  <c:v>44047</c:v>
                </c:pt>
                <c:pt idx="524">
                  <c:v>44048</c:v>
                </c:pt>
                <c:pt idx="525">
                  <c:v>44049</c:v>
                </c:pt>
                <c:pt idx="526">
                  <c:v>44050</c:v>
                </c:pt>
                <c:pt idx="527">
                  <c:v>44051</c:v>
                </c:pt>
                <c:pt idx="528">
                  <c:v>44052</c:v>
                </c:pt>
                <c:pt idx="529">
                  <c:v>44054</c:v>
                </c:pt>
                <c:pt idx="530">
                  <c:v>44055</c:v>
                </c:pt>
                <c:pt idx="531">
                  <c:v>44056</c:v>
                </c:pt>
                <c:pt idx="532">
                  <c:v>44057</c:v>
                </c:pt>
                <c:pt idx="533">
                  <c:v>44058</c:v>
                </c:pt>
                <c:pt idx="534">
                  <c:v>44060</c:v>
                </c:pt>
                <c:pt idx="535">
                  <c:v>44061</c:v>
                </c:pt>
                <c:pt idx="536">
                  <c:v>44062</c:v>
                </c:pt>
                <c:pt idx="537">
                  <c:v>44067</c:v>
                </c:pt>
                <c:pt idx="538">
                  <c:v>44068</c:v>
                </c:pt>
                <c:pt idx="539">
                  <c:v>44069</c:v>
                </c:pt>
                <c:pt idx="540">
                  <c:v>44071</c:v>
                </c:pt>
                <c:pt idx="541">
                  <c:v>44076</c:v>
                </c:pt>
                <c:pt idx="542">
                  <c:v>44078</c:v>
                </c:pt>
                <c:pt idx="543">
                  <c:v>44079</c:v>
                </c:pt>
                <c:pt idx="544">
                  <c:v>44080</c:v>
                </c:pt>
                <c:pt idx="545">
                  <c:v>44081</c:v>
                </c:pt>
                <c:pt idx="546">
                  <c:v>44082</c:v>
                </c:pt>
                <c:pt idx="547">
                  <c:v>44085</c:v>
                </c:pt>
                <c:pt idx="548">
                  <c:v>44086</c:v>
                </c:pt>
                <c:pt idx="549">
                  <c:v>44088</c:v>
                </c:pt>
                <c:pt idx="550">
                  <c:v>44089</c:v>
                </c:pt>
                <c:pt idx="551">
                  <c:v>44090</c:v>
                </c:pt>
                <c:pt idx="552">
                  <c:v>44091</c:v>
                </c:pt>
                <c:pt idx="553">
                  <c:v>44092</c:v>
                </c:pt>
                <c:pt idx="554">
                  <c:v>44093</c:v>
                </c:pt>
                <c:pt idx="555">
                  <c:v>44096</c:v>
                </c:pt>
                <c:pt idx="556">
                  <c:v>44097</c:v>
                </c:pt>
                <c:pt idx="557">
                  <c:v>44099</c:v>
                </c:pt>
                <c:pt idx="558">
                  <c:v>44100</c:v>
                </c:pt>
                <c:pt idx="559">
                  <c:v>44101</c:v>
                </c:pt>
                <c:pt idx="560">
                  <c:v>44102</c:v>
                </c:pt>
                <c:pt idx="561">
                  <c:v>44103</c:v>
                </c:pt>
                <c:pt idx="562">
                  <c:v>44105</c:v>
                </c:pt>
                <c:pt idx="563">
                  <c:v>44106</c:v>
                </c:pt>
                <c:pt idx="564">
                  <c:v>44107</c:v>
                </c:pt>
                <c:pt idx="565">
                  <c:v>44108</c:v>
                </c:pt>
                <c:pt idx="566">
                  <c:v>44109</c:v>
                </c:pt>
                <c:pt idx="567">
                  <c:v>44110</c:v>
                </c:pt>
                <c:pt idx="568">
                  <c:v>44113</c:v>
                </c:pt>
                <c:pt idx="569">
                  <c:v>44116</c:v>
                </c:pt>
                <c:pt idx="570">
                  <c:v>44117</c:v>
                </c:pt>
                <c:pt idx="571">
                  <c:v>44118</c:v>
                </c:pt>
                <c:pt idx="572">
                  <c:v>44119</c:v>
                </c:pt>
                <c:pt idx="573">
                  <c:v>44120</c:v>
                </c:pt>
                <c:pt idx="574">
                  <c:v>44122</c:v>
                </c:pt>
                <c:pt idx="575">
                  <c:v>44123</c:v>
                </c:pt>
                <c:pt idx="576">
                  <c:v>44124</c:v>
                </c:pt>
                <c:pt idx="577">
                  <c:v>44126</c:v>
                </c:pt>
                <c:pt idx="578">
                  <c:v>44129</c:v>
                </c:pt>
                <c:pt idx="579">
                  <c:v>44130</c:v>
                </c:pt>
                <c:pt idx="580">
                  <c:v>44131</c:v>
                </c:pt>
                <c:pt idx="581">
                  <c:v>44134</c:v>
                </c:pt>
                <c:pt idx="582">
                  <c:v>44136</c:v>
                </c:pt>
                <c:pt idx="583">
                  <c:v>44137</c:v>
                </c:pt>
                <c:pt idx="584">
                  <c:v>44138</c:v>
                </c:pt>
                <c:pt idx="585">
                  <c:v>44142</c:v>
                </c:pt>
                <c:pt idx="586">
                  <c:v>44143</c:v>
                </c:pt>
                <c:pt idx="587">
                  <c:v>44144</c:v>
                </c:pt>
                <c:pt idx="588">
                  <c:v>44148</c:v>
                </c:pt>
                <c:pt idx="589">
                  <c:v>44149</c:v>
                </c:pt>
                <c:pt idx="590">
                  <c:v>44150</c:v>
                </c:pt>
                <c:pt idx="591">
                  <c:v>44151</c:v>
                </c:pt>
                <c:pt idx="592">
                  <c:v>44153</c:v>
                </c:pt>
                <c:pt idx="593">
                  <c:v>44154</c:v>
                </c:pt>
                <c:pt idx="594">
                  <c:v>44161</c:v>
                </c:pt>
                <c:pt idx="595">
                  <c:v>44163</c:v>
                </c:pt>
                <c:pt idx="596">
                  <c:v>44164</c:v>
                </c:pt>
                <c:pt idx="597">
                  <c:v>44165</c:v>
                </c:pt>
                <c:pt idx="598">
                  <c:v>44168</c:v>
                </c:pt>
                <c:pt idx="599">
                  <c:v>44169</c:v>
                </c:pt>
                <c:pt idx="600">
                  <c:v>44170</c:v>
                </c:pt>
                <c:pt idx="601">
                  <c:v>44171</c:v>
                </c:pt>
                <c:pt idx="602">
                  <c:v>44172</c:v>
                </c:pt>
                <c:pt idx="603">
                  <c:v>44173</c:v>
                </c:pt>
                <c:pt idx="604">
                  <c:v>44174</c:v>
                </c:pt>
                <c:pt idx="605">
                  <c:v>44182</c:v>
                </c:pt>
                <c:pt idx="606">
                  <c:v>44183</c:v>
                </c:pt>
                <c:pt idx="607">
                  <c:v>44196</c:v>
                </c:pt>
                <c:pt idx="608">
                  <c:v>44199</c:v>
                </c:pt>
                <c:pt idx="609">
                  <c:v>44200</c:v>
                </c:pt>
                <c:pt idx="610">
                  <c:v>44201</c:v>
                </c:pt>
                <c:pt idx="611">
                  <c:v>44202</c:v>
                </c:pt>
                <c:pt idx="612">
                  <c:v>44203</c:v>
                </c:pt>
                <c:pt idx="613">
                  <c:v>44204</c:v>
                </c:pt>
                <c:pt idx="614">
                  <c:v>44205</c:v>
                </c:pt>
                <c:pt idx="615">
                  <c:v>44206</c:v>
                </c:pt>
                <c:pt idx="616">
                  <c:v>44207</c:v>
                </c:pt>
                <c:pt idx="617">
                  <c:v>44208</c:v>
                </c:pt>
                <c:pt idx="618">
                  <c:v>44211</c:v>
                </c:pt>
                <c:pt idx="619">
                  <c:v>44212</c:v>
                </c:pt>
                <c:pt idx="620">
                  <c:v>44213</c:v>
                </c:pt>
                <c:pt idx="621">
                  <c:v>44217</c:v>
                </c:pt>
                <c:pt idx="622">
                  <c:v>44218</c:v>
                </c:pt>
                <c:pt idx="623">
                  <c:v>44219</c:v>
                </c:pt>
                <c:pt idx="624">
                  <c:v>44220</c:v>
                </c:pt>
                <c:pt idx="625">
                  <c:v>44225</c:v>
                </c:pt>
                <c:pt idx="626">
                  <c:v>44226</c:v>
                </c:pt>
                <c:pt idx="627">
                  <c:v>44227</c:v>
                </c:pt>
                <c:pt idx="628">
                  <c:v>44230</c:v>
                </c:pt>
                <c:pt idx="629">
                  <c:v>44242</c:v>
                </c:pt>
                <c:pt idx="630">
                  <c:v>44243</c:v>
                </c:pt>
                <c:pt idx="631">
                  <c:v>44244</c:v>
                </c:pt>
                <c:pt idx="632">
                  <c:v>44245</c:v>
                </c:pt>
                <c:pt idx="633">
                  <c:v>44246</c:v>
                </c:pt>
                <c:pt idx="634">
                  <c:v>44248</c:v>
                </c:pt>
                <c:pt idx="635">
                  <c:v>44249</c:v>
                </c:pt>
                <c:pt idx="636">
                  <c:v>44250</c:v>
                </c:pt>
                <c:pt idx="637">
                  <c:v>44251</c:v>
                </c:pt>
                <c:pt idx="638">
                  <c:v>44252</c:v>
                </c:pt>
                <c:pt idx="639">
                  <c:v>44253</c:v>
                </c:pt>
                <c:pt idx="640">
                  <c:v>44254</c:v>
                </c:pt>
                <c:pt idx="641">
                  <c:v>44255</c:v>
                </c:pt>
                <c:pt idx="642">
                  <c:v>44256</c:v>
                </c:pt>
                <c:pt idx="643">
                  <c:v>44257</c:v>
                </c:pt>
                <c:pt idx="644">
                  <c:v>44258</c:v>
                </c:pt>
                <c:pt idx="645">
                  <c:v>44261</c:v>
                </c:pt>
                <c:pt idx="646">
                  <c:v>44262</c:v>
                </c:pt>
                <c:pt idx="647">
                  <c:v>44263</c:v>
                </c:pt>
                <c:pt idx="648">
                  <c:v>44264</c:v>
                </c:pt>
                <c:pt idx="649">
                  <c:v>44265</c:v>
                </c:pt>
                <c:pt idx="650">
                  <c:v>44266</c:v>
                </c:pt>
                <c:pt idx="651">
                  <c:v>44267</c:v>
                </c:pt>
                <c:pt idx="652">
                  <c:v>44271</c:v>
                </c:pt>
                <c:pt idx="653">
                  <c:v>44273</c:v>
                </c:pt>
                <c:pt idx="654">
                  <c:v>44274</c:v>
                </c:pt>
                <c:pt idx="655">
                  <c:v>44275</c:v>
                </c:pt>
                <c:pt idx="656">
                  <c:v>44276</c:v>
                </c:pt>
                <c:pt idx="657">
                  <c:v>44277</c:v>
                </c:pt>
                <c:pt idx="658">
                  <c:v>44278</c:v>
                </c:pt>
                <c:pt idx="659">
                  <c:v>44279</c:v>
                </c:pt>
                <c:pt idx="660">
                  <c:v>44280</c:v>
                </c:pt>
                <c:pt idx="661">
                  <c:v>44281</c:v>
                </c:pt>
                <c:pt idx="662">
                  <c:v>44282</c:v>
                </c:pt>
                <c:pt idx="663">
                  <c:v>44283</c:v>
                </c:pt>
                <c:pt idx="664">
                  <c:v>44284</c:v>
                </c:pt>
                <c:pt idx="665">
                  <c:v>44285</c:v>
                </c:pt>
                <c:pt idx="666">
                  <c:v>44287</c:v>
                </c:pt>
                <c:pt idx="667">
                  <c:v>44288</c:v>
                </c:pt>
                <c:pt idx="668">
                  <c:v>44289</c:v>
                </c:pt>
                <c:pt idx="669">
                  <c:v>44291</c:v>
                </c:pt>
                <c:pt idx="670">
                  <c:v>44292</c:v>
                </c:pt>
                <c:pt idx="671">
                  <c:v>44293</c:v>
                </c:pt>
                <c:pt idx="672">
                  <c:v>44294</c:v>
                </c:pt>
                <c:pt idx="673">
                  <c:v>44295</c:v>
                </c:pt>
                <c:pt idx="674">
                  <c:v>44296</c:v>
                </c:pt>
                <c:pt idx="675">
                  <c:v>44297</c:v>
                </c:pt>
                <c:pt idx="676">
                  <c:v>44298</c:v>
                </c:pt>
                <c:pt idx="677">
                  <c:v>44299</c:v>
                </c:pt>
                <c:pt idx="678">
                  <c:v>44300</c:v>
                </c:pt>
                <c:pt idx="679">
                  <c:v>44301</c:v>
                </c:pt>
                <c:pt idx="680">
                  <c:v>44302</c:v>
                </c:pt>
                <c:pt idx="681">
                  <c:v>44303</c:v>
                </c:pt>
                <c:pt idx="682">
                  <c:v>44304</c:v>
                </c:pt>
                <c:pt idx="683">
                  <c:v>44305</c:v>
                </c:pt>
                <c:pt idx="684">
                  <c:v>44306</c:v>
                </c:pt>
                <c:pt idx="685">
                  <c:v>44307</c:v>
                </c:pt>
                <c:pt idx="686">
                  <c:v>44311</c:v>
                </c:pt>
                <c:pt idx="687">
                  <c:v>44312</c:v>
                </c:pt>
                <c:pt idx="688">
                  <c:v>44313</c:v>
                </c:pt>
                <c:pt idx="689">
                  <c:v>44314</c:v>
                </c:pt>
                <c:pt idx="690">
                  <c:v>44315</c:v>
                </c:pt>
                <c:pt idx="691">
                  <c:v>44316</c:v>
                </c:pt>
                <c:pt idx="692">
                  <c:v>44317</c:v>
                </c:pt>
                <c:pt idx="693">
                  <c:v>44318</c:v>
                </c:pt>
                <c:pt idx="694">
                  <c:v>44319</c:v>
                </c:pt>
                <c:pt idx="695">
                  <c:v>44320</c:v>
                </c:pt>
                <c:pt idx="696">
                  <c:v>44321</c:v>
                </c:pt>
                <c:pt idx="697">
                  <c:v>44322</c:v>
                </c:pt>
                <c:pt idx="698">
                  <c:v>44323</c:v>
                </c:pt>
                <c:pt idx="699">
                  <c:v>44324</c:v>
                </c:pt>
                <c:pt idx="700">
                  <c:v>44325</c:v>
                </c:pt>
                <c:pt idx="701">
                  <c:v>44326</c:v>
                </c:pt>
                <c:pt idx="702">
                  <c:v>44327</c:v>
                </c:pt>
                <c:pt idx="703">
                  <c:v>44328</c:v>
                </c:pt>
                <c:pt idx="704">
                  <c:v>44331</c:v>
                </c:pt>
                <c:pt idx="705">
                  <c:v>44332</c:v>
                </c:pt>
                <c:pt idx="706">
                  <c:v>44333</c:v>
                </c:pt>
                <c:pt idx="707">
                  <c:v>44334</c:v>
                </c:pt>
                <c:pt idx="708">
                  <c:v>44335</c:v>
                </c:pt>
                <c:pt idx="709">
                  <c:v>44336</c:v>
                </c:pt>
                <c:pt idx="710">
                  <c:v>44337</c:v>
                </c:pt>
                <c:pt idx="711">
                  <c:v>44339</c:v>
                </c:pt>
                <c:pt idx="712">
                  <c:v>44340</c:v>
                </c:pt>
                <c:pt idx="713">
                  <c:v>44341</c:v>
                </c:pt>
                <c:pt idx="714">
                  <c:v>44343</c:v>
                </c:pt>
                <c:pt idx="715">
                  <c:v>44344</c:v>
                </c:pt>
                <c:pt idx="716">
                  <c:v>44345</c:v>
                </c:pt>
                <c:pt idx="717">
                  <c:v>44346</c:v>
                </c:pt>
                <c:pt idx="718">
                  <c:v>44347</c:v>
                </c:pt>
                <c:pt idx="719">
                  <c:v>44348</c:v>
                </c:pt>
                <c:pt idx="720">
                  <c:v>44349</c:v>
                </c:pt>
                <c:pt idx="721">
                  <c:v>44350</c:v>
                </c:pt>
                <c:pt idx="722">
                  <c:v>44353</c:v>
                </c:pt>
                <c:pt idx="723">
                  <c:v>44354</c:v>
                </c:pt>
                <c:pt idx="724">
                  <c:v>44355</c:v>
                </c:pt>
                <c:pt idx="725">
                  <c:v>44356</c:v>
                </c:pt>
                <c:pt idx="726">
                  <c:v>44357</c:v>
                </c:pt>
                <c:pt idx="727">
                  <c:v>44358</c:v>
                </c:pt>
                <c:pt idx="728">
                  <c:v>44359</c:v>
                </c:pt>
                <c:pt idx="729">
                  <c:v>44360</c:v>
                </c:pt>
                <c:pt idx="730">
                  <c:v>44361</c:v>
                </c:pt>
                <c:pt idx="731">
                  <c:v>44362</c:v>
                </c:pt>
                <c:pt idx="732">
                  <c:v>44363</c:v>
                </c:pt>
                <c:pt idx="733">
                  <c:v>44364</c:v>
                </c:pt>
                <c:pt idx="734">
                  <c:v>44365</c:v>
                </c:pt>
                <c:pt idx="735">
                  <c:v>44366</c:v>
                </c:pt>
                <c:pt idx="736">
                  <c:v>44367</c:v>
                </c:pt>
                <c:pt idx="737">
                  <c:v>44368</c:v>
                </c:pt>
                <c:pt idx="738">
                  <c:v>44369</c:v>
                </c:pt>
                <c:pt idx="739">
                  <c:v>44370</c:v>
                </c:pt>
                <c:pt idx="740">
                  <c:v>44371</c:v>
                </c:pt>
                <c:pt idx="741">
                  <c:v>44372</c:v>
                </c:pt>
                <c:pt idx="742">
                  <c:v>44373</c:v>
                </c:pt>
                <c:pt idx="743">
                  <c:v>44374</c:v>
                </c:pt>
                <c:pt idx="744">
                  <c:v>44375</c:v>
                </c:pt>
                <c:pt idx="745">
                  <c:v>44376</c:v>
                </c:pt>
                <c:pt idx="746">
                  <c:v>44377</c:v>
                </c:pt>
                <c:pt idx="747">
                  <c:v>44378</c:v>
                </c:pt>
                <c:pt idx="748">
                  <c:v>44379</c:v>
                </c:pt>
                <c:pt idx="749">
                  <c:v>44381</c:v>
                </c:pt>
                <c:pt idx="750">
                  <c:v>44382</c:v>
                </c:pt>
                <c:pt idx="751">
                  <c:v>44383</c:v>
                </c:pt>
                <c:pt idx="752">
                  <c:v>44384</c:v>
                </c:pt>
                <c:pt idx="753">
                  <c:v>44385</c:v>
                </c:pt>
                <c:pt idx="754">
                  <c:v>44386</c:v>
                </c:pt>
                <c:pt idx="755">
                  <c:v>44387</c:v>
                </c:pt>
                <c:pt idx="756">
                  <c:v>44388</c:v>
                </c:pt>
                <c:pt idx="757">
                  <c:v>44389</c:v>
                </c:pt>
                <c:pt idx="758">
                  <c:v>44390</c:v>
                </c:pt>
                <c:pt idx="759">
                  <c:v>44393</c:v>
                </c:pt>
                <c:pt idx="760">
                  <c:v>44394</c:v>
                </c:pt>
                <c:pt idx="761">
                  <c:v>44396</c:v>
                </c:pt>
                <c:pt idx="762">
                  <c:v>44397</c:v>
                </c:pt>
                <c:pt idx="763">
                  <c:v>44398</c:v>
                </c:pt>
                <c:pt idx="764">
                  <c:v>44399</c:v>
                </c:pt>
                <c:pt idx="765">
                  <c:v>44400</c:v>
                </c:pt>
                <c:pt idx="766">
                  <c:v>44401</c:v>
                </c:pt>
                <c:pt idx="767">
                  <c:v>44404</c:v>
                </c:pt>
                <c:pt idx="768">
                  <c:v>44405</c:v>
                </c:pt>
                <c:pt idx="769">
                  <c:v>44406</c:v>
                </c:pt>
                <c:pt idx="770">
                  <c:v>44407</c:v>
                </c:pt>
                <c:pt idx="771">
                  <c:v>44408</c:v>
                </c:pt>
                <c:pt idx="772">
                  <c:v>44409</c:v>
                </c:pt>
                <c:pt idx="773">
                  <c:v>44410</c:v>
                </c:pt>
                <c:pt idx="774">
                  <c:v>44411</c:v>
                </c:pt>
                <c:pt idx="775">
                  <c:v>44412</c:v>
                </c:pt>
                <c:pt idx="776">
                  <c:v>44413</c:v>
                </c:pt>
                <c:pt idx="777">
                  <c:v>44414</c:v>
                </c:pt>
                <c:pt idx="778">
                  <c:v>44415</c:v>
                </c:pt>
                <c:pt idx="779">
                  <c:v>44416</c:v>
                </c:pt>
                <c:pt idx="780">
                  <c:v>44417</c:v>
                </c:pt>
                <c:pt idx="781">
                  <c:v>44418</c:v>
                </c:pt>
                <c:pt idx="782">
                  <c:v>44419</c:v>
                </c:pt>
                <c:pt idx="783">
                  <c:v>44420</c:v>
                </c:pt>
                <c:pt idx="784">
                  <c:v>44421</c:v>
                </c:pt>
                <c:pt idx="785">
                  <c:v>44422</c:v>
                </c:pt>
                <c:pt idx="786">
                  <c:v>44423</c:v>
                </c:pt>
                <c:pt idx="787">
                  <c:v>44424</c:v>
                </c:pt>
                <c:pt idx="788">
                  <c:v>44426</c:v>
                </c:pt>
                <c:pt idx="789">
                  <c:v>44427</c:v>
                </c:pt>
                <c:pt idx="790">
                  <c:v>44428</c:v>
                </c:pt>
                <c:pt idx="791">
                  <c:v>44429</c:v>
                </c:pt>
                <c:pt idx="792">
                  <c:v>44430</c:v>
                </c:pt>
                <c:pt idx="793">
                  <c:v>44431</c:v>
                </c:pt>
                <c:pt idx="794">
                  <c:v>44432</c:v>
                </c:pt>
                <c:pt idx="795">
                  <c:v>44433</c:v>
                </c:pt>
                <c:pt idx="796">
                  <c:v>44434</c:v>
                </c:pt>
                <c:pt idx="797">
                  <c:v>44437</c:v>
                </c:pt>
                <c:pt idx="798">
                  <c:v>44438</c:v>
                </c:pt>
                <c:pt idx="799">
                  <c:v>44439</c:v>
                </c:pt>
                <c:pt idx="800">
                  <c:v>44440</c:v>
                </c:pt>
                <c:pt idx="801">
                  <c:v>44441</c:v>
                </c:pt>
                <c:pt idx="802">
                  <c:v>44443</c:v>
                </c:pt>
                <c:pt idx="803">
                  <c:v>44444</c:v>
                </c:pt>
                <c:pt idx="804">
                  <c:v>44445</c:v>
                </c:pt>
                <c:pt idx="805">
                  <c:v>44446</c:v>
                </c:pt>
                <c:pt idx="806">
                  <c:v>44447</c:v>
                </c:pt>
                <c:pt idx="807">
                  <c:v>44448</c:v>
                </c:pt>
                <c:pt idx="808">
                  <c:v>44449</c:v>
                </c:pt>
                <c:pt idx="809">
                  <c:v>44450</c:v>
                </c:pt>
                <c:pt idx="810">
                  <c:v>44451</c:v>
                </c:pt>
                <c:pt idx="811">
                  <c:v>44452</c:v>
                </c:pt>
                <c:pt idx="812">
                  <c:v>44453</c:v>
                </c:pt>
                <c:pt idx="813">
                  <c:v>44454</c:v>
                </c:pt>
                <c:pt idx="814">
                  <c:v>44455</c:v>
                </c:pt>
                <c:pt idx="815">
                  <c:v>44456</c:v>
                </c:pt>
                <c:pt idx="816">
                  <c:v>44457</c:v>
                </c:pt>
                <c:pt idx="817">
                  <c:v>44458</c:v>
                </c:pt>
                <c:pt idx="818">
                  <c:v>44462</c:v>
                </c:pt>
                <c:pt idx="819">
                  <c:v>44463</c:v>
                </c:pt>
                <c:pt idx="820">
                  <c:v>44464</c:v>
                </c:pt>
                <c:pt idx="821">
                  <c:v>44466</c:v>
                </c:pt>
                <c:pt idx="822">
                  <c:v>44467</c:v>
                </c:pt>
                <c:pt idx="823">
                  <c:v>44468</c:v>
                </c:pt>
                <c:pt idx="824">
                  <c:v>44469</c:v>
                </c:pt>
                <c:pt idx="825">
                  <c:v>44470</c:v>
                </c:pt>
                <c:pt idx="826">
                  <c:v>44471</c:v>
                </c:pt>
                <c:pt idx="827">
                  <c:v>44472</c:v>
                </c:pt>
                <c:pt idx="828">
                  <c:v>44474</c:v>
                </c:pt>
                <c:pt idx="829">
                  <c:v>44476</c:v>
                </c:pt>
                <c:pt idx="830">
                  <c:v>44477</c:v>
                </c:pt>
                <c:pt idx="831">
                  <c:v>44478</c:v>
                </c:pt>
                <c:pt idx="832">
                  <c:v>44486</c:v>
                </c:pt>
                <c:pt idx="833">
                  <c:v>44487</c:v>
                </c:pt>
                <c:pt idx="834">
                  <c:v>44489</c:v>
                </c:pt>
                <c:pt idx="835">
                  <c:v>44490</c:v>
                </c:pt>
                <c:pt idx="836">
                  <c:v>44491</c:v>
                </c:pt>
                <c:pt idx="837">
                  <c:v>44494</c:v>
                </c:pt>
                <c:pt idx="838">
                  <c:v>44495</c:v>
                </c:pt>
                <c:pt idx="839">
                  <c:v>44496</c:v>
                </c:pt>
                <c:pt idx="840">
                  <c:v>44497</c:v>
                </c:pt>
                <c:pt idx="841">
                  <c:v>44499</c:v>
                </c:pt>
                <c:pt idx="842">
                  <c:v>44500</c:v>
                </c:pt>
                <c:pt idx="843">
                  <c:v>44501</c:v>
                </c:pt>
                <c:pt idx="844">
                  <c:v>44502</c:v>
                </c:pt>
                <c:pt idx="845">
                  <c:v>44503</c:v>
                </c:pt>
                <c:pt idx="846">
                  <c:v>44506</c:v>
                </c:pt>
                <c:pt idx="847">
                  <c:v>44507</c:v>
                </c:pt>
                <c:pt idx="848">
                  <c:v>44508</c:v>
                </c:pt>
                <c:pt idx="849">
                  <c:v>44509</c:v>
                </c:pt>
                <c:pt idx="850">
                  <c:v>44510</c:v>
                </c:pt>
                <c:pt idx="851">
                  <c:v>44513</c:v>
                </c:pt>
                <c:pt idx="852">
                  <c:v>44514</c:v>
                </c:pt>
                <c:pt idx="853">
                  <c:v>44515</c:v>
                </c:pt>
                <c:pt idx="854">
                  <c:v>44517</c:v>
                </c:pt>
                <c:pt idx="855">
                  <c:v>44518</c:v>
                </c:pt>
                <c:pt idx="856">
                  <c:v>44520</c:v>
                </c:pt>
                <c:pt idx="857">
                  <c:v>44521</c:v>
                </c:pt>
                <c:pt idx="858">
                  <c:v>44522</c:v>
                </c:pt>
                <c:pt idx="859">
                  <c:v>44523</c:v>
                </c:pt>
                <c:pt idx="860">
                  <c:v>44524</c:v>
                </c:pt>
                <c:pt idx="861">
                  <c:v>44526</c:v>
                </c:pt>
                <c:pt idx="862">
                  <c:v>44527</c:v>
                </c:pt>
                <c:pt idx="863">
                  <c:v>44528</c:v>
                </c:pt>
                <c:pt idx="864">
                  <c:v>44529</c:v>
                </c:pt>
                <c:pt idx="865">
                  <c:v>44530</c:v>
                </c:pt>
                <c:pt idx="866">
                  <c:v>44531</c:v>
                </c:pt>
                <c:pt idx="867">
                  <c:v>44532</c:v>
                </c:pt>
                <c:pt idx="868">
                  <c:v>44533</c:v>
                </c:pt>
                <c:pt idx="869">
                  <c:v>44534</c:v>
                </c:pt>
                <c:pt idx="870">
                  <c:v>44535</c:v>
                </c:pt>
                <c:pt idx="871">
                  <c:v>44536</c:v>
                </c:pt>
                <c:pt idx="872">
                  <c:v>44537</c:v>
                </c:pt>
                <c:pt idx="873">
                  <c:v>44538</c:v>
                </c:pt>
                <c:pt idx="874">
                  <c:v>44539</c:v>
                </c:pt>
                <c:pt idx="875">
                  <c:v>44540</c:v>
                </c:pt>
                <c:pt idx="876">
                  <c:v>44541</c:v>
                </c:pt>
                <c:pt idx="877">
                  <c:v>44542</c:v>
                </c:pt>
                <c:pt idx="878">
                  <c:v>44543</c:v>
                </c:pt>
                <c:pt idx="879">
                  <c:v>44544</c:v>
                </c:pt>
                <c:pt idx="880">
                  <c:v>44545</c:v>
                </c:pt>
                <c:pt idx="881">
                  <c:v>44546</c:v>
                </c:pt>
                <c:pt idx="882">
                  <c:v>44559</c:v>
                </c:pt>
                <c:pt idx="883">
                  <c:v>44561</c:v>
                </c:pt>
                <c:pt idx="884">
                  <c:v>44562</c:v>
                </c:pt>
                <c:pt idx="885">
                  <c:v>44563</c:v>
                </c:pt>
                <c:pt idx="886">
                  <c:v>44569</c:v>
                </c:pt>
                <c:pt idx="887">
                  <c:v>44570</c:v>
                </c:pt>
                <c:pt idx="888">
                  <c:v>44573</c:v>
                </c:pt>
                <c:pt idx="889">
                  <c:v>44574</c:v>
                </c:pt>
                <c:pt idx="890">
                  <c:v>44575</c:v>
                </c:pt>
                <c:pt idx="891">
                  <c:v>44577</c:v>
                </c:pt>
                <c:pt idx="892">
                  <c:v>44587</c:v>
                </c:pt>
                <c:pt idx="893">
                  <c:v>44588</c:v>
                </c:pt>
                <c:pt idx="894">
                  <c:v>44589</c:v>
                </c:pt>
                <c:pt idx="895">
                  <c:v>44591</c:v>
                </c:pt>
                <c:pt idx="896">
                  <c:v>44592</c:v>
                </c:pt>
                <c:pt idx="897">
                  <c:v>44593</c:v>
                </c:pt>
                <c:pt idx="898">
                  <c:v>44598</c:v>
                </c:pt>
                <c:pt idx="899">
                  <c:v>44599</c:v>
                </c:pt>
                <c:pt idx="900">
                  <c:v>44607</c:v>
                </c:pt>
                <c:pt idx="901">
                  <c:v>44614</c:v>
                </c:pt>
                <c:pt idx="902">
                  <c:v>44622</c:v>
                </c:pt>
                <c:pt idx="903">
                  <c:v>44624</c:v>
                </c:pt>
                <c:pt idx="904">
                  <c:v>44626</c:v>
                </c:pt>
                <c:pt idx="905">
                  <c:v>44628</c:v>
                </c:pt>
                <c:pt idx="906">
                  <c:v>44630</c:v>
                </c:pt>
                <c:pt idx="907">
                  <c:v>44631</c:v>
                </c:pt>
                <c:pt idx="908">
                  <c:v>44632</c:v>
                </c:pt>
                <c:pt idx="909">
                  <c:v>44633</c:v>
                </c:pt>
                <c:pt idx="910">
                  <c:v>44634</c:v>
                </c:pt>
                <c:pt idx="911">
                  <c:v>44635</c:v>
                </c:pt>
                <c:pt idx="912">
                  <c:v>44636</c:v>
                </c:pt>
                <c:pt idx="913">
                  <c:v>44637</c:v>
                </c:pt>
                <c:pt idx="914">
                  <c:v>44638</c:v>
                </c:pt>
                <c:pt idx="915">
                  <c:v>44639</c:v>
                </c:pt>
                <c:pt idx="916">
                  <c:v>44640</c:v>
                </c:pt>
                <c:pt idx="917">
                  <c:v>44641</c:v>
                </c:pt>
                <c:pt idx="918">
                  <c:v>44642</c:v>
                </c:pt>
                <c:pt idx="919">
                  <c:v>44643</c:v>
                </c:pt>
                <c:pt idx="920">
                  <c:v>44645</c:v>
                </c:pt>
                <c:pt idx="921">
                  <c:v>44646</c:v>
                </c:pt>
                <c:pt idx="922">
                  <c:v>44647</c:v>
                </c:pt>
                <c:pt idx="923">
                  <c:v>44648</c:v>
                </c:pt>
                <c:pt idx="924">
                  <c:v>44649</c:v>
                </c:pt>
                <c:pt idx="925">
                  <c:v>44650</c:v>
                </c:pt>
                <c:pt idx="926">
                  <c:v>44651</c:v>
                </c:pt>
                <c:pt idx="927">
                  <c:v>44652</c:v>
                </c:pt>
                <c:pt idx="928">
                  <c:v>44653</c:v>
                </c:pt>
                <c:pt idx="929">
                  <c:v>44654</c:v>
                </c:pt>
                <c:pt idx="930">
                  <c:v>44655</c:v>
                </c:pt>
                <c:pt idx="931">
                  <c:v>44656</c:v>
                </c:pt>
                <c:pt idx="932">
                  <c:v>44657</c:v>
                </c:pt>
                <c:pt idx="933">
                  <c:v>44658</c:v>
                </c:pt>
                <c:pt idx="934">
                  <c:v>44659</c:v>
                </c:pt>
                <c:pt idx="935">
                  <c:v>44660</c:v>
                </c:pt>
                <c:pt idx="936">
                  <c:v>44661</c:v>
                </c:pt>
                <c:pt idx="937">
                  <c:v>44662</c:v>
                </c:pt>
                <c:pt idx="938">
                  <c:v>44663</c:v>
                </c:pt>
                <c:pt idx="939">
                  <c:v>44664</c:v>
                </c:pt>
                <c:pt idx="940">
                  <c:v>44667</c:v>
                </c:pt>
                <c:pt idx="941">
                  <c:v>44669</c:v>
                </c:pt>
                <c:pt idx="942">
                  <c:v>44671</c:v>
                </c:pt>
                <c:pt idx="943">
                  <c:v>44672</c:v>
                </c:pt>
                <c:pt idx="944">
                  <c:v>44673</c:v>
                </c:pt>
                <c:pt idx="945">
                  <c:v>44674</c:v>
                </c:pt>
                <c:pt idx="946">
                  <c:v>44675</c:v>
                </c:pt>
                <c:pt idx="947">
                  <c:v>44676</c:v>
                </c:pt>
                <c:pt idx="948">
                  <c:v>44677</c:v>
                </c:pt>
                <c:pt idx="949">
                  <c:v>44679</c:v>
                </c:pt>
                <c:pt idx="950">
                  <c:v>44682</c:v>
                </c:pt>
                <c:pt idx="951">
                  <c:v>44684</c:v>
                </c:pt>
                <c:pt idx="952">
                  <c:v>44685</c:v>
                </c:pt>
                <c:pt idx="953">
                  <c:v>44686</c:v>
                </c:pt>
                <c:pt idx="954">
                  <c:v>44687</c:v>
                </c:pt>
                <c:pt idx="955">
                  <c:v>44688</c:v>
                </c:pt>
                <c:pt idx="956">
                  <c:v>44689</c:v>
                </c:pt>
                <c:pt idx="957">
                  <c:v>44690</c:v>
                </c:pt>
                <c:pt idx="958">
                  <c:v>44692</c:v>
                </c:pt>
                <c:pt idx="959">
                  <c:v>44693</c:v>
                </c:pt>
                <c:pt idx="960">
                  <c:v>44694</c:v>
                </c:pt>
                <c:pt idx="961">
                  <c:v>44695</c:v>
                </c:pt>
                <c:pt idx="962">
                  <c:v>44697</c:v>
                </c:pt>
                <c:pt idx="963">
                  <c:v>44698</c:v>
                </c:pt>
                <c:pt idx="964">
                  <c:v>44700</c:v>
                </c:pt>
                <c:pt idx="965">
                  <c:v>44701</c:v>
                </c:pt>
                <c:pt idx="966">
                  <c:v>44702</c:v>
                </c:pt>
                <c:pt idx="967">
                  <c:v>44703</c:v>
                </c:pt>
                <c:pt idx="968">
                  <c:v>44704</c:v>
                </c:pt>
                <c:pt idx="969">
                  <c:v>44705</c:v>
                </c:pt>
                <c:pt idx="970">
                  <c:v>44706</c:v>
                </c:pt>
                <c:pt idx="971">
                  <c:v>44707</c:v>
                </c:pt>
                <c:pt idx="972">
                  <c:v>44708</c:v>
                </c:pt>
                <c:pt idx="973">
                  <c:v>44709</c:v>
                </c:pt>
                <c:pt idx="974">
                  <c:v>44710</c:v>
                </c:pt>
                <c:pt idx="975">
                  <c:v>44712</c:v>
                </c:pt>
                <c:pt idx="976">
                  <c:v>44713</c:v>
                </c:pt>
                <c:pt idx="977">
                  <c:v>44714</c:v>
                </c:pt>
                <c:pt idx="978">
                  <c:v>44716</c:v>
                </c:pt>
                <c:pt idx="979">
                  <c:v>44719</c:v>
                </c:pt>
                <c:pt idx="980">
                  <c:v>44720</c:v>
                </c:pt>
                <c:pt idx="981">
                  <c:v>44721</c:v>
                </c:pt>
                <c:pt idx="982">
                  <c:v>44722</c:v>
                </c:pt>
                <c:pt idx="983">
                  <c:v>44723</c:v>
                </c:pt>
                <c:pt idx="984">
                  <c:v>44724</c:v>
                </c:pt>
                <c:pt idx="985">
                  <c:v>44725</c:v>
                </c:pt>
                <c:pt idx="986">
                  <c:v>44726</c:v>
                </c:pt>
                <c:pt idx="987">
                  <c:v>44728</c:v>
                </c:pt>
                <c:pt idx="988">
                  <c:v>44731</c:v>
                </c:pt>
                <c:pt idx="989">
                  <c:v>44732</c:v>
                </c:pt>
                <c:pt idx="990">
                  <c:v>44734</c:v>
                </c:pt>
                <c:pt idx="991">
                  <c:v>44735</c:v>
                </c:pt>
                <c:pt idx="992">
                  <c:v>44736</c:v>
                </c:pt>
                <c:pt idx="993">
                  <c:v>44737</c:v>
                </c:pt>
                <c:pt idx="994">
                  <c:v>44738</c:v>
                </c:pt>
                <c:pt idx="995">
                  <c:v>44739</c:v>
                </c:pt>
                <c:pt idx="996">
                  <c:v>44740</c:v>
                </c:pt>
                <c:pt idx="997">
                  <c:v>44741</c:v>
                </c:pt>
                <c:pt idx="998">
                  <c:v>44742</c:v>
                </c:pt>
                <c:pt idx="999">
                  <c:v>44743</c:v>
                </c:pt>
                <c:pt idx="1000">
                  <c:v>44744</c:v>
                </c:pt>
                <c:pt idx="1001">
                  <c:v>44745</c:v>
                </c:pt>
                <c:pt idx="1002">
                  <c:v>44746</c:v>
                </c:pt>
                <c:pt idx="1003">
                  <c:v>44747</c:v>
                </c:pt>
                <c:pt idx="1004">
                  <c:v>44748</c:v>
                </c:pt>
                <c:pt idx="1005">
                  <c:v>44749</c:v>
                </c:pt>
                <c:pt idx="1006">
                  <c:v>44750</c:v>
                </c:pt>
                <c:pt idx="1007">
                  <c:v>44751</c:v>
                </c:pt>
                <c:pt idx="1008">
                  <c:v>44753</c:v>
                </c:pt>
                <c:pt idx="1009">
                  <c:v>44754</c:v>
                </c:pt>
                <c:pt idx="1010">
                  <c:v>44755</c:v>
                </c:pt>
                <c:pt idx="1011">
                  <c:v>44756</c:v>
                </c:pt>
                <c:pt idx="1012">
                  <c:v>44757</c:v>
                </c:pt>
                <c:pt idx="1013">
                  <c:v>44758</c:v>
                </c:pt>
                <c:pt idx="1014">
                  <c:v>44759</c:v>
                </c:pt>
                <c:pt idx="1015">
                  <c:v>44760</c:v>
                </c:pt>
                <c:pt idx="1016">
                  <c:v>44761</c:v>
                </c:pt>
                <c:pt idx="1017">
                  <c:v>44762</c:v>
                </c:pt>
                <c:pt idx="1018">
                  <c:v>44764</c:v>
                </c:pt>
                <c:pt idx="1019">
                  <c:v>44765</c:v>
                </c:pt>
                <c:pt idx="1020">
                  <c:v>44766</c:v>
                </c:pt>
                <c:pt idx="1021">
                  <c:v>44767</c:v>
                </c:pt>
              </c:numCache>
            </c:numRef>
          </c:cat>
          <c:val>
            <c:numRef>
              <c:f>DATA!$E$2:$E$1326</c:f>
              <c:numCache>
                <c:formatCode>General</c:formatCode>
                <c:ptCount val="1022"/>
                <c:pt idx="0">
                  <c:v>0</c:v>
                </c:pt>
                <c:pt idx="1">
                  <c:v>0.3</c:v>
                </c:pt>
                <c:pt idx="2">
                  <c:v>0</c:v>
                </c:pt>
                <c:pt idx="3">
                  <c:v>0</c:v>
                </c:pt>
                <c:pt idx="4">
                  <c:v>8.4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3.6</c:v>
                </c:pt>
                <c:pt idx="11">
                  <c:v>0.5</c:v>
                </c:pt>
                <c:pt idx="12">
                  <c:v>0.3</c:v>
                </c:pt>
                <c:pt idx="13">
                  <c:v>1</c:v>
                </c:pt>
                <c:pt idx="14">
                  <c:v>1.3</c:v>
                </c:pt>
                <c:pt idx="15">
                  <c:v>6.1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1.8</c:v>
                </c:pt>
                <c:pt idx="24">
                  <c:v>2.5</c:v>
                </c:pt>
                <c:pt idx="25">
                  <c:v>9.9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0.8</c:v>
                </c:pt>
                <c:pt idx="35">
                  <c:v>0</c:v>
                </c:pt>
                <c:pt idx="36">
                  <c:v>8.6</c:v>
                </c:pt>
                <c:pt idx="37">
                  <c:v>0</c:v>
                </c:pt>
                <c:pt idx="38">
                  <c:v>1.8</c:v>
                </c:pt>
                <c:pt idx="39">
                  <c:v>1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3.6</c:v>
                </c:pt>
                <c:pt idx="44">
                  <c:v>0</c:v>
                </c:pt>
                <c:pt idx="45">
                  <c:v>0.3</c:v>
                </c:pt>
                <c:pt idx="46">
                  <c:v>0</c:v>
                </c:pt>
                <c:pt idx="47">
                  <c:v>0.8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3.8</c:v>
                </c:pt>
                <c:pt idx="57">
                  <c:v>2.2999999999999998</c:v>
                </c:pt>
                <c:pt idx="58">
                  <c:v>10.199999999999999</c:v>
                </c:pt>
                <c:pt idx="59">
                  <c:v>5.0999999999999996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1.5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9.4</c:v>
                </c:pt>
                <c:pt idx="71">
                  <c:v>0.8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1.3</c:v>
                </c:pt>
                <c:pt idx="77">
                  <c:v>8.4</c:v>
                </c:pt>
                <c:pt idx="78">
                  <c:v>1.8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4.0999999999999996</c:v>
                </c:pt>
                <c:pt idx="86">
                  <c:v>0</c:v>
                </c:pt>
                <c:pt idx="87">
                  <c:v>0</c:v>
                </c:pt>
                <c:pt idx="88">
                  <c:v>7.9</c:v>
                </c:pt>
                <c:pt idx="89">
                  <c:v>5.3</c:v>
                </c:pt>
                <c:pt idx="90">
                  <c:v>3.3</c:v>
                </c:pt>
                <c:pt idx="91">
                  <c:v>0</c:v>
                </c:pt>
                <c:pt idx="92">
                  <c:v>0.3</c:v>
                </c:pt>
                <c:pt idx="93">
                  <c:v>0.3</c:v>
                </c:pt>
                <c:pt idx="94">
                  <c:v>6.1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2.5</c:v>
                </c:pt>
                <c:pt idx="99">
                  <c:v>6.6</c:v>
                </c:pt>
                <c:pt idx="100">
                  <c:v>1.3</c:v>
                </c:pt>
                <c:pt idx="101">
                  <c:v>0</c:v>
                </c:pt>
                <c:pt idx="102">
                  <c:v>2.2999999999999998</c:v>
                </c:pt>
                <c:pt idx="103">
                  <c:v>0</c:v>
                </c:pt>
                <c:pt idx="104">
                  <c:v>0.5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9.1</c:v>
                </c:pt>
                <c:pt idx="111">
                  <c:v>1.8</c:v>
                </c:pt>
                <c:pt idx="112">
                  <c:v>0.5</c:v>
                </c:pt>
                <c:pt idx="113">
                  <c:v>0.5</c:v>
                </c:pt>
                <c:pt idx="114">
                  <c:v>0</c:v>
                </c:pt>
                <c:pt idx="115">
                  <c:v>0</c:v>
                </c:pt>
                <c:pt idx="116">
                  <c:v>2</c:v>
                </c:pt>
                <c:pt idx="117">
                  <c:v>9.1</c:v>
                </c:pt>
                <c:pt idx="118">
                  <c:v>5.3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0.3</c:v>
                </c:pt>
                <c:pt idx="127">
                  <c:v>0</c:v>
                </c:pt>
                <c:pt idx="128">
                  <c:v>2</c:v>
                </c:pt>
                <c:pt idx="129">
                  <c:v>3.3</c:v>
                </c:pt>
                <c:pt idx="130">
                  <c:v>1.5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1.5</c:v>
                </c:pt>
                <c:pt idx="137">
                  <c:v>0</c:v>
                </c:pt>
                <c:pt idx="138">
                  <c:v>1.5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3.3</c:v>
                </c:pt>
                <c:pt idx="146">
                  <c:v>0</c:v>
                </c:pt>
                <c:pt idx="147">
                  <c:v>0</c:v>
                </c:pt>
                <c:pt idx="148">
                  <c:v>4.8</c:v>
                </c:pt>
                <c:pt idx="149">
                  <c:v>0</c:v>
                </c:pt>
                <c:pt idx="150">
                  <c:v>3.8</c:v>
                </c:pt>
                <c:pt idx="151">
                  <c:v>0.5</c:v>
                </c:pt>
                <c:pt idx="152">
                  <c:v>0.5</c:v>
                </c:pt>
                <c:pt idx="153">
                  <c:v>0</c:v>
                </c:pt>
                <c:pt idx="154">
                  <c:v>0.3</c:v>
                </c:pt>
                <c:pt idx="155">
                  <c:v>5.6</c:v>
                </c:pt>
                <c:pt idx="156">
                  <c:v>0</c:v>
                </c:pt>
                <c:pt idx="157">
                  <c:v>0.8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4.3</c:v>
                </c:pt>
                <c:pt idx="162">
                  <c:v>0</c:v>
                </c:pt>
                <c:pt idx="163">
                  <c:v>8.6</c:v>
                </c:pt>
                <c:pt idx="164">
                  <c:v>0</c:v>
                </c:pt>
                <c:pt idx="165">
                  <c:v>9.4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1.5</c:v>
                </c:pt>
                <c:pt idx="171">
                  <c:v>1.8</c:v>
                </c:pt>
                <c:pt idx="172">
                  <c:v>6.1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3.8</c:v>
                </c:pt>
                <c:pt idx="178">
                  <c:v>1.3</c:v>
                </c:pt>
                <c:pt idx="179">
                  <c:v>2</c:v>
                </c:pt>
                <c:pt idx="180">
                  <c:v>0</c:v>
                </c:pt>
                <c:pt idx="181">
                  <c:v>3</c:v>
                </c:pt>
                <c:pt idx="182">
                  <c:v>5.6</c:v>
                </c:pt>
                <c:pt idx="183">
                  <c:v>0</c:v>
                </c:pt>
                <c:pt idx="184">
                  <c:v>7.1</c:v>
                </c:pt>
                <c:pt idx="185">
                  <c:v>0</c:v>
                </c:pt>
                <c:pt idx="186">
                  <c:v>0</c:v>
                </c:pt>
                <c:pt idx="187">
                  <c:v>1</c:v>
                </c:pt>
                <c:pt idx="188">
                  <c:v>0</c:v>
                </c:pt>
                <c:pt idx="189">
                  <c:v>0</c:v>
                </c:pt>
                <c:pt idx="190">
                  <c:v>4.5999999999999996</c:v>
                </c:pt>
                <c:pt idx="191">
                  <c:v>0</c:v>
                </c:pt>
                <c:pt idx="192">
                  <c:v>0</c:v>
                </c:pt>
                <c:pt idx="193">
                  <c:v>0.5</c:v>
                </c:pt>
                <c:pt idx="194">
                  <c:v>0</c:v>
                </c:pt>
                <c:pt idx="195">
                  <c:v>0.5</c:v>
                </c:pt>
                <c:pt idx="196">
                  <c:v>0</c:v>
                </c:pt>
                <c:pt idx="197">
                  <c:v>0.3</c:v>
                </c:pt>
                <c:pt idx="198">
                  <c:v>0</c:v>
                </c:pt>
                <c:pt idx="199">
                  <c:v>1</c:v>
                </c:pt>
                <c:pt idx="200">
                  <c:v>2</c:v>
                </c:pt>
                <c:pt idx="201">
                  <c:v>4.3</c:v>
                </c:pt>
                <c:pt idx="202">
                  <c:v>0</c:v>
                </c:pt>
                <c:pt idx="203">
                  <c:v>4.5999999999999996</c:v>
                </c:pt>
                <c:pt idx="204">
                  <c:v>1.8</c:v>
                </c:pt>
                <c:pt idx="205">
                  <c:v>0</c:v>
                </c:pt>
                <c:pt idx="206">
                  <c:v>1.5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0.3</c:v>
                </c:pt>
                <c:pt idx="211">
                  <c:v>0</c:v>
                </c:pt>
                <c:pt idx="212">
                  <c:v>2</c:v>
                </c:pt>
                <c:pt idx="213">
                  <c:v>0.8</c:v>
                </c:pt>
                <c:pt idx="214">
                  <c:v>0</c:v>
                </c:pt>
                <c:pt idx="215">
                  <c:v>0.3</c:v>
                </c:pt>
                <c:pt idx="216">
                  <c:v>0.5</c:v>
                </c:pt>
                <c:pt idx="217">
                  <c:v>4.8</c:v>
                </c:pt>
                <c:pt idx="218">
                  <c:v>5.3</c:v>
                </c:pt>
                <c:pt idx="219">
                  <c:v>0</c:v>
                </c:pt>
                <c:pt idx="220">
                  <c:v>2.5</c:v>
                </c:pt>
                <c:pt idx="221">
                  <c:v>0</c:v>
                </c:pt>
                <c:pt idx="222">
                  <c:v>0.5</c:v>
                </c:pt>
                <c:pt idx="223">
                  <c:v>3.6</c:v>
                </c:pt>
                <c:pt idx="224">
                  <c:v>8.9</c:v>
                </c:pt>
                <c:pt idx="225">
                  <c:v>0</c:v>
                </c:pt>
                <c:pt idx="226">
                  <c:v>1.8</c:v>
                </c:pt>
                <c:pt idx="227">
                  <c:v>2.2999999999999998</c:v>
                </c:pt>
                <c:pt idx="228">
                  <c:v>3.3</c:v>
                </c:pt>
                <c:pt idx="229">
                  <c:v>1</c:v>
                </c:pt>
                <c:pt idx="230">
                  <c:v>6.4</c:v>
                </c:pt>
                <c:pt idx="231">
                  <c:v>0.5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3.3</c:v>
                </c:pt>
                <c:pt idx="239">
                  <c:v>0</c:v>
                </c:pt>
                <c:pt idx="240">
                  <c:v>8.4</c:v>
                </c:pt>
                <c:pt idx="241">
                  <c:v>0.5</c:v>
                </c:pt>
                <c:pt idx="242">
                  <c:v>8.4</c:v>
                </c:pt>
                <c:pt idx="243">
                  <c:v>3</c:v>
                </c:pt>
                <c:pt idx="244">
                  <c:v>0</c:v>
                </c:pt>
                <c:pt idx="245">
                  <c:v>0.3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2</c:v>
                </c:pt>
                <c:pt idx="253">
                  <c:v>9.9</c:v>
                </c:pt>
                <c:pt idx="254">
                  <c:v>6.4</c:v>
                </c:pt>
                <c:pt idx="255">
                  <c:v>7.6</c:v>
                </c:pt>
                <c:pt idx="256">
                  <c:v>0</c:v>
                </c:pt>
                <c:pt idx="257">
                  <c:v>0.3</c:v>
                </c:pt>
                <c:pt idx="258">
                  <c:v>1.3</c:v>
                </c:pt>
                <c:pt idx="259">
                  <c:v>4.3</c:v>
                </c:pt>
                <c:pt idx="260">
                  <c:v>0</c:v>
                </c:pt>
                <c:pt idx="261">
                  <c:v>0.3</c:v>
                </c:pt>
                <c:pt idx="262">
                  <c:v>0</c:v>
                </c:pt>
                <c:pt idx="263">
                  <c:v>0.3</c:v>
                </c:pt>
                <c:pt idx="264">
                  <c:v>10.199999999999999</c:v>
                </c:pt>
                <c:pt idx="265">
                  <c:v>2.5</c:v>
                </c:pt>
                <c:pt idx="266">
                  <c:v>7.9</c:v>
                </c:pt>
                <c:pt idx="267">
                  <c:v>0</c:v>
                </c:pt>
                <c:pt idx="268">
                  <c:v>4.3</c:v>
                </c:pt>
                <c:pt idx="269">
                  <c:v>0</c:v>
                </c:pt>
                <c:pt idx="270">
                  <c:v>3.8</c:v>
                </c:pt>
                <c:pt idx="271">
                  <c:v>5.0999999999999996</c:v>
                </c:pt>
                <c:pt idx="272">
                  <c:v>0</c:v>
                </c:pt>
                <c:pt idx="273">
                  <c:v>1</c:v>
                </c:pt>
                <c:pt idx="274">
                  <c:v>0</c:v>
                </c:pt>
                <c:pt idx="275">
                  <c:v>0.5</c:v>
                </c:pt>
                <c:pt idx="276">
                  <c:v>4.5999999999999996</c:v>
                </c:pt>
                <c:pt idx="277">
                  <c:v>0</c:v>
                </c:pt>
                <c:pt idx="278">
                  <c:v>0</c:v>
                </c:pt>
                <c:pt idx="279">
                  <c:v>0.3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0.5</c:v>
                </c:pt>
                <c:pt idx="284">
                  <c:v>0</c:v>
                </c:pt>
                <c:pt idx="285">
                  <c:v>4.8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0.8</c:v>
                </c:pt>
                <c:pt idx="290">
                  <c:v>0</c:v>
                </c:pt>
                <c:pt idx="291">
                  <c:v>0</c:v>
                </c:pt>
                <c:pt idx="292">
                  <c:v>7.6</c:v>
                </c:pt>
                <c:pt idx="293">
                  <c:v>0.3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9.9</c:v>
                </c:pt>
                <c:pt idx="303">
                  <c:v>3.8</c:v>
                </c:pt>
                <c:pt idx="304">
                  <c:v>0</c:v>
                </c:pt>
                <c:pt idx="305">
                  <c:v>0.3</c:v>
                </c:pt>
                <c:pt idx="306">
                  <c:v>0</c:v>
                </c:pt>
                <c:pt idx="307">
                  <c:v>1.5</c:v>
                </c:pt>
                <c:pt idx="308">
                  <c:v>0</c:v>
                </c:pt>
                <c:pt idx="309">
                  <c:v>8.4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1.3</c:v>
                </c:pt>
                <c:pt idx="315">
                  <c:v>0</c:v>
                </c:pt>
                <c:pt idx="316">
                  <c:v>0</c:v>
                </c:pt>
                <c:pt idx="317">
                  <c:v>3</c:v>
                </c:pt>
                <c:pt idx="318">
                  <c:v>0</c:v>
                </c:pt>
                <c:pt idx="319">
                  <c:v>0</c:v>
                </c:pt>
                <c:pt idx="320">
                  <c:v>2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7.1</c:v>
                </c:pt>
                <c:pt idx="331">
                  <c:v>2.5</c:v>
                </c:pt>
                <c:pt idx="332">
                  <c:v>1</c:v>
                </c:pt>
                <c:pt idx="333">
                  <c:v>0.3</c:v>
                </c:pt>
                <c:pt idx="334">
                  <c:v>3</c:v>
                </c:pt>
                <c:pt idx="335">
                  <c:v>3</c:v>
                </c:pt>
                <c:pt idx="336">
                  <c:v>1</c:v>
                </c:pt>
                <c:pt idx="337">
                  <c:v>1.3</c:v>
                </c:pt>
                <c:pt idx="338">
                  <c:v>0</c:v>
                </c:pt>
                <c:pt idx="339">
                  <c:v>3.3</c:v>
                </c:pt>
                <c:pt idx="340">
                  <c:v>0.3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2</c:v>
                </c:pt>
                <c:pt idx="347">
                  <c:v>2.8</c:v>
                </c:pt>
                <c:pt idx="348">
                  <c:v>2</c:v>
                </c:pt>
                <c:pt idx="349">
                  <c:v>3</c:v>
                </c:pt>
                <c:pt idx="350">
                  <c:v>0.8</c:v>
                </c:pt>
                <c:pt idx="351">
                  <c:v>0</c:v>
                </c:pt>
                <c:pt idx="352">
                  <c:v>6.1</c:v>
                </c:pt>
                <c:pt idx="353">
                  <c:v>0.3</c:v>
                </c:pt>
                <c:pt idx="354">
                  <c:v>9.1</c:v>
                </c:pt>
                <c:pt idx="355">
                  <c:v>0</c:v>
                </c:pt>
                <c:pt idx="356">
                  <c:v>3</c:v>
                </c:pt>
                <c:pt idx="357">
                  <c:v>0</c:v>
                </c:pt>
                <c:pt idx="358">
                  <c:v>5.3</c:v>
                </c:pt>
                <c:pt idx="359">
                  <c:v>1.5</c:v>
                </c:pt>
                <c:pt idx="360">
                  <c:v>0</c:v>
                </c:pt>
                <c:pt idx="361">
                  <c:v>0</c:v>
                </c:pt>
                <c:pt idx="362">
                  <c:v>0.3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0.5</c:v>
                </c:pt>
                <c:pt idx="369">
                  <c:v>4.5999999999999996</c:v>
                </c:pt>
                <c:pt idx="370">
                  <c:v>0</c:v>
                </c:pt>
                <c:pt idx="371">
                  <c:v>0.5</c:v>
                </c:pt>
                <c:pt idx="372">
                  <c:v>2.2999999999999998</c:v>
                </c:pt>
                <c:pt idx="373">
                  <c:v>0.3</c:v>
                </c:pt>
                <c:pt idx="374">
                  <c:v>0.3</c:v>
                </c:pt>
                <c:pt idx="375">
                  <c:v>0</c:v>
                </c:pt>
                <c:pt idx="376">
                  <c:v>0</c:v>
                </c:pt>
                <c:pt idx="377">
                  <c:v>0.5</c:v>
                </c:pt>
                <c:pt idx="378">
                  <c:v>0</c:v>
                </c:pt>
                <c:pt idx="379">
                  <c:v>0</c:v>
                </c:pt>
                <c:pt idx="380">
                  <c:v>0.3</c:v>
                </c:pt>
                <c:pt idx="381">
                  <c:v>0.5</c:v>
                </c:pt>
                <c:pt idx="382">
                  <c:v>0.3</c:v>
                </c:pt>
                <c:pt idx="383">
                  <c:v>1.8</c:v>
                </c:pt>
                <c:pt idx="384">
                  <c:v>0</c:v>
                </c:pt>
                <c:pt idx="385">
                  <c:v>7.9</c:v>
                </c:pt>
                <c:pt idx="386">
                  <c:v>1.8</c:v>
                </c:pt>
                <c:pt idx="387">
                  <c:v>0</c:v>
                </c:pt>
                <c:pt idx="388">
                  <c:v>6.1</c:v>
                </c:pt>
                <c:pt idx="389">
                  <c:v>0</c:v>
                </c:pt>
                <c:pt idx="390">
                  <c:v>7.9</c:v>
                </c:pt>
                <c:pt idx="391">
                  <c:v>2.2999999999999998</c:v>
                </c:pt>
                <c:pt idx="392">
                  <c:v>8.6</c:v>
                </c:pt>
                <c:pt idx="393">
                  <c:v>0.5</c:v>
                </c:pt>
                <c:pt idx="394">
                  <c:v>0</c:v>
                </c:pt>
                <c:pt idx="395">
                  <c:v>0</c:v>
                </c:pt>
                <c:pt idx="396">
                  <c:v>5.6</c:v>
                </c:pt>
                <c:pt idx="397">
                  <c:v>0</c:v>
                </c:pt>
                <c:pt idx="398">
                  <c:v>0</c:v>
                </c:pt>
                <c:pt idx="399">
                  <c:v>0.5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3.8</c:v>
                </c:pt>
                <c:pt idx="406">
                  <c:v>8.9</c:v>
                </c:pt>
                <c:pt idx="407">
                  <c:v>0</c:v>
                </c:pt>
                <c:pt idx="408">
                  <c:v>7.9</c:v>
                </c:pt>
                <c:pt idx="409">
                  <c:v>0</c:v>
                </c:pt>
                <c:pt idx="410">
                  <c:v>0</c:v>
                </c:pt>
                <c:pt idx="411">
                  <c:v>6.1</c:v>
                </c:pt>
                <c:pt idx="412">
                  <c:v>3</c:v>
                </c:pt>
                <c:pt idx="413">
                  <c:v>0</c:v>
                </c:pt>
                <c:pt idx="414">
                  <c:v>4.5999999999999996</c:v>
                </c:pt>
                <c:pt idx="415">
                  <c:v>6.9</c:v>
                </c:pt>
                <c:pt idx="416">
                  <c:v>0.3</c:v>
                </c:pt>
                <c:pt idx="417">
                  <c:v>0</c:v>
                </c:pt>
                <c:pt idx="418">
                  <c:v>3</c:v>
                </c:pt>
                <c:pt idx="419">
                  <c:v>0</c:v>
                </c:pt>
                <c:pt idx="420">
                  <c:v>0</c:v>
                </c:pt>
                <c:pt idx="421">
                  <c:v>2.8</c:v>
                </c:pt>
                <c:pt idx="422">
                  <c:v>0.5</c:v>
                </c:pt>
                <c:pt idx="423">
                  <c:v>0</c:v>
                </c:pt>
                <c:pt idx="424">
                  <c:v>0</c:v>
                </c:pt>
                <c:pt idx="425">
                  <c:v>2.5</c:v>
                </c:pt>
                <c:pt idx="426">
                  <c:v>0</c:v>
                </c:pt>
                <c:pt idx="427">
                  <c:v>0</c:v>
                </c:pt>
                <c:pt idx="428">
                  <c:v>0.3</c:v>
                </c:pt>
                <c:pt idx="429">
                  <c:v>0</c:v>
                </c:pt>
                <c:pt idx="430">
                  <c:v>0</c:v>
                </c:pt>
                <c:pt idx="431">
                  <c:v>1.5</c:v>
                </c:pt>
                <c:pt idx="432">
                  <c:v>1.8</c:v>
                </c:pt>
                <c:pt idx="433">
                  <c:v>6.9</c:v>
                </c:pt>
                <c:pt idx="434">
                  <c:v>0.5</c:v>
                </c:pt>
                <c:pt idx="435">
                  <c:v>0</c:v>
                </c:pt>
                <c:pt idx="436">
                  <c:v>0</c:v>
                </c:pt>
                <c:pt idx="437">
                  <c:v>0.5</c:v>
                </c:pt>
                <c:pt idx="438">
                  <c:v>0</c:v>
                </c:pt>
                <c:pt idx="439">
                  <c:v>0</c:v>
                </c:pt>
                <c:pt idx="440">
                  <c:v>2.8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0.3</c:v>
                </c:pt>
                <c:pt idx="446">
                  <c:v>0</c:v>
                </c:pt>
                <c:pt idx="447">
                  <c:v>0</c:v>
                </c:pt>
                <c:pt idx="448">
                  <c:v>1</c:v>
                </c:pt>
                <c:pt idx="449">
                  <c:v>0</c:v>
                </c:pt>
                <c:pt idx="450">
                  <c:v>1</c:v>
                </c:pt>
                <c:pt idx="451">
                  <c:v>0</c:v>
                </c:pt>
                <c:pt idx="452">
                  <c:v>1</c:v>
                </c:pt>
                <c:pt idx="453">
                  <c:v>0</c:v>
                </c:pt>
                <c:pt idx="454">
                  <c:v>0</c:v>
                </c:pt>
                <c:pt idx="455">
                  <c:v>5.0999999999999996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3</c:v>
                </c:pt>
                <c:pt idx="464">
                  <c:v>1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4.3</c:v>
                </c:pt>
                <c:pt idx="470">
                  <c:v>0.3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0</c:v>
                </c:pt>
                <c:pt idx="481">
                  <c:v>1.8</c:v>
                </c:pt>
                <c:pt idx="482">
                  <c:v>0</c:v>
                </c:pt>
                <c:pt idx="483">
                  <c:v>2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0.3</c:v>
                </c:pt>
                <c:pt idx="490">
                  <c:v>2.2999999999999998</c:v>
                </c:pt>
                <c:pt idx="491">
                  <c:v>4.5999999999999996</c:v>
                </c:pt>
                <c:pt idx="492">
                  <c:v>0</c:v>
                </c:pt>
                <c:pt idx="493">
                  <c:v>2.2999999999999998</c:v>
                </c:pt>
                <c:pt idx="494">
                  <c:v>0</c:v>
                </c:pt>
                <c:pt idx="495">
                  <c:v>1.3</c:v>
                </c:pt>
                <c:pt idx="496">
                  <c:v>0</c:v>
                </c:pt>
                <c:pt idx="497">
                  <c:v>7.1</c:v>
                </c:pt>
                <c:pt idx="498">
                  <c:v>7.1</c:v>
                </c:pt>
                <c:pt idx="499">
                  <c:v>0</c:v>
                </c:pt>
                <c:pt idx="500">
                  <c:v>0.5</c:v>
                </c:pt>
                <c:pt idx="501">
                  <c:v>0</c:v>
                </c:pt>
                <c:pt idx="502">
                  <c:v>7.4</c:v>
                </c:pt>
                <c:pt idx="503">
                  <c:v>0.5</c:v>
                </c:pt>
                <c:pt idx="504">
                  <c:v>0.3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6.6</c:v>
                </c:pt>
                <c:pt idx="509">
                  <c:v>0</c:v>
                </c:pt>
                <c:pt idx="510">
                  <c:v>0.8</c:v>
                </c:pt>
                <c:pt idx="511">
                  <c:v>0</c:v>
                </c:pt>
                <c:pt idx="512">
                  <c:v>4.3</c:v>
                </c:pt>
                <c:pt idx="513">
                  <c:v>0</c:v>
                </c:pt>
                <c:pt idx="514">
                  <c:v>4.0999999999999996</c:v>
                </c:pt>
                <c:pt idx="515">
                  <c:v>0</c:v>
                </c:pt>
                <c:pt idx="516">
                  <c:v>2.2999999999999998</c:v>
                </c:pt>
                <c:pt idx="517">
                  <c:v>7.9</c:v>
                </c:pt>
                <c:pt idx="518">
                  <c:v>1.3</c:v>
                </c:pt>
                <c:pt idx="519">
                  <c:v>4.0999999999999996</c:v>
                </c:pt>
                <c:pt idx="520">
                  <c:v>2</c:v>
                </c:pt>
                <c:pt idx="521">
                  <c:v>3.3</c:v>
                </c:pt>
                <c:pt idx="522">
                  <c:v>2.5</c:v>
                </c:pt>
                <c:pt idx="523">
                  <c:v>1.5</c:v>
                </c:pt>
                <c:pt idx="524">
                  <c:v>1.8</c:v>
                </c:pt>
                <c:pt idx="525">
                  <c:v>2.8</c:v>
                </c:pt>
                <c:pt idx="526">
                  <c:v>1.3</c:v>
                </c:pt>
                <c:pt idx="527">
                  <c:v>0</c:v>
                </c:pt>
                <c:pt idx="528">
                  <c:v>2.2999999999999998</c:v>
                </c:pt>
                <c:pt idx="529">
                  <c:v>0</c:v>
                </c:pt>
                <c:pt idx="530">
                  <c:v>5.0999999999999996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0.3</c:v>
                </c:pt>
                <c:pt idx="535">
                  <c:v>1</c:v>
                </c:pt>
                <c:pt idx="536">
                  <c:v>0</c:v>
                </c:pt>
                <c:pt idx="537">
                  <c:v>2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2</c:v>
                </c:pt>
                <c:pt idx="542">
                  <c:v>9.6999999999999993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2</c:v>
                </c:pt>
                <c:pt idx="547">
                  <c:v>0</c:v>
                </c:pt>
                <c:pt idx="548">
                  <c:v>1.3</c:v>
                </c:pt>
                <c:pt idx="549">
                  <c:v>1</c:v>
                </c:pt>
                <c:pt idx="550">
                  <c:v>0</c:v>
                </c:pt>
                <c:pt idx="551">
                  <c:v>0.3</c:v>
                </c:pt>
                <c:pt idx="552">
                  <c:v>0</c:v>
                </c:pt>
                <c:pt idx="553">
                  <c:v>0.3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0.3</c:v>
                </c:pt>
                <c:pt idx="558">
                  <c:v>3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0.5</c:v>
                </c:pt>
                <c:pt idx="565">
                  <c:v>0</c:v>
                </c:pt>
                <c:pt idx="566">
                  <c:v>0.3</c:v>
                </c:pt>
                <c:pt idx="567">
                  <c:v>0</c:v>
                </c:pt>
                <c:pt idx="568">
                  <c:v>0</c:v>
                </c:pt>
                <c:pt idx="569">
                  <c:v>3</c:v>
                </c:pt>
                <c:pt idx="570">
                  <c:v>5.0999999999999996</c:v>
                </c:pt>
                <c:pt idx="571">
                  <c:v>0.5</c:v>
                </c:pt>
                <c:pt idx="572">
                  <c:v>0</c:v>
                </c:pt>
                <c:pt idx="573">
                  <c:v>0</c:v>
                </c:pt>
                <c:pt idx="574">
                  <c:v>0.3</c:v>
                </c:pt>
                <c:pt idx="575">
                  <c:v>1.8</c:v>
                </c:pt>
                <c:pt idx="576">
                  <c:v>3.8</c:v>
                </c:pt>
                <c:pt idx="577">
                  <c:v>5.3</c:v>
                </c:pt>
                <c:pt idx="578">
                  <c:v>0</c:v>
                </c:pt>
                <c:pt idx="579">
                  <c:v>7.9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0.3</c:v>
                </c:pt>
                <c:pt idx="584">
                  <c:v>0</c:v>
                </c:pt>
                <c:pt idx="585">
                  <c:v>0</c:v>
                </c:pt>
                <c:pt idx="586">
                  <c:v>3.3</c:v>
                </c:pt>
                <c:pt idx="587">
                  <c:v>0</c:v>
                </c:pt>
                <c:pt idx="588">
                  <c:v>0</c:v>
                </c:pt>
                <c:pt idx="589">
                  <c:v>8.9</c:v>
                </c:pt>
                <c:pt idx="590">
                  <c:v>0</c:v>
                </c:pt>
                <c:pt idx="591">
                  <c:v>9.9</c:v>
                </c:pt>
                <c:pt idx="592">
                  <c:v>0</c:v>
                </c:pt>
                <c:pt idx="593">
                  <c:v>0</c:v>
                </c:pt>
                <c:pt idx="594">
                  <c:v>2</c:v>
                </c:pt>
                <c:pt idx="595">
                  <c:v>0.3</c:v>
                </c:pt>
                <c:pt idx="596">
                  <c:v>0</c:v>
                </c:pt>
                <c:pt idx="597">
                  <c:v>0</c:v>
                </c:pt>
                <c:pt idx="598">
                  <c:v>2.2999999999999998</c:v>
                </c:pt>
                <c:pt idx="599">
                  <c:v>1.8</c:v>
                </c:pt>
                <c:pt idx="600">
                  <c:v>0.8</c:v>
                </c:pt>
                <c:pt idx="601">
                  <c:v>1.3</c:v>
                </c:pt>
                <c:pt idx="602">
                  <c:v>7.6</c:v>
                </c:pt>
                <c:pt idx="603">
                  <c:v>5.6</c:v>
                </c:pt>
                <c:pt idx="604">
                  <c:v>0.8</c:v>
                </c:pt>
                <c:pt idx="605">
                  <c:v>0.3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7.5</c:v>
                </c:pt>
                <c:pt idx="612">
                  <c:v>0.8</c:v>
                </c:pt>
                <c:pt idx="613">
                  <c:v>9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0.1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0.1</c:v>
                </c:pt>
                <c:pt idx="633">
                  <c:v>1.7</c:v>
                </c:pt>
                <c:pt idx="634">
                  <c:v>4.7</c:v>
                </c:pt>
                <c:pt idx="635">
                  <c:v>0.4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8.1</c:v>
                </c:pt>
                <c:pt idx="679">
                  <c:v>1.8</c:v>
                </c:pt>
                <c:pt idx="680">
                  <c:v>0.3</c:v>
                </c:pt>
                <c:pt idx="681">
                  <c:v>0</c:v>
                </c:pt>
                <c:pt idx="682">
                  <c:v>0.1</c:v>
                </c:pt>
                <c:pt idx="683">
                  <c:v>0.1</c:v>
                </c:pt>
                <c:pt idx="684">
                  <c:v>2.1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0.1</c:v>
                </c:pt>
                <c:pt idx="690">
                  <c:v>0.7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0.3</c:v>
                </c:pt>
                <c:pt idx="695">
                  <c:v>8.9</c:v>
                </c:pt>
                <c:pt idx="696">
                  <c:v>0</c:v>
                </c:pt>
                <c:pt idx="697">
                  <c:v>0</c:v>
                </c:pt>
                <c:pt idx="698">
                  <c:v>0.7</c:v>
                </c:pt>
                <c:pt idx="699">
                  <c:v>0.2</c:v>
                </c:pt>
                <c:pt idx="700">
                  <c:v>0.3</c:v>
                </c:pt>
                <c:pt idx="701">
                  <c:v>1</c:v>
                </c:pt>
                <c:pt idx="702">
                  <c:v>5.6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4</c:v>
                </c:pt>
                <c:pt idx="709">
                  <c:v>2.7</c:v>
                </c:pt>
                <c:pt idx="710">
                  <c:v>2.8</c:v>
                </c:pt>
                <c:pt idx="711">
                  <c:v>7.4</c:v>
                </c:pt>
                <c:pt idx="712">
                  <c:v>0</c:v>
                </c:pt>
                <c:pt idx="713">
                  <c:v>0.3</c:v>
                </c:pt>
                <c:pt idx="714">
                  <c:v>0</c:v>
                </c:pt>
                <c:pt idx="715">
                  <c:v>0</c:v>
                </c:pt>
                <c:pt idx="716">
                  <c:v>0.5</c:v>
                </c:pt>
                <c:pt idx="717">
                  <c:v>0.1</c:v>
                </c:pt>
                <c:pt idx="718">
                  <c:v>2.2999999999999998</c:v>
                </c:pt>
                <c:pt idx="719">
                  <c:v>5.6</c:v>
                </c:pt>
                <c:pt idx="720">
                  <c:v>1</c:v>
                </c:pt>
                <c:pt idx="721">
                  <c:v>0.5</c:v>
                </c:pt>
                <c:pt idx="722">
                  <c:v>4.5999999999999996</c:v>
                </c:pt>
                <c:pt idx="723">
                  <c:v>0.5</c:v>
                </c:pt>
                <c:pt idx="724">
                  <c:v>0</c:v>
                </c:pt>
                <c:pt idx="725">
                  <c:v>4.5999999999999996</c:v>
                </c:pt>
                <c:pt idx="726">
                  <c:v>2.2999999999999998</c:v>
                </c:pt>
                <c:pt idx="727">
                  <c:v>0</c:v>
                </c:pt>
                <c:pt idx="728">
                  <c:v>2.8</c:v>
                </c:pt>
                <c:pt idx="729">
                  <c:v>3.6</c:v>
                </c:pt>
                <c:pt idx="730">
                  <c:v>0</c:v>
                </c:pt>
                <c:pt idx="731">
                  <c:v>4.3</c:v>
                </c:pt>
                <c:pt idx="732">
                  <c:v>0.5</c:v>
                </c:pt>
                <c:pt idx="733">
                  <c:v>5.0999999999999996</c:v>
                </c:pt>
                <c:pt idx="734">
                  <c:v>1.3</c:v>
                </c:pt>
                <c:pt idx="735">
                  <c:v>0</c:v>
                </c:pt>
                <c:pt idx="736">
                  <c:v>0</c:v>
                </c:pt>
                <c:pt idx="737">
                  <c:v>0.6</c:v>
                </c:pt>
                <c:pt idx="738">
                  <c:v>0.4</c:v>
                </c:pt>
                <c:pt idx="739">
                  <c:v>0</c:v>
                </c:pt>
                <c:pt idx="740">
                  <c:v>0.9</c:v>
                </c:pt>
                <c:pt idx="741">
                  <c:v>0.2</c:v>
                </c:pt>
                <c:pt idx="742">
                  <c:v>0</c:v>
                </c:pt>
                <c:pt idx="743">
                  <c:v>2.2999999999999998</c:v>
                </c:pt>
                <c:pt idx="744">
                  <c:v>0.5</c:v>
                </c:pt>
                <c:pt idx="745">
                  <c:v>0</c:v>
                </c:pt>
                <c:pt idx="746">
                  <c:v>1.5</c:v>
                </c:pt>
                <c:pt idx="747">
                  <c:v>2.5</c:v>
                </c:pt>
                <c:pt idx="748">
                  <c:v>0</c:v>
                </c:pt>
                <c:pt idx="749">
                  <c:v>7.5</c:v>
                </c:pt>
                <c:pt idx="750">
                  <c:v>2.7</c:v>
                </c:pt>
                <c:pt idx="751">
                  <c:v>1.3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0.3</c:v>
                </c:pt>
                <c:pt idx="756">
                  <c:v>0.5</c:v>
                </c:pt>
                <c:pt idx="757">
                  <c:v>0</c:v>
                </c:pt>
                <c:pt idx="758">
                  <c:v>4.5999999999999996</c:v>
                </c:pt>
                <c:pt idx="759">
                  <c:v>2.8</c:v>
                </c:pt>
                <c:pt idx="760">
                  <c:v>1.3</c:v>
                </c:pt>
                <c:pt idx="761">
                  <c:v>4.3</c:v>
                </c:pt>
                <c:pt idx="762">
                  <c:v>7.1</c:v>
                </c:pt>
                <c:pt idx="763">
                  <c:v>0</c:v>
                </c:pt>
                <c:pt idx="764">
                  <c:v>3.3</c:v>
                </c:pt>
                <c:pt idx="765">
                  <c:v>3</c:v>
                </c:pt>
                <c:pt idx="766">
                  <c:v>0.5</c:v>
                </c:pt>
                <c:pt idx="767">
                  <c:v>0</c:v>
                </c:pt>
                <c:pt idx="768">
                  <c:v>1</c:v>
                </c:pt>
                <c:pt idx="769">
                  <c:v>0.9</c:v>
                </c:pt>
                <c:pt idx="770">
                  <c:v>0</c:v>
                </c:pt>
                <c:pt idx="771">
                  <c:v>0.7</c:v>
                </c:pt>
                <c:pt idx="772">
                  <c:v>0</c:v>
                </c:pt>
                <c:pt idx="773">
                  <c:v>0</c:v>
                </c:pt>
                <c:pt idx="774">
                  <c:v>0.7</c:v>
                </c:pt>
                <c:pt idx="775">
                  <c:v>2.8</c:v>
                </c:pt>
                <c:pt idx="776">
                  <c:v>2.7</c:v>
                </c:pt>
                <c:pt idx="777">
                  <c:v>1.6</c:v>
                </c:pt>
                <c:pt idx="778">
                  <c:v>4.3</c:v>
                </c:pt>
                <c:pt idx="779">
                  <c:v>1.3</c:v>
                </c:pt>
                <c:pt idx="780">
                  <c:v>0.5</c:v>
                </c:pt>
                <c:pt idx="781">
                  <c:v>0</c:v>
                </c:pt>
                <c:pt idx="782">
                  <c:v>0</c:v>
                </c:pt>
                <c:pt idx="783">
                  <c:v>1.5</c:v>
                </c:pt>
                <c:pt idx="784">
                  <c:v>3.8</c:v>
                </c:pt>
                <c:pt idx="785">
                  <c:v>0</c:v>
                </c:pt>
                <c:pt idx="786">
                  <c:v>0.5</c:v>
                </c:pt>
                <c:pt idx="787">
                  <c:v>0</c:v>
                </c:pt>
                <c:pt idx="788">
                  <c:v>0</c:v>
                </c:pt>
                <c:pt idx="789">
                  <c:v>0.3</c:v>
                </c:pt>
                <c:pt idx="790">
                  <c:v>7.1</c:v>
                </c:pt>
                <c:pt idx="791">
                  <c:v>0.3</c:v>
                </c:pt>
                <c:pt idx="792">
                  <c:v>5.6</c:v>
                </c:pt>
                <c:pt idx="793">
                  <c:v>3</c:v>
                </c:pt>
                <c:pt idx="794">
                  <c:v>3.8</c:v>
                </c:pt>
                <c:pt idx="795">
                  <c:v>1</c:v>
                </c:pt>
                <c:pt idx="796">
                  <c:v>0</c:v>
                </c:pt>
                <c:pt idx="797">
                  <c:v>4.0999999999999996</c:v>
                </c:pt>
                <c:pt idx="798">
                  <c:v>3.8</c:v>
                </c:pt>
                <c:pt idx="799">
                  <c:v>0.5</c:v>
                </c:pt>
                <c:pt idx="800">
                  <c:v>0</c:v>
                </c:pt>
                <c:pt idx="801">
                  <c:v>2.8</c:v>
                </c:pt>
                <c:pt idx="802">
                  <c:v>0</c:v>
                </c:pt>
                <c:pt idx="803">
                  <c:v>1</c:v>
                </c:pt>
                <c:pt idx="804">
                  <c:v>7.9</c:v>
                </c:pt>
                <c:pt idx="805">
                  <c:v>2</c:v>
                </c:pt>
                <c:pt idx="806">
                  <c:v>0.5</c:v>
                </c:pt>
                <c:pt idx="807">
                  <c:v>0.5</c:v>
                </c:pt>
                <c:pt idx="808">
                  <c:v>0</c:v>
                </c:pt>
                <c:pt idx="809">
                  <c:v>1.3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1.4</c:v>
                </c:pt>
                <c:pt idx="814">
                  <c:v>0.3</c:v>
                </c:pt>
                <c:pt idx="815">
                  <c:v>0.4</c:v>
                </c:pt>
                <c:pt idx="816">
                  <c:v>0.1</c:v>
                </c:pt>
                <c:pt idx="817">
                  <c:v>3.8</c:v>
                </c:pt>
                <c:pt idx="818">
                  <c:v>0</c:v>
                </c:pt>
                <c:pt idx="819">
                  <c:v>0.3</c:v>
                </c:pt>
                <c:pt idx="820">
                  <c:v>0.5</c:v>
                </c:pt>
                <c:pt idx="821">
                  <c:v>0.5</c:v>
                </c:pt>
                <c:pt idx="822">
                  <c:v>10.199999999999999</c:v>
                </c:pt>
                <c:pt idx="823">
                  <c:v>9.1</c:v>
                </c:pt>
                <c:pt idx="824">
                  <c:v>0</c:v>
                </c:pt>
                <c:pt idx="825">
                  <c:v>8.5</c:v>
                </c:pt>
                <c:pt idx="826">
                  <c:v>5.8</c:v>
                </c:pt>
                <c:pt idx="827">
                  <c:v>0</c:v>
                </c:pt>
                <c:pt idx="828">
                  <c:v>0</c:v>
                </c:pt>
                <c:pt idx="829">
                  <c:v>0.5</c:v>
                </c:pt>
                <c:pt idx="830">
                  <c:v>6.1</c:v>
                </c:pt>
                <c:pt idx="831">
                  <c:v>7.9</c:v>
                </c:pt>
                <c:pt idx="832">
                  <c:v>7.1</c:v>
                </c:pt>
                <c:pt idx="833">
                  <c:v>0.8</c:v>
                </c:pt>
                <c:pt idx="834">
                  <c:v>0</c:v>
                </c:pt>
                <c:pt idx="835">
                  <c:v>0.5</c:v>
                </c:pt>
                <c:pt idx="836">
                  <c:v>0.3</c:v>
                </c:pt>
                <c:pt idx="837">
                  <c:v>0</c:v>
                </c:pt>
                <c:pt idx="838">
                  <c:v>0.8</c:v>
                </c:pt>
                <c:pt idx="839">
                  <c:v>0</c:v>
                </c:pt>
                <c:pt idx="840">
                  <c:v>0.1</c:v>
                </c:pt>
                <c:pt idx="841">
                  <c:v>5</c:v>
                </c:pt>
                <c:pt idx="842">
                  <c:v>8.6</c:v>
                </c:pt>
                <c:pt idx="843">
                  <c:v>8.6999999999999993</c:v>
                </c:pt>
                <c:pt idx="844">
                  <c:v>5.3</c:v>
                </c:pt>
                <c:pt idx="845">
                  <c:v>0</c:v>
                </c:pt>
                <c:pt idx="846">
                  <c:v>0</c:v>
                </c:pt>
                <c:pt idx="847">
                  <c:v>3.7</c:v>
                </c:pt>
                <c:pt idx="848">
                  <c:v>2</c:v>
                </c:pt>
                <c:pt idx="849">
                  <c:v>1</c:v>
                </c:pt>
                <c:pt idx="850">
                  <c:v>0</c:v>
                </c:pt>
                <c:pt idx="851">
                  <c:v>6.6</c:v>
                </c:pt>
                <c:pt idx="852">
                  <c:v>0</c:v>
                </c:pt>
                <c:pt idx="853">
                  <c:v>1</c:v>
                </c:pt>
                <c:pt idx="854">
                  <c:v>0.8</c:v>
                </c:pt>
                <c:pt idx="855">
                  <c:v>3.6</c:v>
                </c:pt>
                <c:pt idx="856">
                  <c:v>3.8</c:v>
                </c:pt>
                <c:pt idx="857">
                  <c:v>2.2999999999999998</c:v>
                </c:pt>
                <c:pt idx="858">
                  <c:v>5.0999999999999996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5</c:v>
                </c:pt>
                <c:pt idx="863">
                  <c:v>0</c:v>
                </c:pt>
                <c:pt idx="864">
                  <c:v>0</c:v>
                </c:pt>
                <c:pt idx="865">
                  <c:v>0.5</c:v>
                </c:pt>
                <c:pt idx="866">
                  <c:v>0</c:v>
                </c:pt>
                <c:pt idx="867">
                  <c:v>6.9</c:v>
                </c:pt>
                <c:pt idx="868">
                  <c:v>3</c:v>
                </c:pt>
                <c:pt idx="869">
                  <c:v>0</c:v>
                </c:pt>
                <c:pt idx="870">
                  <c:v>1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0.9</c:v>
                </c:pt>
                <c:pt idx="875">
                  <c:v>1</c:v>
                </c:pt>
                <c:pt idx="876">
                  <c:v>0</c:v>
                </c:pt>
                <c:pt idx="877">
                  <c:v>0.2</c:v>
                </c:pt>
                <c:pt idx="878">
                  <c:v>2.4</c:v>
                </c:pt>
                <c:pt idx="879">
                  <c:v>2.8</c:v>
                </c:pt>
                <c:pt idx="880">
                  <c:v>0.3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3.3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0.4</c:v>
                </c:pt>
                <c:pt idx="889">
                  <c:v>0.5</c:v>
                </c:pt>
                <c:pt idx="890">
                  <c:v>0.2</c:v>
                </c:pt>
                <c:pt idx="891">
                  <c:v>0.2</c:v>
                </c:pt>
                <c:pt idx="892">
                  <c:v>0.1</c:v>
                </c:pt>
                <c:pt idx="893">
                  <c:v>1.8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0.1</c:v>
                </c:pt>
                <c:pt idx="916">
                  <c:v>0</c:v>
                </c:pt>
                <c:pt idx="917">
                  <c:v>6.1</c:v>
                </c:pt>
                <c:pt idx="918">
                  <c:v>7.9</c:v>
                </c:pt>
                <c:pt idx="919">
                  <c:v>2</c:v>
                </c:pt>
                <c:pt idx="920">
                  <c:v>0.2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0.1</c:v>
                </c:pt>
                <c:pt idx="925">
                  <c:v>0.1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3.5</c:v>
                </c:pt>
                <c:pt idx="940">
                  <c:v>0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8.9</c:v>
                </c:pt>
                <c:pt idx="953">
                  <c:v>4.3</c:v>
                </c:pt>
                <c:pt idx="954">
                  <c:v>0.3</c:v>
                </c:pt>
                <c:pt idx="955">
                  <c:v>5.0999999999999996</c:v>
                </c:pt>
                <c:pt idx="956">
                  <c:v>0</c:v>
                </c:pt>
                <c:pt idx="957">
                  <c:v>2</c:v>
                </c:pt>
                <c:pt idx="958">
                  <c:v>5.0999999999999996</c:v>
                </c:pt>
                <c:pt idx="959">
                  <c:v>5.3</c:v>
                </c:pt>
                <c:pt idx="960">
                  <c:v>2</c:v>
                </c:pt>
                <c:pt idx="961">
                  <c:v>0</c:v>
                </c:pt>
                <c:pt idx="962">
                  <c:v>0.3</c:v>
                </c:pt>
                <c:pt idx="963">
                  <c:v>6.4</c:v>
                </c:pt>
                <c:pt idx="964">
                  <c:v>0.8</c:v>
                </c:pt>
                <c:pt idx="965">
                  <c:v>4.8</c:v>
                </c:pt>
                <c:pt idx="966">
                  <c:v>3.8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1.1000000000000001</c:v>
                </c:pt>
                <c:pt idx="972">
                  <c:v>0</c:v>
                </c:pt>
                <c:pt idx="973">
                  <c:v>0.3</c:v>
                </c:pt>
                <c:pt idx="974">
                  <c:v>0</c:v>
                </c:pt>
                <c:pt idx="975">
                  <c:v>6.9</c:v>
                </c:pt>
                <c:pt idx="976">
                  <c:v>3.3</c:v>
                </c:pt>
                <c:pt idx="977">
                  <c:v>0</c:v>
                </c:pt>
                <c:pt idx="978">
                  <c:v>7.2</c:v>
                </c:pt>
                <c:pt idx="979">
                  <c:v>0.8</c:v>
                </c:pt>
                <c:pt idx="980">
                  <c:v>0</c:v>
                </c:pt>
                <c:pt idx="981">
                  <c:v>1</c:v>
                </c:pt>
                <c:pt idx="982">
                  <c:v>1.6</c:v>
                </c:pt>
                <c:pt idx="983">
                  <c:v>2</c:v>
                </c:pt>
                <c:pt idx="984">
                  <c:v>10</c:v>
                </c:pt>
                <c:pt idx="985">
                  <c:v>0.1</c:v>
                </c:pt>
                <c:pt idx="986">
                  <c:v>0.6</c:v>
                </c:pt>
                <c:pt idx="987">
                  <c:v>0</c:v>
                </c:pt>
                <c:pt idx="988">
                  <c:v>1</c:v>
                </c:pt>
                <c:pt idx="989">
                  <c:v>2</c:v>
                </c:pt>
                <c:pt idx="990">
                  <c:v>0.3</c:v>
                </c:pt>
                <c:pt idx="991">
                  <c:v>0</c:v>
                </c:pt>
                <c:pt idx="992">
                  <c:v>0.3</c:v>
                </c:pt>
                <c:pt idx="993">
                  <c:v>4.2</c:v>
                </c:pt>
                <c:pt idx="994">
                  <c:v>0.2</c:v>
                </c:pt>
                <c:pt idx="995">
                  <c:v>0</c:v>
                </c:pt>
                <c:pt idx="996">
                  <c:v>2.2000000000000002</c:v>
                </c:pt>
                <c:pt idx="997">
                  <c:v>0</c:v>
                </c:pt>
                <c:pt idx="998">
                  <c:v>5.8</c:v>
                </c:pt>
                <c:pt idx="999">
                  <c:v>3.6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2</c:v>
                </c:pt>
                <c:pt idx="1004">
                  <c:v>0.3</c:v>
                </c:pt>
                <c:pt idx="1005">
                  <c:v>1</c:v>
                </c:pt>
                <c:pt idx="1006">
                  <c:v>6.1</c:v>
                </c:pt>
                <c:pt idx="1007">
                  <c:v>7.1</c:v>
                </c:pt>
                <c:pt idx="1008">
                  <c:v>0.8</c:v>
                </c:pt>
                <c:pt idx="1009">
                  <c:v>4.5999999999999996</c:v>
                </c:pt>
                <c:pt idx="1010">
                  <c:v>1</c:v>
                </c:pt>
                <c:pt idx="1011">
                  <c:v>2</c:v>
                </c:pt>
                <c:pt idx="1012">
                  <c:v>2.2999999999999998</c:v>
                </c:pt>
                <c:pt idx="1013">
                  <c:v>0.5</c:v>
                </c:pt>
                <c:pt idx="1014">
                  <c:v>0</c:v>
                </c:pt>
                <c:pt idx="1015">
                  <c:v>0.3</c:v>
                </c:pt>
                <c:pt idx="1016">
                  <c:v>0.3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0.3</c:v>
                </c:pt>
                <c:pt idx="102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6A-4F2B-BB77-FC28D2A61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2707904"/>
        <c:axId val="1362716544"/>
      </c:barChart>
      <c:dateAx>
        <c:axId val="13627079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716544"/>
        <c:crosses val="autoZero"/>
        <c:auto val="1"/>
        <c:lblOffset val="100"/>
        <c:baseTimeUnit val="days"/>
      </c:dateAx>
      <c:valAx>
        <c:axId val="136271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707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[ClimateWarriors_Bangalore_Round3.xlsx]DATA!PivotTable9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DATA!$R$60</c:f>
              <c:strCache>
                <c:ptCount val="1"/>
                <c:pt idx="0">
                  <c:v>Sum of tavg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DATA!$Q$61:$Q$73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DATA!$R$61:$R$73</c:f>
              <c:numCache>
                <c:formatCode>General</c:formatCode>
                <c:ptCount val="12"/>
                <c:pt idx="0">
                  <c:v>1587.8999999999999</c:v>
                </c:pt>
                <c:pt idx="1">
                  <c:v>1378.5</c:v>
                </c:pt>
                <c:pt idx="2">
                  <c:v>2207.5000000000005</c:v>
                </c:pt>
                <c:pt idx="3">
                  <c:v>2746.7999999999993</c:v>
                </c:pt>
                <c:pt idx="4">
                  <c:v>3533.3000000000006</c:v>
                </c:pt>
                <c:pt idx="5">
                  <c:v>3742.7999999999979</c:v>
                </c:pt>
                <c:pt idx="6">
                  <c:v>3833.5999999999985</c:v>
                </c:pt>
                <c:pt idx="7">
                  <c:v>3294.8</c:v>
                </c:pt>
                <c:pt idx="8">
                  <c:v>3132.0000000000014</c:v>
                </c:pt>
                <c:pt idx="9">
                  <c:v>2863.6000000000008</c:v>
                </c:pt>
                <c:pt idx="10">
                  <c:v>1944.7999999999997</c:v>
                </c:pt>
                <c:pt idx="11">
                  <c:v>1321.8000000000009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F9-45D4-AF8D-B21667AE5B97}"/>
            </c:ext>
          </c:extLst>
        </c:ser>
        <c:ser>
          <c:idx val="1"/>
          <c:order val="1"/>
          <c:tx>
            <c:strRef>
              <c:f>DATA!$S$60</c:f>
              <c:strCache>
                <c:ptCount val="1"/>
                <c:pt idx="0">
                  <c:v>Sum of prcp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DATA!$Q$61:$Q$73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DATA!$S$61:$S$73</c:f>
              <c:numCache>
                <c:formatCode>General</c:formatCode>
                <c:ptCount val="12"/>
                <c:pt idx="0">
                  <c:v>30.400000000000006</c:v>
                </c:pt>
                <c:pt idx="1">
                  <c:v>12.6</c:v>
                </c:pt>
                <c:pt idx="2">
                  <c:v>105.69999999999997</c:v>
                </c:pt>
                <c:pt idx="3">
                  <c:v>564.00000000000011</c:v>
                </c:pt>
                <c:pt idx="4">
                  <c:v>1124.799999999999</c:v>
                </c:pt>
                <c:pt idx="5">
                  <c:v>626.9000000000002</c:v>
                </c:pt>
                <c:pt idx="6">
                  <c:v>717.80000000000007</c:v>
                </c:pt>
                <c:pt idx="7">
                  <c:v>890.19999999999959</c:v>
                </c:pt>
                <c:pt idx="8">
                  <c:v>1210.7999999999995</c:v>
                </c:pt>
                <c:pt idx="9">
                  <c:v>1257.5999999999995</c:v>
                </c:pt>
                <c:pt idx="10">
                  <c:v>463.90000000000009</c:v>
                </c:pt>
                <c:pt idx="11">
                  <c:v>73.999999999999986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F9-45D4-AF8D-B21667AE5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2706944"/>
        <c:axId val="1362724704"/>
      </c:lineChart>
      <c:catAx>
        <c:axId val="136270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724704"/>
        <c:crosses val="autoZero"/>
        <c:auto val="1"/>
        <c:lblAlgn val="ctr"/>
        <c:lblOffset val="100"/>
        <c:noMultiLvlLbl val="0"/>
      </c:catAx>
      <c:valAx>
        <c:axId val="136272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70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[ClimateWarriors_Bangalore_Round3.xlsx]DATA!PivotTable10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DATA!$R$79</c:f>
              <c:strCache>
                <c:ptCount val="1"/>
                <c:pt idx="0">
                  <c:v>Average of tavg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DATA!$Q$80:$Q$86</c:f>
              <c:strCach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strCache>
            </c:strRef>
          </c:cat>
          <c:val>
            <c:numRef>
              <c:f>DATA!$R$80:$R$86</c:f>
              <c:numCache>
                <c:formatCode>General</c:formatCode>
                <c:ptCount val="6"/>
                <c:pt idx="0">
                  <c:v>24.202162162162157</c:v>
                </c:pt>
                <c:pt idx="1">
                  <c:v>23.969565217391313</c:v>
                </c:pt>
                <c:pt idx="2">
                  <c:v>23.965240641711219</c:v>
                </c:pt>
                <c:pt idx="3">
                  <c:v>23.687192118226605</c:v>
                </c:pt>
                <c:pt idx="4">
                  <c:v>23.58194444444446</c:v>
                </c:pt>
                <c:pt idx="5">
                  <c:v>23.997087378640774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4-4EE9-BD69-8BCABC68B1E1}"/>
            </c:ext>
          </c:extLst>
        </c:ser>
        <c:ser>
          <c:idx val="1"/>
          <c:order val="1"/>
          <c:tx>
            <c:strRef>
              <c:f>DATA!$S$79</c:f>
              <c:strCache>
                <c:ptCount val="1"/>
                <c:pt idx="0">
                  <c:v>Sum of prcp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DATA!$Q$80:$Q$86</c:f>
              <c:strCach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strCache>
            </c:strRef>
          </c:cat>
          <c:val>
            <c:numRef>
              <c:f>DATA!$S$80:$S$86</c:f>
              <c:numCache>
                <c:formatCode>General</c:formatCode>
                <c:ptCount val="6"/>
                <c:pt idx="0">
                  <c:v>1693.3999999999999</c:v>
                </c:pt>
                <c:pt idx="1">
                  <c:v>911.09999999999957</c:v>
                </c:pt>
                <c:pt idx="2">
                  <c:v>897.49999999999977</c:v>
                </c:pt>
                <c:pt idx="3">
                  <c:v>1175.1999999999994</c:v>
                </c:pt>
                <c:pt idx="4">
                  <c:v>1592.9999999999995</c:v>
                </c:pt>
                <c:pt idx="5">
                  <c:v>808.49999999999989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84-4EE9-BD69-8BCABC68B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2685824"/>
        <c:axId val="1362691104"/>
      </c:barChart>
      <c:catAx>
        <c:axId val="136268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691104"/>
        <c:crosses val="autoZero"/>
        <c:auto val="1"/>
        <c:lblAlgn val="ctr"/>
        <c:lblOffset val="100"/>
        <c:noMultiLvlLbl val="0"/>
      </c:catAx>
      <c:valAx>
        <c:axId val="13626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68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[ClimateWarriors_Bangalore_Round3.xlsx]building!PivotTable4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building!$C$3</c:f>
              <c:strCache>
                <c:ptCount val="1"/>
                <c:pt idx="0">
                  <c:v>Sum of tavg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building!$B$4:$B$9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building!$C$4:$C$9</c:f>
              <c:numCache>
                <c:formatCode>General</c:formatCode>
                <c:ptCount val="5"/>
                <c:pt idx="0">
                  <c:v>4477.3999999999987</c:v>
                </c:pt>
                <c:pt idx="1">
                  <c:v>4410.4000000000015</c:v>
                </c:pt>
                <c:pt idx="2">
                  <c:v>4481.4999999999982</c:v>
                </c:pt>
                <c:pt idx="3">
                  <c:v>4808.5000000000009</c:v>
                </c:pt>
                <c:pt idx="4">
                  <c:v>8489.5000000000055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56-448B-A5C3-D773F0F9CFBF}"/>
            </c:ext>
          </c:extLst>
        </c:ser>
        <c:ser>
          <c:idx val="1"/>
          <c:order val="1"/>
          <c:tx>
            <c:strRef>
              <c:f>building!$D$3</c:f>
              <c:strCache>
                <c:ptCount val="1"/>
                <c:pt idx="0">
                  <c:v>Sum of prcp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building!$B$4:$B$9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building!$D$4:$D$9</c:f>
              <c:numCache>
                <c:formatCode>General</c:formatCode>
                <c:ptCount val="5"/>
                <c:pt idx="0">
                  <c:v>1693.3999999999999</c:v>
                </c:pt>
                <c:pt idx="1">
                  <c:v>911.09999999999957</c:v>
                </c:pt>
                <c:pt idx="2">
                  <c:v>897.49999999999977</c:v>
                </c:pt>
                <c:pt idx="3">
                  <c:v>1175.1999999999994</c:v>
                </c:pt>
                <c:pt idx="4">
                  <c:v>1592.9999999999995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56-448B-A5C3-D773F0F9C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719680"/>
        <c:axId val="1688719200"/>
      </c:lineChart>
      <c:catAx>
        <c:axId val="168871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719200"/>
        <c:crosses val="autoZero"/>
        <c:auto val="1"/>
        <c:lblAlgn val="ctr"/>
        <c:lblOffset val="100"/>
        <c:noMultiLvlLbl val="0"/>
      </c:catAx>
      <c:valAx>
        <c:axId val="168871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71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[ClimateWarriors_Bangalore_Round3.xlsx]building!PivotTable4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building!$C$3</c:f>
              <c:strCache>
                <c:ptCount val="1"/>
                <c:pt idx="0">
                  <c:v>Sum of tavg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870111457674439E-2"/>
                  <c:y val="1.141672734602718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building!$B$4:$B$9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building!$C$4:$C$9</c:f>
              <c:numCache>
                <c:formatCode>General</c:formatCode>
                <c:ptCount val="5"/>
                <c:pt idx="0">
                  <c:v>4477.3999999999987</c:v>
                </c:pt>
                <c:pt idx="1">
                  <c:v>4410.4000000000015</c:v>
                </c:pt>
                <c:pt idx="2">
                  <c:v>4481.4999999999982</c:v>
                </c:pt>
                <c:pt idx="3">
                  <c:v>4808.5000000000009</c:v>
                </c:pt>
                <c:pt idx="4">
                  <c:v>8489.5000000000055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BE-4336-BC06-8E82CA11E01F}"/>
            </c:ext>
          </c:extLst>
        </c:ser>
        <c:ser>
          <c:idx val="1"/>
          <c:order val="1"/>
          <c:tx>
            <c:strRef>
              <c:f>building!$D$3</c:f>
              <c:strCache>
                <c:ptCount val="1"/>
                <c:pt idx="0">
                  <c:v>Sum of prcp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9419728783902014E-2"/>
                  <c:y val="-7.868677462171105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building!$B$4:$B$9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building!$D$4:$D$9</c:f>
              <c:numCache>
                <c:formatCode>General</c:formatCode>
                <c:ptCount val="5"/>
                <c:pt idx="0">
                  <c:v>1693.3999999999999</c:v>
                </c:pt>
                <c:pt idx="1">
                  <c:v>911.09999999999957</c:v>
                </c:pt>
                <c:pt idx="2">
                  <c:v>897.49999999999977</c:v>
                </c:pt>
                <c:pt idx="3">
                  <c:v>1175.1999999999994</c:v>
                </c:pt>
                <c:pt idx="4">
                  <c:v>1592.9999999999995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BE-4336-BC06-8E82CA11E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726400"/>
        <c:axId val="1688731200"/>
      </c:lineChart>
      <c:catAx>
        <c:axId val="168872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731200"/>
        <c:crosses val="autoZero"/>
        <c:auto val="1"/>
        <c:lblAlgn val="ctr"/>
        <c:lblOffset val="100"/>
        <c:noMultiLvlLbl val="0"/>
      </c:catAx>
      <c:valAx>
        <c:axId val="168873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72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[ClimateWarriors_Bangalore_Round3.xlsx]monthly_testing!PivotTable23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monthly_testing!$B$3</c:f>
              <c:strCache>
                <c:ptCount val="1"/>
                <c:pt idx="0">
                  <c:v>Sum of tavg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426793525809274"/>
                  <c:y val="-0.129465952172645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monthly_testing!$A$4:$A$16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monthly_testing!$B$4:$B$16</c:f>
              <c:numCache>
                <c:formatCode>General</c:formatCode>
                <c:ptCount val="12"/>
                <c:pt idx="0">
                  <c:v>643.69999999999993</c:v>
                </c:pt>
                <c:pt idx="1">
                  <c:v>430.6</c:v>
                </c:pt>
                <c:pt idx="2">
                  <c:v>1205.9000000000001</c:v>
                </c:pt>
                <c:pt idx="3">
                  <c:v>1450.4999999999998</c:v>
                </c:pt>
                <c:pt idx="4">
                  <c:v>1925.6999999999996</c:v>
                </c:pt>
                <c:pt idx="5">
                  <c:v>2767.7999999999997</c:v>
                </c:pt>
                <c:pt idx="6">
                  <c:v>2856.3999999999996</c:v>
                </c:pt>
                <c:pt idx="7">
                  <c:v>2718.7999999999997</c:v>
                </c:pt>
                <c:pt idx="8">
                  <c:v>2395.7999999999993</c:v>
                </c:pt>
                <c:pt idx="9">
                  <c:v>2111.1000000000004</c:v>
                </c:pt>
                <c:pt idx="10">
                  <c:v>1664.2</c:v>
                </c:pt>
                <c:pt idx="11">
                  <c:v>992.10000000000048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2D-47A0-B4F0-293625D6A0FE}"/>
            </c:ext>
          </c:extLst>
        </c:ser>
        <c:ser>
          <c:idx val="1"/>
          <c:order val="1"/>
          <c:tx>
            <c:strRef>
              <c:f>monthly_testing!$C$3</c:f>
              <c:strCache>
                <c:ptCount val="1"/>
                <c:pt idx="0">
                  <c:v>Sum of prcp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6544838145231845E-2"/>
                  <c:y val="-9.283428113152522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monthly_testing!$A$4:$A$16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monthly_testing!$C$4:$C$16</c:f>
              <c:numCache>
                <c:formatCode>General</c:formatCode>
                <c:ptCount val="12"/>
                <c:pt idx="0">
                  <c:v>18.800000000000004</c:v>
                </c:pt>
                <c:pt idx="1">
                  <c:v>9.9</c:v>
                </c:pt>
                <c:pt idx="2">
                  <c:v>19.799999999999997</c:v>
                </c:pt>
                <c:pt idx="3">
                  <c:v>47.9</c:v>
                </c:pt>
                <c:pt idx="4">
                  <c:v>99.59999999999998</c:v>
                </c:pt>
                <c:pt idx="5">
                  <c:v>130.59999999999997</c:v>
                </c:pt>
                <c:pt idx="6">
                  <c:v>182.99999999999997</c:v>
                </c:pt>
                <c:pt idx="7">
                  <c:v>209.50000000000011</c:v>
                </c:pt>
                <c:pt idx="8">
                  <c:v>146.89999999999995</c:v>
                </c:pt>
                <c:pt idx="9">
                  <c:v>199.40000000000006</c:v>
                </c:pt>
                <c:pt idx="10">
                  <c:v>97.999999999999972</c:v>
                </c:pt>
                <c:pt idx="11">
                  <c:v>56.29999999999999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2D-47A0-B4F0-293625D6A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751840"/>
        <c:axId val="1688739840"/>
      </c:lineChart>
      <c:catAx>
        <c:axId val="168875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739840"/>
        <c:crosses val="autoZero"/>
        <c:auto val="1"/>
        <c:lblAlgn val="ctr"/>
        <c:lblOffset val="100"/>
        <c:noMultiLvlLbl val="0"/>
      </c:catAx>
      <c:valAx>
        <c:axId val="168873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75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[ClimateWarriors_Bangalore_Round3.xlsx]monthly_testing!PivotTable24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monthly_testing!$B$21</c:f>
              <c:strCache>
                <c:ptCount val="1"/>
                <c:pt idx="0">
                  <c:v>Sum of tavg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8069553805774332E-2"/>
                  <c:y val="-9.157188684747739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monthly_testing!$A$22:$A$29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monthly_testing!$B$22:$B$29</c:f>
              <c:numCache>
                <c:formatCode>General</c:formatCode>
                <c:ptCount val="7"/>
                <c:pt idx="0">
                  <c:v>286.09999999999997</c:v>
                </c:pt>
                <c:pt idx="1">
                  <c:v>115.9</c:v>
                </c:pt>
                <c:pt idx="2">
                  <c:v>647.19999999999993</c:v>
                </c:pt>
                <c:pt idx="3">
                  <c:v>616.1</c:v>
                </c:pt>
                <c:pt idx="4">
                  <c:v>631.1</c:v>
                </c:pt>
                <c:pt idx="5">
                  <c:v>547.5</c:v>
                </c:pt>
                <c:pt idx="6">
                  <c:v>523.79999999999995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23-4C83-AD11-7E215F10EE13}"/>
            </c:ext>
          </c:extLst>
        </c:ser>
        <c:ser>
          <c:idx val="1"/>
          <c:order val="1"/>
          <c:tx>
            <c:strRef>
              <c:f>monthly_testing!$C$21</c:f>
              <c:strCache>
                <c:ptCount val="1"/>
                <c:pt idx="0">
                  <c:v>Sum of prcp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0435258092738407E-3"/>
                  <c:y val="-0.111352799650043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monthly_testing!$A$22:$A$29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monthly_testing!$C$22:$C$29</c:f>
              <c:numCache>
                <c:formatCode>General</c:formatCode>
                <c:ptCount val="7"/>
                <c:pt idx="0">
                  <c:v>6.4999999999999991</c:v>
                </c:pt>
                <c:pt idx="1">
                  <c:v>0</c:v>
                </c:pt>
                <c:pt idx="2">
                  <c:v>16.500000000000004</c:v>
                </c:pt>
                <c:pt idx="3">
                  <c:v>4.5</c:v>
                </c:pt>
                <c:pt idx="4">
                  <c:v>57.399999999999984</c:v>
                </c:pt>
                <c:pt idx="5">
                  <c:v>42.600000000000009</c:v>
                </c:pt>
                <c:pt idx="6">
                  <c:v>32.700000000000003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23-4C83-AD11-7E215F10E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8745120"/>
        <c:axId val="1688745600"/>
      </c:lineChart>
      <c:catAx>
        <c:axId val="168874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745600"/>
        <c:crosses val="autoZero"/>
        <c:auto val="1"/>
        <c:lblAlgn val="ctr"/>
        <c:lblOffset val="100"/>
        <c:noMultiLvlLbl val="0"/>
      </c:catAx>
      <c:valAx>
        <c:axId val="168874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74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435970</xdr:colOff>
      <xdr:row>2</xdr:row>
      <xdr:rowOff>104253</xdr:rowOff>
    </xdr:from>
    <xdr:to>
      <xdr:col>26</xdr:col>
      <xdr:colOff>131170</xdr:colOff>
      <xdr:row>22</xdr:row>
      <xdr:rowOff>85203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1850B5-F10F-4DC1-A25D-B8671E32E0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182918</xdr:colOff>
      <xdr:row>24</xdr:row>
      <xdr:rowOff>130602</xdr:rowOff>
    </xdr:from>
    <xdr:to>
      <xdr:col>25</xdr:col>
      <xdr:colOff>508948</xdr:colOff>
      <xdr:row>47</xdr:row>
      <xdr:rowOff>172682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FE296D-4EAA-F1FA-68B9-F03C0F47AD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78665</xdr:colOff>
      <xdr:row>58</xdr:row>
      <xdr:rowOff>140079</xdr:rowOff>
    </xdr:from>
    <xdr:to>
      <xdr:col>27</xdr:col>
      <xdr:colOff>404695</xdr:colOff>
      <xdr:row>74</xdr:row>
      <xdr:rowOff>2085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1AA1E6-FA9F-A2F9-F726-FBBAA24E58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191462</xdr:colOff>
      <xdr:row>76</xdr:row>
      <xdr:rowOff>57150</xdr:rowOff>
    </xdr:from>
    <xdr:to>
      <xdr:col>28</xdr:col>
      <xdr:colOff>520507</xdr:colOff>
      <xdr:row>93</xdr:row>
      <xdr:rowOff>58305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401F15A-4A6C-0F5D-A525-042F8C616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0</xdr:row>
      <xdr:rowOff>102870</xdr:rowOff>
    </xdr:from>
    <xdr:to>
      <xdr:col>13</xdr:col>
      <xdr:colOff>152400</xdr:colOff>
      <xdr:row>15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4A274E-6638-7003-3E0D-BA897D68B6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434340</xdr:colOff>
      <xdr:row>17</xdr:row>
      <xdr:rowOff>72390</xdr:rowOff>
    </xdr:from>
    <xdr:to>
      <xdr:col>13</xdr:col>
      <xdr:colOff>129540</xdr:colOff>
      <xdr:row>32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E27C2B-D564-7707-F9F2-6C6855FB85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0</xdr:row>
      <xdr:rowOff>72390</xdr:rowOff>
    </xdr:from>
    <xdr:to>
      <xdr:col>10</xdr:col>
      <xdr:colOff>480060</xdr:colOff>
      <xdr:row>15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21E915-EBEF-8501-DF3E-969A038705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160020</xdr:colOff>
      <xdr:row>17</xdr:row>
      <xdr:rowOff>118110</xdr:rowOff>
    </xdr:from>
    <xdr:to>
      <xdr:col>10</xdr:col>
      <xdr:colOff>464820</xdr:colOff>
      <xdr:row>32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9FBA6C-D65F-79F8-E021-27056D9207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EEN SINGH" refreshedDate="46067.32460763889" createdVersion="8" refreshedVersion="8" minRefreshableVersion="3" recordCount="1119" xr:uid="{A26DF82D-0C2E-464A-8A04-0978A1ED0E73}">
  <cacheSource type="worksheet">
    <worksheetSource name="Table2"/>
  </cacheSource>
  <cacheFields count="10">
    <cacheField name="time" numFmtId="14">
      <sharedItems containsSemiMixedTypes="0" containsNonDate="0" containsDate="1" containsString="0" minDate="2017-01-22T00:00:00" maxDate="2022-01-01T00:00:00"/>
    </cacheField>
    <cacheField name="tavg" numFmtId="0">
      <sharedItems containsSemiMixedTypes="0" containsString="0" containsNumber="1" minValue="19" maxValue="28.7"/>
    </cacheField>
    <cacheField name="tmin" numFmtId="0">
      <sharedItems containsSemiMixedTypes="0" containsString="0" containsNumber="1" minValue="12.2" maxValue="24.7"/>
    </cacheField>
    <cacheField name="tmax" numFmtId="0">
      <sharedItems containsSemiMixedTypes="0" containsString="0" containsNumber="1" minValue="21.8" maxValue="37"/>
    </cacheField>
    <cacheField name="prcp" numFmtId="0">
      <sharedItems containsSemiMixedTypes="0" containsString="0" containsNumber="1" minValue="0" maxValue="128.80000000000001"/>
    </cacheField>
    <cacheField name="is outlier B" numFmtId="0">
      <sharedItems/>
    </cacheField>
    <cacheField name="is outlier C" numFmtId="0">
      <sharedItems/>
    </cacheField>
    <cacheField name="is outlier D" numFmtId="0">
      <sharedItems/>
    </cacheField>
    <cacheField name="is outlier E" numFmtId="0">
      <sharedItems/>
    </cacheField>
    <cacheField name="Year" numFmtId="0">
      <sharedItems containsSemiMixedTypes="0" containsString="0" containsNumber="1" containsInteger="1" minValue="2017" maxValue="2021" count="5">
        <n v="2017"/>
        <n v="2018"/>
        <n v="2019"/>
        <n v="2020"/>
        <n v="20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EEN SINGH" refreshedDate="46067.340588425926" createdVersion="8" refreshedVersion="8" minRefreshableVersion="3" recordCount="138" xr:uid="{24DD6F31-BD12-431D-80D9-F24B9B0969CD}">
  <cacheSource type="worksheet">
    <worksheetSource ref="A2:J140" sheet="testing"/>
  </cacheSource>
  <cacheFields count="10">
    <cacheField name="time" numFmtId="14">
      <sharedItems containsSemiMixedTypes="0" containsNonDate="0" containsDate="1" containsString="0" minDate="2022-01-01T00:00:00" maxDate="2022-07-26T00:00:00"/>
    </cacheField>
    <cacheField name="tavg" numFmtId="0">
      <sharedItems containsSemiMixedTypes="0" containsString="0" containsNumber="1" minValue="20.6" maxValue="28.2"/>
    </cacheField>
    <cacheField name="tmin" numFmtId="0">
      <sharedItems containsSemiMixedTypes="0" containsString="0" containsNumber="1" minValue="16.899999999999999" maxValue="22.1"/>
    </cacheField>
    <cacheField name="tmax" numFmtId="0">
      <sharedItems containsSemiMixedTypes="0" containsString="0" containsNumber="1" minValue="24.3" maxValue="35"/>
    </cacheField>
    <cacheField name="prcp" numFmtId="0">
      <sharedItems containsSemiMixedTypes="0" containsString="0" containsNumber="1" minValue="0" maxValue="10"/>
    </cacheField>
    <cacheField name="is outlier B" numFmtId="0">
      <sharedItems/>
    </cacheField>
    <cacheField name="is outlier C" numFmtId="0">
      <sharedItems/>
    </cacheField>
    <cacheField name="is outlier D" numFmtId="0">
      <sharedItems/>
    </cacheField>
    <cacheField name="is outlier E" numFmtId="0">
      <sharedItems/>
    </cacheField>
    <cacheField name="Year" numFmtId="0">
      <sharedItems containsSemiMixedTypes="0" containsString="0" containsNumber="1" containsInteger="1" minValue="2022" maxValue="2022" count="1">
        <n v="202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EEN SINGH" refreshedDate="46067.368402199078" createdVersion="8" refreshedVersion="8" minRefreshableVersion="3" recordCount="884" xr:uid="{83A7CAA3-0FFB-48D5-8EF1-BCCE6A281973}">
  <cacheSource type="worksheet">
    <worksheetSource name="Table3"/>
  </cacheSource>
  <cacheFields count="11">
    <cacheField name="time" numFmtId="14">
      <sharedItems containsSemiMixedTypes="0" containsNonDate="0" containsDate="1" containsString="0" minDate="2017-01-26T00:00:00" maxDate="2022-01-01T00:00:00"/>
    </cacheField>
    <cacheField name="tavg" numFmtId="0">
      <sharedItems containsSemiMixedTypes="0" containsString="0" containsNumber="1" minValue="19.399999999999999" maxValue="28.3"/>
    </cacheField>
    <cacheField name="tmin" numFmtId="0">
      <sharedItems containsSemiMixedTypes="0" containsString="0" containsNumber="1" minValue="16.899999999999999" maxValue="23.3"/>
    </cacheField>
    <cacheField name="tmax" numFmtId="0">
      <sharedItems containsSemiMixedTypes="0" containsString="0" containsNumber="1" minValue="22.6" maxValue="36.200000000000003"/>
    </cacheField>
    <cacheField name="prcp" numFmtId="0">
      <sharedItems containsSemiMixedTypes="0" containsString="0" containsNumber="1" minValue="0" maxValue="10.199999999999999"/>
    </cacheField>
    <cacheField name="is outlier B" numFmtId="0">
      <sharedItems/>
    </cacheField>
    <cacheField name="is outlier C" numFmtId="0">
      <sharedItems/>
    </cacheField>
    <cacheField name="is outlier D" numFmtId="0">
      <sharedItems/>
    </cacheField>
    <cacheField name="is outlier E" numFmtId="0">
      <sharedItems/>
    </cacheField>
    <cacheField name="year" numFmtId="0">
      <sharedItems containsSemiMixedTypes="0" containsString="0" containsNumber="1" containsInteger="1" minValue="2017" maxValue="2021"/>
    </cacheField>
    <cacheField name="month" numFmtId="0">
      <sharedItems containsSemiMixedTypes="0" containsString="0" containsNumber="1" containsInteger="1" minValue="1" maxValue="12" count="12">
        <n v="1"/>
        <n v="3"/>
        <n v="4"/>
        <n v="5"/>
        <n v="6"/>
        <n v="7"/>
        <n v="8"/>
        <n v="9"/>
        <n v="10"/>
        <n v="11"/>
        <n v="12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EEN SINGH" refreshedDate="46067.371498263892" createdVersion="8" refreshedVersion="8" minRefreshableVersion="3" recordCount="138" xr:uid="{C99CE25E-61C3-4408-BDCC-80147B37D857}">
  <cacheSource type="worksheet">
    <worksheetSource name="Table4"/>
  </cacheSource>
  <cacheFields count="11">
    <cacheField name="time" numFmtId="14">
      <sharedItems containsSemiMixedTypes="0" containsNonDate="0" containsDate="1" containsString="0" minDate="2022-01-01T00:00:00" maxDate="2022-07-26T00:00:00"/>
    </cacheField>
    <cacheField name="tavg" numFmtId="0">
      <sharedItems containsSemiMixedTypes="0" containsString="0" containsNumber="1" minValue="20.6" maxValue="28.2"/>
    </cacheField>
    <cacheField name="tmin" numFmtId="0">
      <sharedItems containsSemiMixedTypes="0" containsString="0" containsNumber="1" minValue="16.899999999999999" maxValue="22.1"/>
    </cacheField>
    <cacheField name="tmax" numFmtId="0">
      <sharedItems containsSemiMixedTypes="0" containsString="0" containsNumber="1" minValue="24.3" maxValue="35"/>
    </cacheField>
    <cacheField name="prcp" numFmtId="0">
      <sharedItems containsSemiMixedTypes="0" containsString="0" containsNumber="1" minValue="0" maxValue="10"/>
    </cacheField>
    <cacheField name="is outlier B" numFmtId="0">
      <sharedItems/>
    </cacheField>
    <cacheField name="is outlier C" numFmtId="0">
      <sharedItems/>
    </cacheField>
    <cacheField name="is outlier D" numFmtId="0">
      <sharedItems/>
    </cacheField>
    <cacheField name="is outlier E" numFmtId="0">
      <sharedItems/>
    </cacheField>
    <cacheField name="Year" numFmtId="0">
      <sharedItems containsSemiMixedTypes="0" containsString="0" containsNumber="1" containsInteger="1" minValue="2022" maxValue="2022"/>
    </cacheField>
    <cacheField name="MONTH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nsh Bali" refreshedDate="46067.450408912038" createdVersion="8" refreshedVersion="8" minRefreshableVersion="3" recordCount="1326" xr:uid="{C41F8833-7BBB-47B8-AACB-109946794E26}">
  <cacheSource type="worksheet">
    <worksheetSource ref="A1:K1048576" sheet="DATA"/>
  </cacheSource>
  <cacheFields count="11">
    <cacheField name="time" numFmtId="0">
      <sharedItems containsNonDate="0" containsDate="1" containsString="0" containsBlank="1" minDate="2017-01-22T00:00:00" maxDate="2022-07-26T00:00:00"/>
    </cacheField>
    <cacheField name="tavg" numFmtId="0">
      <sharedItems containsString="0" containsBlank="1" containsNumber="1" minValue="19" maxValue="29.1" count="92">
        <n v="23.3"/>
        <n v="21.9"/>
        <n v="22.1"/>
        <n v="22.7"/>
        <n v="23.7"/>
        <n v="26.2"/>
        <n v="25.6"/>
        <n v="26.7"/>
        <n v="27.2"/>
        <n v="25.1"/>
        <n v="25.3"/>
        <n v="27.3"/>
        <n v="27.8"/>
        <n v="28.5"/>
        <n v="25.7"/>
        <n v="26.6"/>
        <n v="26.8"/>
        <n v="28.6"/>
        <n v="28.7"/>
        <n v="28.3"/>
        <n v="27.6"/>
        <n v="28.1"/>
        <n v="26.9"/>
        <n v="26"/>
        <n v="27"/>
        <n v="27.1"/>
        <n v="26.1"/>
        <n v="26.4"/>
        <n v="23.1"/>
        <n v="24.8"/>
        <n v="25.5"/>
        <n v="24.9"/>
        <n v="25.8"/>
        <n v="23.9"/>
        <n v="25"/>
        <n v="23.4"/>
        <n v="22.3"/>
        <n v="24.2"/>
        <n v="23.8"/>
        <n v="24.1"/>
        <n v="24.6"/>
        <n v="24.4"/>
        <n v="24"/>
        <n v="23.6"/>
        <n v="24.3"/>
        <n v="25.2"/>
        <n v="23.2"/>
        <n v="24.5"/>
        <n v="22.8"/>
        <n v="22.9"/>
        <n v="22.2"/>
        <n v="25.4"/>
        <n v="24.7"/>
        <n v="23.5"/>
        <n v="22.6"/>
        <n v="23"/>
        <n v="22.4"/>
        <n v="22.5"/>
        <n v="21.3"/>
        <n v="22"/>
        <n v="21.7"/>
        <n v="21.5"/>
        <n v="19.8"/>
        <n v="20.8"/>
        <n v="26.5"/>
        <n v="25.9"/>
        <n v="28.2"/>
        <n v="27.7"/>
        <n v="26.3"/>
        <n v="21.8"/>
        <n v="21.6"/>
        <n v="20.9"/>
        <n v="20.6"/>
        <n v="27.4"/>
        <n v="27.9"/>
        <n v="27.5"/>
        <n v="21.4"/>
        <n v="21.2"/>
        <n v="21.1"/>
        <n v="20.2"/>
        <n v="20.399999999999999"/>
        <n v="21"/>
        <n v="19.399999999999999"/>
        <n v="19.7"/>
        <n v="19.899999999999999"/>
        <n v="20.3"/>
        <n v="20.7"/>
        <n v="20.5"/>
        <n v="19"/>
        <n v="20"/>
        <n v="29.1"/>
        <m/>
      </sharedItems>
    </cacheField>
    <cacheField name="tmin" numFmtId="0">
      <sharedItems containsString="0" containsBlank="1" containsNumber="1" minValue="12.2" maxValue="24.7"/>
    </cacheField>
    <cacheField name="tmax" numFmtId="0">
      <sharedItems containsString="0" containsBlank="1" containsNumber="1" minValue="21.8" maxValue="37"/>
    </cacheField>
    <cacheField name="prcp" numFmtId="0">
      <sharedItems containsString="0" containsBlank="1" containsNumber="1" minValue="0" maxValue="128.80000000000001" count="183">
        <n v="0"/>
        <n v="0.3"/>
        <n v="8.4"/>
        <n v="36.799999999999997"/>
        <n v="3.6"/>
        <n v="0.5"/>
        <n v="15"/>
        <n v="1"/>
        <n v="1.3"/>
        <n v="6.1"/>
        <n v="1.8"/>
        <n v="2.5"/>
        <n v="9.9"/>
        <n v="20.100000000000001"/>
        <n v="40.9"/>
        <n v="28.7"/>
        <n v="13"/>
        <n v="83.3"/>
        <n v="39.9"/>
        <n v="0.8"/>
        <n v="8.6"/>
        <n v="23.1"/>
        <n v="3.8"/>
        <n v="2.2999999999999998"/>
        <n v="10.199999999999999"/>
        <n v="5.0999999999999996"/>
        <n v="1.5"/>
        <n v="9.4"/>
        <n v="11.9"/>
        <n v="10.7"/>
        <n v="4.0999999999999996"/>
        <n v="16.5"/>
        <n v="128.80000000000001"/>
        <n v="30.5"/>
        <n v="26.4"/>
        <n v="7.9"/>
        <n v="5.3"/>
        <n v="13.2"/>
        <n v="3.3"/>
        <n v="10.9"/>
        <n v="42.4"/>
        <n v="31.8"/>
        <n v="71.900000000000006"/>
        <n v="33"/>
        <n v="21.8"/>
        <n v="56.9"/>
        <n v="15.5"/>
        <n v="6.6"/>
        <n v="68.3"/>
        <n v="66"/>
        <n v="17.3"/>
        <n v="54.4"/>
        <n v="9.1"/>
        <n v="55.9"/>
        <n v="15.2"/>
        <n v="46"/>
        <n v="18.5"/>
        <n v="76.7"/>
        <n v="14.5"/>
        <n v="48"/>
        <n v="2"/>
        <n v="22.4"/>
        <n v="68.099999999999994"/>
        <n v="34"/>
        <n v="40.4"/>
        <n v="13.5"/>
        <n v="8.9"/>
        <n v="31"/>
        <n v="13.7"/>
        <n v="11.7"/>
        <n v="19.100000000000001"/>
        <n v="4.8"/>
        <n v="5.6"/>
        <n v="39.4"/>
        <n v="34.299999999999997"/>
        <n v="17.8"/>
        <n v="4.3"/>
        <n v="24.9"/>
        <n v="14"/>
        <n v="10.4"/>
        <n v="3"/>
        <n v="7.1"/>
        <n v="12.2"/>
        <n v="4.5999999999999996"/>
        <n v="32.299999999999997"/>
        <n v="14.2"/>
        <n v="11.4"/>
        <n v="6.4"/>
        <n v="41.7"/>
        <n v="19.8"/>
        <n v="7.6"/>
        <n v="53.1"/>
        <n v="25.4"/>
        <n v="27.7"/>
        <n v="48.8"/>
        <n v="16.8"/>
        <n v="20.8"/>
        <n v="35.1"/>
        <n v="18.8"/>
        <n v="37.299999999999997"/>
        <n v="20.3"/>
        <n v="11.2"/>
        <n v="2.8"/>
        <n v="21.1"/>
        <n v="24.1"/>
        <n v="17.5"/>
        <n v="30.7"/>
        <n v="29.7"/>
        <n v="23.6"/>
        <n v="22.1"/>
        <n v="38.9"/>
        <n v="37.1"/>
        <n v="6.9"/>
        <n v="49.5"/>
        <n v="30"/>
        <n v="33.299999999999997"/>
        <n v="35.299999999999997"/>
        <n v="24.4"/>
        <n v="20.6"/>
        <n v="39.6"/>
        <n v="7.4"/>
        <n v="29.2"/>
        <n v="9.6999999999999993"/>
        <n v="61"/>
        <n v="65"/>
        <n v="51.1"/>
        <n v="67.099999999999994"/>
        <n v="22.9"/>
        <n v="0.4"/>
        <n v="7.5"/>
        <n v="9"/>
        <n v="0.2"/>
        <n v="0.1"/>
        <n v="1.7"/>
        <n v="4.2"/>
        <n v="4.7"/>
        <n v="8.1"/>
        <n v="2.1"/>
        <n v="21.3"/>
        <n v="65.8"/>
        <n v="0.7"/>
        <n v="26.2"/>
        <n v="4"/>
        <n v="2.7"/>
        <n v="52.3"/>
        <n v="12.7"/>
        <n v="0.6"/>
        <n v="0.9"/>
        <n v="59.7"/>
        <n v="1.6"/>
        <n v="44.7"/>
        <n v="1.4"/>
        <n v="53.3"/>
        <n v="8.5"/>
        <n v="5.8"/>
        <n v="64"/>
        <n v="38.6"/>
        <n v="32.5"/>
        <n v="18.3"/>
        <n v="26.9"/>
        <n v="41.9"/>
        <n v="10.3"/>
        <n v="5"/>
        <n v="8.6999999999999993"/>
        <n v="3.7"/>
        <n v="52.1"/>
        <n v="73.400000000000006"/>
        <n v="2.4"/>
        <n v="3.5"/>
        <n v="13.6"/>
        <n v="37.6"/>
        <n v="32.799999999999997"/>
        <n v="54.1"/>
        <n v="114.6"/>
        <n v="1.1000000000000001"/>
        <n v="12.6"/>
        <n v="7.2"/>
        <n v="32"/>
        <n v="10"/>
        <n v="42.9"/>
        <n v="2.2000000000000002"/>
        <n v="82.5"/>
        <m/>
      </sharedItems>
    </cacheField>
    <cacheField name="is outlier B" numFmtId="0">
      <sharedItems containsBlank="1"/>
    </cacheField>
    <cacheField name="is outlier C" numFmtId="0">
      <sharedItems containsBlank="1"/>
    </cacheField>
    <cacheField name="is outlier D" numFmtId="0">
      <sharedItems containsBlank="1"/>
    </cacheField>
    <cacheField name="is outlier E" numFmtId="0">
      <sharedItems containsBlank="1"/>
    </cacheField>
    <cacheField name="Year" numFmtId="0">
      <sharedItems containsString="0" containsBlank="1" containsNumber="1" containsInteger="1" minValue="2017" maxValue="2022"/>
    </cacheField>
    <cacheField name="Month" numFmtId="0">
      <sharedItems containsBlank="1" count="14">
        <s v="time"/>
        <s v="January"/>
        <s v="March"/>
        <s v="April"/>
        <s v="May"/>
        <s v="June"/>
        <s v="July"/>
        <s v="August"/>
        <s v="September"/>
        <s v="October"/>
        <s v="November"/>
        <s v="December"/>
        <s v="February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nsh Bali" refreshedDate="46067.489498495372" createdVersion="8" refreshedVersion="8" minRefreshableVersion="3" recordCount="1325" xr:uid="{AA6251E1-2642-4F61-A35A-72EE80318340}">
  <cacheSource type="worksheet">
    <worksheetSource name="Table1"/>
  </cacheSource>
  <cacheFields count="11">
    <cacheField name="time" numFmtId="14">
      <sharedItems containsSemiMixedTypes="0" containsNonDate="0" containsDate="1" containsString="0" minDate="2017-01-22T00:00:00" maxDate="2022-07-26T00:00:00"/>
    </cacheField>
    <cacheField name="tavg" numFmtId="0">
      <sharedItems containsSemiMixedTypes="0" containsString="0" containsNumber="1" minValue="19" maxValue="29.1"/>
    </cacheField>
    <cacheField name="tmin" numFmtId="0">
      <sharedItems containsSemiMixedTypes="0" containsString="0" containsNumber="1" minValue="12.2" maxValue="24.7"/>
    </cacheField>
    <cacheField name="tmax" numFmtId="0">
      <sharedItems containsSemiMixedTypes="0" containsString="0" containsNumber="1" minValue="21.8" maxValue="37"/>
    </cacheField>
    <cacheField name="prcp" numFmtId="0">
      <sharedItems containsSemiMixedTypes="0" containsString="0" containsNumber="1" minValue="0" maxValue="128.80000000000001"/>
    </cacheField>
    <cacheField name="is outlier B" numFmtId="0">
      <sharedItems/>
    </cacheField>
    <cacheField name="is outlier C" numFmtId="0">
      <sharedItems/>
    </cacheField>
    <cacheField name="is outlier D" numFmtId="0">
      <sharedItems/>
    </cacheField>
    <cacheField name="is outlier E" numFmtId="0">
      <sharedItems/>
    </cacheField>
    <cacheField name="Year" numFmtId="0">
      <sharedItems containsSemiMixedTypes="0" containsString="0" containsNumber="1" containsInteger="1" minValue="2017" maxValue="2022" count="6">
        <n v="2017"/>
        <n v="2018"/>
        <n v="2019"/>
        <n v="2020"/>
        <n v="2021"/>
        <n v="2022"/>
      </sharedItems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9">
  <r>
    <d v="2017-01-22T00:00:00"/>
    <n v="23.3"/>
    <n v="16.8"/>
    <n v="29.1"/>
    <n v="0"/>
    <s v="Normal"/>
    <s v="Outlier"/>
    <s v="Normal"/>
    <s v="Normal"/>
    <x v="0"/>
  </r>
  <r>
    <d v="2017-01-26T00:00:00"/>
    <n v="21.9"/>
    <n v="18.3"/>
    <n v="29.2"/>
    <n v="0"/>
    <s v="Normal"/>
    <s v="Normal"/>
    <s v="Normal"/>
    <s v="Normal"/>
    <x v="0"/>
  </r>
  <r>
    <d v="2017-01-27T00:00:00"/>
    <n v="22.1"/>
    <n v="19.7"/>
    <n v="26"/>
    <n v="0.3"/>
    <s v="Normal"/>
    <s v="Normal"/>
    <s v="Normal"/>
    <s v="Normal"/>
    <x v="0"/>
  </r>
  <r>
    <d v="2017-01-28T00:00:00"/>
    <n v="22.7"/>
    <n v="20"/>
    <n v="26.7"/>
    <n v="0"/>
    <s v="Normal"/>
    <s v="Normal"/>
    <s v="Normal"/>
    <s v="Normal"/>
    <x v="0"/>
  </r>
  <r>
    <d v="2017-01-29T00:00:00"/>
    <n v="23.7"/>
    <n v="19.2"/>
    <n v="29"/>
    <n v="0"/>
    <s v="Normal"/>
    <s v="Normal"/>
    <s v="Normal"/>
    <s v="Normal"/>
    <x v="0"/>
  </r>
  <r>
    <d v="2017-03-07T00:00:00"/>
    <n v="26.2"/>
    <n v="21.5"/>
    <n v="33.1"/>
    <n v="8.4"/>
    <s v="Normal"/>
    <s v="Normal"/>
    <s v="Normal"/>
    <s v="Normal"/>
    <x v="0"/>
  </r>
  <r>
    <d v="2017-03-08T00:00:00"/>
    <n v="25.6"/>
    <n v="21.1"/>
    <n v="33.799999999999997"/>
    <n v="36.799999999999997"/>
    <s v="Normal"/>
    <s v="Normal"/>
    <s v="Normal"/>
    <s v="Outlier"/>
    <x v="0"/>
  </r>
  <r>
    <d v="2017-03-09T00:00:00"/>
    <n v="26.7"/>
    <n v="21.2"/>
    <n v="32.1"/>
    <n v="0"/>
    <s v="Normal"/>
    <s v="Normal"/>
    <s v="Normal"/>
    <s v="Normal"/>
    <x v="0"/>
  </r>
  <r>
    <d v="2017-03-11T00:00:00"/>
    <n v="27.2"/>
    <n v="21"/>
    <n v="33.5"/>
    <n v="0"/>
    <s v="Normal"/>
    <s v="Normal"/>
    <s v="Normal"/>
    <s v="Normal"/>
    <x v="0"/>
  </r>
  <r>
    <d v="2017-03-14T00:00:00"/>
    <n v="25.1"/>
    <n v="22"/>
    <n v="34"/>
    <n v="0"/>
    <s v="Normal"/>
    <s v="Normal"/>
    <s v="Normal"/>
    <s v="Normal"/>
    <x v="0"/>
  </r>
  <r>
    <d v="2017-03-15T00:00:00"/>
    <n v="25.3"/>
    <n v="20.8"/>
    <n v="30.4"/>
    <n v="0"/>
    <s v="Normal"/>
    <s v="Normal"/>
    <s v="Normal"/>
    <s v="Normal"/>
    <x v="0"/>
  </r>
  <r>
    <d v="2017-04-05T00:00:00"/>
    <n v="27.3"/>
    <n v="21.2"/>
    <n v="36.1"/>
    <n v="0"/>
    <s v="Normal"/>
    <s v="Normal"/>
    <s v="Normal"/>
    <s v="Normal"/>
    <x v="0"/>
  </r>
  <r>
    <d v="2017-04-06T00:00:00"/>
    <n v="27.8"/>
    <n v="22.4"/>
    <n v="35.5"/>
    <n v="3.6"/>
    <s v="Normal"/>
    <s v="Normal"/>
    <s v="Normal"/>
    <s v="Normal"/>
    <x v="0"/>
  </r>
  <r>
    <d v="2017-04-07T00:00:00"/>
    <n v="28.5"/>
    <n v="22.5"/>
    <n v="35.5"/>
    <n v="0.5"/>
    <s v="Outlier"/>
    <s v="Normal"/>
    <s v="Normal"/>
    <s v="Normal"/>
    <x v="0"/>
  </r>
  <r>
    <d v="2017-04-17T00:00:00"/>
    <n v="25.7"/>
    <n v="22.2"/>
    <n v="36.200000000000003"/>
    <n v="0.5"/>
    <s v="Normal"/>
    <s v="Normal"/>
    <s v="Normal"/>
    <s v="Normal"/>
    <x v="0"/>
  </r>
  <r>
    <d v="2017-04-18T00:00:00"/>
    <n v="28.5"/>
    <n v="20.6"/>
    <n v="35"/>
    <n v="15"/>
    <s v="Outlier"/>
    <s v="Normal"/>
    <s v="Normal"/>
    <s v="Outlier"/>
    <x v="0"/>
  </r>
  <r>
    <d v="2017-04-20T00:00:00"/>
    <n v="26.6"/>
    <n v="22.8"/>
    <n v="35.700000000000003"/>
    <n v="0.3"/>
    <s v="Normal"/>
    <s v="Normal"/>
    <s v="Normal"/>
    <s v="Normal"/>
    <x v="0"/>
  </r>
  <r>
    <d v="2017-04-21T00:00:00"/>
    <n v="26.8"/>
    <n v="21.7"/>
    <n v="35.200000000000003"/>
    <n v="1"/>
    <s v="Normal"/>
    <s v="Normal"/>
    <s v="Normal"/>
    <s v="Normal"/>
    <x v="0"/>
  </r>
  <r>
    <d v="2017-04-22T00:00:00"/>
    <n v="28.6"/>
    <n v="22.8"/>
    <n v="34.799999999999997"/>
    <n v="0"/>
    <s v="Outlier"/>
    <s v="Normal"/>
    <s v="Normal"/>
    <s v="Normal"/>
    <x v="0"/>
  </r>
  <r>
    <d v="2017-04-26T00:00:00"/>
    <n v="28.7"/>
    <n v="22.5"/>
    <n v="37"/>
    <n v="1"/>
    <s v="Outlier"/>
    <s v="Normal"/>
    <s v="Outlier"/>
    <s v="Normal"/>
    <x v="0"/>
  </r>
  <r>
    <d v="2017-04-29T00:00:00"/>
    <n v="25.6"/>
    <n v="21.8"/>
    <n v="35.299999999999997"/>
    <n v="1.3"/>
    <s v="Normal"/>
    <s v="Normal"/>
    <s v="Normal"/>
    <s v="Normal"/>
    <x v="0"/>
  </r>
  <r>
    <d v="2017-04-30T00:00:00"/>
    <n v="28.3"/>
    <n v="20.100000000000001"/>
    <n v="35.6"/>
    <n v="6.1"/>
    <s v="Normal"/>
    <s v="Normal"/>
    <s v="Normal"/>
    <s v="Normal"/>
    <x v="0"/>
  </r>
  <r>
    <d v="2017-05-01T00:00:00"/>
    <n v="26.8"/>
    <n v="20.5"/>
    <n v="35.6"/>
    <n v="1"/>
    <s v="Normal"/>
    <s v="Normal"/>
    <s v="Normal"/>
    <s v="Normal"/>
    <x v="0"/>
  </r>
  <r>
    <d v="2017-05-02T00:00:00"/>
    <n v="27.6"/>
    <n v="22.3"/>
    <n v="35.1"/>
    <n v="0"/>
    <s v="Normal"/>
    <s v="Normal"/>
    <s v="Normal"/>
    <s v="Normal"/>
    <x v="0"/>
  </r>
  <r>
    <d v="2017-05-03T00:00:00"/>
    <n v="28.1"/>
    <n v="23.3"/>
    <n v="34.200000000000003"/>
    <n v="0"/>
    <s v="Normal"/>
    <s v="Normal"/>
    <s v="Normal"/>
    <s v="Normal"/>
    <x v="0"/>
  </r>
  <r>
    <d v="2017-05-07T00:00:00"/>
    <n v="27.3"/>
    <n v="20.9"/>
    <n v="35.799999999999997"/>
    <n v="0"/>
    <s v="Normal"/>
    <s v="Normal"/>
    <s v="Normal"/>
    <s v="Normal"/>
    <x v="0"/>
  </r>
  <r>
    <d v="2017-05-08T00:00:00"/>
    <n v="26.9"/>
    <n v="20.8"/>
    <n v="37"/>
    <n v="1"/>
    <s v="Normal"/>
    <s v="Normal"/>
    <s v="Outlier"/>
    <s v="Normal"/>
    <x v="0"/>
  </r>
  <r>
    <d v="2017-05-09T00:00:00"/>
    <n v="26"/>
    <n v="21.9"/>
    <n v="33.200000000000003"/>
    <n v="0"/>
    <s v="Normal"/>
    <s v="Normal"/>
    <s v="Normal"/>
    <s v="Normal"/>
    <x v="0"/>
  </r>
  <r>
    <d v="2017-05-10T00:00:00"/>
    <n v="27"/>
    <n v="21.5"/>
    <n v="33.200000000000003"/>
    <n v="0"/>
    <s v="Normal"/>
    <s v="Normal"/>
    <s v="Normal"/>
    <s v="Normal"/>
    <x v="0"/>
  </r>
  <r>
    <d v="2017-05-11T00:00:00"/>
    <n v="26.9"/>
    <n v="22"/>
    <n v="34.4"/>
    <n v="0"/>
    <s v="Normal"/>
    <s v="Normal"/>
    <s v="Normal"/>
    <s v="Normal"/>
    <x v="0"/>
  </r>
  <r>
    <d v="2017-05-12T00:00:00"/>
    <n v="27.6"/>
    <n v="23"/>
    <n v="32.5"/>
    <n v="1.8"/>
    <s v="Normal"/>
    <s v="Normal"/>
    <s v="Normal"/>
    <s v="Normal"/>
    <x v="0"/>
  </r>
  <r>
    <d v="2017-05-13T00:00:00"/>
    <n v="28.1"/>
    <n v="23.8"/>
    <n v="33"/>
    <n v="0"/>
    <s v="Normal"/>
    <s v="Outlier"/>
    <s v="Normal"/>
    <s v="Normal"/>
    <x v="0"/>
  </r>
  <r>
    <d v="2017-05-15T00:00:00"/>
    <n v="27.1"/>
    <n v="21.8"/>
    <n v="35"/>
    <n v="2.5"/>
    <s v="Normal"/>
    <s v="Normal"/>
    <s v="Normal"/>
    <s v="Normal"/>
    <x v="0"/>
  </r>
  <r>
    <d v="2017-05-18T00:00:00"/>
    <n v="26"/>
    <n v="19.8"/>
    <n v="34.5"/>
    <n v="9.9"/>
    <s v="Normal"/>
    <s v="Normal"/>
    <s v="Normal"/>
    <s v="Normal"/>
    <x v="0"/>
  </r>
  <r>
    <d v="2017-05-19T00:00:00"/>
    <n v="26.2"/>
    <n v="19.399999999999999"/>
    <n v="35.5"/>
    <n v="20.100000000000001"/>
    <s v="Normal"/>
    <s v="Normal"/>
    <s v="Normal"/>
    <s v="Outlier"/>
    <x v="0"/>
  </r>
  <r>
    <d v="2017-05-20T00:00:00"/>
    <n v="26.8"/>
    <n v="20.9"/>
    <n v="34.4"/>
    <n v="0"/>
    <s v="Normal"/>
    <s v="Normal"/>
    <s v="Normal"/>
    <s v="Normal"/>
    <x v="0"/>
  </r>
  <r>
    <d v="2017-05-21T00:00:00"/>
    <n v="26.1"/>
    <n v="19.899999999999999"/>
    <n v="35.1"/>
    <n v="40.9"/>
    <s v="Normal"/>
    <s v="Normal"/>
    <s v="Normal"/>
    <s v="Outlier"/>
    <x v="0"/>
  </r>
  <r>
    <d v="2017-05-22T00:00:00"/>
    <n v="25.7"/>
    <n v="23.2"/>
    <n v="32"/>
    <n v="0"/>
    <s v="Normal"/>
    <s v="Normal"/>
    <s v="Normal"/>
    <s v="Normal"/>
    <x v="0"/>
  </r>
  <r>
    <d v="2017-05-23T00:00:00"/>
    <n v="26.7"/>
    <n v="19.399999999999999"/>
    <n v="32.9"/>
    <n v="28.7"/>
    <s v="Normal"/>
    <s v="Normal"/>
    <s v="Normal"/>
    <s v="Outlier"/>
    <x v="0"/>
  </r>
  <r>
    <d v="2017-05-24T00:00:00"/>
    <n v="26.4"/>
    <n v="20.5"/>
    <n v="33.5"/>
    <n v="13"/>
    <s v="Normal"/>
    <s v="Normal"/>
    <s v="Normal"/>
    <s v="Outlier"/>
    <x v="0"/>
  </r>
  <r>
    <d v="2017-05-25T00:00:00"/>
    <n v="27.6"/>
    <n v="21.9"/>
    <n v="34"/>
    <n v="0"/>
    <s v="Normal"/>
    <s v="Normal"/>
    <s v="Normal"/>
    <s v="Normal"/>
    <x v="0"/>
  </r>
  <r>
    <d v="2017-05-26T00:00:00"/>
    <n v="26.2"/>
    <n v="20.9"/>
    <n v="33.299999999999997"/>
    <n v="0"/>
    <s v="Normal"/>
    <s v="Normal"/>
    <s v="Normal"/>
    <s v="Normal"/>
    <x v="0"/>
  </r>
  <r>
    <d v="2017-05-27T00:00:00"/>
    <n v="23.1"/>
    <n v="20"/>
    <n v="33.1"/>
    <n v="83.3"/>
    <s v="Normal"/>
    <s v="Normal"/>
    <s v="Normal"/>
    <s v="Outlier"/>
    <x v="0"/>
  </r>
  <r>
    <d v="2017-05-28T00:00:00"/>
    <n v="24.8"/>
    <n v="20"/>
    <n v="30"/>
    <n v="39.9"/>
    <s v="Normal"/>
    <s v="Normal"/>
    <s v="Normal"/>
    <s v="Outlier"/>
    <x v="0"/>
  </r>
  <r>
    <d v="2017-05-29T00:00:00"/>
    <n v="25.5"/>
    <n v="21.3"/>
    <n v="29.7"/>
    <n v="0"/>
    <s v="Normal"/>
    <s v="Normal"/>
    <s v="Normal"/>
    <s v="Normal"/>
    <x v="0"/>
  </r>
  <r>
    <d v="2017-05-31T00:00:00"/>
    <n v="24.9"/>
    <n v="20.8"/>
    <n v="31.2"/>
    <n v="0"/>
    <s v="Normal"/>
    <s v="Normal"/>
    <s v="Normal"/>
    <s v="Normal"/>
    <x v="0"/>
  </r>
  <r>
    <d v="2017-06-06T00:00:00"/>
    <n v="25.8"/>
    <n v="21.8"/>
    <n v="32"/>
    <n v="0"/>
    <s v="Normal"/>
    <s v="Normal"/>
    <s v="Normal"/>
    <s v="Normal"/>
    <x v="0"/>
  </r>
  <r>
    <d v="2017-06-07T00:00:00"/>
    <n v="23.9"/>
    <n v="21.7"/>
    <n v="31.2"/>
    <n v="0"/>
    <s v="Normal"/>
    <s v="Normal"/>
    <s v="Normal"/>
    <s v="Normal"/>
    <x v="0"/>
  </r>
  <r>
    <d v="2017-06-08T00:00:00"/>
    <n v="25"/>
    <n v="21.5"/>
    <n v="28.9"/>
    <n v="0.8"/>
    <s v="Normal"/>
    <s v="Normal"/>
    <s v="Normal"/>
    <s v="Normal"/>
    <x v="0"/>
  </r>
  <r>
    <d v="2017-06-09T00:00:00"/>
    <n v="23.3"/>
    <n v="21.1"/>
    <n v="29.6"/>
    <n v="0"/>
    <s v="Normal"/>
    <s v="Normal"/>
    <s v="Normal"/>
    <s v="Normal"/>
    <x v="0"/>
  </r>
  <r>
    <d v="2017-06-10T00:00:00"/>
    <n v="23.9"/>
    <n v="20.7"/>
    <n v="28.1"/>
    <n v="8.6"/>
    <s v="Normal"/>
    <s v="Normal"/>
    <s v="Normal"/>
    <s v="Normal"/>
    <x v="0"/>
  </r>
  <r>
    <d v="2017-06-11T00:00:00"/>
    <n v="23.4"/>
    <n v="20.8"/>
    <n v="27.9"/>
    <n v="0"/>
    <s v="Normal"/>
    <s v="Normal"/>
    <s v="Normal"/>
    <s v="Normal"/>
    <x v="0"/>
  </r>
  <r>
    <d v="2017-06-12T00:00:00"/>
    <n v="22.3"/>
    <n v="20.2"/>
    <n v="28.3"/>
    <n v="1.8"/>
    <s v="Normal"/>
    <s v="Normal"/>
    <s v="Normal"/>
    <s v="Normal"/>
    <x v="0"/>
  </r>
  <r>
    <d v="2017-06-13T00:00:00"/>
    <n v="24.2"/>
    <n v="20.7"/>
    <n v="29.2"/>
    <n v="1"/>
    <s v="Normal"/>
    <s v="Normal"/>
    <s v="Normal"/>
    <s v="Normal"/>
    <x v="0"/>
  </r>
  <r>
    <d v="2017-06-14T00:00:00"/>
    <n v="25.8"/>
    <n v="22"/>
    <n v="30.9"/>
    <n v="1"/>
    <s v="Normal"/>
    <s v="Normal"/>
    <s v="Normal"/>
    <s v="Normal"/>
    <x v="0"/>
  </r>
  <r>
    <d v="2017-06-15T00:00:00"/>
    <n v="25.1"/>
    <n v="21.5"/>
    <n v="31.2"/>
    <n v="0"/>
    <s v="Normal"/>
    <s v="Normal"/>
    <s v="Normal"/>
    <s v="Normal"/>
    <x v="0"/>
  </r>
  <r>
    <d v="2017-06-17T00:00:00"/>
    <n v="23.1"/>
    <n v="19.399999999999999"/>
    <n v="28.4"/>
    <n v="23.1"/>
    <s v="Normal"/>
    <s v="Normal"/>
    <s v="Normal"/>
    <s v="Outlier"/>
    <x v="0"/>
  </r>
  <r>
    <d v="2017-06-18T00:00:00"/>
    <n v="23.8"/>
    <n v="20.2"/>
    <n v="29.3"/>
    <n v="0"/>
    <s v="Normal"/>
    <s v="Normal"/>
    <s v="Normal"/>
    <s v="Normal"/>
    <x v="0"/>
  </r>
  <r>
    <d v="2017-06-19T00:00:00"/>
    <n v="23.4"/>
    <n v="20"/>
    <n v="29"/>
    <n v="3.6"/>
    <s v="Normal"/>
    <s v="Normal"/>
    <s v="Normal"/>
    <s v="Normal"/>
    <x v="0"/>
  </r>
  <r>
    <d v="2017-06-20T00:00:00"/>
    <n v="24.1"/>
    <n v="21"/>
    <n v="28"/>
    <n v="0"/>
    <s v="Normal"/>
    <s v="Normal"/>
    <s v="Normal"/>
    <s v="Normal"/>
    <x v="0"/>
  </r>
  <r>
    <d v="2017-06-21T00:00:00"/>
    <n v="24.6"/>
    <n v="20.8"/>
    <n v="29.8"/>
    <n v="0.3"/>
    <s v="Normal"/>
    <s v="Normal"/>
    <s v="Normal"/>
    <s v="Normal"/>
    <x v="0"/>
  </r>
  <r>
    <d v="2017-06-22T00:00:00"/>
    <n v="24.4"/>
    <n v="20.5"/>
    <n v="29.5"/>
    <n v="0"/>
    <s v="Normal"/>
    <s v="Normal"/>
    <s v="Normal"/>
    <s v="Normal"/>
    <x v="0"/>
  </r>
  <r>
    <d v="2017-06-23T00:00:00"/>
    <n v="24.9"/>
    <n v="19.399999999999999"/>
    <n v="30.6"/>
    <n v="0.8"/>
    <s v="Normal"/>
    <s v="Normal"/>
    <s v="Normal"/>
    <s v="Normal"/>
    <x v="0"/>
  </r>
  <r>
    <d v="2017-06-24T00:00:00"/>
    <n v="24.4"/>
    <n v="21"/>
    <n v="30.5"/>
    <n v="0"/>
    <s v="Normal"/>
    <s v="Normal"/>
    <s v="Normal"/>
    <s v="Normal"/>
    <x v="0"/>
  </r>
  <r>
    <d v="2017-06-25T00:00:00"/>
    <n v="23.8"/>
    <n v="20.6"/>
    <n v="29.4"/>
    <n v="0"/>
    <s v="Normal"/>
    <s v="Normal"/>
    <s v="Normal"/>
    <s v="Normal"/>
    <x v="0"/>
  </r>
  <r>
    <d v="2017-06-26T00:00:00"/>
    <n v="24"/>
    <n v="20.399999999999999"/>
    <n v="29"/>
    <n v="0"/>
    <s v="Normal"/>
    <s v="Normal"/>
    <s v="Normal"/>
    <s v="Normal"/>
    <x v="0"/>
  </r>
  <r>
    <d v="2017-06-27T00:00:00"/>
    <n v="23.6"/>
    <n v="20.399999999999999"/>
    <n v="30.6"/>
    <n v="0"/>
    <s v="Normal"/>
    <s v="Normal"/>
    <s v="Normal"/>
    <s v="Normal"/>
    <x v="0"/>
  </r>
  <r>
    <d v="2017-06-28T00:00:00"/>
    <n v="24.3"/>
    <n v="20.3"/>
    <n v="29.8"/>
    <n v="0"/>
    <s v="Normal"/>
    <s v="Normal"/>
    <s v="Normal"/>
    <s v="Normal"/>
    <x v="0"/>
  </r>
  <r>
    <d v="2017-06-29T00:00:00"/>
    <n v="24.3"/>
    <n v="20.399999999999999"/>
    <n v="29.1"/>
    <n v="0"/>
    <s v="Normal"/>
    <s v="Normal"/>
    <s v="Normal"/>
    <s v="Normal"/>
    <x v="0"/>
  </r>
  <r>
    <d v="2017-07-01T00:00:00"/>
    <n v="24.6"/>
    <n v="19.3"/>
    <n v="29.2"/>
    <n v="0"/>
    <s v="Normal"/>
    <s v="Normal"/>
    <s v="Normal"/>
    <s v="Normal"/>
    <x v="0"/>
  </r>
  <r>
    <d v="2017-07-02T00:00:00"/>
    <n v="25.2"/>
    <n v="20.5"/>
    <n v="30.3"/>
    <n v="0"/>
    <s v="Normal"/>
    <s v="Normal"/>
    <s v="Normal"/>
    <s v="Normal"/>
    <x v="0"/>
  </r>
  <r>
    <d v="2017-07-04T00:00:00"/>
    <n v="23.7"/>
    <n v="20.399999999999999"/>
    <n v="28.7"/>
    <n v="3.8"/>
    <s v="Normal"/>
    <s v="Normal"/>
    <s v="Normal"/>
    <s v="Normal"/>
    <x v="0"/>
  </r>
  <r>
    <d v="2017-07-05T00:00:00"/>
    <n v="23.2"/>
    <n v="20"/>
    <n v="29.6"/>
    <n v="2.2999999999999998"/>
    <s v="Normal"/>
    <s v="Normal"/>
    <s v="Normal"/>
    <s v="Normal"/>
    <x v="0"/>
  </r>
  <r>
    <d v="2017-07-06T00:00:00"/>
    <n v="23.7"/>
    <n v="20.2"/>
    <n v="29.2"/>
    <n v="10.199999999999999"/>
    <s v="Normal"/>
    <s v="Normal"/>
    <s v="Normal"/>
    <s v="Normal"/>
    <x v="0"/>
  </r>
  <r>
    <d v="2017-07-07T00:00:00"/>
    <n v="23.2"/>
    <n v="20.5"/>
    <n v="29.3"/>
    <n v="5.0999999999999996"/>
    <s v="Normal"/>
    <s v="Normal"/>
    <s v="Normal"/>
    <s v="Normal"/>
    <x v="0"/>
  </r>
  <r>
    <d v="2017-07-08T00:00:00"/>
    <n v="23.3"/>
    <n v="20.399999999999999"/>
    <n v="27.4"/>
    <n v="0"/>
    <s v="Normal"/>
    <s v="Normal"/>
    <s v="Normal"/>
    <s v="Normal"/>
    <x v="0"/>
  </r>
  <r>
    <d v="2017-07-09T00:00:00"/>
    <n v="24.5"/>
    <n v="20.2"/>
    <n v="30.3"/>
    <n v="0"/>
    <s v="Normal"/>
    <s v="Normal"/>
    <s v="Normal"/>
    <s v="Normal"/>
    <x v="0"/>
  </r>
  <r>
    <d v="2017-07-12T00:00:00"/>
    <n v="23.7"/>
    <n v="21"/>
    <n v="29.5"/>
    <n v="0"/>
    <s v="Normal"/>
    <s v="Normal"/>
    <s v="Normal"/>
    <s v="Normal"/>
    <x v="0"/>
  </r>
  <r>
    <d v="2017-07-13T00:00:00"/>
    <n v="22.8"/>
    <n v="20"/>
    <n v="28.5"/>
    <n v="1.5"/>
    <s v="Normal"/>
    <s v="Normal"/>
    <s v="Normal"/>
    <s v="Normal"/>
    <x v="0"/>
  </r>
  <r>
    <d v="2017-07-14T00:00:00"/>
    <n v="22.9"/>
    <n v="20"/>
    <n v="25.9"/>
    <n v="0"/>
    <s v="Normal"/>
    <s v="Normal"/>
    <s v="Normal"/>
    <s v="Normal"/>
    <x v="0"/>
  </r>
  <r>
    <d v="2017-07-15T00:00:00"/>
    <n v="22.2"/>
    <n v="20.2"/>
    <n v="27.2"/>
    <n v="0"/>
    <s v="Normal"/>
    <s v="Normal"/>
    <s v="Normal"/>
    <s v="Normal"/>
    <x v="0"/>
  </r>
  <r>
    <d v="2017-07-16T00:00:00"/>
    <n v="23.2"/>
    <n v="19.7"/>
    <n v="28.4"/>
    <n v="0"/>
    <s v="Normal"/>
    <s v="Normal"/>
    <s v="Normal"/>
    <s v="Normal"/>
    <x v="0"/>
  </r>
  <r>
    <d v="2017-07-17T00:00:00"/>
    <n v="23.8"/>
    <n v="20"/>
    <n v="28.8"/>
    <n v="0"/>
    <s v="Normal"/>
    <s v="Normal"/>
    <s v="Normal"/>
    <s v="Normal"/>
    <x v="0"/>
  </r>
  <r>
    <d v="2017-07-18T00:00:00"/>
    <n v="22.8"/>
    <n v="20.7"/>
    <n v="28.3"/>
    <n v="0"/>
    <s v="Normal"/>
    <s v="Normal"/>
    <s v="Normal"/>
    <s v="Normal"/>
    <x v="0"/>
  </r>
  <r>
    <d v="2017-07-19T00:00:00"/>
    <n v="22.2"/>
    <n v="20.6"/>
    <n v="26.6"/>
    <n v="0"/>
    <s v="Normal"/>
    <s v="Normal"/>
    <s v="Normal"/>
    <s v="Normal"/>
    <x v="0"/>
  </r>
  <r>
    <d v="2017-07-20T00:00:00"/>
    <n v="23.6"/>
    <n v="20.6"/>
    <n v="29.1"/>
    <n v="9.4"/>
    <s v="Normal"/>
    <s v="Normal"/>
    <s v="Normal"/>
    <s v="Normal"/>
    <x v="0"/>
  </r>
  <r>
    <d v="2017-07-21T00:00:00"/>
    <n v="23.8"/>
    <n v="19.7"/>
    <n v="28.7"/>
    <n v="0.8"/>
    <s v="Normal"/>
    <s v="Normal"/>
    <s v="Normal"/>
    <s v="Normal"/>
    <x v="0"/>
  </r>
  <r>
    <d v="2017-07-22T00:00:00"/>
    <n v="24.8"/>
    <n v="20"/>
    <n v="30.8"/>
    <n v="0"/>
    <s v="Normal"/>
    <s v="Normal"/>
    <s v="Normal"/>
    <s v="Normal"/>
    <x v="0"/>
  </r>
  <r>
    <d v="2017-07-25T00:00:00"/>
    <n v="25.2"/>
    <n v="20.5"/>
    <n v="30.3"/>
    <n v="0"/>
    <s v="Normal"/>
    <s v="Normal"/>
    <s v="Normal"/>
    <s v="Normal"/>
    <x v="0"/>
  </r>
  <r>
    <d v="2017-07-26T00:00:00"/>
    <n v="25.4"/>
    <n v="20.5"/>
    <n v="30.5"/>
    <n v="0"/>
    <s v="Normal"/>
    <s v="Normal"/>
    <s v="Normal"/>
    <s v="Normal"/>
    <x v="0"/>
  </r>
  <r>
    <d v="2017-07-28T00:00:00"/>
    <n v="24.7"/>
    <n v="21"/>
    <n v="31.1"/>
    <n v="11.9"/>
    <s v="Normal"/>
    <s v="Normal"/>
    <s v="Normal"/>
    <s v="Outlier"/>
    <x v="0"/>
  </r>
  <r>
    <d v="2017-07-29T00:00:00"/>
    <n v="24.7"/>
    <n v="20.6"/>
    <n v="31.3"/>
    <n v="10.7"/>
    <s v="Normal"/>
    <s v="Normal"/>
    <s v="Normal"/>
    <s v="Outlier"/>
    <x v="0"/>
  </r>
  <r>
    <d v="2017-07-30T00:00:00"/>
    <n v="25.2"/>
    <n v="21.3"/>
    <n v="30.7"/>
    <n v="0"/>
    <s v="Normal"/>
    <s v="Normal"/>
    <s v="Normal"/>
    <s v="Normal"/>
    <x v="0"/>
  </r>
  <r>
    <d v="2017-07-31T00:00:00"/>
    <n v="24.9"/>
    <n v="22"/>
    <n v="30.7"/>
    <n v="1.3"/>
    <s v="Normal"/>
    <s v="Normal"/>
    <s v="Normal"/>
    <s v="Normal"/>
    <x v="0"/>
  </r>
  <r>
    <d v="2017-08-01T00:00:00"/>
    <n v="25.2"/>
    <n v="21.4"/>
    <n v="30.5"/>
    <n v="8.4"/>
    <s v="Normal"/>
    <s v="Normal"/>
    <s v="Normal"/>
    <s v="Normal"/>
    <x v="0"/>
  </r>
  <r>
    <d v="2017-08-02T00:00:00"/>
    <n v="25.1"/>
    <n v="21.6"/>
    <n v="31.5"/>
    <n v="1.8"/>
    <s v="Normal"/>
    <s v="Normal"/>
    <s v="Normal"/>
    <s v="Normal"/>
    <x v="0"/>
  </r>
  <r>
    <d v="2017-08-03T00:00:00"/>
    <n v="24.3"/>
    <n v="20.3"/>
    <n v="31.2"/>
    <n v="0"/>
    <s v="Normal"/>
    <s v="Normal"/>
    <s v="Normal"/>
    <s v="Normal"/>
    <x v="0"/>
  </r>
  <r>
    <d v="2017-08-04T00:00:00"/>
    <n v="23.8"/>
    <n v="20.3"/>
    <n v="29.5"/>
    <n v="0"/>
    <s v="Normal"/>
    <s v="Normal"/>
    <s v="Normal"/>
    <s v="Normal"/>
    <x v="0"/>
  </r>
  <r>
    <d v="2017-08-05T00:00:00"/>
    <n v="24.4"/>
    <n v="21.3"/>
    <n v="29.5"/>
    <n v="0"/>
    <s v="Normal"/>
    <s v="Normal"/>
    <s v="Normal"/>
    <s v="Normal"/>
    <x v="0"/>
  </r>
  <r>
    <d v="2017-08-06T00:00:00"/>
    <n v="24.8"/>
    <n v="21.3"/>
    <n v="29.5"/>
    <n v="0"/>
    <s v="Normal"/>
    <s v="Normal"/>
    <s v="Normal"/>
    <s v="Normal"/>
    <x v="0"/>
  </r>
  <r>
    <d v="2017-08-07T00:00:00"/>
    <n v="25.7"/>
    <n v="21.2"/>
    <n v="30.2"/>
    <n v="0"/>
    <s v="Normal"/>
    <s v="Normal"/>
    <s v="Normal"/>
    <s v="Normal"/>
    <x v="0"/>
  </r>
  <r>
    <d v="2017-08-09T00:00:00"/>
    <n v="23.7"/>
    <n v="21.9"/>
    <n v="31.3"/>
    <n v="1"/>
    <s v="Normal"/>
    <s v="Normal"/>
    <s v="Normal"/>
    <s v="Normal"/>
    <x v="0"/>
  </r>
  <r>
    <d v="2017-08-10T00:00:00"/>
    <n v="23.9"/>
    <n v="20.7"/>
    <n v="27.5"/>
    <n v="13"/>
    <s v="Normal"/>
    <s v="Normal"/>
    <s v="Normal"/>
    <s v="Outlier"/>
    <x v="0"/>
  </r>
  <r>
    <d v="2017-08-11T00:00:00"/>
    <n v="23.5"/>
    <n v="19.8"/>
    <n v="28"/>
    <n v="4.0999999999999996"/>
    <s v="Normal"/>
    <s v="Normal"/>
    <s v="Normal"/>
    <s v="Normal"/>
    <x v="0"/>
  </r>
  <r>
    <d v="2017-08-12T00:00:00"/>
    <n v="23.6"/>
    <n v="20.5"/>
    <n v="28.2"/>
    <n v="16.5"/>
    <s v="Normal"/>
    <s v="Normal"/>
    <s v="Normal"/>
    <s v="Outlier"/>
    <x v="0"/>
  </r>
  <r>
    <d v="2017-08-13T00:00:00"/>
    <n v="23.3"/>
    <n v="21.2"/>
    <n v="27.6"/>
    <n v="0"/>
    <s v="Normal"/>
    <s v="Normal"/>
    <s v="Normal"/>
    <s v="Normal"/>
    <x v="0"/>
  </r>
  <r>
    <d v="2017-08-14T00:00:00"/>
    <n v="24.7"/>
    <n v="21.6"/>
    <n v="28.8"/>
    <n v="0"/>
    <s v="Normal"/>
    <s v="Normal"/>
    <s v="Normal"/>
    <s v="Normal"/>
    <x v="0"/>
  </r>
  <r>
    <d v="2017-08-15T00:00:00"/>
    <n v="22.6"/>
    <n v="19.2"/>
    <n v="28.3"/>
    <n v="128.80000000000001"/>
    <s v="Normal"/>
    <s v="Normal"/>
    <s v="Normal"/>
    <s v="Outlier"/>
    <x v="0"/>
  </r>
  <r>
    <d v="2017-08-16T00:00:00"/>
    <n v="23"/>
    <n v="20"/>
    <n v="27.4"/>
    <n v="30.5"/>
    <s v="Normal"/>
    <s v="Normal"/>
    <s v="Normal"/>
    <s v="Outlier"/>
    <x v="0"/>
  </r>
  <r>
    <d v="2017-08-17T00:00:00"/>
    <n v="23.2"/>
    <n v="19.8"/>
    <n v="28.5"/>
    <n v="26.4"/>
    <s v="Normal"/>
    <s v="Normal"/>
    <s v="Normal"/>
    <s v="Outlier"/>
    <x v="0"/>
  </r>
  <r>
    <d v="2017-08-18T00:00:00"/>
    <n v="23.2"/>
    <n v="20.399999999999999"/>
    <n v="29.2"/>
    <n v="7.9"/>
    <s v="Normal"/>
    <s v="Normal"/>
    <s v="Normal"/>
    <s v="Normal"/>
    <x v="0"/>
  </r>
  <r>
    <d v="2017-08-19T00:00:00"/>
    <n v="22.6"/>
    <n v="20.3"/>
    <n v="28.9"/>
    <n v="5.3"/>
    <s v="Normal"/>
    <s v="Normal"/>
    <s v="Normal"/>
    <s v="Normal"/>
    <x v="0"/>
  </r>
  <r>
    <d v="2017-08-20T00:00:00"/>
    <n v="22.3"/>
    <n v="20.3"/>
    <n v="28.6"/>
    <n v="13.2"/>
    <s v="Normal"/>
    <s v="Normal"/>
    <s v="Normal"/>
    <s v="Outlier"/>
    <x v="0"/>
  </r>
  <r>
    <d v="2017-08-21T00:00:00"/>
    <n v="23.6"/>
    <n v="20.3"/>
    <n v="28.8"/>
    <n v="3.3"/>
    <s v="Normal"/>
    <s v="Normal"/>
    <s v="Normal"/>
    <s v="Normal"/>
    <x v="0"/>
  </r>
  <r>
    <d v="2017-08-22T00:00:00"/>
    <n v="23.4"/>
    <n v="20.2"/>
    <n v="28"/>
    <n v="0"/>
    <s v="Normal"/>
    <s v="Normal"/>
    <s v="Normal"/>
    <s v="Normal"/>
    <x v="0"/>
  </r>
  <r>
    <d v="2017-08-23T00:00:00"/>
    <n v="24"/>
    <n v="20.6"/>
    <n v="28"/>
    <n v="10.9"/>
    <s v="Normal"/>
    <s v="Normal"/>
    <s v="Normal"/>
    <s v="Outlier"/>
    <x v="0"/>
  </r>
  <r>
    <d v="2017-08-24T00:00:00"/>
    <n v="23"/>
    <n v="20.6"/>
    <n v="28.6"/>
    <n v="42.4"/>
    <s v="Normal"/>
    <s v="Normal"/>
    <s v="Normal"/>
    <s v="Outlier"/>
    <x v="0"/>
  </r>
  <r>
    <d v="2017-08-25T00:00:00"/>
    <n v="22.8"/>
    <n v="20.5"/>
    <n v="26.8"/>
    <n v="31.8"/>
    <s v="Normal"/>
    <s v="Normal"/>
    <s v="Normal"/>
    <s v="Outlier"/>
    <x v="0"/>
  </r>
  <r>
    <d v="2017-08-26T00:00:00"/>
    <n v="23.8"/>
    <n v="20.8"/>
    <n v="29.8"/>
    <n v="0.3"/>
    <s v="Normal"/>
    <s v="Normal"/>
    <s v="Normal"/>
    <s v="Normal"/>
    <x v="0"/>
  </r>
  <r>
    <d v="2017-08-27T00:00:00"/>
    <n v="22.3"/>
    <n v="21"/>
    <n v="28.5"/>
    <n v="0.3"/>
    <s v="Normal"/>
    <s v="Normal"/>
    <s v="Normal"/>
    <s v="Normal"/>
    <x v="0"/>
  </r>
  <r>
    <d v="2017-08-28T00:00:00"/>
    <n v="22.8"/>
    <n v="20.5"/>
    <n v="26.5"/>
    <n v="6.1"/>
    <s v="Normal"/>
    <s v="Normal"/>
    <s v="Normal"/>
    <s v="Normal"/>
    <x v="0"/>
  </r>
  <r>
    <d v="2017-08-29T00:00:00"/>
    <n v="22.4"/>
    <n v="20.5"/>
    <n v="26.2"/>
    <n v="0"/>
    <s v="Normal"/>
    <s v="Normal"/>
    <s v="Normal"/>
    <s v="Normal"/>
    <x v="0"/>
  </r>
  <r>
    <d v="2017-08-30T00:00:00"/>
    <n v="24.5"/>
    <n v="21.1"/>
    <n v="29.7"/>
    <n v="0"/>
    <s v="Normal"/>
    <s v="Normal"/>
    <s v="Normal"/>
    <s v="Normal"/>
    <x v="0"/>
  </r>
  <r>
    <d v="2017-08-31T00:00:00"/>
    <n v="24.8"/>
    <n v="21"/>
    <n v="29.9"/>
    <n v="0"/>
    <s v="Normal"/>
    <s v="Normal"/>
    <s v="Normal"/>
    <s v="Normal"/>
    <x v="0"/>
  </r>
  <r>
    <d v="2017-09-01T00:00:00"/>
    <n v="23.7"/>
    <n v="19.8"/>
    <n v="30.6"/>
    <n v="71.900000000000006"/>
    <s v="Normal"/>
    <s v="Normal"/>
    <s v="Normal"/>
    <s v="Outlier"/>
    <x v="0"/>
  </r>
  <r>
    <d v="2017-09-02T00:00:00"/>
    <n v="22.5"/>
    <n v="20.8"/>
    <n v="27.8"/>
    <n v="33"/>
    <s v="Normal"/>
    <s v="Normal"/>
    <s v="Normal"/>
    <s v="Outlier"/>
    <x v="0"/>
  </r>
  <r>
    <d v="2017-09-03T00:00:00"/>
    <n v="23.2"/>
    <n v="19.899999999999999"/>
    <n v="27.3"/>
    <n v="21.8"/>
    <s v="Normal"/>
    <s v="Normal"/>
    <s v="Normal"/>
    <s v="Outlier"/>
    <x v="0"/>
  </r>
  <r>
    <d v="2017-09-04T00:00:00"/>
    <n v="24.7"/>
    <n v="18.7"/>
    <n v="29.8"/>
    <n v="56.9"/>
    <s v="Normal"/>
    <s v="Normal"/>
    <s v="Normal"/>
    <s v="Outlier"/>
    <x v="0"/>
  </r>
  <r>
    <d v="2017-09-05T00:00:00"/>
    <n v="24.8"/>
    <n v="19.899999999999999"/>
    <n v="30.2"/>
    <n v="2.5"/>
    <s v="Normal"/>
    <s v="Normal"/>
    <s v="Normal"/>
    <s v="Normal"/>
    <x v="0"/>
  </r>
  <r>
    <d v="2017-09-06T00:00:00"/>
    <n v="23"/>
    <n v="19.8"/>
    <n v="29.8"/>
    <n v="15.5"/>
    <s v="Normal"/>
    <s v="Normal"/>
    <s v="Normal"/>
    <s v="Outlier"/>
    <x v="0"/>
  </r>
  <r>
    <d v="2017-09-07T00:00:00"/>
    <n v="24.1"/>
    <n v="21.3"/>
    <n v="28.5"/>
    <n v="6.6"/>
    <s v="Normal"/>
    <s v="Normal"/>
    <s v="Normal"/>
    <s v="Normal"/>
    <x v="0"/>
  </r>
  <r>
    <d v="2017-09-08T00:00:00"/>
    <n v="23.2"/>
    <n v="19.8"/>
    <n v="29.3"/>
    <n v="1.3"/>
    <s v="Normal"/>
    <s v="Normal"/>
    <s v="Normal"/>
    <s v="Normal"/>
    <x v="0"/>
  </r>
  <r>
    <d v="2017-09-09T00:00:00"/>
    <n v="23.6"/>
    <n v="20"/>
    <n v="28.2"/>
    <n v="68.3"/>
    <s v="Normal"/>
    <s v="Normal"/>
    <s v="Normal"/>
    <s v="Outlier"/>
    <x v="0"/>
  </r>
  <r>
    <d v="2017-09-10T00:00:00"/>
    <n v="24.1"/>
    <n v="20.3"/>
    <n v="28"/>
    <n v="66"/>
    <s v="Normal"/>
    <s v="Normal"/>
    <s v="Normal"/>
    <s v="Outlier"/>
    <x v="0"/>
  </r>
  <r>
    <d v="2017-09-11T00:00:00"/>
    <n v="24.8"/>
    <n v="21.9"/>
    <n v="27.8"/>
    <n v="0"/>
    <s v="Normal"/>
    <s v="Normal"/>
    <s v="Normal"/>
    <s v="Normal"/>
    <x v="0"/>
  </r>
  <r>
    <d v="2017-09-15T00:00:00"/>
    <n v="23.7"/>
    <n v="21"/>
    <n v="31.1"/>
    <n v="2.2999999999999998"/>
    <s v="Normal"/>
    <s v="Normal"/>
    <s v="Normal"/>
    <s v="Normal"/>
    <x v="0"/>
  </r>
  <r>
    <d v="2017-09-16T00:00:00"/>
    <n v="23.7"/>
    <n v="20.8"/>
    <n v="29.4"/>
    <n v="0"/>
    <s v="Normal"/>
    <s v="Normal"/>
    <s v="Normal"/>
    <s v="Normal"/>
    <x v="0"/>
  </r>
  <r>
    <d v="2017-09-17T00:00:00"/>
    <n v="21.3"/>
    <n v="19.8"/>
    <n v="29.4"/>
    <n v="17.3"/>
    <s v="Normal"/>
    <s v="Normal"/>
    <s v="Normal"/>
    <s v="Outlier"/>
    <x v="0"/>
  </r>
  <r>
    <d v="2017-09-18T00:00:00"/>
    <n v="22.6"/>
    <n v="19.3"/>
    <n v="27.3"/>
    <n v="0.5"/>
    <s v="Normal"/>
    <s v="Normal"/>
    <s v="Normal"/>
    <s v="Normal"/>
    <x v="0"/>
  </r>
  <r>
    <d v="2017-09-19T00:00:00"/>
    <n v="23.1"/>
    <n v="20.399999999999999"/>
    <n v="28.3"/>
    <n v="0"/>
    <s v="Normal"/>
    <s v="Normal"/>
    <s v="Normal"/>
    <s v="Normal"/>
    <x v="0"/>
  </r>
  <r>
    <d v="2017-09-20T00:00:00"/>
    <n v="23.2"/>
    <n v="19.399999999999999"/>
    <n v="28.8"/>
    <n v="0"/>
    <s v="Normal"/>
    <s v="Normal"/>
    <s v="Normal"/>
    <s v="Normal"/>
    <x v="0"/>
  </r>
  <r>
    <d v="2017-09-22T00:00:00"/>
    <n v="24.3"/>
    <n v="20.5"/>
    <n v="28.4"/>
    <n v="0"/>
    <s v="Normal"/>
    <s v="Normal"/>
    <s v="Normal"/>
    <s v="Normal"/>
    <x v="0"/>
  </r>
  <r>
    <d v="2017-09-23T00:00:00"/>
    <n v="25.6"/>
    <n v="20.6"/>
    <n v="29.4"/>
    <n v="0"/>
    <s v="Normal"/>
    <s v="Normal"/>
    <s v="Normal"/>
    <s v="Normal"/>
    <x v="0"/>
  </r>
  <r>
    <d v="2017-09-24T00:00:00"/>
    <n v="24.2"/>
    <n v="20.9"/>
    <n v="30.5"/>
    <n v="0"/>
    <s v="Normal"/>
    <s v="Normal"/>
    <s v="Normal"/>
    <s v="Normal"/>
    <x v="0"/>
  </r>
  <r>
    <d v="2017-09-25T00:00:00"/>
    <n v="22.8"/>
    <n v="19.399999999999999"/>
    <n v="29"/>
    <n v="54.4"/>
    <s v="Normal"/>
    <s v="Normal"/>
    <s v="Normal"/>
    <s v="Outlier"/>
    <x v="0"/>
  </r>
  <r>
    <d v="2017-09-26T00:00:00"/>
    <n v="23.8"/>
    <n v="19.8"/>
    <n v="27.6"/>
    <n v="9.1"/>
    <s v="Normal"/>
    <s v="Normal"/>
    <s v="Normal"/>
    <s v="Normal"/>
    <x v="0"/>
  </r>
  <r>
    <d v="2017-09-27T00:00:00"/>
    <n v="21.9"/>
    <n v="20"/>
    <n v="28.1"/>
    <n v="55.9"/>
    <s v="Normal"/>
    <s v="Normal"/>
    <s v="Normal"/>
    <s v="Outlier"/>
    <x v="0"/>
  </r>
  <r>
    <d v="2017-09-28T00:00:00"/>
    <n v="22.5"/>
    <n v="19.399999999999999"/>
    <n v="26.8"/>
    <n v="1.8"/>
    <s v="Normal"/>
    <s v="Normal"/>
    <s v="Normal"/>
    <s v="Normal"/>
    <x v="0"/>
  </r>
  <r>
    <d v="2017-09-29T00:00:00"/>
    <n v="22.7"/>
    <n v="20.3"/>
    <n v="26.2"/>
    <n v="0.5"/>
    <s v="Normal"/>
    <s v="Normal"/>
    <s v="Normal"/>
    <s v="Normal"/>
    <x v="0"/>
  </r>
  <r>
    <d v="2017-09-30T00:00:00"/>
    <n v="22.7"/>
    <n v="20.399999999999999"/>
    <n v="27"/>
    <n v="15.2"/>
    <s v="Normal"/>
    <s v="Normal"/>
    <s v="Normal"/>
    <s v="Outlier"/>
    <x v="0"/>
  </r>
  <r>
    <d v="2017-10-01T00:00:00"/>
    <n v="23.1"/>
    <n v="20.3"/>
    <n v="28.6"/>
    <n v="0.5"/>
    <s v="Normal"/>
    <s v="Normal"/>
    <s v="Normal"/>
    <s v="Normal"/>
    <x v="0"/>
  </r>
  <r>
    <d v="2017-10-02T00:00:00"/>
    <n v="23.3"/>
    <n v="19.399999999999999"/>
    <n v="28.4"/>
    <n v="46"/>
    <s v="Normal"/>
    <s v="Normal"/>
    <s v="Normal"/>
    <s v="Outlier"/>
    <x v="0"/>
  </r>
  <r>
    <d v="2017-10-03T00:00:00"/>
    <n v="24.9"/>
    <n v="20.6"/>
    <n v="28.8"/>
    <n v="0"/>
    <s v="Normal"/>
    <s v="Normal"/>
    <s v="Normal"/>
    <s v="Normal"/>
    <x v="0"/>
  </r>
  <r>
    <d v="2017-10-04T00:00:00"/>
    <n v="24.3"/>
    <n v="20.5"/>
    <n v="29.3"/>
    <n v="0"/>
    <s v="Normal"/>
    <s v="Normal"/>
    <s v="Normal"/>
    <s v="Normal"/>
    <x v="0"/>
  </r>
  <r>
    <d v="2017-10-05T00:00:00"/>
    <n v="22"/>
    <n v="20.100000000000001"/>
    <n v="29.6"/>
    <n v="18.5"/>
    <s v="Normal"/>
    <s v="Normal"/>
    <s v="Normal"/>
    <s v="Outlier"/>
    <x v="0"/>
  </r>
  <r>
    <d v="2017-10-06T00:00:00"/>
    <n v="23.1"/>
    <n v="20.7"/>
    <n v="28.8"/>
    <n v="76.7"/>
    <s v="Normal"/>
    <s v="Normal"/>
    <s v="Normal"/>
    <s v="Outlier"/>
    <x v="0"/>
  </r>
  <r>
    <d v="2017-10-07T00:00:00"/>
    <n v="23.7"/>
    <n v="21.2"/>
    <n v="29"/>
    <n v="14.5"/>
    <s v="Normal"/>
    <s v="Normal"/>
    <s v="Normal"/>
    <s v="Outlier"/>
    <x v="0"/>
  </r>
  <r>
    <d v="2017-10-08T00:00:00"/>
    <n v="24.6"/>
    <n v="21.3"/>
    <n v="28.8"/>
    <n v="48"/>
    <s v="Normal"/>
    <s v="Normal"/>
    <s v="Normal"/>
    <s v="Outlier"/>
    <x v="0"/>
  </r>
  <r>
    <d v="2017-10-09T00:00:00"/>
    <n v="24.8"/>
    <n v="21.5"/>
    <n v="29"/>
    <n v="2"/>
    <s v="Normal"/>
    <s v="Normal"/>
    <s v="Normal"/>
    <s v="Normal"/>
    <x v="0"/>
  </r>
  <r>
    <d v="2017-10-10T00:00:00"/>
    <n v="24.5"/>
    <n v="19.600000000000001"/>
    <n v="29.3"/>
    <n v="9.1"/>
    <s v="Normal"/>
    <s v="Normal"/>
    <s v="Normal"/>
    <s v="Normal"/>
    <x v="0"/>
  </r>
  <r>
    <d v="2017-10-11T00:00:00"/>
    <n v="23.8"/>
    <n v="20.2"/>
    <n v="29.9"/>
    <n v="5.3"/>
    <s v="Normal"/>
    <s v="Normal"/>
    <s v="Normal"/>
    <s v="Normal"/>
    <x v="0"/>
  </r>
  <r>
    <d v="2017-10-12T00:00:00"/>
    <n v="23.2"/>
    <n v="20.5"/>
    <n v="30.7"/>
    <n v="22.4"/>
    <s v="Normal"/>
    <s v="Normal"/>
    <s v="Normal"/>
    <s v="Outlier"/>
    <x v="0"/>
  </r>
  <r>
    <d v="2017-10-13T00:00:00"/>
    <n v="22.9"/>
    <n v="20.5"/>
    <n v="27.5"/>
    <n v="68.099999999999994"/>
    <s v="Normal"/>
    <s v="Normal"/>
    <s v="Normal"/>
    <s v="Outlier"/>
    <x v="0"/>
  </r>
  <r>
    <d v="2017-10-14T00:00:00"/>
    <n v="22.1"/>
    <n v="20.399999999999999"/>
    <n v="27.6"/>
    <n v="34"/>
    <s v="Normal"/>
    <s v="Normal"/>
    <s v="Normal"/>
    <s v="Outlier"/>
    <x v="0"/>
  </r>
  <r>
    <d v="2017-10-15T00:00:00"/>
    <n v="22.3"/>
    <n v="19.600000000000001"/>
    <n v="26.8"/>
    <n v="40.4"/>
    <s v="Normal"/>
    <s v="Normal"/>
    <s v="Normal"/>
    <s v="Outlier"/>
    <x v="0"/>
  </r>
  <r>
    <d v="2017-10-16T00:00:00"/>
    <n v="22.4"/>
    <n v="19.8"/>
    <n v="26"/>
    <n v="0"/>
    <s v="Normal"/>
    <s v="Normal"/>
    <s v="Normal"/>
    <s v="Normal"/>
    <x v="0"/>
  </r>
  <r>
    <d v="2017-10-17T00:00:00"/>
    <n v="23.1"/>
    <n v="20.9"/>
    <n v="26.8"/>
    <n v="0"/>
    <s v="Normal"/>
    <s v="Normal"/>
    <s v="Normal"/>
    <s v="Normal"/>
    <x v="0"/>
  </r>
  <r>
    <d v="2017-10-19T00:00:00"/>
    <n v="23.7"/>
    <n v="20.100000000000001"/>
    <n v="29.8"/>
    <n v="0"/>
    <s v="Normal"/>
    <s v="Normal"/>
    <s v="Normal"/>
    <s v="Normal"/>
    <x v="0"/>
  </r>
  <r>
    <d v="2017-10-27T00:00:00"/>
    <n v="23.9"/>
    <n v="20.2"/>
    <n v="28.1"/>
    <n v="0"/>
    <s v="Normal"/>
    <s v="Normal"/>
    <s v="Normal"/>
    <s v="Normal"/>
    <x v="0"/>
  </r>
  <r>
    <d v="2017-10-28T00:00:00"/>
    <n v="23.9"/>
    <n v="19.8"/>
    <n v="30"/>
    <n v="0"/>
    <s v="Normal"/>
    <s v="Normal"/>
    <s v="Normal"/>
    <s v="Normal"/>
    <x v="0"/>
  </r>
  <r>
    <d v="2017-10-31T00:00:00"/>
    <n v="22.2"/>
    <n v="19.399999999999999"/>
    <n v="26.7"/>
    <n v="0"/>
    <s v="Normal"/>
    <s v="Normal"/>
    <s v="Normal"/>
    <s v="Normal"/>
    <x v="0"/>
  </r>
  <r>
    <d v="2017-11-01T00:00:00"/>
    <n v="21.7"/>
    <n v="19.899999999999999"/>
    <n v="25"/>
    <n v="0"/>
    <s v="Normal"/>
    <s v="Normal"/>
    <s v="Normal"/>
    <s v="Normal"/>
    <x v="0"/>
  </r>
  <r>
    <d v="2017-11-02T00:00:00"/>
    <n v="22.9"/>
    <n v="18.8"/>
    <n v="26.8"/>
    <n v="0.3"/>
    <s v="Normal"/>
    <s v="Normal"/>
    <s v="Normal"/>
    <s v="Normal"/>
    <x v="0"/>
  </r>
  <r>
    <d v="2017-11-03T00:00:00"/>
    <n v="23.2"/>
    <n v="19.3"/>
    <n v="27.8"/>
    <n v="0"/>
    <s v="Normal"/>
    <s v="Normal"/>
    <s v="Normal"/>
    <s v="Normal"/>
    <x v="0"/>
  </r>
  <r>
    <d v="2017-11-05T00:00:00"/>
    <n v="21.5"/>
    <n v="19.3"/>
    <n v="25.6"/>
    <n v="2"/>
    <s v="Normal"/>
    <s v="Normal"/>
    <s v="Normal"/>
    <s v="Normal"/>
    <x v="0"/>
  </r>
  <r>
    <d v="2017-11-06T00:00:00"/>
    <n v="21.7"/>
    <n v="19.7"/>
    <n v="25.4"/>
    <n v="3.3"/>
    <s v="Normal"/>
    <s v="Normal"/>
    <s v="Normal"/>
    <s v="Normal"/>
    <x v="0"/>
  </r>
  <r>
    <d v="2017-11-07T00:00:00"/>
    <n v="21.5"/>
    <n v="18.899999999999999"/>
    <n v="25.6"/>
    <n v="1.5"/>
    <s v="Normal"/>
    <s v="Normal"/>
    <s v="Normal"/>
    <s v="Normal"/>
    <x v="0"/>
  </r>
  <r>
    <d v="2017-11-08T00:00:00"/>
    <n v="22"/>
    <n v="18.3"/>
    <n v="26"/>
    <n v="13.5"/>
    <s v="Normal"/>
    <s v="Normal"/>
    <s v="Normal"/>
    <s v="Outlier"/>
    <x v="0"/>
  </r>
  <r>
    <d v="2017-11-09T00:00:00"/>
    <n v="22.5"/>
    <n v="18.600000000000001"/>
    <n v="27"/>
    <n v="0"/>
    <s v="Normal"/>
    <s v="Normal"/>
    <s v="Normal"/>
    <s v="Normal"/>
    <x v="0"/>
  </r>
  <r>
    <d v="2017-11-17T00:00:00"/>
    <n v="23.8"/>
    <n v="21.3"/>
    <n v="29.2"/>
    <n v="0"/>
    <s v="Normal"/>
    <s v="Normal"/>
    <s v="Normal"/>
    <s v="Normal"/>
    <x v="0"/>
  </r>
  <r>
    <d v="2017-11-30T00:00:00"/>
    <n v="21.3"/>
    <n v="19.3"/>
    <n v="27.6"/>
    <n v="0"/>
    <s v="Normal"/>
    <s v="Normal"/>
    <s v="Normal"/>
    <s v="Normal"/>
    <x v="0"/>
  </r>
  <r>
    <d v="2017-12-01T00:00:00"/>
    <n v="19.8"/>
    <n v="18.399999999999999"/>
    <n v="24.7"/>
    <n v="10.7"/>
    <s v="Normal"/>
    <s v="Normal"/>
    <s v="Normal"/>
    <s v="Outlier"/>
    <x v="0"/>
  </r>
  <r>
    <d v="2017-12-02T00:00:00"/>
    <n v="19.8"/>
    <n v="18.2"/>
    <n v="22.2"/>
    <n v="8.9"/>
    <s v="Normal"/>
    <s v="Normal"/>
    <s v="Outlier"/>
    <s v="Normal"/>
    <x v="0"/>
  </r>
  <r>
    <d v="2017-12-03T00:00:00"/>
    <n v="20.8"/>
    <n v="18.3"/>
    <n v="24.2"/>
    <n v="0"/>
    <s v="Normal"/>
    <s v="Normal"/>
    <s v="Normal"/>
    <s v="Normal"/>
    <x v="0"/>
  </r>
  <r>
    <d v="2017-12-13T00:00:00"/>
    <n v="22.7"/>
    <n v="18.100000000000001"/>
    <n v="28.1"/>
    <n v="0"/>
    <s v="Normal"/>
    <s v="Normal"/>
    <s v="Normal"/>
    <s v="Normal"/>
    <x v="0"/>
  </r>
  <r>
    <d v="2018-02-08T00:00:00"/>
    <n v="23.3"/>
    <n v="19.2"/>
    <n v="30"/>
    <n v="1.5"/>
    <s v="Normal"/>
    <s v="Normal"/>
    <s v="Normal"/>
    <s v="Normal"/>
    <x v="1"/>
  </r>
  <r>
    <d v="2018-02-09T00:00:00"/>
    <n v="24.4"/>
    <n v="19.7"/>
    <n v="30.6"/>
    <n v="0"/>
    <s v="Normal"/>
    <s v="Normal"/>
    <s v="Normal"/>
    <s v="Normal"/>
    <x v="1"/>
  </r>
  <r>
    <d v="2018-02-10T00:00:00"/>
    <n v="24.2"/>
    <n v="19.7"/>
    <n v="31.6"/>
    <n v="1.5"/>
    <s v="Normal"/>
    <s v="Normal"/>
    <s v="Normal"/>
    <s v="Normal"/>
    <x v="1"/>
  </r>
  <r>
    <d v="2018-02-11T00:00:00"/>
    <n v="24"/>
    <n v="17.7"/>
    <n v="30.7"/>
    <n v="0"/>
    <s v="Normal"/>
    <s v="Normal"/>
    <s v="Normal"/>
    <s v="Normal"/>
    <x v="1"/>
  </r>
  <r>
    <d v="2018-03-14T00:00:00"/>
    <n v="26.5"/>
    <n v="22.4"/>
    <n v="31.6"/>
    <n v="0"/>
    <s v="Normal"/>
    <s v="Normal"/>
    <s v="Normal"/>
    <s v="Normal"/>
    <x v="1"/>
  </r>
  <r>
    <d v="2018-03-15T00:00:00"/>
    <n v="25.8"/>
    <n v="21.9"/>
    <n v="32.1"/>
    <n v="0"/>
    <s v="Normal"/>
    <s v="Normal"/>
    <s v="Normal"/>
    <s v="Normal"/>
    <x v="1"/>
  </r>
  <r>
    <d v="2018-03-16T00:00:00"/>
    <n v="24.1"/>
    <n v="19.8"/>
    <n v="32.5"/>
    <n v="31"/>
    <s v="Normal"/>
    <s v="Normal"/>
    <s v="Normal"/>
    <s v="Outlier"/>
    <x v="1"/>
  </r>
  <r>
    <d v="2018-03-17T00:00:00"/>
    <n v="23.7"/>
    <n v="18.899999999999999"/>
    <n v="32"/>
    <n v="0"/>
    <s v="Normal"/>
    <s v="Normal"/>
    <s v="Normal"/>
    <s v="Normal"/>
    <x v="1"/>
  </r>
  <r>
    <d v="2018-03-18T00:00:00"/>
    <n v="24.7"/>
    <n v="20.3"/>
    <n v="29.1"/>
    <n v="0"/>
    <s v="Normal"/>
    <s v="Normal"/>
    <s v="Normal"/>
    <s v="Normal"/>
    <x v="1"/>
  </r>
  <r>
    <d v="2018-03-30T00:00:00"/>
    <n v="25.7"/>
    <n v="21.4"/>
    <n v="34"/>
    <n v="0"/>
    <s v="Normal"/>
    <s v="Normal"/>
    <s v="Normal"/>
    <s v="Normal"/>
    <x v="1"/>
  </r>
  <r>
    <d v="2018-03-31T00:00:00"/>
    <n v="25.9"/>
    <n v="21.1"/>
    <n v="34.799999999999997"/>
    <n v="3.3"/>
    <s v="Normal"/>
    <s v="Normal"/>
    <s v="Normal"/>
    <s v="Normal"/>
    <x v="1"/>
  </r>
  <r>
    <d v="2018-04-01T00:00:00"/>
    <n v="27.6"/>
    <n v="21.2"/>
    <n v="33.200000000000003"/>
    <n v="0"/>
    <s v="Normal"/>
    <s v="Normal"/>
    <s v="Normal"/>
    <s v="Normal"/>
    <x v="1"/>
  </r>
  <r>
    <d v="2018-04-03T00:00:00"/>
    <n v="26.1"/>
    <n v="19.8"/>
    <n v="33.1"/>
    <n v="13.7"/>
    <s v="Normal"/>
    <s v="Normal"/>
    <s v="Normal"/>
    <s v="Outlier"/>
    <x v="1"/>
  </r>
  <r>
    <d v="2018-04-04T00:00:00"/>
    <n v="26.2"/>
    <n v="21.4"/>
    <n v="31.5"/>
    <n v="0"/>
    <s v="Normal"/>
    <s v="Normal"/>
    <s v="Normal"/>
    <s v="Normal"/>
    <x v="1"/>
  </r>
  <r>
    <d v="2018-04-17T00:00:00"/>
    <n v="28.2"/>
    <n v="22.3"/>
    <n v="34.6"/>
    <n v="11.7"/>
    <s v="Normal"/>
    <s v="Normal"/>
    <s v="Normal"/>
    <s v="Outlier"/>
    <x v="1"/>
  </r>
  <r>
    <d v="2018-04-21T00:00:00"/>
    <n v="28.2"/>
    <n v="22.2"/>
    <n v="34.799999999999997"/>
    <n v="19.100000000000001"/>
    <s v="Normal"/>
    <s v="Normal"/>
    <s v="Normal"/>
    <s v="Outlier"/>
    <x v="1"/>
  </r>
  <r>
    <d v="2018-04-22T00:00:00"/>
    <n v="26.1"/>
    <n v="23.4"/>
    <n v="34.799999999999997"/>
    <n v="0"/>
    <s v="Normal"/>
    <s v="Outlier"/>
    <s v="Normal"/>
    <s v="Normal"/>
    <x v="1"/>
  </r>
  <r>
    <d v="2018-04-23T00:00:00"/>
    <n v="27.2"/>
    <n v="22"/>
    <n v="33.799999999999997"/>
    <n v="4.8"/>
    <s v="Normal"/>
    <s v="Normal"/>
    <s v="Normal"/>
    <s v="Normal"/>
    <x v="1"/>
  </r>
  <r>
    <d v="2018-04-24T00:00:00"/>
    <n v="25.1"/>
    <n v="22.4"/>
    <n v="34.200000000000003"/>
    <n v="0"/>
    <s v="Normal"/>
    <s v="Normal"/>
    <s v="Normal"/>
    <s v="Normal"/>
    <x v="1"/>
  </r>
  <r>
    <d v="2018-04-25T00:00:00"/>
    <n v="26.6"/>
    <n v="22.2"/>
    <n v="34"/>
    <n v="3.8"/>
    <s v="Normal"/>
    <s v="Normal"/>
    <s v="Normal"/>
    <s v="Normal"/>
    <x v="1"/>
  </r>
  <r>
    <d v="2018-04-26T00:00:00"/>
    <n v="27.2"/>
    <n v="22.8"/>
    <n v="34.4"/>
    <n v="0.5"/>
    <s v="Normal"/>
    <s v="Normal"/>
    <s v="Normal"/>
    <s v="Normal"/>
    <x v="1"/>
  </r>
  <r>
    <d v="2018-04-27T00:00:00"/>
    <n v="28.3"/>
    <n v="22"/>
    <n v="34.700000000000003"/>
    <n v="0.5"/>
    <s v="Normal"/>
    <s v="Normal"/>
    <s v="Normal"/>
    <s v="Normal"/>
    <x v="1"/>
  </r>
  <r>
    <d v="2018-04-28T00:00:00"/>
    <n v="27.7"/>
    <n v="22.5"/>
    <n v="34.200000000000003"/>
    <n v="0"/>
    <s v="Normal"/>
    <s v="Normal"/>
    <s v="Normal"/>
    <s v="Normal"/>
    <x v="1"/>
  </r>
  <r>
    <d v="2018-04-30T00:00:00"/>
    <n v="27"/>
    <n v="23.2"/>
    <n v="34.9"/>
    <n v="0.3"/>
    <s v="Normal"/>
    <s v="Normal"/>
    <s v="Normal"/>
    <s v="Normal"/>
    <x v="1"/>
  </r>
  <r>
    <d v="2018-05-01T00:00:00"/>
    <n v="26.9"/>
    <n v="21.4"/>
    <n v="35.200000000000003"/>
    <n v="5.6"/>
    <s v="Normal"/>
    <s v="Normal"/>
    <s v="Normal"/>
    <s v="Normal"/>
    <x v="1"/>
  </r>
  <r>
    <d v="2018-05-02T00:00:00"/>
    <n v="26.5"/>
    <n v="23.3"/>
    <n v="33"/>
    <n v="0"/>
    <s v="Normal"/>
    <s v="Normal"/>
    <s v="Normal"/>
    <s v="Normal"/>
    <x v="1"/>
  </r>
  <r>
    <d v="2018-05-03T00:00:00"/>
    <n v="25.9"/>
    <n v="18.899999999999999"/>
    <n v="34"/>
    <n v="0.8"/>
    <s v="Normal"/>
    <s v="Normal"/>
    <s v="Normal"/>
    <s v="Normal"/>
    <x v="1"/>
  </r>
  <r>
    <d v="2018-05-04T00:00:00"/>
    <n v="26.1"/>
    <n v="19.2"/>
    <n v="33.200000000000003"/>
    <n v="39.4"/>
    <s v="Normal"/>
    <s v="Normal"/>
    <s v="Normal"/>
    <s v="Outlier"/>
    <x v="1"/>
  </r>
  <r>
    <d v="2018-05-05T00:00:00"/>
    <n v="27"/>
    <n v="23.1"/>
    <n v="32"/>
    <n v="0"/>
    <s v="Normal"/>
    <s v="Normal"/>
    <s v="Normal"/>
    <s v="Normal"/>
    <x v="1"/>
  </r>
  <r>
    <d v="2018-05-09T00:00:00"/>
    <n v="27.2"/>
    <n v="21.8"/>
    <n v="32.799999999999997"/>
    <n v="0"/>
    <s v="Normal"/>
    <s v="Normal"/>
    <s v="Normal"/>
    <s v="Normal"/>
    <x v="1"/>
  </r>
  <r>
    <d v="2018-05-12T00:00:00"/>
    <n v="25.7"/>
    <n v="19.8"/>
    <n v="32.200000000000003"/>
    <n v="34.299999999999997"/>
    <s v="Normal"/>
    <s v="Normal"/>
    <s v="Normal"/>
    <s v="Outlier"/>
    <x v="1"/>
  </r>
  <r>
    <d v="2018-05-13T00:00:00"/>
    <n v="24.9"/>
    <n v="20.8"/>
    <n v="32"/>
    <n v="0"/>
    <s v="Normal"/>
    <s v="Normal"/>
    <s v="Normal"/>
    <s v="Normal"/>
    <x v="1"/>
  </r>
  <r>
    <d v="2018-05-14T00:00:00"/>
    <n v="23.8"/>
    <n v="21"/>
    <n v="32"/>
    <n v="17.8"/>
    <s v="Normal"/>
    <s v="Normal"/>
    <s v="Normal"/>
    <s v="Outlier"/>
    <x v="1"/>
  </r>
  <r>
    <d v="2018-05-15T00:00:00"/>
    <n v="24.8"/>
    <n v="20.6"/>
    <n v="31.4"/>
    <n v="16.5"/>
    <s v="Normal"/>
    <s v="Normal"/>
    <s v="Normal"/>
    <s v="Outlier"/>
    <x v="1"/>
  </r>
  <r>
    <d v="2018-05-16T00:00:00"/>
    <n v="26.2"/>
    <n v="20.7"/>
    <n v="32.4"/>
    <n v="4.3"/>
    <s v="Normal"/>
    <s v="Normal"/>
    <s v="Normal"/>
    <s v="Normal"/>
    <x v="1"/>
  </r>
  <r>
    <d v="2018-05-17T00:00:00"/>
    <n v="26.7"/>
    <n v="21.9"/>
    <n v="31"/>
    <n v="0"/>
    <s v="Normal"/>
    <s v="Normal"/>
    <s v="Normal"/>
    <s v="Normal"/>
    <x v="1"/>
  </r>
  <r>
    <d v="2018-05-19T00:00:00"/>
    <n v="25.9"/>
    <n v="21.4"/>
    <n v="32.799999999999997"/>
    <n v="19.100000000000001"/>
    <s v="Normal"/>
    <s v="Normal"/>
    <s v="Normal"/>
    <s v="Outlier"/>
    <x v="1"/>
  </r>
  <r>
    <d v="2018-05-20T00:00:00"/>
    <n v="25.2"/>
    <n v="20.5"/>
    <n v="32.4"/>
    <n v="8.6"/>
    <s v="Normal"/>
    <s v="Normal"/>
    <s v="Normal"/>
    <s v="Normal"/>
    <x v="1"/>
  </r>
  <r>
    <d v="2018-05-21T00:00:00"/>
    <n v="24"/>
    <n v="21.6"/>
    <n v="32.4"/>
    <n v="0"/>
    <s v="Normal"/>
    <s v="Normal"/>
    <s v="Normal"/>
    <s v="Normal"/>
    <x v="1"/>
  </r>
  <r>
    <d v="2018-05-22T00:00:00"/>
    <n v="26.3"/>
    <n v="20.5"/>
    <n v="31.8"/>
    <n v="9.4"/>
    <s v="Normal"/>
    <s v="Normal"/>
    <s v="Normal"/>
    <s v="Normal"/>
    <x v="1"/>
  </r>
  <r>
    <d v="2018-05-24T00:00:00"/>
    <n v="26.3"/>
    <n v="20.399999999999999"/>
    <n v="31.9"/>
    <n v="24.9"/>
    <s v="Normal"/>
    <s v="Normal"/>
    <s v="Normal"/>
    <s v="Outlier"/>
    <x v="1"/>
  </r>
  <r>
    <d v="2018-05-25T00:00:00"/>
    <n v="23.5"/>
    <n v="21.9"/>
    <n v="32"/>
    <n v="33"/>
    <s v="Normal"/>
    <s v="Normal"/>
    <s v="Normal"/>
    <s v="Outlier"/>
    <x v="1"/>
  </r>
  <r>
    <d v="2018-05-26T00:00:00"/>
    <n v="25"/>
    <n v="21.1"/>
    <n v="29.8"/>
    <n v="14"/>
    <s v="Normal"/>
    <s v="Normal"/>
    <s v="Normal"/>
    <s v="Outlier"/>
    <x v="1"/>
  </r>
  <r>
    <d v="2018-05-27T00:00:00"/>
    <n v="26"/>
    <n v="22.2"/>
    <n v="30.8"/>
    <n v="0"/>
    <s v="Normal"/>
    <s v="Normal"/>
    <s v="Normal"/>
    <s v="Normal"/>
    <x v="1"/>
  </r>
  <r>
    <d v="2018-05-28T00:00:00"/>
    <n v="26.3"/>
    <n v="22.3"/>
    <n v="32"/>
    <n v="0"/>
    <s v="Normal"/>
    <s v="Normal"/>
    <s v="Normal"/>
    <s v="Normal"/>
    <x v="1"/>
  </r>
  <r>
    <d v="2018-05-30T00:00:00"/>
    <n v="24.5"/>
    <n v="20.9"/>
    <n v="30.5"/>
    <n v="0"/>
    <s v="Normal"/>
    <s v="Normal"/>
    <s v="Normal"/>
    <s v="Normal"/>
    <x v="1"/>
  </r>
  <r>
    <d v="2018-05-31T00:00:00"/>
    <n v="25.6"/>
    <n v="20.9"/>
    <n v="29.7"/>
    <n v="10.4"/>
    <s v="Normal"/>
    <s v="Normal"/>
    <s v="Normal"/>
    <s v="Outlier"/>
    <x v="1"/>
  </r>
  <r>
    <d v="2018-06-01T00:00:00"/>
    <n v="24.4"/>
    <n v="21.9"/>
    <n v="30.3"/>
    <n v="0"/>
    <s v="Normal"/>
    <s v="Normal"/>
    <s v="Normal"/>
    <s v="Normal"/>
    <x v="1"/>
  </r>
  <r>
    <d v="2018-06-02T00:00:00"/>
    <n v="23.8"/>
    <n v="20.9"/>
    <n v="31"/>
    <n v="1.5"/>
    <s v="Normal"/>
    <s v="Normal"/>
    <s v="Normal"/>
    <s v="Normal"/>
    <x v="1"/>
  </r>
  <r>
    <d v="2018-06-03T00:00:00"/>
    <n v="23.7"/>
    <n v="20.8"/>
    <n v="30.3"/>
    <n v="1.8"/>
    <s v="Normal"/>
    <s v="Normal"/>
    <s v="Normal"/>
    <s v="Normal"/>
    <x v="1"/>
  </r>
  <r>
    <d v="2018-06-04T00:00:00"/>
    <n v="23.8"/>
    <n v="21"/>
    <n v="30.4"/>
    <n v="6.1"/>
    <s v="Normal"/>
    <s v="Normal"/>
    <s v="Normal"/>
    <s v="Normal"/>
    <x v="1"/>
  </r>
  <r>
    <d v="2018-06-05T00:00:00"/>
    <n v="24.8"/>
    <n v="21.2"/>
    <n v="30"/>
    <n v="0"/>
    <s v="Normal"/>
    <s v="Normal"/>
    <s v="Normal"/>
    <s v="Normal"/>
    <x v="1"/>
  </r>
  <r>
    <d v="2018-06-06T00:00:00"/>
    <n v="25.6"/>
    <n v="21.9"/>
    <n v="29.7"/>
    <n v="0"/>
    <s v="Normal"/>
    <s v="Normal"/>
    <s v="Normal"/>
    <s v="Normal"/>
    <x v="1"/>
  </r>
  <r>
    <d v="2018-06-07T00:00:00"/>
    <n v="23.9"/>
    <n v="21.7"/>
    <n v="30.1"/>
    <n v="0"/>
    <s v="Normal"/>
    <s v="Normal"/>
    <s v="Normal"/>
    <s v="Normal"/>
    <x v="1"/>
  </r>
  <r>
    <d v="2018-06-08T00:00:00"/>
    <n v="23.3"/>
    <n v="21"/>
    <n v="29"/>
    <n v="0"/>
    <s v="Normal"/>
    <s v="Normal"/>
    <s v="Normal"/>
    <s v="Normal"/>
    <x v="1"/>
  </r>
  <r>
    <d v="2018-06-09T00:00:00"/>
    <n v="22"/>
    <n v="20.7"/>
    <n v="25.8"/>
    <n v="3.8"/>
    <s v="Normal"/>
    <s v="Normal"/>
    <s v="Normal"/>
    <s v="Normal"/>
    <x v="1"/>
  </r>
  <r>
    <d v="2018-06-10T00:00:00"/>
    <n v="22.7"/>
    <n v="20.5"/>
    <n v="27"/>
    <n v="1.3"/>
    <s v="Normal"/>
    <s v="Normal"/>
    <s v="Normal"/>
    <s v="Normal"/>
    <x v="1"/>
  </r>
  <r>
    <d v="2018-06-11T00:00:00"/>
    <n v="23.7"/>
    <n v="21"/>
    <n v="26.9"/>
    <n v="2"/>
    <s v="Normal"/>
    <s v="Normal"/>
    <s v="Normal"/>
    <s v="Normal"/>
    <x v="1"/>
  </r>
  <r>
    <d v="2018-06-14T00:00:00"/>
    <n v="23.2"/>
    <n v="21"/>
    <n v="27.9"/>
    <n v="0"/>
    <s v="Normal"/>
    <s v="Normal"/>
    <s v="Normal"/>
    <s v="Normal"/>
    <x v="1"/>
  </r>
  <r>
    <d v="2018-06-15T00:00:00"/>
    <n v="23.8"/>
    <n v="20.5"/>
    <n v="31.2"/>
    <n v="3"/>
    <s v="Normal"/>
    <s v="Normal"/>
    <s v="Normal"/>
    <s v="Normal"/>
    <x v="1"/>
  </r>
  <r>
    <d v="2018-06-16T00:00:00"/>
    <n v="24.1"/>
    <n v="20.100000000000001"/>
    <n v="31"/>
    <n v="5.6"/>
    <s v="Normal"/>
    <s v="Normal"/>
    <s v="Normal"/>
    <s v="Normal"/>
    <x v="1"/>
  </r>
  <r>
    <d v="2018-06-17T00:00:00"/>
    <n v="23.6"/>
    <n v="20.9"/>
    <n v="30"/>
    <n v="0"/>
    <s v="Normal"/>
    <s v="Normal"/>
    <s v="Normal"/>
    <s v="Normal"/>
    <x v="1"/>
  </r>
  <r>
    <d v="2018-06-19T00:00:00"/>
    <n v="23.8"/>
    <n v="20.100000000000001"/>
    <n v="28.9"/>
    <n v="7.1"/>
    <s v="Normal"/>
    <s v="Normal"/>
    <s v="Normal"/>
    <s v="Normal"/>
    <x v="1"/>
  </r>
  <r>
    <d v="2018-06-20T00:00:00"/>
    <n v="23.4"/>
    <n v="20.7"/>
    <n v="29.1"/>
    <n v="0"/>
    <s v="Normal"/>
    <s v="Normal"/>
    <s v="Normal"/>
    <s v="Normal"/>
    <x v="1"/>
  </r>
  <r>
    <d v="2018-06-22T00:00:00"/>
    <n v="23.2"/>
    <n v="19.7"/>
    <n v="28"/>
    <n v="0"/>
    <s v="Normal"/>
    <s v="Normal"/>
    <s v="Normal"/>
    <s v="Normal"/>
    <x v="1"/>
  </r>
  <r>
    <d v="2018-06-23T00:00:00"/>
    <n v="22.5"/>
    <n v="20.3"/>
    <n v="28"/>
    <n v="1"/>
    <s v="Normal"/>
    <s v="Normal"/>
    <s v="Normal"/>
    <s v="Normal"/>
    <x v="1"/>
  </r>
  <r>
    <d v="2018-06-24T00:00:00"/>
    <n v="23.2"/>
    <n v="19.7"/>
    <n v="27.8"/>
    <n v="12.2"/>
    <s v="Normal"/>
    <s v="Normal"/>
    <s v="Normal"/>
    <s v="Outlier"/>
    <x v="1"/>
  </r>
  <r>
    <d v="2018-06-25T00:00:00"/>
    <n v="23.5"/>
    <n v="20.100000000000001"/>
    <n v="27.8"/>
    <n v="0"/>
    <s v="Normal"/>
    <s v="Normal"/>
    <s v="Normal"/>
    <s v="Normal"/>
    <x v="1"/>
  </r>
  <r>
    <d v="2018-06-26T00:00:00"/>
    <n v="23.1"/>
    <n v="20.2"/>
    <n v="28.1"/>
    <n v="0"/>
    <s v="Normal"/>
    <s v="Normal"/>
    <s v="Normal"/>
    <s v="Normal"/>
    <x v="1"/>
  </r>
  <r>
    <d v="2018-06-28T00:00:00"/>
    <n v="22.4"/>
    <n v="20"/>
    <n v="26.2"/>
    <n v="4.5999999999999996"/>
    <s v="Normal"/>
    <s v="Normal"/>
    <s v="Normal"/>
    <s v="Normal"/>
    <x v="1"/>
  </r>
  <r>
    <d v="2018-06-29T00:00:00"/>
    <n v="23.1"/>
    <n v="20.100000000000001"/>
    <n v="28.2"/>
    <n v="0"/>
    <s v="Normal"/>
    <s v="Normal"/>
    <s v="Normal"/>
    <s v="Normal"/>
    <x v="1"/>
  </r>
  <r>
    <d v="2018-06-30T00:00:00"/>
    <n v="23.8"/>
    <n v="19.5"/>
    <n v="29.3"/>
    <n v="0"/>
    <s v="Normal"/>
    <s v="Normal"/>
    <s v="Normal"/>
    <s v="Normal"/>
    <x v="1"/>
  </r>
  <r>
    <d v="2018-07-01T00:00:00"/>
    <n v="24.2"/>
    <n v="20.6"/>
    <n v="29.5"/>
    <n v="0.5"/>
    <s v="Normal"/>
    <s v="Normal"/>
    <s v="Normal"/>
    <s v="Normal"/>
    <x v="1"/>
  </r>
  <r>
    <d v="2018-07-02T00:00:00"/>
    <n v="24.8"/>
    <n v="20.9"/>
    <n v="30.7"/>
    <n v="0"/>
    <s v="Normal"/>
    <s v="Normal"/>
    <s v="Normal"/>
    <s v="Normal"/>
    <x v="1"/>
  </r>
  <r>
    <d v="2018-07-03T00:00:00"/>
    <n v="24.4"/>
    <n v="20.7"/>
    <n v="30.2"/>
    <n v="0.5"/>
    <s v="Normal"/>
    <s v="Normal"/>
    <s v="Normal"/>
    <s v="Normal"/>
    <x v="1"/>
  </r>
  <r>
    <d v="2018-07-04T00:00:00"/>
    <n v="24.1"/>
    <n v="20.5"/>
    <n v="29"/>
    <n v="0"/>
    <s v="Normal"/>
    <s v="Normal"/>
    <s v="Normal"/>
    <s v="Normal"/>
    <x v="1"/>
  </r>
  <r>
    <d v="2018-07-07T00:00:00"/>
    <n v="22.9"/>
    <n v="20.5"/>
    <n v="26.3"/>
    <n v="0.3"/>
    <s v="Normal"/>
    <s v="Normal"/>
    <s v="Normal"/>
    <s v="Normal"/>
    <x v="1"/>
  </r>
  <r>
    <d v="2018-07-08T00:00:00"/>
    <n v="22.4"/>
    <n v="20.3"/>
    <n v="26.4"/>
    <n v="0"/>
    <s v="Normal"/>
    <s v="Normal"/>
    <s v="Normal"/>
    <s v="Normal"/>
    <x v="1"/>
  </r>
  <r>
    <d v="2018-07-09T00:00:00"/>
    <n v="22.8"/>
    <n v="20.7"/>
    <n v="26.4"/>
    <n v="1"/>
    <s v="Normal"/>
    <s v="Normal"/>
    <s v="Normal"/>
    <s v="Normal"/>
    <x v="1"/>
  </r>
  <r>
    <d v="2018-07-10T00:00:00"/>
    <n v="22.7"/>
    <n v="20.6"/>
    <n v="26.9"/>
    <n v="2"/>
    <s v="Normal"/>
    <s v="Normal"/>
    <s v="Normal"/>
    <s v="Normal"/>
    <x v="1"/>
  </r>
  <r>
    <d v="2018-07-11T00:00:00"/>
    <n v="22.5"/>
    <n v="20.3"/>
    <n v="27"/>
    <n v="32.299999999999997"/>
    <s v="Normal"/>
    <s v="Normal"/>
    <s v="Normal"/>
    <s v="Outlier"/>
    <x v="1"/>
  </r>
  <r>
    <d v="2018-07-12T00:00:00"/>
    <n v="22.8"/>
    <n v="20.100000000000001"/>
    <n v="27.3"/>
    <n v="4.3"/>
    <s v="Normal"/>
    <s v="Normal"/>
    <s v="Normal"/>
    <s v="Normal"/>
    <x v="1"/>
  </r>
  <r>
    <d v="2018-07-13T00:00:00"/>
    <n v="22.2"/>
    <n v="20.5"/>
    <n v="27.4"/>
    <n v="0"/>
    <s v="Normal"/>
    <s v="Normal"/>
    <s v="Normal"/>
    <s v="Normal"/>
    <x v="1"/>
  </r>
  <r>
    <d v="2018-07-14T00:00:00"/>
    <n v="22.4"/>
    <n v="20.3"/>
    <n v="26.5"/>
    <n v="4.5999999999999996"/>
    <s v="Normal"/>
    <s v="Normal"/>
    <s v="Normal"/>
    <s v="Normal"/>
    <x v="1"/>
  </r>
  <r>
    <d v="2018-07-15T00:00:00"/>
    <n v="23.6"/>
    <n v="20.399999999999999"/>
    <n v="28.2"/>
    <n v="1.8"/>
    <s v="Normal"/>
    <s v="Normal"/>
    <s v="Normal"/>
    <s v="Normal"/>
    <x v="1"/>
  </r>
  <r>
    <d v="2018-07-16T00:00:00"/>
    <n v="22.2"/>
    <n v="20.2"/>
    <n v="28.4"/>
    <n v="0"/>
    <s v="Normal"/>
    <s v="Normal"/>
    <s v="Normal"/>
    <s v="Normal"/>
    <x v="1"/>
  </r>
  <r>
    <d v="2018-07-17T00:00:00"/>
    <n v="22.5"/>
    <n v="19.2"/>
    <n v="26.2"/>
    <n v="1.5"/>
    <s v="Normal"/>
    <s v="Normal"/>
    <s v="Normal"/>
    <s v="Normal"/>
    <x v="1"/>
  </r>
  <r>
    <d v="2018-07-18T00:00:00"/>
    <n v="23.8"/>
    <n v="19.7"/>
    <n v="29.2"/>
    <n v="0"/>
    <s v="Normal"/>
    <s v="Normal"/>
    <s v="Normal"/>
    <s v="Normal"/>
    <x v="1"/>
  </r>
  <r>
    <d v="2018-07-20T00:00:00"/>
    <n v="23"/>
    <n v="20.399999999999999"/>
    <n v="27"/>
    <n v="0"/>
    <s v="Normal"/>
    <s v="Normal"/>
    <s v="Normal"/>
    <s v="Normal"/>
    <x v="1"/>
  </r>
  <r>
    <d v="2018-07-21T00:00:00"/>
    <n v="22.7"/>
    <n v="20.3"/>
    <n v="26.9"/>
    <n v="0"/>
    <s v="Normal"/>
    <s v="Normal"/>
    <s v="Normal"/>
    <s v="Normal"/>
    <x v="1"/>
  </r>
  <r>
    <d v="2018-07-22T00:00:00"/>
    <n v="23.6"/>
    <n v="20.3"/>
    <n v="28.9"/>
    <n v="0.3"/>
    <s v="Normal"/>
    <s v="Normal"/>
    <s v="Normal"/>
    <s v="Normal"/>
    <x v="1"/>
  </r>
  <r>
    <d v="2018-07-23T00:00:00"/>
    <n v="22.7"/>
    <n v="20.2"/>
    <n v="28.3"/>
    <n v="0"/>
    <s v="Normal"/>
    <s v="Normal"/>
    <s v="Normal"/>
    <s v="Normal"/>
    <x v="1"/>
  </r>
  <r>
    <d v="2018-07-24T00:00:00"/>
    <n v="23.1"/>
    <n v="20.3"/>
    <n v="28.6"/>
    <n v="14.2"/>
    <s v="Normal"/>
    <s v="Normal"/>
    <s v="Normal"/>
    <s v="Outlier"/>
    <x v="1"/>
  </r>
  <r>
    <d v="2018-07-25T00:00:00"/>
    <n v="23.3"/>
    <n v="20.2"/>
    <n v="28.2"/>
    <n v="2"/>
    <s v="Normal"/>
    <s v="Normal"/>
    <s v="Normal"/>
    <s v="Normal"/>
    <x v="1"/>
  </r>
  <r>
    <d v="2018-07-26T00:00:00"/>
    <n v="23.7"/>
    <n v="20.6"/>
    <n v="28.8"/>
    <n v="0.8"/>
    <s v="Normal"/>
    <s v="Normal"/>
    <s v="Normal"/>
    <s v="Normal"/>
    <x v="1"/>
  </r>
  <r>
    <d v="2018-07-27T00:00:00"/>
    <n v="23.3"/>
    <n v="20.5"/>
    <n v="27.3"/>
    <n v="0"/>
    <s v="Normal"/>
    <s v="Normal"/>
    <s v="Normal"/>
    <s v="Normal"/>
    <x v="1"/>
  </r>
  <r>
    <d v="2018-07-28T00:00:00"/>
    <n v="23.5"/>
    <n v="20"/>
    <n v="27.3"/>
    <n v="0.3"/>
    <s v="Normal"/>
    <s v="Normal"/>
    <s v="Normal"/>
    <s v="Normal"/>
    <x v="1"/>
  </r>
  <r>
    <d v="2018-07-29T00:00:00"/>
    <n v="23.8"/>
    <n v="20.7"/>
    <n v="27.4"/>
    <n v="11.9"/>
    <s v="Normal"/>
    <s v="Normal"/>
    <s v="Normal"/>
    <s v="Outlier"/>
    <x v="1"/>
  </r>
  <r>
    <d v="2018-07-30T00:00:00"/>
    <n v="23.8"/>
    <n v="20.5"/>
    <n v="27.8"/>
    <n v="0.5"/>
    <s v="Normal"/>
    <s v="Normal"/>
    <s v="Normal"/>
    <s v="Normal"/>
    <x v="1"/>
  </r>
  <r>
    <d v="2018-07-31T00:00:00"/>
    <n v="23.1"/>
    <n v="20.3"/>
    <n v="28.3"/>
    <n v="4.8"/>
    <s v="Normal"/>
    <s v="Normal"/>
    <s v="Normal"/>
    <s v="Normal"/>
    <x v="1"/>
  </r>
  <r>
    <d v="2018-08-01T00:00:00"/>
    <n v="21.9"/>
    <n v="19.399999999999999"/>
    <n v="27.2"/>
    <n v="5.3"/>
    <s v="Normal"/>
    <s v="Normal"/>
    <s v="Normal"/>
    <s v="Normal"/>
    <x v="1"/>
  </r>
  <r>
    <d v="2018-08-02T00:00:00"/>
    <n v="23.6"/>
    <n v="18.7"/>
    <n v="29.4"/>
    <n v="15"/>
    <s v="Normal"/>
    <s v="Normal"/>
    <s v="Normal"/>
    <s v="Outlier"/>
    <x v="1"/>
  </r>
  <r>
    <d v="2018-08-03T00:00:00"/>
    <n v="23.3"/>
    <n v="20.8"/>
    <n v="28.6"/>
    <n v="0"/>
    <s v="Normal"/>
    <s v="Normal"/>
    <s v="Normal"/>
    <s v="Normal"/>
    <x v="1"/>
  </r>
  <r>
    <d v="2018-08-04T00:00:00"/>
    <n v="22.8"/>
    <n v="20.100000000000001"/>
    <n v="28.8"/>
    <n v="2.5"/>
    <s v="Normal"/>
    <s v="Normal"/>
    <s v="Normal"/>
    <s v="Normal"/>
    <x v="1"/>
  </r>
  <r>
    <d v="2018-08-05T00:00:00"/>
    <n v="23.8"/>
    <n v="20.3"/>
    <n v="27.8"/>
    <n v="0"/>
    <s v="Normal"/>
    <s v="Normal"/>
    <s v="Normal"/>
    <s v="Normal"/>
    <x v="1"/>
  </r>
  <r>
    <d v="2018-08-06T00:00:00"/>
    <n v="22.7"/>
    <n v="20.2"/>
    <n v="28.1"/>
    <n v="0.5"/>
    <s v="Normal"/>
    <s v="Normal"/>
    <s v="Normal"/>
    <s v="Normal"/>
    <x v="1"/>
  </r>
  <r>
    <d v="2018-08-07T00:00:00"/>
    <n v="21.9"/>
    <n v="19.7"/>
    <n v="27.7"/>
    <n v="11.4"/>
    <s v="Normal"/>
    <s v="Normal"/>
    <s v="Normal"/>
    <s v="Outlier"/>
    <x v="1"/>
  </r>
  <r>
    <d v="2018-08-08T00:00:00"/>
    <n v="22"/>
    <n v="20"/>
    <n v="25.4"/>
    <n v="3.6"/>
    <s v="Normal"/>
    <s v="Normal"/>
    <s v="Normal"/>
    <s v="Normal"/>
    <x v="1"/>
  </r>
  <r>
    <d v="2018-08-09T00:00:00"/>
    <n v="23.4"/>
    <n v="20.2"/>
    <n v="28.7"/>
    <n v="8.9"/>
    <s v="Normal"/>
    <s v="Normal"/>
    <s v="Normal"/>
    <s v="Normal"/>
    <x v="1"/>
  </r>
  <r>
    <d v="2018-08-10T00:00:00"/>
    <n v="22.7"/>
    <n v="20.5"/>
    <n v="28.2"/>
    <n v="0"/>
    <s v="Normal"/>
    <s v="Normal"/>
    <s v="Normal"/>
    <s v="Normal"/>
    <x v="1"/>
  </r>
  <r>
    <d v="2018-08-11T00:00:00"/>
    <n v="21.9"/>
    <n v="20"/>
    <n v="26.5"/>
    <n v="1.8"/>
    <s v="Normal"/>
    <s v="Normal"/>
    <s v="Normal"/>
    <s v="Normal"/>
    <x v="1"/>
  </r>
  <r>
    <d v="2018-08-12T00:00:00"/>
    <n v="21.5"/>
    <n v="19.899999999999999"/>
    <n v="25.6"/>
    <n v="2.2999999999999998"/>
    <s v="Normal"/>
    <s v="Normal"/>
    <s v="Normal"/>
    <s v="Normal"/>
    <x v="1"/>
  </r>
  <r>
    <d v="2018-08-13T00:00:00"/>
    <n v="21.7"/>
    <n v="19.399999999999999"/>
    <n v="24.6"/>
    <n v="3.3"/>
    <s v="Normal"/>
    <s v="Normal"/>
    <s v="Normal"/>
    <s v="Normal"/>
    <x v="1"/>
  </r>
  <r>
    <d v="2018-08-14T00:00:00"/>
    <n v="21.9"/>
    <n v="19.600000000000001"/>
    <n v="26.9"/>
    <n v="1"/>
    <s v="Normal"/>
    <s v="Normal"/>
    <s v="Normal"/>
    <s v="Normal"/>
    <x v="1"/>
  </r>
  <r>
    <d v="2018-08-15T00:00:00"/>
    <n v="22.2"/>
    <n v="20.100000000000001"/>
    <n v="25.7"/>
    <n v="6.4"/>
    <s v="Normal"/>
    <s v="Normal"/>
    <s v="Normal"/>
    <s v="Normal"/>
    <x v="1"/>
  </r>
  <r>
    <d v="2018-08-16T00:00:00"/>
    <n v="22.4"/>
    <n v="20.2"/>
    <n v="25.7"/>
    <n v="10.7"/>
    <s v="Normal"/>
    <s v="Normal"/>
    <s v="Normal"/>
    <s v="Outlier"/>
    <x v="1"/>
  </r>
  <r>
    <d v="2018-08-17T00:00:00"/>
    <n v="23.2"/>
    <n v="20.3"/>
    <n v="28.3"/>
    <n v="0.5"/>
    <s v="Normal"/>
    <s v="Normal"/>
    <s v="Normal"/>
    <s v="Normal"/>
    <x v="1"/>
  </r>
  <r>
    <d v="2018-08-18T00:00:00"/>
    <n v="23.4"/>
    <n v="20"/>
    <n v="27.5"/>
    <n v="0"/>
    <s v="Normal"/>
    <s v="Normal"/>
    <s v="Normal"/>
    <s v="Normal"/>
    <x v="1"/>
  </r>
  <r>
    <d v="2018-08-19T00:00:00"/>
    <n v="23.3"/>
    <n v="20.7"/>
    <n v="27.4"/>
    <n v="0"/>
    <s v="Normal"/>
    <s v="Normal"/>
    <s v="Normal"/>
    <s v="Normal"/>
    <x v="1"/>
  </r>
  <r>
    <d v="2018-08-20T00:00:00"/>
    <n v="22.8"/>
    <n v="20.2"/>
    <n v="27.3"/>
    <n v="0"/>
    <s v="Normal"/>
    <s v="Normal"/>
    <s v="Normal"/>
    <s v="Normal"/>
    <x v="1"/>
  </r>
  <r>
    <d v="2018-08-21T00:00:00"/>
    <n v="23.3"/>
    <n v="19.7"/>
    <n v="28.9"/>
    <n v="0"/>
    <s v="Normal"/>
    <s v="Normal"/>
    <s v="Normal"/>
    <s v="Normal"/>
    <x v="1"/>
  </r>
  <r>
    <d v="2018-08-22T00:00:00"/>
    <n v="23.7"/>
    <n v="19.7"/>
    <n v="28.2"/>
    <n v="0"/>
    <s v="Normal"/>
    <s v="Normal"/>
    <s v="Normal"/>
    <s v="Normal"/>
    <x v="1"/>
  </r>
  <r>
    <d v="2018-08-23T00:00:00"/>
    <n v="23.3"/>
    <n v="20.5"/>
    <n v="28"/>
    <n v="0"/>
    <s v="Normal"/>
    <s v="Normal"/>
    <s v="Normal"/>
    <s v="Normal"/>
    <x v="1"/>
  </r>
  <r>
    <d v="2018-08-24T00:00:00"/>
    <n v="22.4"/>
    <n v="19.899999999999999"/>
    <n v="28.8"/>
    <n v="3.3"/>
    <s v="Normal"/>
    <s v="Normal"/>
    <s v="Normal"/>
    <s v="Normal"/>
    <x v="1"/>
  </r>
  <r>
    <d v="2018-08-25T00:00:00"/>
    <n v="23.7"/>
    <n v="19.8"/>
    <n v="29.5"/>
    <n v="41.7"/>
    <s v="Normal"/>
    <s v="Normal"/>
    <s v="Normal"/>
    <s v="Outlier"/>
    <x v="1"/>
  </r>
  <r>
    <d v="2018-08-26T00:00:00"/>
    <n v="22.4"/>
    <n v="19.899999999999999"/>
    <n v="28.5"/>
    <n v="0"/>
    <s v="Normal"/>
    <s v="Normal"/>
    <s v="Normal"/>
    <s v="Normal"/>
    <x v="1"/>
  </r>
  <r>
    <d v="2018-08-27T00:00:00"/>
    <n v="21.9"/>
    <n v="19.5"/>
    <n v="28.3"/>
    <n v="8.4"/>
    <s v="Normal"/>
    <s v="Normal"/>
    <s v="Normal"/>
    <s v="Normal"/>
    <x v="1"/>
  </r>
  <r>
    <d v="2018-08-28T00:00:00"/>
    <n v="22.6"/>
    <n v="19.600000000000001"/>
    <n v="27.6"/>
    <n v="0.5"/>
    <s v="Normal"/>
    <s v="Normal"/>
    <s v="Normal"/>
    <s v="Normal"/>
    <x v="1"/>
  </r>
  <r>
    <d v="2018-08-29T00:00:00"/>
    <n v="22.9"/>
    <n v="20"/>
    <n v="28"/>
    <n v="8.4"/>
    <s v="Normal"/>
    <s v="Normal"/>
    <s v="Normal"/>
    <s v="Normal"/>
    <x v="1"/>
  </r>
  <r>
    <d v="2018-08-30T00:00:00"/>
    <n v="23.3"/>
    <n v="20.3"/>
    <n v="28.2"/>
    <n v="3"/>
    <s v="Normal"/>
    <s v="Normal"/>
    <s v="Normal"/>
    <s v="Normal"/>
    <x v="1"/>
  </r>
  <r>
    <d v="2018-08-31T00:00:00"/>
    <n v="23.3"/>
    <n v="20.3"/>
    <n v="28.8"/>
    <n v="19.8"/>
    <s v="Normal"/>
    <s v="Normal"/>
    <s v="Normal"/>
    <s v="Outlier"/>
    <x v="1"/>
  </r>
  <r>
    <d v="2018-09-01T00:00:00"/>
    <n v="23.7"/>
    <n v="20"/>
    <n v="28.3"/>
    <n v="0"/>
    <s v="Normal"/>
    <s v="Normal"/>
    <s v="Normal"/>
    <s v="Normal"/>
    <x v="1"/>
  </r>
  <r>
    <d v="2018-09-02T00:00:00"/>
    <n v="23.7"/>
    <n v="20.3"/>
    <n v="28.2"/>
    <n v="0.3"/>
    <s v="Normal"/>
    <s v="Normal"/>
    <s v="Normal"/>
    <s v="Normal"/>
    <x v="1"/>
  </r>
  <r>
    <d v="2018-09-03T00:00:00"/>
    <n v="24.7"/>
    <n v="19.7"/>
    <n v="29.3"/>
    <n v="0"/>
    <s v="Normal"/>
    <s v="Normal"/>
    <s v="Normal"/>
    <s v="Normal"/>
    <x v="1"/>
  </r>
  <r>
    <d v="2018-09-07T00:00:00"/>
    <n v="24.4"/>
    <n v="20.3"/>
    <n v="29.2"/>
    <n v="0"/>
    <s v="Normal"/>
    <s v="Normal"/>
    <s v="Normal"/>
    <s v="Normal"/>
    <x v="1"/>
  </r>
  <r>
    <d v="2018-09-08T00:00:00"/>
    <n v="24.3"/>
    <n v="20.100000000000001"/>
    <n v="29.1"/>
    <n v="0"/>
    <s v="Normal"/>
    <s v="Normal"/>
    <s v="Normal"/>
    <s v="Normal"/>
    <x v="1"/>
  </r>
  <r>
    <d v="2018-09-09T00:00:00"/>
    <n v="25.7"/>
    <n v="20.5"/>
    <n v="30.3"/>
    <n v="0"/>
    <s v="Normal"/>
    <s v="Normal"/>
    <s v="Normal"/>
    <s v="Normal"/>
    <x v="1"/>
  </r>
  <r>
    <d v="2018-09-11T00:00:00"/>
    <n v="25.3"/>
    <n v="21.7"/>
    <n v="30.8"/>
    <n v="0"/>
    <s v="Normal"/>
    <s v="Normal"/>
    <s v="Normal"/>
    <s v="Normal"/>
    <x v="1"/>
  </r>
  <r>
    <d v="2018-09-12T00:00:00"/>
    <n v="25.9"/>
    <n v="20.9"/>
    <n v="31.1"/>
    <n v="0"/>
    <s v="Normal"/>
    <s v="Normal"/>
    <s v="Normal"/>
    <s v="Normal"/>
    <x v="1"/>
  </r>
  <r>
    <d v="2018-09-14T00:00:00"/>
    <n v="24.8"/>
    <n v="20.399999999999999"/>
    <n v="30.3"/>
    <n v="2"/>
    <s v="Normal"/>
    <s v="Normal"/>
    <s v="Normal"/>
    <s v="Normal"/>
    <x v="1"/>
  </r>
  <r>
    <d v="2018-09-15T00:00:00"/>
    <n v="23.2"/>
    <n v="20.100000000000001"/>
    <n v="31.7"/>
    <n v="9.9"/>
    <s v="Normal"/>
    <s v="Normal"/>
    <s v="Normal"/>
    <s v="Normal"/>
    <x v="1"/>
  </r>
  <r>
    <d v="2018-09-16T00:00:00"/>
    <n v="23.3"/>
    <n v="20.5"/>
    <n v="30.3"/>
    <n v="6.4"/>
    <s v="Normal"/>
    <s v="Normal"/>
    <s v="Normal"/>
    <s v="Normal"/>
    <x v="1"/>
  </r>
  <r>
    <d v="2018-09-21T00:00:00"/>
    <n v="23.5"/>
    <n v="20"/>
    <n v="28.4"/>
    <n v="7.6"/>
    <s v="Normal"/>
    <s v="Normal"/>
    <s v="Normal"/>
    <s v="Normal"/>
    <x v="1"/>
  </r>
  <r>
    <d v="2018-09-22T00:00:00"/>
    <n v="23.9"/>
    <n v="18.399999999999999"/>
    <n v="28.2"/>
    <n v="0"/>
    <s v="Normal"/>
    <s v="Normal"/>
    <s v="Normal"/>
    <s v="Normal"/>
    <x v="1"/>
  </r>
  <r>
    <d v="2018-09-24T00:00:00"/>
    <n v="22.6"/>
    <n v="18.899999999999999"/>
    <n v="28.9"/>
    <n v="53.1"/>
    <s v="Normal"/>
    <s v="Normal"/>
    <s v="Normal"/>
    <s v="Outlier"/>
    <x v="1"/>
  </r>
  <r>
    <d v="2018-09-25T00:00:00"/>
    <n v="23.5"/>
    <n v="19.3"/>
    <n v="29.3"/>
    <n v="25.4"/>
    <s v="Normal"/>
    <s v="Normal"/>
    <s v="Normal"/>
    <s v="Outlier"/>
    <x v="1"/>
  </r>
  <r>
    <d v="2018-09-26T00:00:00"/>
    <n v="24.4"/>
    <n v="20.399999999999999"/>
    <n v="29.7"/>
    <n v="0.3"/>
    <s v="Normal"/>
    <s v="Normal"/>
    <s v="Normal"/>
    <s v="Normal"/>
    <x v="1"/>
  </r>
  <r>
    <d v="2018-09-27T00:00:00"/>
    <n v="23.7"/>
    <n v="19.899999999999999"/>
    <n v="30.3"/>
    <n v="32.299999999999997"/>
    <s v="Normal"/>
    <s v="Normal"/>
    <s v="Normal"/>
    <s v="Outlier"/>
    <x v="1"/>
  </r>
  <r>
    <d v="2018-09-28T00:00:00"/>
    <n v="25.1"/>
    <n v="21.3"/>
    <n v="29.5"/>
    <n v="1.3"/>
    <s v="Normal"/>
    <s v="Normal"/>
    <s v="Normal"/>
    <s v="Normal"/>
    <x v="1"/>
  </r>
  <r>
    <d v="2018-09-29T00:00:00"/>
    <n v="25.3"/>
    <n v="21.4"/>
    <n v="29.9"/>
    <n v="4.3"/>
    <s v="Normal"/>
    <s v="Normal"/>
    <s v="Normal"/>
    <s v="Normal"/>
    <x v="1"/>
  </r>
  <r>
    <d v="2018-09-30T00:00:00"/>
    <n v="25.4"/>
    <n v="21.8"/>
    <n v="30.2"/>
    <n v="0"/>
    <s v="Normal"/>
    <s v="Normal"/>
    <s v="Normal"/>
    <s v="Normal"/>
    <x v="1"/>
  </r>
  <r>
    <d v="2018-10-01T00:00:00"/>
    <n v="25.5"/>
    <n v="21.6"/>
    <n v="30.9"/>
    <n v="0.3"/>
    <s v="Normal"/>
    <s v="Normal"/>
    <s v="Normal"/>
    <s v="Normal"/>
    <x v="1"/>
  </r>
  <r>
    <d v="2018-10-02T00:00:00"/>
    <n v="24.9"/>
    <n v="21.3"/>
    <n v="30.3"/>
    <n v="0"/>
    <s v="Normal"/>
    <s v="Normal"/>
    <s v="Normal"/>
    <s v="Normal"/>
    <x v="1"/>
  </r>
  <r>
    <d v="2018-10-03T00:00:00"/>
    <n v="24.1"/>
    <n v="21.6"/>
    <n v="30.4"/>
    <n v="0.3"/>
    <s v="Normal"/>
    <s v="Normal"/>
    <s v="Normal"/>
    <s v="Normal"/>
    <x v="1"/>
  </r>
  <r>
    <d v="2018-10-04T00:00:00"/>
    <n v="21.8"/>
    <n v="20.9"/>
    <n v="30.6"/>
    <n v="27.7"/>
    <s v="Normal"/>
    <s v="Normal"/>
    <s v="Normal"/>
    <s v="Outlier"/>
    <x v="1"/>
  </r>
  <r>
    <d v="2018-10-05T00:00:00"/>
    <n v="23"/>
    <n v="20.6"/>
    <n v="25.9"/>
    <n v="10.199999999999999"/>
    <s v="Normal"/>
    <s v="Normal"/>
    <s v="Normal"/>
    <s v="Normal"/>
    <x v="1"/>
  </r>
  <r>
    <d v="2018-10-06T00:00:00"/>
    <n v="22.5"/>
    <n v="20.399999999999999"/>
    <n v="26.4"/>
    <n v="2.5"/>
    <s v="Normal"/>
    <s v="Normal"/>
    <s v="Normal"/>
    <s v="Normal"/>
    <x v="1"/>
  </r>
  <r>
    <d v="2018-10-07T00:00:00"/>
    <n v="24.3"/>
    <n v="20.2"/>
    <n v="28.4"/>
    <n v="7.9"/>
    <s v="Normal"/>
    <s v="Normal"/>
    <s v="Normal"/>
    <s v="Normal"/>
    <x v="1"/>
  </r>
  <r>
    <d v="2018-10-08T00:00:00"/>
    <n v="24.1"/>
    <n v="20.8"/>
    <n v="29.5"/>
    <n v="0"/>
    <s v="Normal"/>
    <s v="Normal"/>
    <s v="Normal"/>
    <s v="Normal"/>
    <x v="1"/>
  </r>
  <r>
    <d v="2018-10-09T00:00:00"/>
    <n v="24.3"/>
    <n v="20.6"/>
    <n v="29.5"/>
    <n v="4.3"/>
    <s v="Normal"/>
    <s v="Normal"/>
    <s v="Normal"/>
    <s v="Normal"/>
    <x v="1"/>
  </r>
  <r>
    <d v="2018-10-10T00:00:00"/>
    <n v="24"/>
    <n v="19.100000000000001"/>
    <n v="30"/>
    <n v="0"/>
    <s v="Normal"/>
    <s v="Normal"/>
    <s v="Normal"/>
    <s v="Normal"/>
    <x v="1"/>
  </r>
  <r>
    <d v="2018-10-15T00:00:00"/>
    <n v="23.4"/>
    <n v="20.100000000000001"/>
    <n v="29.8"/>
    <n v="3.8"/>
    <s v="Normal"/>
    <s v="Normal"/>
    <s v="Normal"/>
    <s v="Normal"/>
    <x v="1"/>
  </r>
  <r>
    <d v="2018-10-16T00:00:00"/>
    <n v="24.3"/>
    <n v="20.7"/>
    <n v="29"/>
    <n v="5.0999999999999996"/>
    <s v="Normal"/>
    <s v="Normal"/>
    <s v="Normal"/>
    <s v="Normal"/>
    <x v="1"/>
  </r>
  <r>
    <d v="2018-10-17T00:00:00"/>
    <n v="22.4"/>
    <n v="19.399999999999999"/>
    <n v="29.3"/>
    <n v="0"/>
    <s v="Normal"/>
    <s v="Normal"/>
    <s v="Normal"/>
    <s v="Normal"/>
    <x v="1"/>
  </r>
  <r>
    <d v="2018-10-18T00:00:00"/>
    <n v="23.1"/>
    <n v="18.899999999999999"/>
    <n v="28.5"/>
    <n v="48.8"/>
    <s v="Normal"/>
    <s v="Normal"/>
    <s v="Normal"/>
    <s v="Outlier"/>
    <x v="1"/>
  </r>
  <r>
    <d v="2018-10-19T00:00:00"/>
    <n v="23.9"/>
    <n v="20.2"/>
    <n v="28.7"/>
    <n v="1"/>
    <s v="Normal"/>
    <s v="Normal"/>
    <s v="Normal"/>
    <s v="Normal"/>
    <x v="1"/>
  </r>
  <r>
    <d v="2018-10-20T00:00:00"/>
    <n v="23.8"/>
    <n v="19.7"/>
    <n v="29.3"/>
    <n v="0"/>
    <s v="Normal"/>
    <s v="Normal"/>
    <s v="Normal"/>
    <s v="Normal"/>
    <x v="1"/>
  </r>
  <r>
    <d v="2018-11-03T00:00:00"/>
    <n v="22.8"/>
    <n v="19.600000000000001"/>
    <n v="27.7"/>
    <n v="0.5"/>
    <s v="Normal"/>
    <s v="Normal"/>
    <s v="Normal"/>
    <s v="Normal"/>
    <x v="1"/>
  </r>
  <r>
    <d v="2018-11-04T00:00:00"/>
    <n v="23.5"/>
    <n v="18.8"/>
    <n v="28.1"/>
    <n v="4.5999999999999996"/>
    <s v="Normal"/>
    <s v="Normal"/>
    <s v="Normal"/>
    <s v="Normal"/>
    <x v="1"/>
  </r>
  <r>
    <d v="2018-11-05T00:00:00"/>
    <n v="23.6"/>
    <n v="19.7"/>
    <n v="29.2"/>
    <n v="0"/>
    <s v="Normal"/>
    <s v="Normal"/>
    <s v="Normal"/>
    <s v="Normal"/>
    <x v="1"/>
  </r>
  <r>
    <d v="2018-11-15T00:00:00"/>
    <n v="23.3"/>
    <n v="16.5"/>
    <n v="31"/>
    <n v="0"/>
    <s v="Normal"/>
    <s v="Outlier"/>
    <s v="Normal"/>
    <s v="Normal"/>
    <x v="1"/>
  </r>
  <r>
    <d v="2018-11-16T00:00:00"/>
    <n v="21.9"/>
    <n v="19.7"/>
    <n v="28.6"/>
    <n v="0"/>
    <s v="Normal"/>
    <s v="Normal"/>
    <s v="Normal"/>
    <s v="Normal"/>
    <x v="1"/>
  </r>
  <r>
    <d v="2018-11-17T00:00:00"/>
    <n v="23.9"/>
    <n v="19.2"/>
    <n v="29.3"/>
    <n v="0.3"/>
    <s v="Normal"/>
    <s v="Normal"/>
    <s v="Normal"/>
    <s v="Normal"/>
    <x v="1"/>
  </r>
  <r>
    <d v="2018-11-18T00:00:00"/>
    <n v="24.3"/>
    <n v="20.6"/>
    <n v="30.2"/>
    <n v="0"/>
    <s v="Normal"/>
    <s v="Normal"/>
    <s v="Normal"/>
    <s v="Normal"/>
    <x v="1"/>
  </r>
  <r>
    <d v="2018-11-20T00:00:00"/>
    <n v="24.4"/>
    <n v="19.7"/>
    <n v="29.8"/>
    <n v="0"/>
    <s v="Normal"/>
    <s v="Normal"/>
    <s v="Normal"/>
    <s v="Normal"/>
    <x v="1"/>
  </r>
  <r>
    <d v="2018-11-22T00:00:00"/>
    <n v="21.6"/>
    <n v="19.600000000000001"/>
    <n v="26.6"/>
    <n v="0"/>
    <s v="Normal"/>
    <s v="Normal"/>
    <s v="Normal"/>
    <s v="Normal"/>
    <x v="1"/>
  </r>
  <r>
    <d v="2018-11-23T00:00:00"/>
    <n v="20.9"/>
    <n v="19.600000000000001"/>
    <n v="24.8"/>
    <n v="0.5"/>
    <s v="Normal"/>
    <s v="Normal"/>
    <s v="Normal"/>
    <s v="Normal"/>
    <x v="1"/>
  </r>
  <r>
    <d v="2018-11-24T00:00:00"/>
    <n v="22.9"/>
    <n v="19"/>
    <n v="27.6"/>
    <n v="13"/>
    <s v="Normal"/>
    <s v="Normal"/>
    <s v="Normal"/>
    <s v="Outlier"/>
    <x v="1"/>
  </r>
  <r>
    <d v="2018-11-25T00:00:00"/>
    <n v="22.6"/>
    <n v="19.2"/>
    <n v="28.5"/>
    <n v="0"/>
    <s v="Normal"/>
    <s v="Normal"/>
    <s v="Normal"/>
    <s v="Normal"/>
    <x v="1"/>
  </r>
  <r>
    <d v="2018-12-05T00:00:00"/>
    <n v="23.2"/>
    <n v="19.5"/>
    <n v="28.1"/>
    <n v="4.8"/>
    <s v="Normal"/>
    <s v="Normal"/>
    <s v="Normal"/>
    <s v="Normal"/>
    <x v="1"/>
  </r>
  <r>
    <d v="2018-12-06T00:00:00"/>
    <n v="23.5"/>
    <n v="20"/>
    <n v="28.3"/>
    <n v="0"/>
    <s v="Normal"/>
    <s v="Normal"/>
    <s v="Normal"/>
    <s v="Normal"/>
    <x v="1"/>
  </r>
  <r>
    <d v="2018-12-20T00:00:00"/>
    <n v="22.2"/>
    <n v="17.7"/>
    <n v="27.7"/>
    <n v="0"/>
    <s v="Normal"/>
    <s v="Normal"/>
    <s v="Normal"/>
    <s v="Normal"/>
    <x v="1"/>
  </r>
  <r>
    <d v="2018-12-29T00:00:00"/>
    <n v="21.8"/>
    <n v="18.600000000000001"/>
    <n v="27.8"/>
    <n v="10.9"/>
    <s v="Normal"/>
    <s v="Normal"/>
    <s v="Normal"/>
    <s v="Outlier"/>
    <x v="1"/>
  </r>
  <r>
    <d v="2018-12-30T00:00:00"/>
    <n v="20.6"/>
    <n v="17.2"/>
    <n v="26.6"/>
    <n v="0"/>
    <s v="Normal"/>
    <s v="Normal"/>
    <s v="Normal"/>
    <s v="Normal"/>
    <x v="1"/>
  </r>
  <r>
    <d v="2019-01-29T00:00:00"/>
    <n v="21.9"/>
    <n v="17.7"/>
    <n v="29.6"/>
    <n v="0.8"/>
    <s v="Normal"/>
    <s v="Normal"/>
    <s v="Normal"/>
    <s v="Normal"/>
    <x v="2"/>
  </r>
  <r>
    <d v="2019-01-30T00:00:00"/>
    <n v="22.1"/>
    <n v="17.2"/>
    <n v="27.4"/>
    <n v="0"/>
    <s v="Normal"/>
    <s v="Normal"/>
    <s v="Normal"/>
    <s v="Normal"/>
    <x v="2"/>
  </r>
  <r>
    <d v="2019-03-05T00:00:00"/>
    <n v="27.8"/>
    <n v="23.1"/>
    <n v="34.299999999999997"/>
    <n v="0"/>
    <s v="Normal"/>
    <s v="Normal"/>
    <s v="Normal"/>
    <s v="Normal"/>
    <x v="2"/>
  </r>
  <r>
    <d v="2019-04-09T00:00:00"/>
    <n v="28.2"/>
    <n v="22.8"/>
    <n v="35.6"/>
    <n v="7.6"/>
    <s v="Normal"/>
    <s v="Normal"/>
    <s v="Normal"/>
    <s v="Normal"/>
    <x v="2"/>
  </r>
  <r>
    <d v="2019-04-18T00:00:00"/>
    <n v="27.2"/>
    <n v="21.6"/>
    <n v="36"/>
    <n v="16.8"/>
    <s v="Normal"/>
    <s v="Normal"/>
    <s v="Normal"/>
    <s v="Outlier"/>
    <x v="2"/>
  </r>
  <r>
    <d v="2019-04-19T00:00:00"/>
    <n v="27.6"/>
    <n v="21.4"/>
    <n v="35.6"/>
    <n v="20.8"/>
    <s v="Normal"/>
    <s v="Normal"/>
    <s v="Normal"/>
    <s v="Outlier"/>
    <x v="2"/>
  </r>
  <r>
    <d v="2019-04-20T00:00:00"/>
    <n v="26.8"/>
    <n v="22.4"/>
    <n v="33.200000000000003"/>
    <n v="0.3"/>
    <s v="Normal"/>
    <s v="Normal"/>
    <s v="Normal"/>
    <s v="Normal"/>
    <x v="2"/>
  </r>
  <r>
    <d v="2019-04-21T00:00:00"/>
    <n v="27.4"/>
    <n v="21.6"/>
    <n v="34.200000000000003"/>
    <n v="0"/>
    <s v="Normal"/>
    <s v="Normal"/>
    <s v="Normal"/>
    <s v="Normal"/>
    <x v="2"/>
  </r>
  <r>
    <d v="2019-04-23T00:00:00"/>
    <n v="27.9"/>
    <n v="23.2"/>
    <n v="35"/>
    <n v="0"/>
    <s v="Normal"/>
    <s v="Normal"/>
    <s v="Normal"/>
    <s v="Normal"/>
    <x v="2"/>
  </r>
  <r>
    <d v="2019-04-30T00:00:00"/>
    <n v="24.2"/>
    <n v="19.899999999999999"/>
    <n v="35"/>
    <n v="35.1"/>
    <s v="Normal"/>
    <s v="Normal"/>
    <s v="Normal"/>
    <s v="Outlier"/>
    <x v="2"/>
  </r>
  <r>
    <d v="2019-05-01T00:00:00"/>
    <n v="26.3"/>
    <n v="20.9"/>
    <n v="28.9"/>
    <n v="0"/>
    <s v="Normal"/>
    <s v="Normal"/>
    <s v="Normal"/>
    <s v="Normal"/>
    <x v="2"/>
  </r>
  <r>
    <d v="2019-05-07T00:00:00"/>
    <n v="25.5"/>
    <n v="21.9"/>
    <n v="36.200000000000003"/>
    <n v="0"/>
    <s v="Normal"/>
    <s v="Normal"/>
    <s v="Normal"/>
    <s v="Normal"/>
    <x v="2"/>
  </r>
  <r>
    <d v="2019-05-08T00:00:00"/>
    <n v="26.7"/>
    <n v="20.6"/>
    <n v="33.6"/>
    <n v="15"/>
    <s v="Normal"/>
    <s v="Normal"/>
    <s v="Normal"/>
    <s v="Outlier"/>
    <x v="2"/>
  </r>
  <r>
    <d v="2019-05-09T00:00:00"/>
    <n v="27.9"/>
    <n v="20.8"/>
    <n v="33.1"/>
    <n v="0"/>
    <s v="Normal"/>
    <s v="Normal"/>
    <s v="Normal"/>
    <s v="Normal"/>
    <x v="2"/>
  </r>
  <r>
    <d v="2019-05-12T00:00:00"/>
    <n v="27.8"/>
    <n v="24.4"/>
    <n v="35.200000000000003"/>
    <n v="7.9"/>
    <s v="Normal"/>
    <s v="Outlier"/>
    <s v="Normal"/>
    <s v="Normal"/>
    <x v="2"/>
  </r>
  <r>
    <d v="2019-05-13T00:00:00"/>
    <n v="26.7"/>
    <n v="21.7"/>
    <n v="35"/>
    <n v="0"/>
    <s v="Normal"/>
    <s v="Normal"/>
    <s v="Normal"/>
    <s v="Normal"/>
    <x v="2"/>
  </r>
  <r>
    <d v="2019-05-14T00:00:00"/>
    <n v="27.9"/>
    <n v="21.8"/>
    <n v="35"/>
    <n v="0"/>
    <s v="Normal"/>
    <s v="Normal"/>
    <s v="Normal"/>
    <s v="Normal"/>
    <x v="2"/>
  </r>
  <r>
    <d v="2019-05-15T00:00:00"/>
    <n v="25.6"/>
    <n v="22.2"/>
    <n v="34.799999999999997"/>
    <n v="0"/>
    <s v="Normal"/>
    <s v="Normal"/>
    <s v="Normal"/>
    <s v="Normal"/>
    <x v="2"/>
  </r>
  <r>
    <d v="2019-05-17T00:00:00"/>
    <n v="24"/>
    <n v="21.4"/>
    <n v="33.6"/>
    <n v="9.9"/>
    <s v="Normal"/>
    <s v="Normal"/>
    <s v="Normal"/>
    <s v="Normal"/>
    <x v="2"/>
  </r>
  <r>
    <d v="2019-05-18T00:00:00"/>
    <n v="27.7"/>
    <n v="21.4"/>
    <n v="33.6"/>
    <n v="18.8"/>
    <s v="Normal"/>
    <s v="Normal"/>
    <s v="Normal"/>
    <s v="Outlier"/>
    <x v="2"/>
  </r>
  <r>
    <d v="2019-05-19T00:00:00"/>
    <n v="28.2"/>
    <n v="23.8"/>
    <n v="34"/>
    <n v="0"/>
    <s v="Normal"/>
    <s v="Outlier"/>
    <s v="Normal"/>
    <s v="Normal"/>
    <x v="2"/>
  </r>
  <r>
    <d v="2019-05-23T00:00:00"/>
    <n v="26.5"/>
    <n v="22.6"/>
    <n v="34.6"/>
    <n v="15"/>
    <s v="Normal"/>
    <s v="Normal"/>
    <s v="Normal"/>
    <s v="Outlier"/>
    <x v="2"/>
  </r>
  <r>
    <d v="2019-05-24T00:00:00"/>
    <n v="26.1"/>
    <n v="22.4"/>
    <n v="34"/>
    <n v="3.8"/>
    <s v="Normal"/>
    <s v="Normal"/>
    <s v="Normal"/>
    <s v="Normal"/>
    <x v="2"/>
  </r>
  <r>
    <d v="2019-05-25T00:00:00"/>
    <n v="24.8"/>
    <n v="21"/>
    <n v="33.5"/>
    <n v="0"/>
    <s v="Normal"/>
    <s v="Normal"/>
    <s v="Normal"/>
    <s v="Normal"/>
    <x v="2"/>
  </r>
  <r>
    <d v="2019-05-27T00:00:00"/>
    <n v="27.7"/>
    <n v="20"/>
    <n v="33.799999999999997"/>
    <n v="37.299999999999997"/>
    <s v="Normal"/>
    <s v="Normal"/>
    <s v="Normal"/>
    <s v="Outlier"/>
    <x v="2"/>
  </r>
  <r>
    <d v="2019-05-28T00:00:00"/>
    <n v="27.5"/>
    <n v="24.7"/>
    <n v="34.200000000000003"/>
    <n v="0"/>
    <s v="Normal"/>
    <s v="Outlier"/>
    <s v="Normal"/>
    <s v="Normal"/>
    <x v="2"/>
  </r>
  <r>
    <d v="2019-05-29T00:00:00"/>
    <n v="27.9"/>
    <n v="23"/>
    <n v="33.6"/>
    <n v="0.3"/>
    <s v="Normal"/>
    <s v="Normal"/>
    <s v="Normal"/>
    <s v="Normal"/>
    <x v="2"/>
  </r>
  <r>
    <d v="2019-05-30T00:00:00"/>
    <n v="27.8"/>
    <n v="23"/>
    <n v="34"/>
    <n v="0"/>
    <s v="Normal"/>
    <s v="Normal"/>
    <s v="Normal"/>
    <s v="Normal"/>
    <x v="2"/>
  </r>
  <r>
    <d v="2019-06-01T00:00:00"/>
    <n v="27.5"/>
    <n v="21"/>
    <n v="33.200000000000003"/>
    <n v="1.5"/>
    <s v="Normal"/>
    <s v="Normal"/>
    <s v="Normal"/>
    <s v="Normal"/>
    <x v="2"/>
  </r>
  <r>
    <d v="2019-06-02T00:00:00"/>
    <n v="26.2"/>
    <n v="21.8"/>
    <n v="33.200000000000003"/>
    <n v="0"/>
    <s v="Normal"/>
    <s v="Normal"/>
    <s v="Normal"/>
    <s v="Normal"/>
    <x v="2"/>
  </r>
  <r>
    <d v="2019-06-03T00:00:00"/>
    <n v="25.5"/>
    <n v="21.2"/>
    <n v="32.1"/>
    <n v="8.4"/>
    <s v="Normal"/>
    <s v="Normal"/>
    <s v="Normal"/>
    <s v="Normal"/>
    <x v="2"/>
  </r>
  <r>
    <d v="2019-06-04T00:00:00"/>
    <n v="26.9"/>
    <n v="22.1"/>
    <n v="30.5"/>
    <n v="0"/>
    <s v="Normal"/>
    <s v="Normal"/>
    <s v="Normal"/>
    <s v="Normal"/>
    <x v="2"/>
  </r>
  <r>
    <d v="2019-06-06T00:00:00"/>
    <n v="25.8"/>
    <n v="20.6"/>
    <n v="32.4"/>
    <n v="20.3"/>
    <s v="Normal"/>
    <s v="Normal"/>
    <s v="Normal"/>
    <s v="Outlier"/>
    <x v="2"/>
  </r>
  <r>
    <d v="2019-06-07T00:00:00"/>
    <n v="25.4"/>
    <n v="20.6"/>
    <n v="32"/>
    <n v="20.100000000000001"/>
    <s v="Normal"/>
    <s v="Normal"/>
    <s v="Normal"/>
    <s v="Outlier"/>
    <x v="2"/>
  </r>
  <r>
    <d v="2019-06-08T00:00:00"/>
    <n v="26.3"/>
    <n v="22.5"/>
    <n v="31.5"/>
    <n v="0"/>
    <s v="Normal"/>
    <s v="Normal"/>
    <s v="Normal"/>
    <s v="Normal"/>
    <x v="2"/>
  </r>
  <r>
    <d v="2019-06-13T00:00:00"/>
    <n v="24.8"/>
    <n v="22"/>
    <n v="29.4"/>
    <n v="0"/>
    <s v="Normal"/>
    <s v="Normal"/>
    <s v="Normal"/>
    <s v="Normal"/>
    <x v="2"/>
  </r>
  <r>
    <d v="2019-06-19T00:00:00"/>
    <n v="26.6"/>
    <n v="21.5"/>
    <n v="31.2"/>
    <n v="0"/>
    <s v="Normal"/>
    <s v="Normal"/>
    <s v="Normal"/>
    <s v="Normal"/>
    <x v="2"/>
  </r>
  <r>
    <d v="2019-06-20T00:00:00"/>
    <n v="25.7"/>
    <n v="22.2"/>
    <n v="32.299999999999997"/>
    <n v="1.3"/>
    <s v="Normal"/>
    <s v="Normal"/>
    <s v="Normal"/>
    <s v="Normal"/>
    <x v="2"/>
  </r>
  <r>
    <d v="2019-06-21T00:00:00"/>
    <n v="24.6"/>
    <n v="20.7"/>
    <n v="30.6"/>
    <n v="0"/>
    <s v="Normal"/>
    <s v="Normal"/>
    <s v="Normal"/>
    <s v="Normal"/>
    <x v="2"/>
  </r>
  <r>
    <d v="2019-06-22T00:00:00"/>
    <n v="25.1"/>
    <n v="21.6"/>
    <n v="29.4"/>
    <n v="0"/>
    <s v="Normal"/>
    <s v="Normal"/>
    <s v="Normal"/>
    <s v="Normal"/>
    <x v="2"/>
  </r>
  <r>
    <d v="2019-06-23T00:00:00"/>
    <n v="23.8"/>
    <n v="20.8"/>
    <n v="29.4"/>
    <n v="3"/>
    <s v="Normal"/>
    <s v="Normal"/>
    <s v="Normal"/>
    <s v="Normal"/>
    <x v="2"/>
  </r>
  <r>
    <d v="2019-06-24T00:00:00"/>
    <n v="24.5"/>
    <n v="21"/>
    <n v="29.4"/>
    <n v="26.4"/>
    <s v="Normal"/>
    <s v="Normal"/>
    <s v="Normal"/>
    <s v="Outlier"/>
    <x v="2"/>
  </r>
  <r>
    <d v="2019-06-25T00:00:00"/>
    <n v="25"/>
    <n v="21.4"/>
    <n v="29.7"/>
    <n v="0"/>
    <s v="Normal"/>
    <s v="Normal"/>
    <s v="Normal"/>
    <s v="Normal"/>
    <x v="2"/>
  </r>
  <r>
    <d v="2019-06-26T00:00:00"/>
    <n v="24.6"/>
    <n v="21.6"/>
    <n v="29.8"/>
    <n v="0"/>
    <s v="Normal"/>
    <s v="Normal"/>
    <s v="Normal"/>
    <s v="Normal"/>
    <x v="2"/>
  </r>
  <r>
    <d v="2019-06-28T00:00:00"/>
    <n v="25.2"/>
    <n v="21"/>
    <n v="31"/>
    <n v="2"/>
    <s v="Normal"/>
    <s v="Normal"/>
    <s v="Normal"/>
    <s v="Normal"/>
    <x v="2"/>
  </r>
  <r>
    <d v="2019-06-29T00:00:00"/>
    <n v="25.1"/>
    <n v="21"/>
    <n v="31.2"/>
    <n v="0"/>
    <s v="Normal"/>
    <s v="Normal"/>
    <s v="Normal"/>
    <s v="Normal"/>
    <x v="2"/>
  </r>
  <r>
    <d v="2019-07-01T00:00:00"/>
    <n v="25.6"/>
    <n v="21"/>
    <n v="29.8"/>
    <n v="0"/>
    <s v="Normal"/>
    <s v="Normal"/>
    <s v="Normal"/>
    <s v="Normal"/>
    <x v="2"/>
  </r>
  <r>
    <d v="2019-07-03T00:00:00"/>
    <n v="25.4"/>
    <n v="21.4"/>
    <n v="30.8"/>
    <n v="0"/>
    <s v="Normal"/>
    <s v="Normal"/>
    <s v="Normal"/>
    <s v="Normal"/>
    <x v="2"/>
  </r>
  <r>
    <d v="2019-07-05T00:00:00"/>
    <n v="23.7"/>
    <n v="20.8"/>
    <n v="30.3"/>
    <n v="0"/>
    <s v="Normal"/>
    <s v="Normal"/>
    <s v="Normal"/>
    <s v="Normal"/>
    <x v="2"/>
  </r>
  <r>
    <d v="2019-07-07T00:00:00"/>
    <n v="24.5"/>
    <n v="20.7"/>
    <n v="28.6"/>
    <n v="1"/>
    <s v="Normal"/>
    <s v="Normal"/>
    <s v="Normal"/>
    <s v="Normal"/>
    <x v="2"/>
  </r>
  <r>
    <d v="2019-07-08T00:00:00"/>
    <n v="24.4"/>
    <n v="20.6"/>
    <n v="29.2"/>
    <n v="0"/>
    <s v="Normal"/>
    <s v="Normal"/>
    <s v="Normal"/>
    <s v="Normal"/>
    <x v="2"/>
  </r>
  <r>
    <d v="2019-07-09T00:00:00"/>
    <n v="23.8"/>
    <n v="20"/>
    <n v="29.5"/>
    <n v="0"/>
    <s v="Normal"/>
    <s v="Normal"/>
    <s v="Normal"/>
    <s v="Normal"/>
    <x v="2"/>
  </r>
  <r>
    <d v="2019-07-10T00:00:00"/>
    <n v="23.2"/>
    <n v="19.5"/>
    <n v="29.6"/>
    <n v="0"/>
    <s v="Normal"/>
    <s v="Normal"/>
    <s v="Normal"/>
    <s v="Normal"/>
    <x v="2"/>
  </r>
  <r>
    <d v="2019-07-11T00:00:00"/>
    <n v="24.2"/>
    <n v="20.2"/>
    <n v="29.4"/>
    <n v="0"/>
    <s v="Normal"/>
    <s v="Normal"/>
    <s v="Normal"/>
    <s v="Normal"/>
    <x v="2"/>
  </r>
  <r>
    <d v="2019-07-12T00:00:00"/>
    <n v="25.3"/>
    <n v="20.8"/>
    <n v="31.4"/>
    <n v="7.1"/>
    <s v="Normal"/>
    <s v="Normal"/>
    <s v="Normal"/>
    <s v="Normal"/>
    <x v="2"/>
  </r>
  <r>
    <d v="2019-07-13T00:00:00"/>
    <n v="25.2"/>
    <n v="21"/>
    <n v="31.2"/>
    <n v="2.5"/>
    <s v="Normal"/>
    <s v="Normal"/>
    <s v="Normal"/>
    <s v="Normal"/>
    <x v="2"/>
  </r>
  <r>
    <d v="2019-07-14T00:00:00"/>
    <n v="24.7"/>
    <n v="21.3"/>
    <n v="30"/>
    <n v="1"/>
    <s v="Normal"/>
    <s v="Normal"/>
    <s v="Normal"/>
    <s v="Normal"/>
    <x v="2"/>
  </r>
  <r>
    <d v="2019-07-15T00:00:00"/>
    <n v="24.2"/>
    <n v="21.4"/>
    <n v="30.8"/>
    <n v="0.3"/>
    <s v="Normal"/>
    <s v="Normal"/>
    <s v="Normal"/>
    <s v="Normal"/>
    <x v="2"/>
  </r>
  <r>
    <d v="2019-07-16T00:00:00"/>
    <n v="24.8"/>
    <n v="21"/>
    <n v="30.4"/>
    <n v="3"/>
    <s v="Normal"/>
    <s v="Normal"/>
    <s v="Normal"/>
    <s v="Normal"/>
    <x v="2"/>
  </r>
  <r>
    <d v="2019-07-17T00:00:00"/>
    <n v="24.8"/>
    <n v="21"/>
    <n v="30.3"/>
    <n v="3"/>
    <s v="Normal"/>
    <s v="Normal"/>
    <s v="Normal"/>
    <s v="Normal"/>
    <x v="2"/>
  </r>
  <r>
    <d v="2019-07-18T00:00:00"/>
    <n v="24.3"/>
    <n v="21.4"/>
    <n v="29.3"/>
    <n v="40.4"/>
    <s v="Normal"/>
    <s v="Normal"/>
    <s v="Normal"/>
    <s v="Outlier"/>
    <x v="2"/>
  </r>
  <r>
    <d v="2019-07-19T00:00:00"/>
    <n v="23.6"/>
    <n v="21.6"/>
    <n v="28.4"/>
    <n v="1"/>
    <s v="Normal"/>
    <s v="Normal"/>
    <s v="Normal"/>
    <s v="Normal"/>
    <x v="2"/>
  </r>
  <r>
    <d v="2019-07-20T00:00:00"/>
    <n v="23.4"/>
    <n v="20.6"/>
    <n v="28.4"/>
    <n v="1.3"/>
    <s v="Normal"/>
    <s v="Normal"/>
    <s v="Normal"/>
    <s v="Normal"/>
    <x v="2"/>
  </r>
  <r>
    <d v="2019-07-21T00:00:00"/>
    <n v="23"/>
    <n v="20.6"/>
    <n v="27.7"/>
    <n v="0"/>
    <s v="Normal"/>
    <s v="Normal"/>
    <s v="Normal"/>
    <s v="Normal"/>
    <x v="2"/>
  </r>
  <r>
    <d v="2019-07-22T00:00:00"/>
    <n v="22.2"/>
    <n v="19.899999999999999"/>
    <n v="27.6"/>
    <n v="3.3"/>
    <s v="Normal"/>
    <s v="Normal"/>
    <s v="Normal"/>
    <s v="Normal"/>
    <x v="2"/>
  </r>
  <r>
    <d v="2019-07-23T00:00:00"/>
    <n v="22"/>
    <n v="19.2"/>
    <n v="26"/>
    <n v="14"/>
    <s v="Normal"/>
    <s v="Normal"/>
    <s v="Normal"/>
    <s v="Outlier"/>
    <x v="2"/>
  </r>
  <r>
    <d v="2019-07-24T00:00:00"/>
    <n v="24.3"/>
    <n v="20"/>
    <n v="29.7"/>
    <n v="0.3"/>
    <s v="Normal"/>
    <s v="Normal"/>
    <s v="Normal"/>
    <s v="Normal"/>
    <x v="2"/>
  </r>
  <r>
    <d v="2019-07-25T00:00:00"/>
    <n v="23.8"/>
    <n v="21.3"/>
    <n v="29.5"/>
    <n v="1"/>
    <s v="Normal"/>
    <s v="Normal"/>
    <s v="Normal"/>
    <s v="Normal"/>
    <x v="2"/>
  </r>
  <r>
    <d v="2019-07-26T00:00:00"/>
    <n v="22.6"/>
    <n v="20.6"/>
    <n v="28.5"/>
    <n v="11.2"/>
    <s v="Normal"/>
    <s v="Normal"/>
    <s v="Normal"/>
    <s v="Outlier"/>
    <x v="2"/>
  </r>
  <r>
    <d v="2019-07-27T00:00:00"/>
    <n v="24.1"/>
    <n v="20.399999999999999"/>
    <n v="28.3"/>
    <n v="0"/>
    <s v="Normal"/>
    <s v="Normal"/>
    <s v="Normal"/>
    <s v="Normal"/>
    <x v="2"/>
  </r>
  <r>
    <d v="2019-07-28T00:00:00"/>
    <n v="23.4"/>
    <n v="20.6"/>
    <n v="29"/>
    <n v="0"/>
    <s v="Normal"/>
    <s v="Normal"/>
    <s v="Normal"/>
    <s v="Normal"/>
    <x v="2"/>
  </r>
  <r>
    <d v="2019-07-29T00:00:00"/>
    <n v="23.4"/>
    <n v="20.8"/>
    <n v="28.2"/>
    <n v="0"/>
    <s v="Normal"/>
    <s v="Normal"/>
    <s v="Normal"/>
    <s v="Normal"/>
    <x v="2"/>
  </r>
  <r>
    <d v="2019-07-30T00:00:00"/>
    <n v="22.9"/>
    <n v="20.100000000000001"/>
    <n v="27.6"/>
    <n v="0"/>
    <s v="Normal"/>
    <s v="Normal"/>
    <s v="Normal"/>
    <s v="Normal"/>
    <x v="2"/>
  </r>
  <r>
    <d v="2019-08-05T00:00:00"/>
    <n v="22.4"/>
    <n v="20.6"/>
    <n v="27.9"/>
    <n v="2"/>
    <s v="Normal"/>
    <s v="Normal"/>
    <s v="Normal"/>
    <s v="Normal"/>
    <x v="2"/>
  </r>
  <r>
    <d v="2019-08-06T00:00:00"/>
    <n v="21.8"/>
    <n v="20"/>
    <n v="25.6"/>
    <n v="2.8"/>
    <s v="Normal"/>
    <s v="Normal"/>
    <s v="Normal"/>
    <s v="Normal"/>
    <x v="2"/>
  </r>
  <r>
    <d v="2019-08-07T00:00:00"/>
    <n v="22.1"/>
    <n v="20.3"/>
    <n v="25.4"/>
    <n v="2"/>
    <s v="Normal"/>
    <s v="Normal"/>
    <s v="Normal"/>
    <s v="Normal"/>
    <x v="2"/>
  </r>
  <r>
    <d v="2019-08-08T00:00:00"/>
    <n v="22"/>
    <n v="20.8"/>
    <n v="25.2"/>
    <n v="3"/>
    <s v="Normal"/>
    <s v="Normal"/>
    <s v="Normal"/>
    <s v="Normal"/>
    <x v="2"/>
  </r>
  <r>
    <d v="2019-08-09T00:00:00"/>
    <n v="21.8"/>
    <n v="20.3"/>
    <n v="25.7"/>
    <n v="21.1"/>
    <s v="Normal"/>
    <s v="Normal"/>
    <s v="Normal"/>
    <s v="Outlier"/>
    <x v="2"/>
  </r>
  <r>
    <d v="2019-08-10T00:00:00"/>
    <n v="22.7"/>
    <n v="19.8"/>
    <n v="26.2"/>
    <n v="0.8"/>
    <s v="Normal"/>
    <s v="Normal"/>
    <s v="Normal"/>
    <s v="Normal"/>
    <x v="2"/>
  </r>
  <r>
    <d v="2019-08-11T00:00:00"/>
    <n v="23"/>
    <n v="20"/>
    <n v="28.5"/>
    <n v="0"/>
    <s v="Normal"/>
    <s v="Normal"/>
    <s v="Normal"/>
    <s v="Normal"/>
    <x v="2"/>
  </r>
  <r>
    <d v="2019-08-12T00:00:00"/>
    <n v="23.2"/>
    <n v="20.2"/>
    <n v="27.5"/>
    <n v="6.1"/>
    <s v="Normal"/>
    <s v="Normal"/>
    <s v="Normal"/>
    <s v="Normal"/>
    <x v="2"/>
  </r>
  <r>
    <d v="2019-08-13T00:00:00"/>
    <n v="23.1"/>
    <n v="20.6"/>
    <n v="27.6"/>
    <n v="19.100000000000001"/>
    <s v="Normal"/>
    <s v="Normal"/>
    <s v="Normal"/>
    <s v="Outlier"/>
    <x v="2"/>
  </r>
  <r>
    <d v="2019-08-14T00:00:00"/>
    <n v="22.8"/>
    <n v="20.7"/>
    <n v="27.4"/>
    <n v="0.3"/>
    <s v="Normal"/>
    <s v="Normal"/>
    <s v="Normal"/>
    <s v="Normal"/>
    <x v="2"/>
  </r>
  <r>
    <d v="2019-08-15T00:00:00"/>
    <n v="23.2"/>
    <n v="20.5"/>
    <n v="28.4"/>
    <n v="9.1"/>
    <s v="Normal"/>
    <s v="Normal"/>
    <s v="Normal"/>
    <s v="Normal"/>
    <x v="2"/>
  </r>
  <r>
    <d v="2019-08-16T00:00:00"/>
    <n v="23.1"/>
    <n v="20.8"/>
    <n v="29.2"/>
    <n v="0"/>
    <s v="Normal"/>
    <s v="Normal"/>
    <s v="Normal"/>
    <s v="Normal"/>
    <x v="2"/>
  </r>
  <r>
    <d v="2019-08-17T00:00:00"/>
    <n v="22.2"/>
    <n v="20"/>
    <n v="28.6"/>
    <n v="3"/>
    <s v="Normal"/>
    <s v="Normal"/>
    <s v="Normal"/>
    <s v="Normal"/>
    <x v="2"/>
  </r>
  <r>
    <d v="2019-08-18T00:00:00"/>
    <n v="21.7"/>
    <n v="20.6"/>
    <n v="24.8"/>
    <n v="24.1"/>
    <s v="Normal"/>
    <s v="Normal"/>
    <s v="Normal"/>
    <s v="Outlier"/>
    <x v="2"/>
  </r>
  <r>
    <d v="2019-08-19T00:00:00"/>
    <n v="23.5"/>
    <n v="20.3"/>
    <n v="28.8"/>
    <n v="11.7"/>
    <s v="Normal"/>
    <s v="Normal"/>
    <s v="Normal"/>
    <s v="Outlier"/>
    <x v="2"/>
  </r>
  <r>
    <d v="2019-08-20T00:00:00"/>
    <n v="22.8"/>
    <n v="20.100000000000001"/>
    <n v="29"/>
    <n v="17.5"/>
    <s v="Normal"/>
    <s v="Normal"/>
    <s v="Normal"/>
    <s v="Outlier"/>
    <x v="2"/>
  </r>
  <r>
    <d v="2019-08-21T00:00:00"/>
    <n v="23.2"/>
    <n v="20.8"/>
    <n v="27.4"/>
    <n v="16.5"/>
    <s v="Normal"/>
    <s v="Normal"/>
    <s v="Normal"/>
    <s v="Outlier"/>
    <x v="2"/>
  </r>
  <r>
    <d v="2019-08-22T00:00:00"/>
    <n v="22.7"/>
    <n v="20.8"/>
    <n v="27.3"/>
    <n v="0"/>
    <s v="Normal"/>
    <s v="Normal"/>
    <s v="Normal"/>
    <s v="Normal"/>
    <x v="2"/>
  </r>
  <r>
    <d v="2019-08-23T00:00:00"/>
    <n v="22.7"/>
    <n v="20.3"/>
    <n v="27.5"/>
    <n v="5.3"/>
    <s v="Normal"/>
    <s v="Normal"/>
    <s v="Normal"/>
    <s v="Normal"/>
    <x v="2"/>
  </r>
  <r>
    <d v="2019-08-24T00:00:00"/>
    <n v="22.7"/>
    <n v="20"/>
    <n v="27.6"/>
    <n v="1.5"/>
    <s v="Normal"/>
    <s v="Normal"/>
    <s v="Normal"/>
    <s v="Normal"/>
    <x v="2"/>
  </r>
  <r>
    <d v="2019-08-25T00:00:00"/>
    <n v="23"/>
    <n v="20"/>
    <n v="28.4"/>
    <n v="0"/>
    <s v="Normal"/>
    <s v="Normal"/>
    <s v="Normal"/>
    <s v="Normal"/>
    <x v="2"/>
  </r>
  <r>
    <d v="2019-08-26T00:00:00"/>
    <n v="23"/>
    <n v="20"/>
    <n v="28.3"/>
    <n v="0"/>
    <s v="Normal"/>
    <s v="Normal"/>
    <s v="Normal"/>
    <s v="Normal"/>
    <x v="2"/>
  </r>
  <r>
    <d v="2019-08-27T00:00:00"/>
    <n v="23.9"/>
    <n v="20.399999999999999"/>
    <n v="29.4"/>
    <n v="0.3"/>
    <s v="Normal"/>
    <s v="Normal"/>
    <s v="Normal"/>
    <s v="Normal"/>
    <x v="2"/>
  </r>
  <r>
    <d v="2019-08-28T00:00:00"/>
    <n v="23.7"/>
    <n v="20"/>
    <n v="29"/>
    <n v="0"/>
    <s v="Normal"/>
    <s v="Normal"/>
    <s v="Normal"/>
    <s v="Normal"/>
    <x v="2"/>
  </r>
  <r>
    <d v="2019-08-29T00:00:00"/>
    <n v="24.1"/>
    <n v="20.6"/>
    <n v="29.3"/>
    <n v="0"/>
    <s v="Normal"/>
    <s v="Normal"/>
    <s v="Normal"/>
    <s v="Normal"/>
    <x v="2"/>
  </r>
  <r>
    <d v="2019-08-30T00:00:00"/>
    <n v="24.3"/>
    <n v="20.6"/>
    <n v="29"/>
    <n v="0"/>
    <s v="Normal"/>
    <s v="Normal"/>
    <s v="Normal"/>
    <s v="Normal"/>
    <x v="2"/>
  </r>
  <r>
    <d v="2019-08-31T00:00:00"/>
    <n v="23"/>
    <n v="20.399999999999999"/>
    <n v="28.7"/>
    <n v="0"/>
    <s v="Normal"/>
    <s v="Normal"/>
    <s v="Normal"/>
    <s v="Normal"/>
    <x v="2"/>
  </r>
  <r>
    <d v="2019-09-01T00:00:00"/>
    <n v="23"/>
    <n v="20.100000000000001"/>
    <n v="26.4"/>
    <n v="0"/>
    <s v="Normal"/>
    <s v="Normal"/>
    <s v="Normal"/>
    <s v="Normal"/>
    <x v="2"/>
  </r>
  <r>
    <d v="2019-09-02T00:00:00"/>
    <n v="22.3"/>
    <n v="20.3"/>
    <n v="26.8"/>
    <n v="0.5"/>
    <s v="Normal"/>
    <s v="Normal"/>
    <s v="Normal"/>
    <s v="Normal"/>
    <x v="2"/>
  </r>
  <r>
    <d v="2019-09-03T00:00:00"/>
    <n v="22.2"/>
    <n v="20.100000000000001"/>
    <n v="26.4"/>
    <n v="13"/>
    <s v="Normal"/>
    <s v="Normal"/>
    <s v="Normal"/>
    <s v="Outlier"/>
    <x v="2"/>
  </r>
  <r>
    <d v="2019-09-04T00:00:00"/>
    <n v="22.2"/>
    <n v="20.3"/>
    <n v="26.4"/>
    <n v="4.5999999999999996"/>
    <s v="Normal"/>
    <s v="Normal"/>
    <s v="Normal"/>
    <s v="Normal"/>
    <x v="2"/>
  </r>
  <r>
    <d v="2019-09-05T00:00:00"/>
    <n v="22.6"/>
    <n v="20.399999999999999"/>
    <n v="27.8"/>
    <n v="0"/>
    <s v="Normal"/>
    <s v="Normal"/>
    <s v="Normal"/>
    <s v="Normal"/>
    <x v="2"/>
  </r>
  <r>
    <d v="2019-09-06T00:00:00"/>
    <n v="22.8"/>
    <n v="20.399999999999999"/>
    <n v="27.4"/>
    <n v="0.5"/>
    <s v="Normal"/>
    <s v="Normal"/>
    <s v="Normal"/>
    <s v="Normal"/>
    <x v="2"/>
  </r>
  <r>
    <d v="2019-09-07T00:00:00"/>
    <n v="23.2"/>
    <n v="20.399999999999999"/>
    <n v="27.3"/>
    <n v="2.2999999999999998"/>
    <s v="Normal"/>
    <s v="Normal"/>
    <s v="Normal"/>
    <s v="Normal"/>
    <x v="2"/>
  </r>
  <r>
    <d v="2019-09-08T00:00:00"/>
    <n v="23.6"/>
    <n v="20.8"/>
    <n v="27.8"/>
    <n v="0.3"/>
    <s v="Normal"/>
    <s v="Normal"/>
    <s v="Normal"/>
    <s v="Normal"/>
    <x v="2"/>
  </r>
  <r>
    <d v="2019-09-09T00:00:00"/>
    <n v="24.1"/>
    <n v="21"/>
    <n v="27.5"/>
    <n v="0.3"/>
    <s v="Normal"/>
    <s v="Normal"/>
    <s v="Normal"/>
    <s v="Normal"/>
    <x v="2"/>
  </r>
  <r>
    <d v="2019-09-10T00:00:00"/>
    <n v="24.2"/>
    <n v="20.6"/>
    <n v="27.9"/>
    <n v="0"/>
    <s v="Normal"/>
    <s v="Normal"/>
    <s v="Normal"/>
    <s v="Normal"/>
    <x v="2"/>
  </r>
  <r>
    <d v="2019-09-12T00:00:00"/>
    <n v="24"/>
    <n v="21"/>
    <n v="29.6"/>
    <n v="0"/>
    <s v="Normal"/>
    <s v="Normal"/>
    <s v="Normal"/>
    <s v="Normal"/>
    <x v="2"/>
  </r>
  <r>
    <d v="2019-09-13T00:00:00"/>
    <n v="24.7"/>
    <n v="21"/>
    <n v="29.8"/>
    <n v="0.5"/>
    <s v="Normal"/>
    <s v="Normal"/>
    <s v="Normal"/>
    <s v="Normal"/>
    <x v="2"/>
  </r>
  <r>
    <d v="2019-09-14T00:00:00"/>
    <n v="25.1"/>
    <n v="21.2"/>
    <n v="30.2"/>
    <n v="0"/>
    <s v="Normal"/>
    <s v="Normal"/>
    <s v="Normal"/>
    <s v="Normal"/>
    <x v="2"/>
  </r>
  <r>
    <d v="2019-09-15T00:00:00"/>
    <n v="24.8"/>
    <n v="21.3"/>
    <n v="30.7"/>
    <n v="0"/>
    <s v="Normal"/>
    <s v="Normal"/>
    <s v="Normal"/>
    <s v="Normal"/>
    <x v="2"/>
  </r>
  <r>
    <d v="2019-09-16T00:00:00"/>
    <n v="23.2"/>
    <n v="20.2"/>
    <n v="29.5"/>
    <n v="0.3"/>
    <s v="Normal"/>
    <s v="Normal"/>
    <s v="Normal"/>
    <s v="Normal"/>
    <x v="2"/>
  </r>
  <r>
    <d v="2019-09-17T00:00:00"/>
    <n v="23.2"/>
    <n v="20.2"/>
    <n v="28.8"/>
    <n v="30.7"/>
    <s v="Normal"/>
    <s v="Normal"/>
    <s v="Normal"/>
    <s v="Outlier"/>
    <x v="2"/>
  </r>
  <r>
    <d v="2019-09-18T00:00:00"/>
    <n v="23.9"/>
    <n v="21.6"/>
    <n v="27.8"/>
    <n v="0.5"/>
    <s v="Normal"/>
    <s v="Normal"/>
    <s v="Normal"/>
    <s v="Normal"/>
    <x v="2"/>
  </r>
  <r>
    <d v="2019-09-19T00:00:00"/>
    <n v="24.2"/>
    <n v="21.2"/>
    <n v="27.8"/>
    <n v="0.3"/>
    <s v="Normal"/>
    <s v="Normal"/>
    <s v="Normal"/>
    <s v="Normal"/>
    <x v="2"/>
  </r>
  <r>
    <d v="2019-09-20T00:00:00"/>
    <n v="24.2"/>
    <n v="20.6"/>
    <n v="29"/>
    <n v="1.8"/>
    <s v="Normal"/>
    <s v="Normal"/>
    <s v="Normal"/>
    <s v="Normal"/>
    <x v="2"/>
  </r>
  <r>
    <d v="2019-09-21T00:00:00"/>
    <n v="25.2"/>
    <n v="21.2"/>
    <n v="29.8"/>
    <n v="0"/>
    <s v="Normal"/>
    <s v="Normal"/>
    <s v="Normal"/>
    <s v="Normal"/>
    <x v="2"/>
  </r>
  <r>
    <d v="2019-09-22T00:00:00"/>
    <n v="23.2"/>
    <n v="21.2"/>
    <n v="30.8"/>
    <n v="7.9"/>
    <s v="Normal"/>
    <s v="Normal"/>
    <s v="Normal"/>
    <s v="Normal"/>
    <x v="2"/>
  </r>
  <r>
    <d v="2019-09-23T00:00:00"/>
    <n v="23.7"/>
    <n v="20.6"/>
    <n v="28.8"/>
    <n v="13"/>
    <s v="Normal"/>
    <s v="Normal"/>
    <s v="Normal"/>
    <s v="Outlier"/>
    <x v="2"/>
  </r>
  <r>
    <d v="2019-09-24T00:00:00"/>
    <n v="23.5"/>
    <n v="19.7"/>
    <n v="28.7"/>
    <n v="29.7"/>
    <s v="Normal"/>
    <s v="Normal"/>
    <s v="Normal"/>
    <s v="Outlier"/>
    <x v="2"/>
  </r>
  <r>
    <d v="2019-09-25T00:00:00"/>
    <n v="23.2"/>
    <n v="20.8"/>
    <n v="28.8"/>
    <n v="23.6"/>
    <s v="Normal"/>
    <s v="Normal"/>
    <s v="Normal"/>
    <s v="Outlier"/>
    <x v="2"/>
  </r>
  <r>
    <d v="2019-09-26T00:00:00"/>
    <n v="23.9"/>
    <n v="20.2"/>
    <n v="28"/>
    <n v="1.8"/>
    <s v="Normal"/>
    <s v="Normal"/>
    <s v="Normal"/>
    <s v="Normal"/>
    <x v="2"/>
  </r>
  <r>
    <d v="2019-09-27T00:00:00"/>
    <n v="23.9"/>
    <n v="21"/>
    <n v="29.8"/>
    <n v="0"/>
    <s v="Normal"/>
    <s v="Normal"/>
    <s v="Normal"/>
    <s v="Normal"/>
    <x v="2"/>
  </r>
  <r>
    <d v="2019-09-28T00:00:00"/>
    <n v="24.7"/>
    <n v="21.1"/>
    <n v="29.1"/>
    <n v="6.1"/>
    <s v="Normal"/>
    <s v="Normal"/>
    <s v="Normal"/>
    <s v="Normal"/>
    <x v="2"/>
  </r>
  <r>
    <d v="2019-09-29T00:00:00"/>
    <n v="24.7"/>
    <n v="21.1"/>
    <n v="30"/>
    <n v="0"/>
    <s v="Normal"/>
    <s v="Normal"/>
    <s v="Normal"/>
    <s v="Normal"/>
    <x v="2"/>
  </r>
  <r>
    <d v="2019-10-02T00:00:00"/>
    <n v="23.8"/>
    <n v="18.600000000000001"/>
    <n v="29.1"/>
    <n v="22.1"/>
    <s v="Normal"/>
    <s v="Normal"/>
    <s v="Normal"/>
    <s v="Outlier"/>
    <x v="2"/>
  </r>
  <r>
    <d v="2019-10-03T00:00:00"/>
    <n v="23.5"/>
    <n v="19.2"/>
    <n v="30.4"/>
    <n v="7.9"/>
    <s v="Normal"/>
    <s v="Normal"/>
    <s v="Normal"/>
    <s v="Normal"/>
    <x v="2"/>
  </r>
  <r>
    <d v="2019-10-04T00:00:00"/>
    <n v="23"/>
    <n v="19.600000000000001"/>
    <n v="28.3"/>
    <n v="2.2999999999999998"/>
    <s v="Normal"/>
    <s v="Normal"/>
    <s v="Normal"/>
    <s v="Normal"/>
    <x v="2"/>
  </r>
  <r>
    <d v="2019-10-05T00:00:00"/>
    <n v="23.5"/>
    <n v="19.899999999999999"/>
    <n v="29.4"/>
    <n v="8.6"/>
    <s v="Normal"/>
    <s v="Normal"/>
    <s v="Normal"/>
    <s v="Normal"/>
    <x v="2"/>
  </r>
  <r>
    <d v="2019-10-06T00:00:00"/>
    <n v="24.3"/>
    <n v="20.6"/>
    <n v="28.7"/>
    <n v="0.5"/>
    <s v="Normal"/>
    <s v="Normal"/>
    <s v="Normal"/>
    <s v="Normal"/>
    <x v="2"/>
  </r>
  <r>
    <d v="2019-10-07T00:00:00"/>
    <n v="24.1"/>
    <n v="21.3"/>
    <n v="29.6"/>
    <n v="0"/>
    <s v="Normal"/>
    <s v="Normal"/>
    <s v="Normal"/>
    <s v="Normal"/>
    <x v="2"/>
  </r>
  <r>
    <d v="2019-10-08T00:00:00"/>
    <n v="23.3"/>
    <n v="19.2"/>
    <n v="29.2"/>
    <n v="0"/>
    <s v="Normal"/>
    <s v="Normal"/>
    <s v="Normal"/>
    <s v="Normal"/>
    <x v="2"/>
  </r>
  <r>
    <d v="2019-10-09T00:00:00"/>
    <n v="24.3"/>
    <n v="19.3"/>
    <n v="30.1"/>
    <n v="5.6"/>
    <s v="Normal"/>
    <s v="Normal"/>
    <s v="Normal"/>
    <s v="Normal"/>
    <x v="2"/>
  </r>
  <r>
    <d v="2019-10-10T00:00:00"/>
    <n v="24.7"/>
    <n v="20.7"/>
    <n v="30"/>
    <n v="0"/>
    <s v="Normal"/>
    <s v="Normal"/>
    <s v="Normal"/>
    <s v="Normal"/>
    <x v="2"/>
  </r>
  <r>
    <d v="2019-10-11T00:00:00"/>
    <n v="24.4"/>
    <n v="21.8"/>
    <n v="30"/>
    <n v="0"/>
    <s v="Normal"/>
    <s v="Normal"/>
    <s v="Normal"/>
    <s v="Normal"/>
    <x v="2"/>
  </r>
  <r>
    <d v="2019-10-12T00:00:00"/>
    <n v="25"/>
    <n v="21.5"/>
    <n v="29.6"/>
    <n v="0.5"/>
    <s v="Normal"/>
    <s v="Normal"/>
    <s v="Normal"/>
    <s v="Normal"/>
    <x v="2"/>
  </r>
  <r>
    <d v="2019-10-13T00:00:00"/>
    <n v="24.9"/>
    <n v="21.5"/>
    <n v="29.8"/>
    <n v="0"/>
    <s v="Normal"/>
    <s v="Normal"/>
    <s v="Normal"/>
    <s v="Normal"/>
    <x v="2"/>
  </r>
  <r>
    <d v="2019-10-14T00:00:00"/>
    <n v="26.7"/>
    <n v="21.6"/>
    <n v="29.6"/>
    <n v="0"/>
    <s v="Normal"/>
    <s v="Normal"/>
    <s v="Normal"/>
    <s v="Normal"/>
    <x v="2"/>
  </r>
  <r>
    <d v="2019-10-15T00:00:00"/>
    <n v="24.7"/>
    <n v="21.6"/>
    <n v="30.7"/>
    <n v="0"/>
    <s v="Normal"/>
    <s v="Normal"/>
    <s v="Normal"/>
    <s v="Normal"/>
    <x v="2"/>
  </r>
  <r>
    <d v="2019-10-16T00:00:00"/>
    <n v="24.5"/>
    <n v="21.2"/>
    <n v="30"/>
    <n v="0"/>
    <s v="Normal"/>
    <s v="Normal"/>
    <s v="Normal"/>
    <s v="Normal"/>
    <x v="2"/>
  </r>
  <r>
    <d v="2019-10-17T00:00:00"/>
    <n v="22.4"/>
    <n v="20.8"/>
    <n v="28.4"/>
    <n v="0"/>
    <s v="Normal"/>
    <s v="Normal"/>
    <s v="Normal"/>
    <s v="Normal"/>
    <x v="2"/>
  </r>
  <r>
    <d v="2019-10-18T00:00:00"/>
    <n v="23"/>
    <n v="20.2"/>
    <n v="26.8"/>
    <n v="3.8"/>
    <s v="Normal"/>
    <s v="Normal"/>
    <s v="Normal"/>
    <s v="Normal"/>
    <x v="2"/>
  </r>
  <r>
    <d v="2019-10-19T00:00:00"/>
    <n v="23.4"/>
    <n v="20.2"/>
    <n v="27.6"/>
    <n v="8.9"/>
    <s v="Normal"/>
    <s v="Normal"/>
    <s v="Normal"/>
    <s v="Normal"/>
    <x v="2"/>
  </r>
  <r>
    <d v="2019-10-20T00:00:00"/>
    <n v="23.3"/>
    <n v="21"/>
    <n v="27.9"/>
    <n v="0"/>
    <s v="Normal"/>
    <s v="Normal"/>
    <s v="Normal"/>
    <s v="Normal"/>
    <x v="2"/>
  </r>
  <r>
    <d v="2019-10-21T00:00:00"/>
    <n v="22.2"/>
    <n v="20.6"/>
    <n v="28.6"/>
    <n v="7.9"/>
    <s v="Normal"/>
    <s v="Normal"/>
    <s v="Normal"/>
    <s v="Normal"/>
    <x v="2"/>
  </r>
  <r>
    <d v="2019-10-22T00:00:00"/>
    <n v="21.4"/>
    <n v="20.3"/>
    <n v="27.1"/>
    <n v="38.9"/>
    <s v="Normal"/>
    <s v="Normal"/>
    <s v="Normal"/>
    <s v="Outlier"/>
    <x v="2"/>
  </r>
  <r>
    <d v="2019-10-23T00:00:00"/>
    <n v="22.8"/>
    <n v="19.8"/>
    <n v="28"/>
    <n v="13.2"/>
    <s v="Normal"/>
    <s v="Normal"/>
    <s v="Normal"/>
    <s v="Outlier"/>
    <x v="2"/>
  </r>
  <r>
    <d v="2019-10-24T00:00:00"/>
    <n v="22.5"/>
    <n v="20"/>
    <n v="27.6"/>
    <n v="0"/>
    <s v="Normal"/>
    <s v="Normal"/>
    <s v="Normal"/>
    <s v="Normal"/>
    <x v="2"/>
  </r>
  <r>
    <d v="2019-10-25T00:00:00"/>
    <n v="21.5"/>
    <n v="19.600000000000001"/>
    <n v="26.7"/>
    <n v="0"/>
    <s v="Normal"/>
    <s v="Normal"/>
    <s v="Normal"/>
    <s v="Normal"/>
    <x v="2"/>
  </r>
  <r>
    <d v="2019-10-26T00:00:00"/>
    <n v="22.4"/>
    <n v="19"/>
    <n v="27"/>
    <n v="6.1"/>
    <s v="Normal"/>
    <s v="Normal"/>
    <s v="Normal"/>
    <s v="Normal"/>
    <x v="2"/>
  </r>
  <r>
    <d v="2019-10-27T00:00:00"/>
    <n v="22.3"/>
    <n v="19.399999999999999"/>
    <n v="27.8"/>
    <n v="3"/>
    <s v="Normal"/>
    <s v="Normal"/>
    <s v="Normal"/>
    <s v="Normal"/>
    <x v="2"/>
  </r>
  <r>
    <d v="2019-10-28T00:00:00"/>
    <n v="23.1"/>
    <n v="19.399999999999999"/>
    <n v="27.4"/>
    <n v="37.1"/>
    <s v="Normal"/>
    <s v="Normal"/>
    <s v="Normal"/>
    <s v="Outlier"/>
    <x v="2"/>
  </r>
  <r>
    <d v="2019-10-29T00:00:00"/>
    <n v="22"/>
    <n v="20"/>
    <n v="27.6"/>
    <n v="0"/>
    <s v="Normal"/>
    <s v="Normal"/>
    <s v="Normal"/>
    <s v="Normal"/>
    <x v="2"/>
  </r>
  <r>
    <d v="2019-10-30T00:00:00"/>
    <n v="21.4"/>
    <n v="19.7"/>
    <n v="25.3"/>
    <n v="4.5999999999999996"/>
    <s v="Normal"/>
    <s v="Normal"/>
    <s v="Normal"/>
    <s v="Normal"/>
    <x v="2"/>
  </r>
  <r>
    <d v="2019-10-31T00:00:00"/>
    <n v="22.5"/>
    <n v="19.7"/>
    <n v="25.6"/>
    <n v="6.9"/>
    <s v="Normal"/>
    <s v="Normal"/>
    <s v="Normal"/>
    <s v="Normal"/>
    <x v="2"/>
  </r>
  <r>
    <d v="2019-11-01T00:00:00"/>
    <n v="23.8"/>
    <n v="18"/>
    <n v="28.8"/>
    <n v="0.3"/>
    <s v="Normal"/>
    <s v="Normal"/>
    <s v="Normal"/>
    <s v="Normal"/>
    <x v="2"/>
  </r>
  <r>
    <d v="2019-11-02T00:00:00"/>
    <n v="24.2"/>
    <n v="21"/>
    <n v="29.4"/>
    <n v="0"/>
    <s v="Normal"/>
    <s v="Normal"/>
    <s v="Normal"/>
    <s v="Normal"/>
    <x v="2"/>
  </r>
  <r>
    <d v="2019-11-08T00:00:00"/>
    <n v="24.4"/>
    <n v="18.8"/>
    <n v="29.4"/>
    <n v="3"/>
    <s v="Normal"/>
    <s v="Normal"/>
    <s v="Normal"/>
    <s v="Normal"/>
    <x v="2"/>
  </r>
  <r>
    <d v="2019-11-09T00:00:00"/>
    <n v="24.3"/>
    <n v="20.3"/>
    <n v="29.2"/>
    <n v="0"/>
    <s v="Normal"/>
    <s v="Normal"/>
    <s v="Normal"/>
    <s v="Normal"/>
    <x v="2"/>
  </r>
  <r>
    <d v="2019-11-10T00:00:00"/>
    <n v="24.6"/>
    <n v="20.399999999999999"/>
    <n v="29.9"/>
    <n v="49.5"/>
    <s v="Normal"/>
    <s v="Normal"/>
    <s v="Normal"/>
    <s v="Outlier"/>
    <x v="2"/>
  </r>
  <r>
    <d v="2019-11-11T00:00:00"/>
    <n v="23.8"/>
    <n v="19.7"/>
    <n v="29.8"/>
    <n v="0"/>
    <s v="Normal"/>
    <s v="Normal"/>
    <s v="Normal"/>
    <s v="Normal"/>
    <x v="2"/>
  </r>
  <r>
    <d v="2019-11-15T00:00:00"/>
    <n v="22.7"/>
    <n v="19.600000000000001"/>
    <n v="26.8"/>
    <n v="2.8"/>
    <s v="Normal"/>
    <s v="Normal"/>
    <s v="Normal"/>
    <s v="Normal"/>
    <x v="2"/>
  </r>
  <r>
    <d v="2019-11-16T00:00:00"/>
    <n v="23.5"/>
    <n v="20.399999999999999"/>
    <n v="26.2"/>
    <n v="0.5"/>
    <s v="Normal"/>
    <s v="Normal"/>
    <s v="Normal"/>
    <s v="Normal"/>
    <x v="2"/>
  </r>
  <r>
    <d v="2019-11-17T00:00:00"/>
    <n v="24"/>
    <n v="19.5"/>
    <n v="29.2"/>
    <n v="0"/>
    <s v="Normal"/>
    <s v="Normal"/>
    <s v="Normal"/>
    <s v="Normal"/>
    <x v="2"/>
  </r>
  <r>
    <d v="2019-11-19T00:00:00"/>
    <n v="23.6"/>
    <n v="19.8"/>
    <n v="29.4"/>
    <n v="0"/>
    <s v="Normal"/>
    <s v="Normal"/>
    <s v="Normal"/>
    <s v="Normal"/>
    <x v="2"/>
  </r>
  <r>
    <d v="2019-11-21T00:00:00"/>
    <n v="22.4"/>
    <n v="20.399999999999999"/>
    <n v="27.6"/>
    <n v="2.5"/>
    <s v="Normal"/>
    <s v="Normal"/>
    <s v="Normal"/>
    <s v="Normal"/>
    <x v="2"/>
  </r>
  <r>
    <d v="2019-11-22T00:00:00"/>
    <n v="22.3"/>
    <n v="19.2"/>
    <n v="25.6"/>
    <n v="0"/>
    <s v="Normal"/>
    <s v="Normal"/>
    <s v="Normal"/>
    <s v="Normal"/>
    <x v="2"/>
  </r>
  <r>
    <d v="2019-11-23T00:00:00"/>
    <n v="23.2"/>
    <n v="17.3"/>
    <n v="28"/>
    <n v="0"/>
    <s v="Normal"/>
    <s v="Normal"/>
    <s v="Normal"/>
    <s v="Normal"/>
    <x v="2"/>
  </r>
  <r>
    <d v="2019-11-27T00:00:00"/>
    <n v="21.9"/>
    <n v="20"/>
    <n v="28.3"/>
    <n v="0.3"/>
    <s v="Normal"/>
    <s v="Normal"/>
    <s v="Normal"/>
    <s v="Normal"/>
    <x v="2"/>
  </r>
  <r>
    <d v="2019-11-28T00:00:00"/>
    <n v="22.6"/>
    <n v="19.2"/>
    <n v="27.8"/>
    <n v="0"/>
    <s v="Normal"/>
    <s v="Normal"/>
    <s v="Normal"/>
    <s v="Normal"/>
    <x v="2"/>
  </r>
  <r>
    <d v="2019-11-29T00:00:00"/>
    <n v="22.5"/>
    <n v="19.399999999999999"/>
    <n v="28.4"/>
    <n v="0"/>
    <s v="Normal"/>
    <s v="Normal"/>
    <s v="Normal"/>
    <s v="Normal"/>
    <x v="2"/>
  </r>
  <r>
    <d v="2019-11-30T00:00:00"/>
    <n v="21.4"/>
    <n v="18.7"/>
    <n v="27"/>
    <n v="1.5"/>
    <s v="Normal"/>
    <s v="Normal"/>
    <s v="Normal"/>
    <s v="Normal"/>
    <x v="2"/>
  </r>
  <r>
    <d v="2019-12-01T00:00:00"/>
    <n v="21.2"/>
    <n v="19.399999999999999"/>
    <n v="24.6"/>
    <n v="1.8"/>
    <s v="Normal"/>
    <s v="Normal"/>
    <s v="Normal"/>
    <s v="Normal"/>
    <x v="2"/>
  </r>
  <r>
    <d v="2019-12-02T00:00:00"/>
    <n v="21.3"/>
    <n v="19.2"/>
    <n v="25"/>
    <n v="6.9"/>
    <s v="Normal"/>
    <s v="Normal"/>
    <s v="Normal"/>
    <s v="Normal"/>
    <x v="2"/>
  </r>
  <r>
    <d v="2019-12-03T00:00:00"/>
    <n v="21.1"/>
    <n v="19.399999999999999"/>
    <n v="24.5"/>
    <n v="0.5"/>
    <s v="Normal"/>
    <s v="Normal"/>
    <s v="Normal"/>
    <s v="Normal"/>
    <x v="2"/>
  </r>
  <r>
    <d v="2019-12-04T00:00:00"/>
    <n v="21.2"/>
    <n v="18.8"/>
    <n v="26"/>
    <n v="0"/>
    <s v="Normal"/>
    <s v="Normal"/>
    <s v="Normal"/>
    <s v="Normal"/>
    <x v="2"/>
  </r>
  <r>
    <d v="2019-12-05T00:00:00"/>
    <n v="20.8"/>
    <n v="18"/>
    <n v="26"/>
    <n v="0"/>
    <s v="Normal"/>
    <s v="Normal"/>
    <s v="Normal"/>
    <s v="Normal"/>
    <x v="2"/>
  </r>
  <r>
    <d v="2019-12-08T00:00:00"/>
    <n v="20.2"/>
    <n v="17.8"/>
    <n v="24.9"/>
    <n v="0.5"/>
    <s v="Normal"/>
    <s v="Normal"/>
    <s v="Normal"/>
    <s v="Normal"/>
    <x v="2"/>
  </r>
  <r>
    <d v="2019-12-09T00:00:00"/>
    <n v="21.5"/>
    <n v="17"/>
    <n v="26.8"/>
    <n v="0"/>
    <s v="Normal"/>
    <s v="Normal"/>
    <s v="Normal"/>
    <s v="Normal"/>
    <x v="2"/>
  </r>
  <r>
    <d v="2019-12-14T00:00:00"/>
    <n v="21.1"/>
    <n v="18.8"/>
    <n v="28.8"/>
    <n v="0"/>
    <s v="Normal"/>
    <s v="Normal"/>
    <s v="Normal"/>
    <s v="Normal"/>
    <x v="2"/>
  </r>
  <r>
    <d v="2019-12-15T00:00:00"/>
    <n v="21.7"/>
    <n v="17.600000000000001"/>
    <n v="25.8"/>
    <n v="2.8"/>
    <s v="Normal"/>
    <s v="Normal"/>
    <s v="Normal"/>
    <s v="Normal"/>
    <x v="2"/>
  </r>
  <r>
    <d v="2019-12-16T00:00:00"/>
    <n v="22.1"/>
    <n v="17.399999999999999"/>
    <n v="26.7"/>
    <n v="0"/>
    <s v="Normal"/>
    <s v="Normal"/>
    <s v="Normal"/>
    <s v="Normal"/>
    <x v="2"/>
  </r>
  <r>
    <d v="2019-12-17T00:00:00"/>
    <n v="21.3"/>
    <n v="18.399999999999999"/>
    <n v="27.6"/>
    <n v="0"/>
    <s v="Normal"/>
    <s v="Normal"/>
    <s v="Normal"/>
    <s v="Normal"/>
    <x v="2"/>
  </r>
  <r>
    <d v="2019-12-18T00:00:00"/>
    <n v="21.6"/>
    <n v="17"/>
    <n v="26.2"/>
    <n v="0"/>
    <s v="Normal"/>
    <s v="Normal"/>
    <s v="Normal"/>
    <s v="Normal"/>
    <x v="2"/>
  </r>
  <r>
    <d v="2020-01-04T00:00:00"/>
    <n v="23.6"/>
    <n v="18.600000000000001"/>
    <n v="30.5"/>
    <n v="0"/>
    <s v="Normal"/>
    <s v="Normal"/>
    <s v="Normal"/>
    <s v="Normal"/>
    <x v="3"/>
  </r>
  <r>
    <d v="2020-01-06T00:00:00"/>
    <n v="22.1"/>
    <n v="20.399999999999999"/>
    <n v="30.8"/>
    <n v="0.3"/>
    <s v="Normal"/>
    <s v="Normal"/>
    <s v="Normal"/>
    <s v="Normal"/>
    <x v="3"/>
  </r>
  <r>
    <d v="2020-01-07T00:00:00"/>
    <n v="22.2"/>
    <n v="18.8"/>
    <n v="26.2"/>
    <n v="0"/>
    <s v="Normal"/>
    <s v="Normal"/>
    <s v="Normal"/>
    <s v="Normal"/>
    <x v="3"/>
  </r>
  <r>
    <d v="2020-03-03T00:00:00"/>
    <n v="25.8"/>
    <n v="20"/>
    <n v="30.6"/>
    <n v="0"/>
    <s v="Normal"/>
    <s v="Normal"/>
    <s v="Normal"/>
    <s v="Normal"/>
    <x v="3"/>
  </r>
  <r>
    <d v="2020-03-04T00:00:00"/>
    <n v="26.4"/>
    <n v="21.4"/>
    <n v="33"/>
    <n v="1"/>
    <s v="Normal"/>
    <s v="Normal"/>
    <s v="Normal"/>
    <s v="Normal"/>
    <x v="3"/>
  </r>
  <r>
    <d v="2020-03-05T00:00:00"/>
    <n v="27.4"/>
    <n v="21.6"/>
    <n v="32.4"/>
    <n v="0"/>
    <s v="Normal"/>
    <s v="Normal"/>
    <s v="Normal"/>
    <s v="Normal"/>
    <x v="3"/>
  </r>
  <r>
    <d v="2020-03-07T00:00:00"/>
    <n v="26.1"/>
    <n v="22.3"/>
    <n v="33.4"/>
    <n v="1"/>
    <s v="Normal"/>
    <s v="Normal"/>
    <s v="Normal"/>
    <s v="Normal"/>
    <x v="3"/>
  </r>
  <r>
    <d v="2020-03-08T00:00:00"/>
    <n v="26.4"/>
    <n v="21.2"/>
    <n v="32.299999999999997"/>
    <n v="0"/>
    <s v="Normal"/>
    <s v="Normal"/>
    <s v="Normal"/>
    <s v="Normal"/>
    <x v="3"/>
  </r>
  <r>
    <d v="2020-03-21T00:00:00"/>
    <n v="27.4"/>
    <n v="22"/>
    <n v="34.1"/>
    <n v="1"/>
    <s v="Normal"/>
    <s v="Normal"/>
    <s v="Normal"/>
    <s v="Normal"/>
    <x v="3"/>
  </r>
  <r>
    <d v="2020-03-22T00:00:00"/>
    <n v="27.8"/>
    <n v="22.8"/>
    <n v="35.4"/>
    <n v="0"/>
    <s v="Normal"/>
    <s v="Normal"/>
    <s v="Normal"/>
    <s v="Normal"/>
    <x v="3"/>
  </r>
  <r>
    <d v="2020-03-23T00:00:00"/>
    <n v="25.3"/>
    <n v="22.8"/>
    <n v="34.4"/>
    <n v="0"/>
    <s v="Normal"/>
    <s v="Normal"/>
    <s v="Normal"/>
    <s v="Normal"/>
    <x v="3"/>
  </r>
  <r>
    <d v="2020-03-24T00:00:00"/>
    <n v="27.4"/>
    <n v="20.8"/>
    <n v="34.4"/>
    <n v="5.0999999999999996"/>
    <s v="Normal"/>
    <s v="Normal"/>
    <s v="Normal"/>
    <s v="Normal"/>
    <x v="3"/>
  </r>
  <r>
    <d v="2020-03-25T00:00:00"/>
    <n v="26.8"/>
    <n v="21"/>
    <n v="34.700000000000003"/>
    <n v="0"/>
    <s v="Normal"/>
    <s v="Normal"/>
    <s v="Normal"/>
    <s v="Normal"/>
    <x v="3"/>
  </r>
  <r>
    <d v="2020-04-06T00:00:00"/>
    <n v="27.7"/>
    <n v="21.8"/>
    <n v="36.4"/>
    <n v="0"/>
    <s v="Normal"/>
    <s v="Normal"/>
    <s v="Outlier"/>
    <s v="Normal"/>
    <x v="3"/>
  </r>
  <r>
    <d v="2020-04-07T00:00:00"/>
    <n v="25"/>
    <n v="21"/>
    <n v="35.6"/>
    <n v="30"/>
    <s v="Normal"/>
    <s v="Normal"/>
    <s v="Normal"/>
    <s v="Outlier"/>
    <x v="3"/>
  </r>
  <r>
    <d v="2020-04-08T00:00:00"/>
    <n v="26.8"/>
    <n v="21"/>
    <n v="32.799999999999997"/>
    <n v="0"/>
    <s v="Normal"/>
    <s v="Normal"/>
    <s v="Normal"/>
    <s v="Normal"/>
    <x v="3"/>
  </r>
  <r>
    <d v="2020-04-09T00:00:00"/>
    <n v="24.9"/>
    <n v="19.8"/>
    <n v="33.700000000000003"/>
    <n v="0"/>
    <s v="Normal"/>
    <s v="Normal"/>
    <s v="Normal"/>
    <s v="Normal"/>
    <x v="3"/>
  </r>
  <r>
    <d v="2020-04-10T00:00:00"/>
    <n v="24.7"/>
    <n v="18.600000000000001"/>
    <n v="33.4"/>
    <n v="33.299999999999997"/>
    <s v="Normal"/>
    <s v="Normal"/>
    <s v="Normal"/>
    <s v="Outlier"/>
    <x v="3"/>
  </r>
  <r>
    <d v="2020-04-11T00:00:00"/>
    <n v="26.6"/>
    <n v="21"/>
    <n v="31.8"/>
    <n v="0"/>
    <s v="Normal"/>
    <s v="Normal"/>
    <s v="Normal"/>
    <s v="Normal"/>
    <x v="3"/>
  </r>
  <r>
    <d v="2020-04-24T00:00:00"/>
    <n v="25.7"/>
    <n v="20.5"/>
    <n v="36"/>
    <n v="23.1"/>
    <s v="Normal"/>
    <s v="Normal"/>
    <s v="Normal"/>
    <s v="Outlier"/>
    <x v="3"/>
  </r>
  <r>
    <d v="2020-04-25T00:00:00"/>
    <n v="25.8"/>
    <n v="22.7"/>
    <n v="30.8"/>
    <n v="0"/>
    <s v="Normal"/>
    <s v="Normal"/>
    <s v="Normal"/>
    <s v="Normal"/>
    <x v="3"/>
  </r>
  <r>
    <d v="2020-04-26T00:00:00"/>
    <n v="26.7"/>
    <n v="22.6"/>
    <n v="32"/>
    <n v="0"/>
    <s v="Normal"/>
    <s v="Normal"/>
    <s v="Normal"/>
    <s v="Normal"/>
    <x v="3"/>
  </r>
  <r>
    <d v="2020-04-27T00:00:00"/>
    <n v="26.7"/>
    <n v="22.4"/>
    <n v="31.6"/>
    <n v="0"/>
    <s v="Normal"/>
    <s v="Normal"/>
    <s v="Normal"/>
    <s v="Normal"/>
    <x v="3"/>
  </r>
  <r>
    <d v="2020-04-28T00:00:00"/>
    <n v="27.2"/>
    <n v="23"/>
    <n v="34.799999999999997"/>
    <n v="3"/>
    <s v="Normal"/>
    <s v="Normal"/>
    <s v="Normal"/>
    <s v="Normal"/>
    <x v="3"/>
  </r>
  <r>
    <d v="2020-04-29T00:00:00"/>
    <n v="23.2"/>
    <n v="19.600000000000001"/>
    <n v="34"/>
    <n v="30.7"/>
    <s v="Normal"/>
    <s v="Normal"/>
    <s v="Normal"/>
    <s v="Outlier"/>
    <x v="3"/>
  </r>
  <r>
    <d v="2020-04-30T00:00:00"/>
    <n v="26.5"/>
    <n v="21"/>
    <n v="33.799999999999997"/>
    <n v="1"/>
    <s v="Normal"/>
    <s v="Normal"/>
    <s v="Normal"/>
    <s v="Normal"/>
    <x v="3"/>
  </r>
  <r>
    <d v="2020-05-18T00:00:00"/>
    <n v="25.3"/>
    <n v="21.2"/>
    <n v="35.6"/>
    <n v="10.9"/>
    <s v="Normal"/>
    <s v="Normal"/>
    <s v="Normal"/>
    <s v="Outlier"/>
    <x v="3"/>
  </r>
  <r>
    <d v="2020-05-19T00:00:00"/>
    <n v="26.7"/>
    <n v="22.6"/>
    <n v="31.5"/>
    <n v="0"/>
    <s v="Normal"/>
    <s v="Normal"/>
    <s v="Normal"/>
    <s v="Normal"/>
    <x v="3"/>
  </r>
  <r>
    <d v="2020-05-22T00:00:00"/>
    <n v="28.6"/>
    <n v="22.1"/>
    <n v="34.6"/>
    <n v="0"/>
    <s v="Outlier"/>
    <s v="Normal"/>
    <s v="Normal"/>
    <s v="Normal"/>
    <x v="3"/>
  </r>
  <r>
    <d v="2020-05-24T00:00:00"/>
    <n v="25.6"/>
    <n v="21.8"/>
    <n v="35.6"/>
    <n v="0"/>
    <s v="Normal"/>
    <s v="Normal"/>
    <s v="Normal"/>
    <s v="Normal"/>
    <x v="3"/>
  </r>
  <r>
    <d v="2020-05-25T00:00:00"/>
    <n v="26.7"/>
    <n v="22"/>
    <n v="34.4"/>
    <n v="35.299999999999997"/>
    <s v="Normal"/>
    <s v="Normal"/>
    <s v="Normal"/>
    <s v="Outlier"/>
    <x v="3"/>
  </r>
  <r>
    <d v="2020-05-26T00:00:00"/>
    <n v="25.6"/>
    <n v="20.399999999999999"/>
    <n v="33.4"/>
    <n v="0"/>
    <s v="Normal"/>
    <s v="Normal"/>
    <s v="Normal"/>
    <s v="Normal"/>
    <x v="3"/>
  </r>
  <r>
    <d v="2020-05-27T00:00:00"/>
    <n v="24.1"/>
    <n v="20.9"/>
    <n v="32.9"/>
    <n v="31"/>
    <s v="Normal"/>
    <s v="Normal"/>
    <s v="Normal"/>
    <s v="Outlier"/>
    <x v="3"/>
  </r>
  <r>
    <d v="2020-05-28T00:00:00"/>
    <n v="24.9"/>
    <n v="20.8"/>
    <n v="32.6"/>
    <n v="0"/>
    <s v="Normal"/>
    <s v="Normal"/>
    <s v="Normal"/>
    <s v="Normal"/>
    <x v="3"/>
  </r>
  <r>
    <d v="2020-05-29T00:00:00"/>
    <n v="24.1"/>
    <n v="20.6"/>
    <n v="32.4"/>
    <n v="4.3"/>
    <s v="Normal"/>
    <s v="Normal"/>
    <s v="Normal"/>
    <s v="Normal"/>
    <x v="3"/>
  </r>
  <r>
    <d v="2020-05-30T00:00:00"/>
    <n v="24.6"/>
    <n v="20.2"/>
    <n v="32.6"/>
    <n v="24.4"/>
    <s v="Normal"/>
    <s v="Normal"/>
    <s v="Normal"/>
    <s v="Outlier"/>
    <x v="3"/>
  </r>
  <r>
    <d v="2020-05-31T00:00:00"/>
    <n v="26.3"/>
    <n v="22.4"/>
    <n v="31.9"/>
    <n v="0.3"/>
    <s v="Normal"/>
    <s v="Normal"/>
    <s v="Normal"/>
    <s v="Normal"/>
    <x v="3"/>
  </r>
  <r>
    <d v="2020-06-01T00:00:00"/>
    <n v="25.9"/>
    <n v="22.4"/>
    <n v="32.799999999999997"/>
    <n v="0"/>
    <s v="Normal"/>
    <s v="Normal"/>
    <s v="Normal"/>
    <s v="Normal"/>
    <x v="3"/>
  </r>
  <r>
    <d v="2020-06-02T00:00:00"/>
    <n v="24.4"/>
    <n v="20.3"/>
    <n v="32"/>
    <n v="0"/>
    <s v="Normal"/>
    <s v="Normal"/>
    <s v="Normal"/>
    <s v="Normal"/>
    <x v="3"/>
  </r>
  <r>
    <d v="2020-06-03T00:00:00"/>
    <n v="24.7"/>
    <n v="21.2"/>
    <n v="28.8"/>
    <n v="0"/>
    <s v="Normal"/>
    <s v="Normal"/>
    <s v="Normal"/>
    <s v="Normal"/>
    <x v="3"/>
  </r>
  <r>
    <d v="2020-06-04T00:00:00"/>
    <n v="25.4"/>
    <n v="21.8"/>
    <n v="29.4"/>
    <n v="0"/>
    <s v="Normal"/>
    <s v="Normal"/>
    <s v="Normal"/>
    <s v="Normal"/>
    <x v="3"/>
  </r>
  <r>
    <d v="2020-06-05T00:00:00"/>
    <n v="25.7"/>
    <n v="21.6"/>
    <n v="31.2"/>
    <n v="0"/>
    <s v="Normal"/>
    <s v="Normal"/>
    <s v="Normal"/>
    <s v="Normal"/>
    <x v="3"/>
  </r>
  <r>
    <d v="2020-06-06T00:00:00"/>
    <n v="24.6"/>
    <n v="20.399999999999999"/>
    <n v="31.4"/>
    <n v="0"/>
    <s v="Normal"/>
    <s v="Normal"/>
    <s v="Normal"/>
    <s v="Normal"/>
    <x v="3"/>
  </r>
  <r>
    <d v="2020-06-07T00:00:00"/>
    <n v="24.5"/>
    <n v="20.8"/>
    <n v="30.4"/>
    <n v="20.3"/>
    <s v="Normal"/>
    <s v="Normal"/>
    <s v="Normal"/>
    <s v="Outlier"/>
    <x v="3"/>
  </r>
  <r>
    <d v="2020-06-08T00:00:00"/>
    <n v="26.2"/>
    <n v="21.2"/>
    <n v="31.8"/>
    <n v="0"/>
    <s v="Normal"/>
    <s v="Normal"/>
    <s v="Normal"/>
    <s v="Normal"/>
    <x v="3"/>
  </r>
  <r>
    <d v="2020-06-09T00:00:00"/>
    <n v="25.4"/>
    <n v="21.6"/>
    <n v="32.5"/>
    <n v="0"/>
    <s v="Normal"/>
    <s v="Normal"/>
    <s v="Normal"/>
    <s v="Normal"/>
    <x v="3"/>
  </r>
  <r>
    <d v="2020-06-11T00:00:00"/>
    <n v="23.1"/>
    <n v="19.8"/>
    <n v="30.5"/>
    <n v="1"/>
    <s v="Normal"/>
    <s v="Normal"/>
    <s v="Normal"/>
    <s v="Normal"/>
    <x v="3"/>
  </r>
  <r>
    <d v="2020-06-12T00:00:00"/>
    <n v="23"/>
    <n v="19.8"/>
    <n v="27.6"/>
    <n v="20.6"/>
    <s v="Normal"/>
    <s v="Normal"/>
    <s v="Normal"/>
    <s v="Outlier"/>
    <x v="3"/>
  </r>
  <r>
    <d v="2020-06-13T00:00:00"/>
    <n v="23.3"/>
    <n v="20"/>
    <n v="28.4"/>
    <n v="0"/>
    <s v="Normal"/>
    <s v="Normal"/>
    <s v="Normal"/>
    <s v="Normal"/>
    <x v="3"/>
  </r>
  <r>
    <d v="2020-06-14T00:00:00"/>
    <n v="23.9"/>
    <n v="21"/>
    <n v="29.8"/>
    <n v="1.8"/>
    <s v="Normal"/>
    <s v="Normal"/>
    <s v="Normal"/>
    <s v="Normal"/>
    <x v="3"/>
  </r>
  <r>
    <d v="2020-06-15T00:00:00"/>
    <n v="25"/>
    <n v="21.2"/>
    <n v="28.9"/>
    <n v="0"/>
    <s v="Normal"/>
    <s v="Normal"/>
    <s v="Normal"/>
    <s v="Normal"/>
    <x v="3"/>
  </r>
  <r>
    <d v="2020-06-16T00:00:00"/>
    <n v="24.8"/>
    <n v="20.6"/>
    <n v="34.299999999999997"/>
    <n v="2"/>
    <s v="Normal"/>
    <s v="Normal"/>
    <s v="Normal"/>
    <s v="Normal"/>
    <x v="3"/>
  </r>
  <r>
    <d v="2020-06-17T00:00:00"/>
    <n v="23.4"/>
    <n v="21.4"/>
    <n v="28"/>
    <n v="0"/>
    <s v="Normal"/>
    <s v="Normal"/>
    <s v="Normal"/>
    <s v="Normal"/>
    <x v="3"/>
  </r>
  <r>
    <d v="2020-06-18T00:00:00"/>
    <n v="23.3"/>
    <n v="20.6"/>
    <n v="27.2"/>
    <n v="0"/>
    <s v="Normal"/>
    <s v="Normal"/>
    <s v="Normal"/>
    <s v="Normal"/>
    <x v="3"/>
  </r>
  <r>
    <d v="2020-06-19T00:00:00"/>
    <n v="24.7"/>
    <n v="20.7"/>
    <n v="30.8"/>
    <n v="0"/>
    <s v="Normal"/>
    <s v="Normal"/>
    <s v="Normal"/>
    <s v="Normal"/>
    <x v="3"/>
  </r>
  <r>
    <d v="2020-06-20T00:00:00"/>
    <n v="25.2"/>
    <n v="21.2"/>
    <n v="29.6"/>
    <n v="0"/>
    <s v="Normal"/>
    <s v="Normal"/>
    <s v="Normal"/>
    <s v="Normal"/>
    <x v="3"/>
  </r>
  <r>
    <d v="2020-06-21T00:00:00"/>
    <n v="23.8"/>
    <n v="21.1"/>
    <n v="30.3"/>
    <n v="0"/>
    <s v="Normal"/>
    <s v="Normal"/>
    <s v="Normal"/>
    <s v="Normal"/>
    <x v="3"/>
  </r>
  <r>
    <d v="2020-06-22T00:00:00"/>
    <n v="23.4"/>
    <n v="21"/>
    <n v="28.8"/>
    <n v="0.3"/>
    <s v="Normal"/>
    <s v="Normal"/>
    <s v="Normal"/>
    <s v="Normal"/>
    <x v="3"/>
  </r>
  <r>
    <d v="2020-06-23T00:00:00"/>
    <n v="25.3"/>
    <n v="20.6"/>
    <n v="30.8"/>
    <n v="2.2999999999999998"/>
    <s v="Normal"/>
    <s v="Normal"/>
    <s v="Normal"/>
    <s v="Normal"/>
    <x v="3"/>
  </r>
  <r>
    <d v="2020-06-24T00:00:00"/>
    <n v="24.2"/>
    <n v="20.2"/>
    <n v="30.4"/>
    <n v="4.5999999999999996"/>
    <s v="Normal"/>
    <s v="Normal"/>
    <s v="Normal"/>
    <s v="Normal"/>
    <x v="3"/>
  </r>
  <r>
    <d v="2020-06-25T00:00:00"/>
    <n v="23.7"/>
    <n v="19.3"/>
    <n v="31.4"/>
    <n v="22.1"/>
    <s v="Normal"/>
    <s v="Normal"/>
    <s v="Normal"/>
    <s v="Outlier"/>
    <x v="3"/>
  </r>
  <r>
    <d v="2020-06-26T00:00:00"/>
    <n v="24.2"/>
    <n v="20.399999999999999"/>
    <n v="30.4"/>
    <n v="39.6"/>
    <s v="Normal"/>
    <s v="Normal"/>
    <s v="Normal"/>
    <s v="Outlier"/>
    <x v="3"/>
  </r>
  <r>
    <d v="2020-06-27T00:00:00"/>
    <n v="24.4"/>
    <n v="21"/>
    <n v="29.2"/>
    <n v="0"/>
    <s v="Normal"/>
    <s v="Normal"/>
    <s v="Normal"/>
    <s v="Normal"/>
    <x v="3"/>
  </r>
  <r>
    <d v="2020-06-28T00:00:00"/>
    <n v="24.8"/>
    <n v="21.4"/>
    <n v="29"/>
    <n v="2.2999999999999998"/>
    <s v="Normal"/>
    <s v="Normal"/>
    <s v="Normal"/>
    <s v="Normal"/>
    <x v="3"/>
  </r>
  <r>
    <d v="2020-06-29T00:00:00"/>
    <n v="23.6"/>
    <n v="21.2"/>
    <n v="30"/>
    <n v="0"/>
    <s v="Normal"/>
    <s v="Normal"/>
    <s v="Normal"/>
    <s v="Normal"/>
    <x v="3"/>
  </r>
  <r>
    <d v="2020-06-30T00:00:00"/>
    <n v="24.6"/>
    <n v="20.2"/>
    <n v="29.8"/>
    <n v="1.3"/>
    <s v="Normal"/>
    <s v="Normal"/>
    <s v="Normal"/>
    <s v="Normal"/>
    <x v="3"/>
  </r>
  <r>
    <d v="2020-07-01T00:00:00"/>
    <n v="24.7"/>
    <n v="21.2"/>
    <n v="29.4"/>
    <n v="0"/>
    <s v="Normal"/>
    <s v="Normal"/>
    <s v="Normal"/>
    <s v="Normal"/>
    <x v="3"/>
  </r>
  <r>
    <d v="2020-07-03T00:00:00"/>
    <n v="22.6"/>
    <n v="19.7"/>
    <n v="26.5"/>
    <n v="7.1"/>
    <s v="Normal"/>
    <s v="Normal"/>
    <s v="Normal"/>
    <s v="Normal"/>
    <x v="3"/>
  </r>
  <r>
    <d v="2020-07-04T00:00:00"/>
    <n v="22.8"/>
    <n v="20"/>
    <n v="28.4"/>
    <n v="7.1"/>
    <s v="Normal"/>
    <s v="Normal"/>
    <s v="Normal"/>
    <s v="Normal"/>
    <x v="3"/>
  </r>
  <r>
    <d v="2020-07-05T00:00:00"/>
    <n v="23.3"/>
    <n v="21"/>
    <n v="27.2"/>
    <n v="0"/>
    <s v="Normal"/>
    <s v="Normal"/>
    <s v="Normal"/>
    <s v="Normal"/>
    <x v="3"/>
  </r>
  <r>
    <d v="2020-07-06T00:00:00"/>
    <n v="23.1"/>
    <n v="20.6"/>
    <n v="27.6"/>
    <n v="0.5"/>
    <s v="Normal"/>
    <s v="Normal"/>
    <s v="Normal"/>
    <s v="Normal"/>
    <x v="3"/>
  </r>
  <r>
    <d v="2020-07-07T00:00:00"/>
    <n v="23.4"/>
    <n v="20.8"/>
    <n v="30"/>
    <n v="0"/>
    <s v="Normal"/>
    <s v="Normal"/>
    <s v="Normal"/>
    <s v="Normal"/>
    <x v="3"/>
  </r>
  <r>
    <d v="2020-07-08T00:00:00"/>
    <n v="22.9"/>
    <n v="20.6"/>
    <n v="28.6"/>
    <n v="7.4"/>
    <s v="Normal"/>
    <s v="Normal"/>
    <s v="Normal"/>
    <s v="Normal"/>
    <x v="3"/>
  </r>
  <r>
    <d v="2020-07-09T00:00:00"/>
    <n v="23.7"/>
    <n v="20.2"/>
    <n v="29.4"/>
    <n v="24.4"/>
    <s v="Normal"/>
    <s v="Normal"/>
    <s v="Normal"/>
    <s v="Outlier"/>
    <x v="3"/>
  </r>
  <r>
    <d v="2020-07-10T00:00:00"/>
    <n v="23.1"/>
    <n v="20.6"/>
    <n v="28.8"/>
    <n v="29.2"/>
    <s v="Normal"/>
    <s v="Normal"/>
    <s v="Normal"/>
    <s v="Outlier"/>
    <x v="3"/>
  </r>
  <r>
    <d v="2020-07-11T00:00:00"/>
    <n v="24.6"/>
    <n v="21"/>
    <n v="28.8"/>
    <n v="0.5"/>
    <s v="Normal"/>
    <s v="Normal"/>
    <s v="Normal"/>
    <s v="Normal"/>
    <x v="3"/>
  </r>
  <r>
    <d v="2020-07-12T00:00:00"/>
    <n v="25.1"/>
    <n v="21"/>
    <n v="29.4"/>
    <n v="0.3"/>
    <s v="Normal"/>
    <s v="Normal"/>
    <s v="Normal"/>
    <s v="Normal"/>
    <x v="3"/>
  </r>
  <r>
    <d v="2020-07-13T00:00:00"/>
    <n v="24.3"/>
    <n v="21.5"/>
    <n v="29.3"/>
    <n v="0"/>
    <s v="Normal"/>
    <s v="Normal"/>
    <s v="Normal"/>
    <s v="Normal"/>
    <x v="3"/>
  </r>
  <r>
    <d v="2020-07-14T00:00:00"/>
    <n v="23.8"/>
    <n v="21.4"/>
    <n v="29.4"/>
    <n v="0"/>
    <s v="Normal"/>
    <s v="Normal"/>
    <s v="Normal"/>
    <s v="Normal"/>
    <x v="3"/>
  </r>
  <r>
    <d v="2020-07-15T00:00:00"/>
    <n v="22.4"/>
    <n v="21.8"/>
    <n v="26.2"/>
    <n v="0"/>
    <s v="Normal"/>
    <s v="Normal"/>
    <s v="Normal"/>
    <s v="Normal"/>
    <x v="3"/>
  </r>
  <r>
    <d v="2020-07-16T00:00:00"/>
    <n v="21.8"/>
    <n v="20.6"/>
    <n v="26"/>
    <n v="6.6"/>
    <s v="Normal"/>
    <s v="Normal"/>
    <s v="Normal"/>
    <s v="Normal"/>
    <x v="3"/>
  </r>
  <r>
    <d v="2020-07-17T00:00:00"/>
    <n v="22.2"/>
    <n v="20.399999999999999"/>
    <n v="25.2"/>
    <n v="10.9"/>
    <s v="Normal"/>
    <s v="Normal"/>
    <s v="Normal"/>
    <s v="Outlier"/>
    <x v="3"/>
  </r>
  <r>
    <d v="2020-07-18T00:00:00"/>
    <n v="23.4"/>
    <n v="20.9"/>
    <n v="27.8"/>
    <n v="0"/>
    <s v="Normal"/>
    <s v="Normal"/>
    <s v="Normal"/>
    <s v="Normal"/>
    <x v="3"/>
  </r>
  <r>
    <d v="2020-07-19T00:00:00"/>
    <n v="24.4"/>
    <n v="21.4"/>
    <n v="29.8"/>
    <n v="0.8"/>
    <s v="Normal"/>
    <s v="Normal"/>
    <s v="Normal"/>
    <s v="Normal"/>
    <x v="3"/>
  </r>
  <r>
    <d v="2020-07-20T00:00:00"/>
    <n v="23.4"/>
    <n v="21.8"/>
    <n v="29.6"/>
    <n v="11.2"/>
    <s v="Normal"/>
    <s v="Normal"/>
    <s v="Normal"/>
    <s v="Outlier"/>
    <x v="3"/>
  </r>
  <r>
    <d v="2020-07-21T00:00:00"/>
    <n v="24.5"/>
    <n v="19"/>
    <n v="29.6"/>
    <n v="24.1"/>
    <s v="Normal"/>
    <s v="Normal"/>
    <s v="Normal"/>
    <s v="Outlier"/>
    <x v="3"/>
  </r>
  <r>
    <d v="2020-07-22T00:00:00"/>
    <n v="25.8"/>
    <n v="22"/>
    <n v="30.4"/>
    <n v="0"/>
    <s v="Normal"/>
    <s v="Normal"/>
    <s v="Normal"/>
    <s v="Normal"/>
    <x v="3"/>
  </r>
  <r>
    <d v="2020-07-24T00:00:00"/>
    <n v="23.8"/>
    <n v="21.5"/>
    <n v="30.8"/>
    <n v="4.3"/>
    <s v="Normal"/>
    <s v="Normal"/>
    <s v="Normal"/>
    <s v="Normal"/>
    <x v="3"/>
  </r>
  <r>
    <d v="2020-07-25T00:00:00"/>
    <n v="23.7"/>
    <n v="20.5"/>
    <n v="29.8"/>
    <n v="0"/>
    <s v="Normal"/>
    <s v="Normal"/>
    <s v="Normal"/>
    <s v="Normal"/>
    <x v="3"/>
  </r>
  <r>
    <d v="2020-07-26T00:00:00"/>
    <n v="23.6"/>
    <n v="20.399999999999999"/>
    <n v="29.4"/>
    <n v="4.0999999999999996"/>
    <s v="Normal"/>
    <s v="Normal"/>
    <s v="Normal"/>
    <s v="Normal"/>
    <x v="3"/>
  </r>
  <r>
    <d v="2020-07-27T00:00:00"/>
    <n v="24.1"/>
    <n v="20.399999999999999"/>
    <n v="28.8"/>
    <n v="0"/>
    <s v="Normal"/>
    <s v="Normal"/>
    <s v="Normal"/>
    <s v="Normal"/>
    <x v="3"/>
  </r>
  <r>
    <d v="2020-07-28T00:00:00"/>
    <n v="24.7"/>
    <n v="20.6"/>
    <n v="29"/>
    <n v="2.2999999999999998"/>
    <s v="Normal"/>
    <s v="Normal"/>
    <s v="Normal"/>
    <s v="Normal"/>
    <x v="3"/>
  </r>
  <r>
    <d v="2020-07-29T00:00:00"/>
    <n v="22.9"/>
    <n v="21.2"/>
    <n v="29.5"/>
    <n v="7.9"/>
    <s v="Normal"/>
    <s v="Normal"/>
    <s v="Normal"/>
    <s v="Normal"/>
    <x v="3"/>
  </r>
  <r>
    <d v="2020-07-30T00:00:00"/>
    <n v="23.5"/>
    <n v="20.2"/>
    <n v="28.8"/>
    <n v="1.3"/>
    <s v="Normal"/>
    <s v="Normal"/>
    <s v="Normal"/>
    <s v="Normal"/>
    <x v="3"/>
  </r>
  <r>
    <d v="2020-07-31T00:00:00"/>
    <n v="23.9"/>
    <n v="21.4"/>
    <n v="28.6"/>
    <n v="4.0999999999999996"/>
    <s v="Normal"/>
    <s v="Normal"/>
    <s v="Normal"/>
    <s v="Normal"/>
    <x v="3"/>
  </r>
  <r>
    <d v="2020-08-01T00:00:00"/>
    <n v="23"/>
    <n v="20.399999999999999"/>
    <n v="29.6"/>
    <n v="2"/>
    <s v="Normal"/>
    <s v="Normal"/>
    <s v="Normal"/>
    <s v="Normal"/>
    <x v="3"/>
  </r>
  <r>
    <d v="2020-08-02T00:00:00"/>
    <n v="22.8"/>
    <n v="19.600000000000001"/>
    <n v="28"/>
    <n v="3.3"/>
    <s v="Normal"/>
    <s v="Normal"/>
    <s v="Normal"/>
    <s v="Normal"/>
    <x v="3"/>
  </r>
  <r>
    <d v="2020-08-03T00:00:00"/>
    <n v="22.9"/>
    <n v="20.399999999999999"/>
    <n v="27.8"/>
    <n v="2.5"/>
    <s v="Normal"/>
    <s v="Normal"/>
    <s v="Normal"/>
    <s v="Normal"/>
    <x v="3"/>
  </r>
  <r>
    <d v="2020-08-04T00:00:00"/>
    <n v="21.9"/>
    <n v="19.8"/>
    <n v="26"/>
    <n v="1.5"/>
    <s v="Normal"/>
    <s v="Normal"/>
    <s v="Normal"/>
    <s v="Normal"/>
    <x v="3"/>
  </r>
  <r>
    <d v="2020-08-05T00:00:00"/>
    <n v="22.1"/>
    <n v="19.8"/>
    <n v="25.8"/>
    <n v="1.8"/>
    <s v="Normal"/>
    <s v="Normal"/>
    <s v="Normal"/>
    <s v="Normal"/>
    <x v="3"/>
  </r>
  <r>
    <d v="2020-08-06T00:00:00"/>
    <n v="23.4"/>
    <n v="20.8"/>
    <n v="29.8"/>
    <n v="2.8"/>
    <s v="Normal"/>
    <s v="Normal"/>
    <s v="Normal"/>
    <s v="Normal"/>
    <x v="3"/>
  </r>
  <r>
    <d v="2020-08-07T00:00:00"/>
    <n v="23.4"/>
    <n v="21.4"/>
    <n v="27.8"/>
    <n v="1.3"/>
    <s v="Normal"/>
    <s v="Normal"/>
    <s v="Normal"/>
    <s v="Normal"/>
    <x v="3"/>
  </r>
  <r>
    <d v="2020-08-08T00:00:00"/>
    <n v="22.4"/>
    <n v="20.3"/>
    <n v="27.2"/>
    <n v="0"/>
    <s v="Normal"/>
    <s v="Normal"/>
    <s v="Normal"/>
    <s v="Normal"/>
    <x v="3"/>
  </r>
  <r>
    <d v="2020-08-09T00:00:00"/>
    <n v="21.8"/>
    <n v="20.2"/>
    <n v="27.4"/>
    <n v="2.2999999999999998"/>
    <s v="Normal"/>
    <s v="Normal"/>
    <s v="Normal"/>
    <s v="Normal"/>
    <x v="3"/>
  </r>
  <r>
    <d v="2020-08-10T00:00:00"/>
    <n v="21.9"/>
    <n v="19.5"/>
    <n v="26"/>
    <n v="12.2"/>
    <s v="Normal"/>
    <s v="Normal"/>
    <s v="Normal"/>
    <s v="Outlier"/>
    <x v="3"/>
  </r>
  <r>
    <d v="2020-08-11T00:00:00"/>
    <n v="22.8"/>
    <n v="20.6"/>
    <n v="27.8"/>
    <n v="0"/>
    <s v="Normal"/>
    <s v="Normal"/>
    <s v="Normal"/>
    <s v="Normal"/>
    <x v="3"/>
  </r>
  <r>
    <d v="2020-08-12T00:00:00"/>
    <n v="23.4"/>
    <n v="20.5"/>
    <n v="28"/>
    <n v="5.0999999999999996"/>
    <s v="Normal"/>
    <s v="Normal"/>
    <s v="Normal"/>
    <s v="Normal"/>
    <x v="3"/>
  </r>
  <r>
    <d v="2020-08-13T00:00:00"/>
    <n v="23.7"/>
    <n v="20.6"/>
    <n v="27.9"/>
    <n v="0"/>
    <s v="Normal"/>
    <s v="Normal"/>
    <s v="Normal"/>
    <s v="Normal"/>
    <x v="3"/>
  </r>
  <r>
    <d v="2020-08-14T00:00:00"/>
    <n v="22.7"/>
    <n v="20.2"/>
    <n v="28"/>
    <n v="0"/>
    <s v="Normal"/>
    <s v="Normal"/>
    <s v="Normal"/>
    <s v="Normal"/>
    <x v="3"/>
  </r>
  <r>
    <d v="2020-08-15T00:00:00"/>
    <n v="22.4"/>
    <n v="20.399999999999999"/>
    <n v="25.6"/>
    <n v="0"/>
    <s v="Normal"/>
    <s v="Normal"/>
    <s v="Normal"/>
    <s v="Normal"/>
    <x v="3"/>
  </r>
  <r>
    <d v="2020-08-17T00:00:00"/>
    <n v="22.2"/>
    <n v="20.100000000000001"/>
    <n v="26.8"/>
    <n v="0.3"/>
    <s v="Normal"/>
    <s v="Normal"/>
    <s v="Normal"/>
    <s v="Normal"/>
    <x v="3"/>
  </r>
  <r>
    <d v="2020-08-18T00:00:00"/>
    <n v="23"/>
    <n v="20.6"/>
    <n v="26.2"/>
    <n v="1"/>
    <s v="Normal"/>
    <s v="Normal"/>
    <s v="Normal"/>
    <s v="Normal"/>
    <x v="3"/>
  </r>
  <r>
    <d v="2020-08-19T00:00:00"/>
    <n v="23.1"/>
    <n v="20.399999999999999"/>
    <n v="26.4"/>
    <n v="0"/>
    <s v="Normal"/>
    <s v="Normal"/>
    <s v="Normal"/>
    <s v="Normal"/>
    <x v="3"/>
  </r>
  <r>
    <d v="2020-08-24T00:00:00"/>
    <n v="24.1"/>
    <n v="20.9"/>
    <n v="27.8"/>
    <n v="2"/>
    <s v="Normal"/>
    <s v="Normal"/>
    <s v="Normal"/>
    <s v="Normal"/>
    <x v="3"/>
  </r>
  <r>
    <d v="2020-08-25T00:00:00"/>
    <n v="25"/>
    <n v="20.5"/>
    <n v="29.8"/>
    <n v="0"/>
    <s v="Normal"/>
    <s v="Normal"/>
    <s v="Normal"/>
    <s v="Normal"/>
    <x v="3"/>
  </r>
  <r>
    <d v="2020-08-26T00:00:00"/>
    <n v="25.6"/>
    <n v="22"/>
    <n v="30.2"/>
    <n v="0"/>
    <s v="Normal"/>
    <s v="Normal"/>
    <s v="Normal"/>
    <s v="Normal"/>
    <x v="3"/>
  </r>
  <r>
    <d v="2020-08-28T00:00:00"/>
    <n v="25.3"/>
    <n v="20.399999999999999"/>
    <n v="30.8"/>
    <n v="0"/>
    <s v="Normal"/>
    <s v="Normal"/>
    <s v="Normal"/>
    <s v="Normal"/>
    <x v="3"/>
  </r>
  <r>
    <d v="2020-08-31T00:00:00"/>
    <n v="24.4"/>
    <n v="19.399999999999999"/>
    <n v="31.7"/>
    <n v="23.1"/>
    <s v="Normal"/>
    <s v="Normal"/>
    <s v="Normal"/>
    <s v="Outlier"/>
    <x v="3"/>
  </r>
  <r>
    <d v="2020-09-01T00:00:00"/>
    <n v="24"/>
    <n v="20"/>
    <n v="29.8"/>
    <n v="18.8"/>
    <s v="Normal"/>
    <s v="Normal"/>
    <s v="Normal"/>
    <s v="Outlier"/>
    <x v="3"/>
  </r>
  <r>
    <d v="2020-09-02T00:00:00"/>
    <n v="22.9"/>
    <n v="20.6"/>
    <n v="28.4"/>
    <n v="2"/>
    <s v="Normal"/>
    <s v="Normal"/>
    <s v="Normal"/>
    <s v="Normal"/>
    <x v="3"/>
  </r>
  <r>
    <d v="2020-09-03T00:00:00"/>
    <n v="23.8"/>
    <n v="20.5"/>
    <n v="27.8"/>
    <n v="29.7"/>
    <s v="Normal"/>
    <s v="Normal"/>
    <s v="Normal"/>
    <s v="Outlier"/>
    <x v="3"/>
  </r>
  <r>
    <d v="2020-09-04T00:00:00"/>
    <n v="24.9"/>
    <n v="21"/>
    <n v="29.2"/>
    <n v="9.6999999999999993"/>
    <s v="Normal"/>
    <s v="Normal"/>
    <s v="Normal"/>
    <s v="Normal"/>
    <x v="3"/>
  </r>
  <r>
    <d v="2020-09-05T00:00:00"/>
    <n v="24.8"/>
    <n v="22.3"/>
    <n v="29.2"/>
    <n v="0"/>
    <s v="Normal"/>
    <s v="Normal"/>
    <s v="Normal"/>
    <s v="Normal"/>
    <x v="3"/>
  </r>
  <r>
    <d v="2020-09-06T00:00:00"/>
    <n v="25.5"/>
    <n v="22.2"/>
    <n v="29.6"/>
    <n v="0"/>
    <s v="Normal"/>
    <s v="Normal"/>
    <s v="Normal"/>
    <s v="Normal"/>
    <x v="3"/>
  </r>
  <r>
    <d v="2020-09-07T00:00:00"/>
    <n v="24.4"/>
    <n v="20.5"/>
    <n v="30.5"/>
    <n v="0"/>
    <s v="Normal"/>
    <s v="Normal"/>
    <s v="Normal"/>
    <s v="Normal"/>
    <x v="3"/>
  </r>
  <r>
    <d v="2020-09-08T00:00:00"/>
    <n v="24.4"/>
    <n v="21.2"/>
    <n v="29.8"/>
    <n v="2"/>
    <s v="Normal"/>
    <s v="Normal"/>
    <s v="Normal"/>
    <s v="Normal"/>
    <x v="3"/>
  </r>
  <r>
    <d v="2020-09-09T00:00:00"/>
    <n v="23.9"/>
    <n v="19.399999999999999"/>
    <n v="30.2"/>
    <n v="61"/>
    <s v="Normal"/>
    <s v="Normal"/>
    <s v="Normal"/>
    <s v="Outlier"/>
    <x v="3"/>
  </r>
  <r>
    <d v="2020-09-10T00:00:00"/>
    <n v="22.7"/>
    <n v="19.2"/>
    <n v="30.6"/>
    <n v="65"/>
    <s v="Normal"/>
    <s v="Normal"/>
    <s v="Normal"/>
    <s v="Outlier"/>
    <x v="3"/>
  </r>
  <r>
    <d v="2020-09-11T00:00:00"/>
    <n v="22.1"/>
    <n v="19.899999999999999"/>
    <n v="27.6"/>
    <n v="0"/>
    <s v="Normal"/>
    <s v="Normal"/>
    <s v="Normal"/>
    <s v="Normal"/>
    <x v="3"/>
  </r>
  <r>
    <d v="2020-09-12T00:00:00"/>
    <n v="21.5"/>
    <n v="18.7"/>
    <n v="25.8"/>
    <n v="1.3"/>
    <s v="Normal"/>
    <s v="Normal"/>
    <s v="Normal"/>
    <s v="Normal"/>
    <x v="3"/>
  </r>
  <r>
    <d v="2020-09-13T00:00:00"/>
    <n v="21.6"/>
    <n v="19.7"/>
    <n v="25.5"/>
    <n v="17.5"/>
    <s v="Normal"/>
    <s v="Normal"/>
    <s v="Normal"/>
    <s v="Outlier"/>
    <x v="3"/>
  </r>
  <r>
    <d v="2020-09-14T00:00:00"/>
    <n v="22.5"/>
    <n v="20.399999999999999"/>
    <n v="26.4"/>
    <n v="1"/>
    <s v="Normal"/>
    <s v="Normal"/>
    <s v="Normal"/>
    <s v="Normal"/>
    <x v="3"/>
  </r>
  <r>
    <d v="2020-09-15T00:00:00"/>
    <n v="22.8"/>
    <n v="20.2"/>
    <n v="26.5"/>
    <n v="0"/>
    <s v="Normal"/>
    <s v="Normal"/>
    <s v="Normal"/>
    <s v="Normal"/>
    <x v="3"/>
  </r>
  <r>
    <d v="2020-09-16T00:00:00"/>
    <n v="23.3"/>
    <n v="20.2"/>
    <n v="26.2"/>
    <n v="0.3"/>
    <s v="Normal"/>
    <s v="Normal"/>
    <s v="Normal"/>
    <s v="Normal"/>
    <x v="3"/>
  </r>
  <r>
    <d v="2020-09-17T00:00:00"/>
    <n v="23.8"/>
    <n v="21"/>
    <n v="27"/>
    <n v="0"/>
    <s v="Normal"/>
    <s v="Normal"/>
    <s v="Normal"/>
    <s v="Normal"/>
    <x v="3"/>
  </r>
  <r>
    <d v="2020-09-18T00:00:00"/>
    <n v="24"/>
    <n v="19.8"/>
    <n v="28.2"/>
    <n v="0.3"/>
    <s v="Normal"/>
    <s v="Normal"/>
    <s v="Normal"/>
    <s v="Normal"/>
    <x v="3"/>
  </r>
  <r>
    <d v="2020-09-19T00:00:00"/>
    <n v="22.1"/>
    <n v="19.3"/>
    <n v="28.4"/>
    <n v="0"/>
    <s v="Normal"/>
    <s v="Normal"/>
    <s v="Normal"/>
    <s v="Normal"/>
    <x v="3"/>
  </r>
  <r>
    <d v="2020-09-20T00:00:00"/>
    <n v="20.399999999999999"/>
    <n v="18.600000000000001"/>
    <n v="25.8"/>
    <n v="20.8"/>
    <s v="Normal"/>
    <s v="Normal"/>
    <s v="Normal"/>
    <s v="Outlier"/>
    <x v="3"/>
  </r>
  <r>
    <d v="2020-09-21T00:00:00"/>
    <n v="22.1"/>
    <n v="19"/>
    <n v="27.8"/>
    <n v="11.4"/>
    <s v="Normal"/>
    <s v="Normal"/>
    <s v="Normal"/>
    <s v="Outlier"/>
    <x v="3"/>
  </r>
  <r>
    <d v="2020-09-22T00:00:00"/>
    <n v="21.7"/>
    <n v="18.600000000000001"/>
    <n v="26.6"/>
    <n v="0"/>
    <s v="Normal"/>
    <s v="Normal"/>
    <s v="Normal"/>
    <s v="Normal"/>
    <x v="3"/>
  </r>
  <r>
    <d v="2020-09-23T00:00:00"/>
    <n v="22.8"/>
    <n v="18.600000000000001"/>
    <n v="27.8"/>
    <n v="0"/>
    <s v="Normal"/>
    <s v="Normal"/>
    <s v="Normal"/>
    <s v="Normal"/>
    <x v="3"/>
  </r>
  <r>
    <d v="2020-09-25T00:00:00"/>
    <n v="24.3"/>
    <n v="20.9"/>
    <n v="29.8"/>
    <n v="0.3"/>
    <s v="Normal"/>
    <s v="Normal"/>
    <s v="Normal"/>
    <s v="Normal"/>
    <x v="3"/>
  </r>
  <r>
    <d v="2020-09-26T00:00:00"/>
    <n v="22.8"/>
    <n v="20.6"/>
    <n v="29.6"/>
    <n v="3"/>
    <s v="Normal"/>
    <s v="Normal"/>
    <s v="Normal"/>
    <s v="Normal"/>
    <x v="3"/>
  </r>
  <r>
    <d v="2020-09-27T00:00:00"/>
    <n v="23.3"/>
    <n v="20.5"/>
    <n v="27.8"/>
    <n v="0"/>
    <s v="Normal"/>
    <s v="Normal"/>
    <s v="Normal"/>
    <s v="Normal"/>
    <x v="3"/>
  </r>
  <r>
    <d v="2020-09-28T00:00:00"/>
    <n v="24.1"/>
    <n v="20.6"/>
    <n v="27"/>
    <n v="0"/>
    <s v="Normal"/>
    <s v="Normal"/>
    <s v="Normal"/>
    <s v="Normal"/>
    <x v="3"/>
  </r>
  <r>
    <d v="2020-09-29T00:00:00"/>
    <n v="22.4"/>
    <n v="19.8"/>
    <n v="28.1"/>
    <n v="0"/>
    <s v="Normal"/>
    <s v="Normal"/>
    <s v="Normal"/>
    <s v="Normal"/>
    <x v="3"/>
  </r>
  <r>
    <d v="2020-09-30T00:00:00"/>
    <n v="22.3"/>
    <n v="19"/>
    <n v="27.8"/>
    <n v="54.4"/>
    <s v="Normal"/>
    <s v="Normal"/>
    <s v="Normal"/>
    <s v="Outlier"/>
    <x v="3"/>
  </r>
  <r>
    <d v="2020-10-01T00:00:00"/>
    <n v="23.5"/>
    <n v="19.5"/>
    <n v="27.1"/>
    <n v="0"/>
    <s v="Normal"/>
    <s v="Normal"/>
    <s v="Normal"/>
    <s v="Normal"/>
    <x v="3"/>
  </r>
  <r>
    <d v="2020-10-02T00:00:00"/>
    <n v="24.7"/>
    <n v="21"/>
    <n v="28.5"/>
    <n v="0"/>
    <s v="Normal"/>
    <s v="Normal"/>
    <s v="Normal"/>
    <s v="Normal"/>
    <x v="3"/>
  </r>
  <r>
    <d v="2020-10-03T00:00:00"/>
    <n v="23.5"/>
    <n v="19.600000000000001"/>
    <n v="29.6"/>
    <n v="0.5"/>
    <s v="Normal"/>
    <s v="Normal"/>
    <s v="Normal"/>
    <s v="Normal"/>
    <x v="3"/>
  </r>
  <r>
    <d v="2020-10-04T00:00:00"/>
    <n v="22.5"/>
    <n v="20"/>
    <n v="28.4"/>
    <n v="0"/>
    <s v="Normal"/>
    <s v="Normal"/>
    <s v="Normal"/>
    <s v="Normal"/>
    <x v="3"/>
  </r>
  <r>
    <d v="2020-10-05T00:00:00"/>
    <n v="23.6"/>
    <n v="19"/>
    <n v="28.8"/>
    <n v="0.3"/>
    <s v="Normal"/>
    <s v="Normal"/>
    <s v="Normal"/>
    <s v="Normal"/>
    <x v="3"/>
  </r>
  <r>
    <d v="2020-10-06T00:00:00"/>
    <n v="25.1"/>
    <n v="20.2"/>
    <n v="30.8"/>
    <n v="0"/>
    <s v="Normal"/>
    <s v="Normal"/>
    <s v="Normal"/>
    <s v="Normal"/>
    <x v="3"/>
  </r>
  <r>
    <d v="2020-10-09T00:00:00"/>
    <n v="23.7"/>
    <n v="20.399999999999999"/>
    <n v="31.2"/>
    <n v="0"/>
    <s v="Normal"/>
    <s v="Normal"/>
    <s v="Normal"/>
    <s v="Normal"/>
    <x v="3"/>
  </r>
  <r>
    <d v="2020-10-10T00:00:00"/>
    <n v="23.1"/>
    <n v="18.600000000000001"/>
    <n v="30"/>
    <n v="23.6"/>
    <s v="Normal"/>
    <s v="Normal"/>
    <s v="Normal"/>
    <s v="Outlier"/>
    <x v="3"/>
  </r>
  <r>
    <d v="2020-10-11T00:00:00"/>
    <n v="21.7"/>
    <n v="19.2"/>
    <n v="28.2"/>
    <n v="51.1"/>
    <s v="Normal"/>
    <s v="Normal"/>
    <s v="Normal"/>
    <s v="Outlier"/>
    <x v="3"/>
  </r>
  <r>
    <d v="2020-10-12T00:00:00"/>
    <n v="21.8"/>
    <n v="20"/>
    <n v="25.6"/>
    <n v="3"/>
    <s v="Normal"/>
    <s v="Normal"/>
    <s v="Normal"/>
    <s v="Normal"/>
    <x v="3"/>
  </r>
  <r>
    <d v="2020-10-13T00:00:00"/>
    <n v="21.2"/>
    <n v="19.8"/>
    <n v="25.4"/>
    <n v="5.0999999999999996"/>
    <s v="Normal"/>
    <s v="Normal"/>
    <s v="Normal"/>
    <s v="Normal"/>
    <x v="3"/>
  </r>
  <r>
    <d v="2020-10-14T00:00:00"/>
    <n v="21.5"/>
    <n v="19.8"/>
    <n v="25.8"/>
    <n v="0.5"/>
    <s v="Normal"/>
    <s v="Normal"/>
    <s v="Normal"/>
    <s v="Normal"/>
    <x v="3"/>
  </r>
  <r>
    <d v="2020-10-15T00:00:00"/>
    <n v="22.5"/>
    <n v="19.2"/>
    <n v="26.6"/>
    <n v="0"/>
    <s v="Normal"/>
    <s v="Normal"/>
    <s v="Normal"/>
    <s v="Normal"/>
    <x v="3"/>
  </r>
  <r>
    <d v="2020-10-16T00:00:00"/>
    <n v="23.4"/>
    <n v="17.600000000000001"/>
    <n v="28.8"/>
    <n v="0"/>
    <s v="Normal"/>
    <s v="Normal"/>
    <s v="Normal"/>
    <s v="Normal"/>
    <x v="3"/>
  </r>
  <r>
    <d v="2020-10-18T00:00:00"/>
    <n v="23.8"/>
    <n v="20.8"/>
    <n v="28"/>
    <n v="0.3"/>
    <s v="Normal"/>
    <s v="Normal"/>
    <s v="Normal"/>
    <s v="Normal"/>
    <x v="3"/>
  </r>
  <r>
    <d v="2020-10-19T00:00:00"/>
    <n v="23.3"/>
    <n v="21"/>
    <n v="28"/>
    <n v="1.8"/>
    <s v="Normal"/>
    <s v="Normal"/>
    <s v="Normal"/>
    <s v="Normal"/>
    <x v="3"/>
  </r>
  <r>
    <d v="2020-10-20T00:00:00"/>
    <n v="22.9"/>
    <n v="20"/>
    <n v="26.6"/>
    <n v="3.8"/>
    <s v="Normal"/>
    <s v="Normal"/>
    <s v="Normal"/>
    <s v="Normal"/>
    <x v="3"/>
  </r>
  <r>
    <d v="2020-10-21T00:00:00"/>
    <n v="22.7"/>
    <n v="20.399999999999999"/>
    <n v="26.2"/>
    <n v="67.099999999999994"/>
    <s v="Normal"/>
    <s v="Normal"/>
    <s v="Normal"/>
    <s v="Outlier"/>
    <x v="3"/>
  </r>
  <r>
    <d v="2020-10-22T00:00:00"/>
    <n v="22.2"/>
    <n v="19.3"/>
    <n v="26.4"/>
    <n v="5.3"/>
    <s v="Normal"/>
    <s v="Normal"/>
    <s v="Normal"/>
    <s v="Normal"/>
    <x v="3"/>
  </r>
  <r>
    <d v="2020-10-23T00:00:00"/>
    <n v="21"/>
    <n v="17.8"/>
    <n v="27.5"/>
    <n v="17.5"/>
    <s v="Normal"/>
    <s v="Normal"/>
    <s v="Normal"/>
    <s v="Outlier"/>
    <x v="3"/>
  </r>
  <r>
    <d v="2020-10-24T00:00:00"/>
    <n v="22"/>
    <n v="17"/>
    <n v="27"/>
    <n v="17.3"/>
    <s v="Normal"/>
    <s v="Normal"/>
    <s v="Normal"/>
    <s v="Outlier"/>
    <x v="3"/>
  </r>
  <r>
    <d v="2020-10-25T00:00:00"/>
    <n v="23.5"/>
    <n v="20.2"/>
    <n v="29.8"/>
    <n v="0"/>
    <s v="Normal"/>
    <s v="Normal"/>
    <s v="Normal"/>
    <s v="Normal"/>
    <x v="3"/>
  </r>
  <r>
    <d v="2020-10-26T00:00:00"/>
    <n v="23.6"/>
    <n v="19.399999999999999"/>
    <n v="29.4"/>
    <n v="7.9"/>
    <s v="Normal"/>
    <s v="Normal"/>
    <s v="Normal"/>
    <s v="Normal"/>
    <x v="3"/>
  </r>
  <r>
    <d v="2020-10-27T00:00:00"/>
    <n v="23.7"/>
    <n v="19"/>
    <n v="30"/>
    <n v="0"/>
    <s v="Normal"/>
    <s v="Normal"/>
    <s v="Normal"/>
    <s v="Normal"/>
    <x v="3"/>
  </r>
  <r>
    <d v="2020-10-30T00:00:00"/>
    <n v="22.9"/>
    <n v="17.8"/>
    <n v="28.3"/>
    <n v="0"/>
    <s v="Normal"/>
    <s v="Normal"/>
    <s v="Normal"/>
    <s v="Normal"/>
    <x v="3"/>
  </r>
  <r>
    <d v="2020-11-01T00:00:00"/>
    <n v="24.8"/>
    <n v="19"/>
    <n v="29.1"/>
    <n v="0"/>
    <s v="Normal"/>
    <s v="Normal"/>
    <s v="Normal"/>
    <s v="Normal"/>
    <x v="3"/>
  </r>
  <r>
    <d v="2020-11-02T00:00:00"/>
    <n v="24.3"/>
    <n v="20.399999999999999"/>
    <n v="31.5"/>
    <n v="0.3"/>
    <s v="Normal"/>
    <s v="Normal"/>
    <s v="Normal"/>
    <s v="Normal"/>
    <x v="3"/>
  </r>
  <r>
    <d v="2020-11-03T00:00:00"/>
    <n v="24.7"/>
    <n v="19.8"/>
    <n v="29"/>
    <n v="0"/>
    <s v="Normal"/>
    <s v="Normal"/>
    <s v="Normal"/>
    <s v="Normal"/>
    <x v="3"/>
  </r>
  <r>
    <d v="2020-11-06T00:00:00"/>
    <n v="23.8"/>
    <n v="20.8"/>
    <n v="30.4"/>
    <n v="22.9"/>
    <s v="Normal"/>
    <s v="Normal"/>
    <s v="Normal"/>
    <s v="Outlier"/>
    <x v="3"/>
  </r>
  <r>
    <d v="2020-11-07T00:00:00"/>
    <n v="23.4"/>
    <n v="20.2"/>
    <n v="29.2"/>
    <n v="0"/>
    <s v="Normal"/>
    <s v="Normal"/>
    <s v="Normal"/>
    <s v="Normal"/>
    <x v="3"/>
  </r>
  <r>
    <d v="2020-11-08T00:00:00"/>
    <n v="23.4"/>
    <n v="20.8"/>
    <n v="30.2"/>
    <n v="3.3"/>
    <s v="Normal"/>
    <s v="Normal"/>
    <s v="Normal"/>
    <s v="Normal"/>
    <x v="3"/>
  </r>
  <r>
    <d v="2020-11-09T00:00:00"/>
    <n v="22.7"/>
    <n v="19.5"/>
    <n v="27.8"/>
    <n v="0"/>
    <s v="Normal"/>
    <s v="Normal"/>
    <s v="Normal"/>
    <s v="Normal"/>
    <x v="3"/>
  </r>
  <r>
    <d v="2020-11-13T00:00:00"/>
    <n v="22.1"/>
    <n v="20.399999999999999"/>
    <n v="28"/>
    <n v="0"/>
    <s v="Normal"/>
    <s v="Normal"/>
    <s v="Normal"/>
    <s v="Normal"/>
    <x v="3"/>
  </r>
  <r>
    <d v="2020-11-14T00:00:00"/>
    <n v="22.8"/>
    <n v="20"/>
    <n v="27.8"/>
    <n v="8.9"/>
    <s v="Normal"/>
    <s v="Normal"/>
    <s v="Normal"/>
    <s v="Normal"/>
    <x v="3"/>
  </r>
  <r>
    <d v="2020-11-15T00:00:00"/>
    <n v="21.6"/>
    <n v="19.100000000000001"/>
    <n v="28.2"/>
    <n v="0"/>
    <s v="Normal"/>
    <s v="Normal"/>
    <s v="Normal"/>
    <s v="Normal"/>
    <x v="3"/>
  </r>
  <r>
    <d v="2020-11-16T00:00:00"/>
    <n v="21.6"/>
    <n v="19.2"/>
    <n v="25.8"/>
    <n v="9.9"/>
    <s v="Normal"/>
    <s v="Normal"/>
    <s v="Normal"/>
    <s v="Normal"/>
    <x v="3"/>
  </r>
  <r>
    <d v="2020-11-17T00:00:00"/>
    <n v="22.2"/>
    <n v="19.399999999999999"/>
    <n v="25"/>
    <n v="21.1"/>
    <s v="Normal"/>
    <s v="Normal"/>
    <s v="Normal"/>
    <s v="Outlier"/>
    <x v="3"/>
  </r>
  <r>
    <d v="2020-11-18T00:00:00"/>
    <n v="22.8"/>
    <n v="19.2"/>
    <n v="28.3"/>
    <n v="0"/>
    <s v="Normal"/>
    <s v="Normal"/>
    <s v="Normal"/>
    <s v="Normal"/>
    <x v="3"/>
  </r>
  <r>
    <d v="2020-11-19T00:00:00"/>
    <n v="22.9"/>
    <n v="20"/>
    <n v="28.3"/>
    <n v="0"/>
    <s v="Normal"/>
    <s v="Normal"/>
    <s v="Normal"/>
    <s v="Normal"/>
    <x v="3"/>
  </r>
  <r>
    <d v="2020-11-26T00:00:00"/>
    <n v="19.399999999999999"/>
    <n v="17.8"/>
    <n v="23.8"/>
    <n v="2"/>
    <s v="Normal"/>
    <s v="Normal"/>
    <s v="Normal"/>
    <s v="Normal"/>
    <x v="3"/>
  </r>
  <r>
    <d v="2020-11-27T00:00:00"/>
    <n v="19.7"/>
    <n v="17.8"/>
    <n v="21.8"/>
    <n v="13.2"/>
    <s v="Normal"/>
    <s v="Normal"/>
    <s v="Outlier"/>
    <s v="Outlier"/>
    <x v="3"/>
  </r>
  <r>
    <d v="2020-11-28T00:00:00"/>
    <n v="21.5"/>
    <n v="17"/>
    <n v="25.9"/>
    <n v="0.3"/>
    <s v="Normal"/>
    <s v="Normal"/>
    <s v="Normal"/>
    <s v="Normal"/>
    <x v="3"/>
  </r>
  <r>
    <d v="2020-11-29T00:00:00"/>
    <n v="21.6"/>
    <n v="19"/>
    <n v="25.6"/>
    <n v="0"/>
    <s v="Normal"/>
    <s v="Normal"/>
    <s v="Normal"/>
    <s v="Normal"/>
    <x v="3"/>
  </r>
  <r>
    <d v="2020-11-30T00:00:00"/>
    <n v="21.9"/>
    <n v="18"/>
    <n v="26.8"/>
    <n v="0"/>
    <s v="Normal"/>
    <s v="Normal"/>
    <s v="Normal"/>
    <s v="Normal"/>
    <x v="3"/>
  </r>
  <r>
    <d v="2020-12-03T00:00:00"/>
    <n v="19.899999999999999"/>
    <n v="18"/>
    <n v="26.4"/>
    <n v="2.2999999999999998"/>
    <s v="Normal"/>
    <s v="Normal"/>
    <s v="Normal"/>
    <s v="Normal"/>
    <x v="3"/>
  </r>
  <r>
    <d v="2020-12-04T00:00:00"/>
    <n v="20.8"/>
    <n v="19.2"/>
    <n v="22.8"/>
    <n v="1.8"/>
    <s v="Normal"/>
    <s v="Normal"/>
    <s v="Normal"/>
    <s v="Normal"/>
    <x v="3"/>
  </r>
  <r>
    <d v="2020-12-05T00:00:00"/>
    <n v="21"/>
    <n v="19.399999999999999"/>
    <n v="23.2"/>
    <n v="0.8"/>
    <s v="Normal"/>
    <s v="Normal"/>
    <s v="Normal"/>
    <s v="Normal"/>
    <x v="3"/>
  </r>
  <r>
    <d v="2020-12-06T00:00:00"/>
    <n v="20.9"/>
    <n v="18.5"/>
    <n v="24"/>
    <n v="1.3"/>
    <s v="Normal"/>
    <s v="Normal"/>
    <s v="Normal"/>
    <s v="Normal"/>
    <x v="3"/>
  </r>
  <r>
    <d v="2020-12-07T00:00:00"/>
    <n v="21.7"/>
    <n v="19.399999999999999"/>
    <n v="24.8"/>
    <n v="7.6"/>
    <s v="Normal"/>
    <s v="Normal"/>
    <s v="Normal"/>
    <s v="Normal"/>
    <x v="3"/>
  </r>
  <r>
    <d v="2020-12-08T00:00:00"/>
    <n v="21.3"/>
    <n v="19.5"/>
    <n v="26.2"/>
    <n v="5.6"/>
    <s v="Normal"/>
    <s v="Normal"/>
    <s v="Normal"/>
    <s v="Normal"/>
    <x v="3"/>
  </r>
  <r>
    <d v="2020-12-09T00:00:00"/>
    <n v="21.7"/>
    <n v="19.399999999999999"/>
    <n v="25"/>
    <n v="0.8"/>
    <s v="Normal"/>
    <s v="Normal"/>
    <s v="Normal"/>
    <s v="Normal"/>
    <x v="3"/>
  </r>
  <r>
    <d v="2020-12-10T00:00:00"/>
    <n v="21.3"/>
    <n v="16.399999999999999"/>
    <n v="26.8"/>
    <n v="0"/>
    <s v="Normal"/>
    <s v="Outlier"/>
    <s v="Normal"/>
    <s v="Normal"/>
    <x v="3"/>
  </r>
  <r>
    <d v="2020-12-11T00:00:00"/>
    <n v="21.2"/>
    <n v="16.600000000000001"/>
    <n v="28.4"/>
    <n v="0"/>
    <s v="Normal"/>
    <s v="Outlier"/>
    <s v="Normal"/>
    <s v="Normal"/>
    <x v="3"/>
  </r>
  <r>
    <d v="2020-12-17T00:00:00"/>
    <n v="21.7"/>
    <n v="19.5"/>
    <n v="26.8"/>
    <n v="0.3"/>
    <s v="Normal"/>
    <s v="Normal"/>
    <s v="Normal"/>
    <s v="Normal"/>
    <x v="3"/>
  </r>
  <r>
    <d v="2020-12-18T00:00:00"/>
    <n v="22.1"/>
    <n v="18.399999999999999"/>
    <n v="26.6"/>
    <n v="0"/>
    <s v="Normal"/>
    <s v="Normal"/>
    <s v="Normal"/>
    <s v="Normal"/>
    <x v="3"/>
  </r>
  <r>
    <d v="2020-12-31T00:00:00"/>
    <n v="21.1"/>
    <n v="18.8"/>
    <n v="29.6"/>
    <n v="0"/>
    <s v="Normal"/>
    <s v="Normal"/>
    <s v="Normal"/>
    <s v="Normal"/>
    <x v="3"/>
  </r>
  <r>
    <d v="2021-01-01T00:00:00"/>
    <n v="20.6"/>
    <n v="16.600000000000001"/>
    <n v="25.3"/>
    <n v="0.5"/>
    <s v="Normal"/>
    <s v="Outlier"/>
    <s v="Normal"/>
    <s v="Normal"/>
    <x v="4"/>
  </r>
  <r>
    <d v="2021-01-02T00:00:00"/>
    <n v="20.9"/>
    <n v="16.600000000000001"/>
    <n v="26"/>
    <n v="0.4"/>
    <s v="Normal"/>
    <s v="Outlier"/>
    <s v="Normal"/>
    <s v="Normal"/>
    <x v="4"/>
  </r>
  <r>
    <d v="2021-01-03T00:00:00"/>
    <n v="21.9"/>
    <n v="18.8"/>
    <n v="26"/>
    <n v="0"/>
    <s v="Normal"/>
    <s v="Normal"/>
    <s v="Normal"/>
    <s v="Normal"/>
    <x v="4"/>
  </r>
  <r>
    <d v="2021-01-04T00:00:00"/>
    <n v="20.8"/>
    <n v="18.600000000000001"/>
    <n v="27.6"/>
    <n v="0"/>
    <s v="Normal"/>
    <s v="Normal"/>
    <s v="Normal"/>
    <s v="Normal"/>
    <x v="4"/>
  </r>
  <r>
    <d v="2021-01-05T00:00:00"/>
    <n v="21.9"/>
    <n v="18.7"/>
    <n v="26.2"/>
    <n v="0"/>
    <s v="Normal"/>
    <s v="Normal"/>
    <s v="Normal"/>
    <s v="Normal"/>
    <x v="4"/>
  </r>
  <r>
    <d v="2021-01-06T00:00:00"/>
    <n v="21.2"/>
    <n v="20"/>
    <n v="27.3"/>
    <n v="7.5"/>
    <s v="Normal"/>
    <s v="Normal"/>
    <s v="Normal"/>
    <s v="Normal"/>
    <x v="4"/>
  </r>
  <r>
    <d v="2021-01-07T00:00:00"/>
    <n v="21.6"/>
    <n v="19.100000000000001"/>
    <n v="25.4"/>
    <n v="0.8"/>
    <s v="Normal"/>
    <s v="Normal"/>
    <s v="Normal"/>
    <s v="Normal"/>
    <x v="4"/>
  </r>
  <r>
    <d v="2021-01-08T00:00:00"/>
    <n v="22.3"/>
    <n v="20"/>
    <n v="27"/>
    <n v="9"/>
    <s v="Normal"/>
    <s v="Normal"/>
    <s v="Normal"/>
    <s v="Normal"/>
    <x v="4"/>
  </r>
  <r>
    <d v="2021-01-09T00:00:00"/>
    <n v="21.4"/>
    <n v="18.8"/>
    <n v="27"/>
    <n v="0"/>
    <s v="Normal"/>
    <s v="Normal"/>
    <s v="Normal"/>
    <s v="Normal"/>
    <x v="4"/>
  </r>
  <r>
    <d v="2021-01-10T00:00:00"/>
    <n v="22.2"/>
    <n v="18.600000000000001"/>
    <n v="26.2"/>
    <n v="0"/>
    <s v="Normal"/>
    <s v="Normal"/>
    <s v="Normal"/>
    <s v="Normal"/>
    <x v="4"/>
  </r>
  <r>
    <d v="2021-01-11T00:00:00"/>
    <n v="21.6"/>
    <n v="18.2"/>
    <n v="26.9"/>
    <n v="0"/>
    <s v="Normal"/>
    <s v="Normal"/>
    <s v="Normal"/>
    <s v="Normal"/>
    <x v="4"/>
  </r>
  <r>
    <d v="2021-01-12T00:00:00"/>
    <n v="20.399999999999999"/>
    <n v="18.2"/>
    <n v="25.4"/>
    <n v="0"/>
    <s v="Normal"/>
    <s v="Normal"/>
    <s v="Normal"/>
    <s v="Normal"/>
    <x v="4"/>
  </r>
  <r>
    <d v="2021-01-13T00:00:00"/>
    <n v="21.3"/>
    <n v="16.8"/>
    <n v="26.3"/>
    <n v="0"/>
    <s v="Normal"/>
    <s v="Outlier"/>
    <s v="Normal"/>
    <s v="Normal"/>
    <x v="4"/>
  </r>
  <r>
    <d v="2021-01-14T00:00:00"/>
    <n v="20.8"/>
    <n v="16.399999999999999"/>
    <n v="27.7"/>
    <n v="0.2"/>
    <s v="Normal"/>
    <s v="Outlier"/>
    <s v="Normal"/>
    <s v="Normal"/>
    <x v="4"/>
  </r>
  <r>
    <d v="2021-01-15T00:00:00"/>
    <n v="21.8"/>
    <n v="17.3"/>
    <n v="26.3"/>
    <n v="0"/>
    <s v="Normal"/>
    <s v="Normal"/>
    <s v="Normal"/>
    <s v="Normal"/>
    <x v="4"/>
  </r>
  <r>
    <d v="2021-01-16T00:00:00"/>
    <n v="22.2"/>
    <n v="18.100000000000001"/>
    <n v="27.4"/>
    <n v="0"/>
    <s v="Normal"/>
    <s v="Normal"/>
    <s v="Normal"/>
    <s v="Normal"/>
    <x v="4"/>
  </r>
  <r>
    <d v="2021-01-17T00:00:00"/>
    <n v="22.2"/>
    <n v="17"/>
    <n v="29.2"/>
    <n v="0"/>
    <s v="Normal"/>
    <s v="Normal"/>
    <s v="Normal"/>
    <s v="Normal"/>
    <x v="4"/>
  </r>
  <r>
    <d v="2021-01-18T00:00:00"/>
    <n v="21.8"/>
    <n v="15.5"/>
    <n v="29.6"/>
    <n v="0"/>
    <s v="Normal"/>
    <s v="Outlier"/>
    <s v="Normal"/>
    <s v="Normal"/>
    <x v="4"/>
  </r>
  <r>
    <d v="2021-01-19T00:00:00"/>
    <n v="21.8"/>
    <n v="16.100000000000001"/>
    <n v="28.8"/>
    <n v="0"/>
    <s v="Normal"/>
    <s v="Outlier"/>
    <s v="Normal"/>
    <s v="Normal"/>
    <x v="4"/>
  </r>
  <r>
    <d v="2021-01-20T00:00:00"/>
    <n v="22.7"/>
    <n v="16"/>
    <n v="28.4"/>
    <n v="0"/>
    <s v="Normal"/>
    <s v="Outlier"/>
    <s v="Normal"/>
    <s v="Normal"/>
    <x v="4"/>
  </r>
  <r>
    <d v="2021-01-21T00:00:00"/>
    <n v="23.8"/>
    <n v="17"/>
    <n v="31.1"/>
    <n v="0"/>
    <s v="Normal"/>
    <s v="Normal"/>
    <s v="Normal"/>
    <s v="Normal"/>
    <x v="4"/>
  </r>
  <r>
    <d v="2021-01-22T00:00:00"/>
    <n v="23.8"/>
    <n v="18.399999999999999"/>
    <n v="31.1"/>
    <n v="0.1"/>
    <s v="Normal"/>
    <s v="Normal"/>
    <s v="Normal"/>
    <s v="Normal"/>
    <x v="4"/>
  </r>
  <r>
    <d v="2021-01-23T00:00:00"/>
    <n v="22.5"/>
    <n v="18"/>
    <n v="30.3"/>
    <n v="0"/>
    <s v="Normal"/>
    <s v="Normal"/>
    <s v="Normal"/>
    <s v="Normal"/>
    <x v="4"/>
  </r>
  <r>
    <d v="2021-01-24T00:00:00"/>
    <n v="21.9"/>
    <n v="17"/>
    <n v="29.2"/>
    <n v="0"/>
    <s v="Normal"/>
    <s v="Normal"/>
    <s v="Normal"/>
    <s v="Normal"/>
    <x v="4"/>
  </r>
  <r>
    <d v="2021-01-25T00:00:00"/>
    <n v="21.6"/>
    <n v="16.3"/>
    <n v="29.5"/>
    <n v="0"/>
    <s v="Normal"/>
    <s v="Outlier"/>
    <s v="Normal"/>
    <s v="Normal"/>
    <x v="4"/>
  </r>
  <r>
    <d v="2021-01-26T00:00:00"/>
    <n v="21.9"/>
    <n v="15.4"/>
    <n v="29.4"/>
    <n v="0"/>
    <s v="Normal"/>
    <s v="Outlier"/>
    <s v="Normal"/>
    <s v="Normal"/>
    <x v="4"/>
  </r>
  <r>
    <d v="2021-01-27T00:00:00"/>
    <n v="21.7"/>
    <n v="15.4"/>
    <n v="30.8"/>
    <n v="0"/>
    <s v="Normal"/>
    <s v="Outlier"/>
    <s v="Normal"/>
    <s v="Normal"/>
    <x v="4"/>
  </r>
  <r>
    <d v="2021-01-28T00:00:00"/>
    <n v="21.6"/>
    <n v="16"/>
    <n v="30.2"/>
    <n v="0"/>
    <s v="Normal"/>
    <s v="Outlier"/>
    <s v="Normal"/>
    <s v="Normal"/>
    <x v="4"/>
  </r>
  <r>
    <d v="2021-01-29T00:00:00"/>
    <n v="22.4"/>
    <n v="18"/>
    <n v="28.4"/>
    <n v="0"/>
    <s v="Normal"/>
    <s v="Normal"/>
    <s v="Normal"/>
    <s v="Normal"/>
    <x v="4"/>
  </r>
  <r>
    <d v="2021-01-30T00:00:00"/>
    <n v="22.8"/>
    <n v="17.399999999999999"/>
    <n v="29.3"/>
    <n v="0"/>
    <s v="Normal"/>
    <s v="Normal"/>
    <s v="Normal"/>
    <s v="Normal"/>
    <x v="4"/>
  </r>
  <r>
    <d v="2021-01-31T00:00:00"/>
    <n v="22.7"/>
    <n v="17.2"/>
    <n v="29.8"/>
    <n v="0"/>
    <s v="Normal"/>
    <s v="Normal"/>
    <s v="Normal"/>
    <s v="Normal"/>
    <x v="4"/>
  </r>
  <r>
    <d v="2021-02-01T00:00:00"/>
    <n v="22.8"/>
    <n v="16.8"/>
    <n v="30.1"/>
    <n v="0"/>
    <s v="Normal"/>
    <s v="Outlier"/>
    <s v="Normal"/>
    <s v="Normal"/>
    <x v="4"/>
  </r>
  <r>
    <d v="2021-02-02T00:00:00"/>
    <n v="22.1"/>
    <n v="16.8"/>
    <n v="29.6"/>
    <n v="0"/>
    <s v="Normal"/>
    <s v="Outlier"/>
    <s v="Normal"/>
    <s v="Normal"/>
    <x v="4"/>
  </r>
  <r>
    <d v="2021-02-03T00:00:00"/>
    <n v="21.8"/>
    <n v="17.899999999999999"/>
    <n v="28.6"/>
    <n v="0"/>
    <s v="Normal"/>
    <s v="Normal"/>
    <s v="Normal"/>
    <s v="Normal"/>
    <x v="4"/>
  </r>
  <r>
    <d v="2021-02-04T00:00:00"/>
    <n v="22.1"/>
    <n v="16.100000000000001"/>
    <n v="28.5"/>
    <n v="0"/>
    <s v="Normal"/>
    <s v="Outlier"/>
    <s v="Normal"/>
    <s v="Normal"/>
    <x v="4"/>
  </r>
  <r>
    <d v="2021-02-05T00:00:00"/>
    <n v="22.2"/>
    <n v="15.4"/>
    <n v="29.4"/>
    <n v="0"/>
    <s v="Normal"/>
    <s v="Outlier"/>
    <s v="Normal"/>
    <s v="Normal"/>
    <x v="4"/>
  </r>
  <r>
    <d v="2021-02-06T00:00:00"/>
    <n v="22.4"/>
    <n v="15.6"/>
    <n v="30.4"/>
    <n v="0"/>
    <s v="Normal"/>
    <s v="Outlier"/>
    <s v="Normal"/>
    <s v="Normal"/>
    <x v="4"/>
  </r>
  <r>
    <d v="2021-02-07T00:00:00"/>
    <n v="22.3"/>
    <n v="15"/>
    <n v="30.4"/>
    <n v="0"/>
    <s v="Normal"/>
    <s v="Outlier"/>
    <s v="Normal"/>
    <s v="Normal"/>
    <x v="4"/>
  </r>
  <r>
    <d v="2021-02-08T00:00:00"/>
    <n v="22.1"/>
    <n v="16.100000000000001"/>
    <n v="30.1"/>
    <n v="0"/>
    <s v="Normal"/>
    <s v="Outlier"/>
    <s v="Normal"/>
    <s v="Normal"/>
    <x v="4"/>
  </r>
  <r>
    <d v="2021-02-09T00:00:00"/>
    <n v="20.6"/>
    <n v="14.9"/>
    <n v="29.8"/>
    <n v="0"/>
    <s v="Normal"/>
    <s v="Outlier"/>
    <s v="Normal"/>
    <s v="Normal"/>
    <x v="4"/>
  </r>
  <r>
    <d v="2021-02-10T00:00:00"/>
    <n v="21.7"/>
    <n v="14.4"/>
    <n v="28.6"/>
    <n v="0"/>
    <s v="Normal"/>
    <s v="Outlier"/>
    <s v="Normal"/>
    <s v="Normal"/>
    <x v="4"/>
  </r>
  <r>
    <d v="2021-02-11T00:00:00"/>
    <n v="20.3"/>
    <n v="13.5"/>
    <n v="28.1"/>
    <n v="0"/>
    <s v="Normal"/>
    <s v="Outlier"/>
    <s v="Normal"/>
    <s v="Normal"/>
    <x v="4"/>
  </r>
  <r>
    <d v="2021-02-12T00:00:00"/>
    <n v="20.7"/>
    <n v="12.2"/>
    <n v="28.9"/>
    <n v="0"/>
    <s v="Normal"/>
    <s v="Outlier"/>
    <s v="Normal"/>
    <s v="Normal"/>
    <x v="4"/>
  </r>
  <r>
    <d v="2021-02-13T00:00:00"/>
    <n v="20.6"/>
    <n v="13"/>
    <n v="29.8"/>
    <n v="0"/>
    <s v="Normal"/>
    <s v="Outlier"/>
    <s v="Normal"/>
    <s v="Normal"/>
    <x v="4"/>
  </r>
  <r>
    <d v="2021-02-14T00:00:00"/>
    <n v="23"/>
    <n v="16.2"/>
    <n v="31"/>
    <n v="0"/>
    <s v="Normal"/>
    <s v="Outlier"/>
    <s v="Normal"/>
    <s v="Normal"/>
    <x v="4"/>
  </r>
  <r>
    <d v="2021-02-15T00:00:00"/>
    <n v="24"/>
    <n v="17.899999999999999"/>
    <n v="31.5"/>
    <n v="0"/>
    <s v="Normal"/>
    <s v="Normal"/>
    <s v="Normal"/>
    <s v="Normal"/>
    <x v="4"/>
  </r>
  <r>
    <d v="2021-02-16T00:00:00"/>
    <n v="23.9"/>
    <n v="18.399999999999999"/>
    <n v="32"/>
    <n v="0"/>
    <s v="Normal"/>
    <s v="Normal"/>
    <s v="Normal"/>
    <s v="Normal"/>
    <x v="4"/>
  </r>
  <r>
    <d v="2021-02-17T00:00:00"/>
    <n v="23.8"/>
    <n v="18.399999999999999"/>
    <n v="31.4"/>
    <n v="0"/>
    <s v="Normal"/>
    <s v="Normal"/>
    <s v="Normal"/>
    <s v="Normal"/>
    <x v="4"/>
  </r>
  <r>
    <d v="2021-02-18T00:00:00"/>
    <n v="22.8"/>
    <n v="18"/>
    <n v="31.2"/>
    <n v="0.1"/>
    <s v="Normal"/>
    <s v="Normal"/>
    <s v="Normal"/>
    <s v="Normal"/>
    <x v="4"/>
  </r>
  <r>
    <d v="2021-02-19T00:00:00"/>
    <n v="22.8"/>
    <n v="18.2"/>
    <n v="29.3"/>
    <n v="1.7"/>
    <s v="Normal"/>
    <s v="Normal"/>
    <s v="Normal"/>
    <s v="Normal"/>
    <x v="4"/>
  </r>
  <r>
    <d v="2021-02-20T00:00:00"/>
    <n v="19.8"/>
    <n v="16.8"/>
    <n v="24.5"/>
    <n v="4.2"/>
    <s v="Normal"/>
    <s v="Outlier"/>
    <s v="Normal"/>
    <s v="Normal"/>
    <x v="4"/>
  </r>
  <r>
    <d v="2021-02-21T00:00:00"/>
    <n v="20.6"/>
    <n v="17.100000000000001"/>
    <n v="24.2"/>
    <n v="4.7"/>
    <s v="Normal"/>
    <s v="Normal"/>
    <s v="Normal"/>
    <s v="Normal"/>
    <x v="4"/>
  </r>
  <r>
    <d v="2021-02-22T00:00:00"/>
    <n v="22.8"/>
    <n v="18.100000000000001"/>
    <n v="28"/>
    <n v="0.4"/>
    <s v="Normal"/>
    <s v="Normal"/>
    <s v="Normal"/>
    <s v="Normal"/>
    <x v="4"/>
  </r>
  <r>
    <d v="2021-02-23T00:00:00"/>
    <n v="24.5"/>
    <n v="18.2"/>
    <n v="30.4"/>
    <n v="0"/>
    <s v="Normal"/>
    <s v="Normal"/>
    <s v="Normal"/>
    <s v="Normal"/>
    <x v="4"/>
  </r>
  <r>
    <d v="2021-02-24T00:00:00"/>
    <n v="24.4"/>
    <n v="18"/>
    <n v="31.1"/>
    <n v="0"/>
    <s v="Normal"/>
    <s v="Normal"/>
    <s v="Normal"/>
    <s v="Normal"/>
    <x v="4"/>
  </r>
  <r>
    <d v="2021-02-25T00:00:00"/>
    <n v="25.3"/>
    <n v="17.399999999999999"/>
    <n v="32"/>
    <n v="0"/>
    <s v="Normal"/>
    <s v="Normal"/>
    <s v="Normal"/>
    <s v="Normal"/>
    <x v="4"/>
  </r>
  <r>
    <d v="2021-02-26T00:00:00"/>
    <n v="25.8"/>
    <n v="18.399999999999999"/>
    <n v="33"/>
    <n v="0"/>
    <s v="Normal"/>
    <s v="Normal"/>
    <s v="Normal"/>
    <s v="Normal"/>
    <x v="4"/>
  </r>
  <r>
    <d v="2021-02-27T00:00:00"/>
    <n v="26.2"/>
    <n v="19"/>
    <n v="34.1"/>
    <n v="0"/>
    <s v="Normal"/>
    <s v="Normal"/>
    <s v="Normal"/>
    <s v="Normal"/>
    <x v="4"/>
  </r>
  <r>
    <d v="2021-02-28T00:00:00"/>
    <n v="26"/>
    <n v="20"/>
    <n v="33.799999999999997"/>
    <n v="0"/>
    <s v="Normal"/>
    <s v="Normal"/>
    <s v="Normal"/>
    <s v="Normal"/>
    <x v="4"/>
  </r>
  <r>
    <d v="2021-03-01T00:00:00"/>
    <n v="25.4"/>
    <n v="17.399999999999999"/>
    <n v="33.799999999999997"/>
    <n v="0"/>
    <s v="Normal"/>
    <s v="Normal"/>
    <s v="Normal"/>
    <s v="Normal"/>
    <x v="4"/>
  </r>
  <r>
    <d v="2021-03-02T00:00:00"/>
    <n v="25.3"/>
    <n v="18.399999999999999"/>
    <n v="33.6"/>
    <n v="0"/>
    <s v="Normal"/>
    <s v="Normal"/>
    <s v="Normal"/>
    <s v="Normal"/>
    <x v="4"/>
  </r>
  <r>
    <d v="2021-03-03T00:00:00"/>
    <n v="25"/>
    <n v="18.2"/>
    <n v="32.5"/>
    <n v="0"/>
    <s v="Normal"/>
    <s v="Normal"/>
    <s v="Normal"/>
    <s v="Normal"/>
    <x v="4"/>
  </r>
  <r>
    <d v="2021-03-04T00:00:00"/>
    <n v="24.6"/>
    <n v="16.5"/>
    <n v="32.299999999999997"/>
    <n v="0"/>
    <s v="Normal"/>
    <s v="Outlier"/>
    <s v="Normal"/>
    <s v="Normal"/>
    <x v="4"/>
  </r>
  <r>
    <d v="2021-03-05T00:00:00"/>
    <n v="24.9"/>
    <n v="16.7"/>
    <n v="32"/>
    <n v="0"/>
    <s v="Normal"/>
    <s v="Outlier"/>
    <s v="Normal"/>
    <s v="Normal"/>
    <x v="4"/>
  </r>
  <r>
    <d v="2021-03-06T00:00:00"/>
    <n v="26.7"/>
    <n v="18.399999999999999"/>
    <n v="34.4"/>
    <n v="0"/>
    <s v="Normal"/>
    <s v="Normal"/>
    <s v="Normal"/>
    <s v="Normal"/>
    <x v="4"/>
  </r>
  <r>
    <d v="2021-03-07T00:00:00"/>
    <n v="26.5"/>
    <n v="17.5"/>
    <n v="35.9"/>
    <n v="0"/>
    <s v="Normal"/>
    <s v="Normal"/>
    <s v="Normal"/>
    <s v="Normal"/>
    <x v="4"/>
  </r>
  <r>
    <d v="2021-03-08T00:00:00"/>
    <n v="26"/>
    <n v="19"/>
    <n v="33.799999999999997"/>
    <n v="0"/>
    <s v="Normal"/>
    <s v="Normal"/>
    <s v="Normal"/>
    <s v="Normal"/>
    <x v="4"/>
  </r>
  <r>
    <d v="2021-03-09T00:00:00"/>
    <n v="25.6"/>
    <n v="18.7"/>
    <n v="33.5"/>
    <n v="0"/>
    <s v="Normal"/>
    <s v="Normal"/>
    <s v="Normal"/>
    <s v="Normal"/>
    <x v="4"/>
  </r>
  <r>
    <d v="2021-03-10T00:00:00"/>
    <n v="27"/>
    <n v="19.5"/>
    <n v="33.6"/>
    <n v="0"/>
    <s v="Normal"/>
    <s v="Normal"/>
    <s v="Normal"/>
    <s v="Normal"/>
    <x v="4"/>
  </r>
  <r>
    <d v="2021-03-11T00:00:00"/>
    <n v="25"/>
    <n v="18.8"/>
    <n v="32"/>
    <n v="0"/>
    <s v="Normal"/>
    <s v="Normal"/>
    <s v="Normal"/>
    <s v="Normal"/>
    <x v="4"/>
  </r>
  <r>
    <d v="2021-03-12T00:00:00"/>
    <n v="24.6"/>
    <n v="17.3"/>
    <n v="32.200000000000003"/>
    <n v="0"/>
    <s v="Normal"/>
    <s v="Normal"/>
    <s v="Normal"/>
    <s v="Normal"/>
    <x v="4"/>
  </r>
  <r>
    <d v="2021-03-13T00:00:00"/>
    <n v="24.1"/>
    <n v="15.3"/>
    <n v="31"/>
    <n v="0"/>
    <s v="Normal"/>
    <s v="Outlier"/>
    <s v="Normal"/>
    <s v="Normal"/>
    <x v="4"/>
  </r>
  <r>
    <d v="2021-03-14T00:00:00"/>
    <n v="24.7"/>
    <n v="15.6"/>
    <n v="32.4"/>
    <n v="0"/>
    <s v="Normal"/>
    <s v="Outlier"/>
    <s v="Normal"/>
    <s v="Normal"/>
    <x v="4"/>
  </r>
  <r>
    <d v="2021-03-15T00:00:00"/>
    <n v="25.1"/>
    <n v="16.2"/>
    <n v="32.4"/>
    <n v="0"/>
    <s v="Normal"/>
    <s v="Outlier"/>
    <s v="Normal"/>
    <s v="Normal"/>
    <x v="4"/>
  </r>
  <r>
    <d v="2021-03-16T00:00:00"/>
    <n v="25.9"/>
    <n v="17.899999999999999"/>
    <n v="32.799999999999997"/>
    <n v="0"/>
    <s v="Normal"/>
    <s v="Normal"/>
    <s v="Normal"/>
    <s v="Normal"/>
    <x v="4"/>
  </r>
  <r>
    <d v="2021-03-17T00:00:00"/>
    <n v="25.5"/>
    <n v="16.399999999999999"/>
    <n v="32.4"/>
    <n v="0"/>
    <s v="Normal"/>
    <s v="Outlier"/>
    <s v="Normal"/>
    <s v="Normal"/>
    <x v="4"/>
  </r>
  <r>
    <d v="2021-03-18T00:00:00"/>
    <n v="25.5"/>
    <n v="17"/>
    <n v="32.799999999999997"/>
    <n v="0"/>
    <s v="Normal"/>
    <s v="Normal"/>
    <s v="Normal"/>
    <s v="Normal"/>
    <x v="4"/>
  </r>
  <r>
    <d v="2021-03-19T00:00:00"/>
    <n v="25.3"/>
    <n v="17.8"/>
    <n v="32.799999999999997"/>
    <n v="0"/>
    <s v="Normal"/>
    <s v="Normal"/>
    <s v="Normal"/>
    <s v="Normal"/>
    <x v="4"/>
  </r>
  <r>
    <d v="2021-03-20T00:00:00"/>
    <n v="25.3"/>
    <n v="16.899999999999999"/>
    <n v="32.200000000000003"/>
    <n v="0"/>
    <s v="Normal"/>
    <s v="Normal"/>
    <s v="Normal"/>
    <s v="Normal"/>
    <x v="4"/>
  </r>
  <r>
    <d v="2021-03-21T00:00:00"/>
    <n v="25.9"/>
    <n v="18.399999999999999"/>
    <n v="33"/>
    <n v="0"/>
    <s v="Normal"/>
    <s v="Normal"/>
    <s v="Normal"/>
    <s v="Normal"/>
    <x v="4"/>
  </r>
  <r>
    <d v="2021-03-22T00:00:00"/>
    <n v="26.2"/>
    <n v="17.5"/>
    <n v="33.799999999999997"/>
    <n v="0"/>
    <s v="Normal"/>
    <s v="Normal"/>
    <s v="Normal"/>
    <s v="Normal"/>
    <x v="4"/>
  </r>
  <r>
    <d v="2021-03-23T00:00:00"/>
    <n v="26.6"/>
    <n v="18.2"/>
    <n v="34.200000000000003"/>
    <n v="0"/>
    <s v="Normal"/>
    <s v="Normal"/>
    <s v="Normal"/>
    <s v="Normal"/>
    <x v="4"/>
  </r>
  <r>
    <d v="2021-03-24T00:00:00"/>
    <n v="26.7"/>
    <n v="18.3"/>
    <n v="33.799999999999997"/>
    <n v="0"/>
    <s v="Normal"/>
    <s v="Normal"/>
    <s v="Normal"/>
    <s v="Normal"/>
    <x v="4"/>
  </r>
  <r>
    <d v="2021-03-25T00:00:00"/>
    <n v="27.2"/>
    <n v="18.7"/>
    <n v="33.6"/>
    <n v="0"/>
    <s v="Normal"/>
    <s v="Normal"/>
    <s v="Normal"/>
    <s v="Normal"/>
    <x v="4"/>
  </r>
  <r>
    <d v="2021-03-26T00:00:00"/>
    <n v="27.2"/>
    <n v="19.3"/>
    <n v="35"/>
    <n v="0"/>
    <s v="Normal"/>
    <s v="Normal"/>
    <s v="Normal"/>
    <s v="Normal"/>
    <x v="4"/>
  </r>
  <r>
    <d v="2021-03-27T00:00:00"/>
    <n v="27.2"/>
    <n v="19.100000000000001"/>
    <n v="34.4"/>
    <n v="0"/>
    <s v="Normal"/>
    <s v="Normal"/>
    <s v="Normal"/>
    <s v="Normal"/>
    <x v="4"/>
  </r>
  <r>
    <d v="2021-03-28T00:00:00"/>
    <n v="27.2"/>
    <n v="19.8"/>
    <n v="34.1"/>
    <n v="0"/>
    <s v="Normal"/>
    <s v="Normal"/>
    <s v="Normal"/>
    <s v="Normal"/>
    <x v="4"/>
  </r>
  <r>
    <d v="2021-03-29T00:00:00"/>
    <n v="27.5"/>
    <n v="20"/>
    <n v="34.5"/>
    <n v="0"/>
    <s v="Normal"/>
    <s v="Normal"/>
    <s v="Normal"/>
    <s v="Normal"/>
    <x v="4"/>
  </r>
  <r>
    <d v="2021-03-30T00:00:00"/>
    <n v="27.7"/>
    <n v="21.4"/>
    <n v="34.1"/>
    <n v="0"/>
    <s v="Normal"/>
    <s v="Normal"/>
    <s v="Normal"/>
    <s v="Normal"/>
    <x v="4"/>
  </r>
  <r>
    <d v="2021-04-01T00:00:00"/>
    <n v="28.1"/>
    <n v="21"/>
    <n v="35.6"/>
    <n v="0"/>
    <s v="Normal"/>
    <s v="Normal"/>
    <s v="Normal"/>
    <s v="Normal"/>
    <x v="4"/>
  </r>
  <r>
    <d v="2021-04-02T00:00:00"/>
    <n v="27.7"/>
    <n v="19.3"/>
    <n v="35.6"/>
    <n v="0"/>
    <s v="Normal"/>
    <s v="Normal"/>
    <s v="Normal"/>
    <s v="Normal"/>
    <x v="4"/>
  </r>
  <r>
    <d v="2021-04-03T00:00:00"/>
    <n v="27.7"/>
    <n v="20.6"/>
    <n v="34.4"/>
    <n v="0"/>
    <s v="Normal"/>
    <s v="Normal"/>
    <s v="Normal"/>
    <s v="Normal"/>
    <x v="4"/>
  </r>
  <r>
    <d v="2021-04-05T00:00:00"/>
    <n v="27.7"/>
    <n v="21.4"/>
    <n v="33.299999999999997"/>
    <n v="0"/>
    <s v="Normal"/>
    <s v="Normal"/>
    <s v="Normal"/>
    <s v="Normal"/>
    <x v="4"/>
  </r>
  <r>
    <d v="2021-04-06T00:00:00"/>
    <n v="27.3"/>
    <n v="20.2"/>
    <n v="34.4"/>
    <n v="0"/>
    <s v="Normal"/>
    <s v="Normal"/>
    <s v="Normal"/>
    <s v="Normal"/>
    <x v="4"/>
  </r>
  <r>
    <d v="2021-04-07T00:00:00"/>
    <n v="27.6"/>
    <n v="19.399999999999999"/>
    <n v="35"/>
    <n v="0"/>
    <s v="Normal"/>
    <s v="Normal"/>
    <s v="Normal"/>
    <s v="Normal"/>
    <x v="4"/>
  </r>
  <r>
    <d v="2021-04-08T00:00:00"/>
    <n v="27.3"/>
    <n v="20.100000000000001"/>
    <n v="34.200000000000003"/>
    <n v="0"/>
    <s v="Normal"/>
    <s v="Normal"/>
    <s v="Normal"/>
    <s v="Normal"/>
    <x v="4"/>
  </r>
  <r>
    <d v="2021-04-09T00:00:00"/>
    <n v="27.1"/>
    <n v="19.5"/>
    <n v="34"/>
    <n v="0"/>
    <s v="Normal"/>
    <s v="Normal"/>
    <s v="Normal"/>
    <s v="Normal"/>
    <x v="4"/>
  </r>
  <r>
    <d v="2021-04-10T00:00:00"/>
    <n v="26.5"/>
    <n v="19.3"/>
    <n v="33.299999999999997"/>
    <n v="0"/>
    <s v="Normal"/>
    <s v="Normal"/>
    <s v="Normal"/>
    <s v="Normal"/>
    <x v="4"/>
  </r>
  <r>
    <d v="2021-04-11T00:00:00"/>
    <n v="26.5"/>
    <n v="19.399999999999999"/>
    <n v="33.200000000000003"/>
    <n v="0"/>
    <s v="Normal"/>
    <s v="Normal"/>
    <s v="Normal"/>
    <s v="Normal"/>
    <x v="4"/>
  </r>
  <r>
    <d v="2021-04-12T00:00:00"/>
    <n v="26.6"/>
    <n v="20.7"/>
    <n v="33.5"/>
    <n v="0"/>
    <s v="Normal"/>
    <s v="Normal"/>
    <s v="Normal"/>
    <s v="Normal"/>
    <x v="4"/>
  </r>
  <r>
    <d v="2021-04-13T00:00:00"/>
    <n v="26.6"/>
    <n v="20.8"/>
    <n v="32.9"/>
    <n v="0"/>
    <s v="Normal"/>
    <s v="Normal"/>
    <s v="Normal"/>
    <s v="Normal"/>
    <x v="4"/>
  </r>
  <r>
    <d v="2021-04-14T00:00:00"/>
    <n v="25.1"/>
    <n v="21.8"/>
    <n v="31.8"/>
    <n v="8.1"/>
    <s v="Normal"/>
    <s v="Normal"/>
    <s v="Normal"/>
    <s v="Normal"/>
    <x v="4"/>
  </r>
  <r>
    <d v="2021-04-15T00:00:00"/>
    <n v="25.3"/>
    <n v="19.8"/>
    <n v="33.200000000000003"/>
    <n v="1.8"/>
    <s v="Normal"/>
    <s v="Normal"/>
    <s v="Normal"/>
    <s v="Normal"/>
    <x v="4"/>
  </r>
  <r>
    <d v="2021-04-16T00:00:00"/>
    <n v="27.2"/>
    <n v="20.8"/>
    <n v="32.6"/>
    <n v="0.3"/>
    <s v="Normal"/>
    <s v="Normal"/>
    <s v="Normal"/>
    <s v="Normal"/>
    <x v="4"/>
  </r>
  <r>
    <d v="2021-04-17T00:00:00"/>
    <n v="27.7"/>
    <n v="22.4"/>
    <n v="33.4"/>
    <n v="0"/>
    <s v="Normal"/>
    <s v="Normal"/>
    <s v="Normal"/>
    <s v="Normal"/>
    <x v="4"/>
  </r>
  <r>
    <d v="2021-04-18T00:00:00"/>
    <n v="26.8"/>
    <n v="20.9"/>
    <n v="33"/>
    <n v="0.1"/>
    <s v="Normal"/>
    <s v="Normal"/>
    <s v="Normal"/>
    <s v="Normal"/>
    <x v="4"/>
  </r>
  <r>
    <d v="2021-04-19T00:00:00"/>
    <n v="27.1"/>
    <n v="20.6"/>
    <n v="34"/>
    <n v="0.1"/>
    <s v="Normal"/>
    <s v="Normal"/>
    <s v="Normal"/>
    <s v="Normal"/>
    <x v="4"/>
  </r>
  <r>
    <d v="2021-04-20T00:00:00"/>
    <n v="26"/>
    <n v="21.8"/>
    <n v="34"/>
    <n v="2.1"/>
    <s v="Normal"/>
    <s v="Normal"/>
    <s v="Normal"/>
    <s v="Normal"/>
    <x v="4"/>
  </r>
  <r>
    <d v="2021-04-21T00:00:00"/>
    <n v="26.6"/>
    <n v="20.8"/>
    <n v="34.4"/>
    <n v="0"/>
    <s v="Normal"/>
    <s v="Normal"/>
    <s v="Normal"/>
    <s v="Normal"/>
    <x v="4"/>
  </r>
  <r>
    <d v="2021-04-22T00:00:00"/>
    <n v="24.3"/>
    <n v="20.5"/>
    <n v="34.6"/>
    <n v="28.7"/>
    <s v="Normal"/>
    <s v="Normal"/>
    <s v="Normal"/>
    <s v="Outlier"/>
    <x v="4"/>
  </r>
  <r>
    <d v="2021-04-23T00:00:00"/>
    <n v="24.4"/>
    <n v="20.7"/>
    <n v="32.200000000000003"/>
    <n v="21.3"/>
    <s v="Normal"/>
    <s v="Normal"/>
    <s v="Normal"/>
    <s v="Outlier"/>
    <x v="4"/>
  </r>
  <r>
    <d v="2021-04-24T00:00:00"/>
    <n v="24.6"/>
    <n v="20"/>
    <n v="31.7"/>
    <n v="65.8"/>
    <s v="Normal"/>
    <s v="Normal"/>
    <s v="Normal"/>
    <s v="Outlier"/>
    <x v="4"/>
  </r>
  <r>
    <d v="2021-04-25T00:00:00"/>
    <n v="26.5"/>
    <n v="21.8"/>
    <n v="31.9"/>
    <n v="0"/>
    <s v="Normal"/>
    <s v="Normal"/>
    <s v="Normal"/>
    <s v="Normal"/>
    <x v="4"/>
  </r>
  <r>
    <d v="2021-04-26T00:00:00"/>
    <n v="26.5"/>
    <n v="21.2"/>
    <n v="33"/>
    <n v="0"/>
    <s v="Normal"/>
    <s v="Normal"/>
    <s v="Normal"/>
    <s v="Normal"/>
    <x v="4"/>
  </r>
  <r>
    <d v="2021-04-27T00:00:00"/>
    <n v="26.6"/>
    <n v="20.9"/>
    <n v="32.5"/>
    <n v="0"/>
    <s v="Normal"/>
    <s v="Normal"/>
    <s v="Normal"/>
    <s v="Normal"/>
    <x v="4"/>
  </r>
  <r>
    <d v="2021-04-28T00:00:00"/>
    <n v="27"/>
    <n v="20.9"/>
    <n v="33.4"/>
    <n v="0.1"/>
    <s v="Normal"/>
    <s v="Normal"/>
    <s v="Normal"/>
    <s v="Normal"/>
    <x v="4"/>
  </r>
  <r>
    <d v="2021-04-29T00:00:00"/>
    <n v="26.5"/>
    <n v="22.2"/>
    <n v="31.8"/>
    <n v="0.7"/>
    <s v="Normal"/>
    <s v="Normal"/>
    <s v="Normal"/>
    <s v="Normal"/>
    <x v="4"/>
  </r>
  <r>
    <d v="2021-04-30T00:00:00"/>
    <n v="26.4"/>
    <n v="20.7"/>
    <n v="33.1"/>
    <n v="0"/>
    <s v="Normal"/>
    <s v="Normal"/>
    <s v="Normal"/>
    <s v="Normal"/>
    <x v="4"/>
  </r>
  <r>
    <d v="2021-05-01T00:00:00"/>
    <n v="27.1"/>
    <n v="22.5"/>
    <n v="33.4"/>
    <n v="0"/>
    <s v="Normal"/>
    <s v="Normal"/>
    <s v="Normal"/>
    <s v="Normal"/>
    <x v="4"/>
  </r>
  <r>
    <d v="2021-05-02T00:00:00"/>
    <n v="26.7"/>
    <n v="21.5"/>
    <n v="32.4"/>
    <n v="0"/>
    <s v="Normal"/>
    <s v="Normal"/>
    <s v="Normal"/>
    <s v="Normal"/>
    <x v="4"/>
  </r>
  <r>
    <d v="2021-05-03T00:00:00"/>
    <n v="26.4"/>
    <n v="21.9"/>
    <n v="32"/>
    <n v="0.3"/>
    <s v="Normal"/>
    <s v="Normal"/>
    <s v="Normal"/>
    <s v="Normal"/>
    <x v="4"/>
  </r>
  <r>
    <d v="2021-05-04T00:00:00"/>
    <n v="25.1"/>
    <n v="21.1"/>
    <n v="30.4"/>
    <n v="8.9"/>
    <s v="Normal"/>
    <s v="Normal"/>
    <s v="Normal"/>
    <s v="Normal"/>
    <x v="4"/>
  </r>
  <r>
    <d v="2021-05-05T00:00:00"/>
    <n v="26.9"/>
    <n v="20.6"/>
    <n v="33.299999999999997"/>
    <n v="0"/>
    <s v="Normal"/>
    <s v="Normal"/>
    <s v="Normal"/>
    <s v="Normal"/>
    <x v="4"/>
  </r>
  <r>
    <d v="2021-05-06T00:00:00"/>
    <n v="27"/>
    <n v="21.7"/>
    <n v="32.4"/>
    <n v="0"/>
    <s v="Normal"/>
    <s v="Normal"/>
    <s v="Normal"/>
    <s v="Normal"/>
    <x v="4"/>
  </r>
  <r>
    <d v="2021-05-07T00:00:00"/>
    <n v="26.5"/>
    <n v="22.2"/>
    <n v="32"/>
    <n v="0.7"/>
    <s v="Normal"/>
    <s v="Normal"/>
    <s v="Normal"/>
    <s v="Normal"/>
    <x v="4"/>
  </r>
  <r>
    <d v="2021-05-08T00:00:00"/>
    <n v="26.8"/>
    <n v="21.5"/>
    <n v="33.6"/>
    <n v="0.2"/>
    <s v="Normal"/>
    <s v="Normal"/>
    <s v="Normal"/>
    <s v="Normal"/>
    <x v="4"/>
  </r>
  <r>
    <d v="2021-05-09T00:00:00"/>
    <n v="27.2"/>
    <n v="21.3"/>
    <n v="33.4"/>
    <n v="0.3"/>
    <s v="Normal"/>
    <s v="Normal"/>
    <s v="Normal"/>
    <s v="Normal"/>
    <x v="4"/>
  </r>
  <r>
    <d v="2021-05-10T00:00:00"/>
    <n v="26.7"/>
    <n v="22.1"/>
    <n v="32.799999999999997"/>
    <n v="1"/>
    <s v="Normal"/>
    <s v="Normal"/>
    <s v="Normal"/>
    <s v="Normal"/>
    <x v="4"/>
  </r>
  <r>
    <d v="2021-05-11T00:00:00"/>
    <n v="26.1"/>
    <n v="21.5"/>
    <n v="33.200000000000003"/>
    <n v="5.6"/>
    <s v="Normal"/>
    <s v="Normal"/>
    <s v="Normal"/>
    <s v="Normal"/>
    <x v="4"/>
  </r>
  <r>
    <d v="2021-05-12T00:00:00"/>
    <n v="25.5"/>
    <n v="21.4"/>
    <n v="33.9"/>
    <n v="0"/>
    <s v="Normal"/>
    <s v="Normal"/>
    <s v="Normal"/>
    <s v="Normal"/>
    <x v="4"/>
  </r>
  <r>
    <d v="2021-05-13T00:00:00"/>
    <n v="25.4"/>
    <n v="20.7"/>
    <n v="31.9"/>
    <n v="35.1"/>
    <s v="Normal"/>
    <s v="Normal"/>
    <s v="Normal"/>
    <s v="Outlier"/>
    <x v="4"/>
  </r>
  <r>
    <d v="2021-05-14T00:00:00"/>
    <n v="26.7"/>
    <n v="21.4"/>
    <n v="31.9"/>
    <n v="26.2"/>
    <s v="Normal"/>
    <s v="Normal"/>
    <s v="Normal"/>
    <s v="Outlier"/>
    <x v="4"/>
  </r>
  <r>
    <d v="2021-05-15T00:00:00"/>
    <n v="23.8"/>
    <n v="22.2"/>
    <n v="32.6"/>
    <n v="0"/>
    <s v="Normal"/>
    <s v="Normal"/>
    <s v="Normal"/>
    <s v="Normal"/>
    <x v="4"/>
  </r>
  <r>
    <d v="2021-05-16T00:00:00"/>
    <n v="24"/>
    <n v="21.4"/>
    <n v="28"/>
    <n v="0"/>
    <s v="Normal"/>
    <s v="Normal"/>
    <s v="Normal"/>
    <s v="Normal"/>
    <x v="4"/>
  </r>
  <r>
    <d v="2021-05-17T00:00:00"/>
    <n v="25.7"/>
    <n v="21"/>
    <n v="31.6"/>
    <n v="0"/>
    <s v="Normal"/>
    <s v="Normal"/>
    <s v="Normal"/>
    <s v="Normal"/>
    <x v="4"/>
  </r>
  <r>
    <d v="2021-05-18T00:00:00"/>
    <n v="25.7"/>
    <n v="21.6"/>
    <n v="32.6"/>
    <n v="0"/>
    <s v="Normal"/>
    <s v="Normal"/>
    <s v="Normal"/>
    <s v="Normal"/>
    <x v="4"/>
  </r>
  <r>
    <d v="2021-05-19T00:00:00"/>
    <n v="25.1"/>
    <n v="20.2"/>
    <n v="32.6"/>
    <n v="4"/>
    <s v="Normal"/>
    <s v="Normal"/>
    <s v="Normal"/>
    <s v="Normal"/>
    <x v="4"/>
  </r>
  <r>
    <d v="2021-05-20T00:00:00"/>
    <n v="24.2"/>
    <n v="21.1"/>
    <n v="29.6"/>
    <n v="2.7"/>
    <s v="Normal"/>
    <s v="Normal"/>
    <s v="Normal"/>
    <s v="Normal"/>
    <x v="4"/>
  </r>
  <r>
    <d v="2021-05-21T00:00:00"/>
    <n v="23.3"/>
    <n v="20.9"/>
    <n v="30.8"/>
    <n v="2.8"/>
    <s v="Normal"/>
    <s v="Normal"/>
    <s v="Normal"/>
    <s v="Normal"/>
    <x v="4"/>
  </r>
  <r>
    <d v="2021-05-22T00:00:00"/>
    <n v="23.8"/>
    <n v="21"/>
    <n v="28.8"/>
    <n v="25.4"/>
    <s v="Normal"/>
    <s v="Normal"/>
    <s v="Normal"/>
    <s v="Outlier"/>
    <x v="4"/>
  </r>
  <r>
    <d v="2021-05-23T00:00:00"/>
    <n v="25.8"/>
    <n v="20.8"/>
    <n v="29.4"/>
    <n v="7.4"/>
    <s v="Normal"/>
    <s v="Normal"/>
    <s v="Normal"/>
    <s v="Normal"/>
    <x v="4"/>
  </r>
  <r>
    <d v="2021-05-24T00:00:00"/>
    <n v="26.1"/>
    <n v="22"/>
    <n v="31"/>
    <n v="0"/>
    <s v="Normal"/>
    <s v="Normal"/>
    <s v="Normal"/>
    <s v="Normal"/>
    <x v="4"/>
  </r>
  <r>
    <d v="2021-05-25T00:00:00"/>
    <n v="24.3"/>
    <n v="20.2"/>
    <n v="31.7"/>
    <n v="0.3"/>
    <s v="Normal"/>
    <s v="Normal"/>
    <s v="Normal"/>
    <s v="Normal"/>
    <x v="4"/>
  </r>
  <r>
    <d v="2021-05-26T00:00:00"/>
    <n v="24.9"/>
    <n v="20.399999999999999"/>
    <n v="30.2"/>
    <n v="31"/>
    <s v="Normal"/>
    <s v="Normal"/>
    <s v="Normal"/>
    <s v="Outlier"/>
    <x v="4"/>
  </r>
  <r>
    <d v="2021-05-27T00:00:00"/>
    <n v="25.3"/>
    <n v="21.2"/>
    <n v="30.1"/>
    <n v="0"/>
    <s v="Normal"/>
    <s v="Normal"/>
    <s v="Normal"/>
    <s v="Normal"/>
    <x v="4"/>
  </r>
  <r>
    <d v="2021-05-28T00:00:00"/>
    <n v="24.7"/>
    <n v="18.8"/>
    <n v="30.3"/>
    <n v="0"/>
    <s v="Normal"/>
    <s v="Normal"/>
    <s v="Normal"/>
    <s v="Normal"/>
    <x v="4"/>
  </r>
  <r>
    <d v="2021-05-29T00:00:00"/>
    <n v="24.8"/>
    <n v="19.399999999999999"/>
    <n v="30.8"/>
    <n v="0.5"/>
    <s v="Normal"/>
    <s v="Normal"/>
    <s v="Normal"/>
    <s v="Normal"/>
    <x v="4"/>
  </r>
  <r>
    <d v="2021-05-30T00:00:00"/>
    <n v="25.2"/>
    <n v="20.100000000000001"/>
    <n v="31.3"/>
    <n v="0.1"/>
    <s v="Normal"/>
    <s v="Normal"/>
    <s v="Normal"/>
    <s v="Normal"/>
    <x v="4"/>
  </r>
  <r>
    <d v="2021-05-31T00:00:00"/>
    <n v="25.3"/>
    <n v="20.3"/>
    <n v="31.6"/>
    <n v="2.2999999999999998"/>
    <s v="Normal"/>
    <s v="Normal"/>
    <s v="Normal"/>
    <s v="Normal"/>
    <x v="4"/>
  </r>
  <r>
    <d v="2021-06-01T00:00:00"/>
    <n v="25.5"/>
    <n v="20.8"/>
    <n v="31.6"/>
    <n v="5.6"/>
    <s v="Normal"/>
    <s v="Normal"/>
    <s v="Normal"/>
    <s v="Normal"/>
    <x v="4"/>
  </r>
  <r>
    <d v="2021-06-02T00:00:00"/>
    <n v="25.9"/>
    <n v="22.2"/>
    <n v="33.700000000000003"/>
    <n v="1"/>
    <s v="Normal"/>
    <s v="Normal"/>
    <s v="Normal"/>
    <s v="Normal"/>
    <x v="4"/>
  </r>
  <r>
    <d v="2021-06-03T00:00:00"/>
    <n v="24.6"/>
    <n v="21.9"/>
    <n v="33.700000000000003"/>
    <n v="0.5"/>
    <s v="Normal"/>
    <s v="Normal"/>
    <s v="Normal"/>
    <s v="Normal"/>
    <x v="4"/>
  </r>
  <r>
    <d v="2021-06-04T00:00:00"/>
    <n v="23.8"/>
    <n v="21.1"/>
    <n v="31"/>
    <n v="52.3"/>
    <s v="Normal"/>
    <s v="Normal"/>
    <s v="Normal"/>
    <s v="Outlier"/>
    <x v="4"/>
  </r>
  <r>
    <d v="2021-06-05T00:00:00"/>
    <n v="23.6"/>
    <n v="21.2"/>
    <n v="31.5"/>
    <n v="12.7"/>
    <s v="Normal"/>
    <s v="Normal"/>
    <s v="Normal"/>
    <s v="Outlier"/>
    <x v="4"/>
  </r>
  <r>
    <d v="2021-06-06T00:00:00"/>
    <n v="24.8"/>
    <n v="20.7"/>
    <n v="29.2"/>
    <n v="4.5999999999999996"/>
    <s v="Normal"/>
    <s v="Normal"/>
    <s v="Normal"/>
    <s v="Normal"/>
    <x v="4"/>
  </r>
  <r>
    <d v="2021-06-07T00:00:00"/>
    <n v="25.4"/>
    <n v="22.1"/>
    <n v="29.7"/>
    <n v="0.5"/>
    <s v="Normal"/>
    <s v="Normal"/>
    <s v="Normal"/>
    <s v="Normal"/>
    <x v="4"/>
  </r>
  <r>
    <d v="2021-06-08T00:00:00"/>
    <n v="25.6"/>
    <n v="19.7"/>
    <n v="31"/>
    <n v="0"/>
    <s v="Normal"/>
    <s v="Normal"/>
    <s v="Normal"/>
    <s v="Normal"/>
    <x v="4"/>
  </r>
  <r>
    <d v="2021-06-09T00:00:00"/>
    <n v="23.4"/>
    <n v="19.2"/>
    <n v="29.2"/>
    <n v="4.5999999999999996"/>
    <s v="Normal"/>
    <s v="Normal"/>
    <s v="Normal"/>
    <s v="Normal"/>
    <x v="4"/>
  </r>
  <r>
    <d v="2021-06-10T00:00:00"/>
    <n v="23.6"/>
    <n v="19.8"/>
    <n v="28.5"/>
    <n v="2.2999999999999998"/>
    <s v="Normal"/>
    <s v="Normal"/>
    <s v="Normal"/>
    <s v="Normal"/>
    <x v="4"/>
  </r>
  <r>
    <d v="2021-06-11T00:00:00"/>
    <n v="24.2"/>
    <n v="20.399999999999999"/>
    <n v="29"/>
    <n v="0"/>
    <s v="Normal"/>
    <s v="Normal"/>
    <s v="Normal"/>
    <s v="Normal"/>
    <x v="4"/>
  </r>
  <r>
    <d v="2021-06-12T00:00:00"/>
    <n v="23.2"/>
    <n v="20.399999999999999"/>
    <n v="27"/>
    <n v="2.8"/>
    <s v="Normal"/>
    <s v="Normal"/>
    <s v="Normal"/>
    <s v="Normal"/>
    <x v="4"/>
  </r>
  <r>
    <d v="2021-06-13T00:00:00"/>
    <n v="22.6"/>
    <n v="20.2"/>
    <n v="25.2"/>
    <n v="3.6"/>
    <s v="Normal"/>
    <s v="Normal"/>
    <s v="Normal"/>
    <s v="Normal"/>
    <x v="4"/>
  </r>
  <r>
    <d v="2021-06-14T00:00:00"/>
    <n v="22.3"/>
    <n v="20.100000000000001"/>
    <n v="27.6"/>
    <n v="0"/>
    <s v="Normal"/>
    <s v="Normal"/>
    <s v="Normal"/>
    <s v="Normal"/>
    <x v="4"/>
  </r>
  <r>
    <d v="2021-06-15T00:00:00"/>
    <n v="22.7"/>
    <n v="20.2"/>
    <n v="26.5"/>
    <n v="4.3"/>
    <s v="Normal"/>
    <s v="Normal"/>
    <s v="Normal"/>
    <s v="Normal"/>
    <x v="4"/>
  </r>
  <r>
    <d v="2021-06-16T00:00:00"/>
    <n v="22.7"/>
    <n v="20.8"/>
    <n v="26.7"/>
    <n v="0.5"/>
    <s v="Normal"/>
    <s v="Normal"/>
    <s v="Normal"/>
    <s v="Normal"/>
    <x v="4"/>
  </r>
  <r>
    <d v="2021-06-17T00:00:00"/>
    <n v="23.4"/>
    <n v="20.8"/>
    <n v="28"/>
    <n v="5.0999999999999996"/>
    <s v="Normal"/>
    <s v="Normal"/>
    <s v="Normal"/>
    <s v="Normal"/>
    <x v="4"/>
  </r>
  <r>
    <d v="2021-06-18T00:00:00"/>
    <n v="23.4"/>
    <n v="20.399999999999999"/>
    <n v="28.4"/>
    <n v="1.3"/>
    <s v="Normal"/>
    <s v="Normal"/>
    <s v="Normal"/>
    <s v="Normal"/>
    <x v="4"/>
  </r>
  <r>
    <d v="2021-06-19T00:00:00"/>
    <n v="23.4"/>
    <n v="20.8"/>
    <n v="28"/>
    <n v="0"/>
    <s v="Normal"/>
    <s v="Normal"/>
    <s v="Normal"/>
    <s v="Normal"/>
    <x v="4"/>
  </r>
  <r>
    <d v="2021-06-20T00:00:00"/>
    <n v="24.3"/>
    <n v="20.5"/>
    <n v="28.8"/>
    <n v="0"/>
    <s v="Normal"/>
    <s v="Normal"/>
    <s v="Normal"/>
    <s v="Normal"/>
    <x v="4"/>
  </r>
  <r>
    <d v="2021-06-21T00:00:00"/>
    <n v="23.9"/>
    <n v="19.3"/>
    <n v="29.1"/>
    <n v="0.6"/>
    <s v="Normal"/>
    <s v="Normal"/>
    <s v="Normal"/>
    <s v="Normal"/>
    <x v="4"/>
  </r>
  <r>
    <d v="2021-06-22T00:00:00"/>
    <n v="24.1"/>
    <n v="19.3"/>
    <n v="28.9"/>
    <n v="0.4"/>
    <s v="Normal"/>
    <s v="Normal"/>
    <s v="Normal"/>
    <s v="Normal"/>
    <x v="4"/>
  </r>
  <r>
    <d v="2021-06-23T00:00:00"/>
    <n v="24.9"/>
    <n v="19.899999999999999"/>
    <n v="29.9"/>
    <n v="0"/>
    <s v="Normal"/>
    <s v="Normal"/>
    <s v="Normal"/>
    <s v="Normal"/>
    <x v="4"/>
  </r>
  <r>
    <d v="2021-06-24T00:00:00"/>
    <n v="24.5"/>
    <n v="19.899999999999999"/>
    <n v="28.8"/>
    <n v="0.9"/>
    <s v="Normal"/>
    <s v="Normal"/>
    <s v="Normal"/>
    <s v="Normal"/>
    <x v="4"/>
  </r>
  <r>
    <d v="2021-06-25T00:00:00"/>
    <n v="24.6"/>
    <n v="19.399999999999999"/>
    <n v="29.7"/>
    <n v="0.2"/>
    <s v="Normal"/>
    <s v="Normal"/>
    <s v="Normal"/>
    <s v="Normal"/>
    <x v="4"/>
  </r>
  <r>
    <d v="2021-06-26T00:00:00"/>
    <n v="22.8"/>
    <n v="20.100000000000001"/>
    <n v="29.7"/>
    <n v="0"/>
    <s v="Normal"/>
    <s v="Normal"/>
    <s v="Normal"/>
    <s v="Normal"/>
    <x v="4"/>
  </r>
  <r>
    <d v="2021-06-27T00:00:00"/>
    <n v="22.6"/>
    <n v="20.2"/>
    <n v="27.2"/>
    <n v="2.2999999999999998"/>
    <s v="Normal"/>
    <s v="Normal"/>
    <s v="Normal"/>
    <s v="Normal"/>
    <x v="4"/>
  </r>
  <r>
    <d v="2021-06-28T00:00:00"/>
    <n v="23.7"/>
    <n v="20.8"/>
    <n v="28.5"/>
    <n v="0.5"/>
    <s v="Normal"/>
    <s v="Normal"/>
    <s v="Normal"/>
    <s v="Normal"/>
    <x v="4"/>
  </r>
  <r>
    <d v="2021-06-29T00:00:00"/>
    <n v="26.2"/>
    <n v="20.9"/>
    <n v="31.6"/>
    <n v="0"/>
    <s v="Normal"/>
    <s v="Normal"/>
    <s v="Normal"/>
    <s v="Normal"/>
    <x v="4"/>
  </r>
  <r>
    <d v="2021-06-30T00:00:00"/>
    <n v="26"/>
    <n v="20.7"/>
    <n v="30.9"/>
    <n v="1.5"/>
    <s v="Normal"/>
    <s v="Normal"/>
    <s v="Normal"/>
    <s v="Normal"/>
    <x v="4"/>
  </r>
  <r>
    <d v="2021-07-01T00:00:00"/>
    <n v="25.7"/>
    <n v="23"/>
    <n v="32.700000000000003"/>
    <n v="2.5"/>
    <s v="Normal"/>
    <s v="Normal"/>
    <s v="Normal"/>
    <s v="Normal"/>
    <x v="4"/>
  </r>
  <r>
    <d v="2021-07-02T00:00:00"/>
    <n v="26"/>
    <n v="22"/>
    <n v="30.6"/>
    <n v="0"/>
    <s v="Normal"/>
    <s v="Normal"/>
    <s v="Normal"/>
    <s v="Normal"/>
    <x v="4"/>
  </r>
  <r>
    <d v="2021-07-03T00:00:00"/>
    <n v="24.4"/>
    <n v="19.7"/>
    <n v="29.5"/>
    <n v="15"/>
    <s v="Normal"/>
    <s v="Normal"/>
    <s v="Normal"/>
    <s v="Outlier"/>
    <x v="4"/>
  </r>
  <r>
    <d v="2021-07-04T00:00:00"/>
    <n v="23.6"/>
    <n v="20.399999999999999"/>
    <n v="29.4"/>
    <n v="7.5"/>
    <s v="Normal"/>
    <s v="Normal"/>
    <s v="Normal"/>
    <s v="Normal"/>
    <x v="4"/>
  </r>
  <r>
    <d v="2021-07-05T00:00:00"/>
    <n v="23.3"/>
    <n v="20.399999999999999"/>
    <n v="28.4"/>
    <n v="2.7"/>
    <s v="Normal"/>
    <s v="Normal"/>
    <s v="Normal"/>
    <s v="Normal"/>
    <x v="4"/>
  </r>
  <r>
    <d v="2021-07-06T00:00:00"/>
    <n v="24.9"/>
    <n v="20.2"/>
    <n v="29.4"/>
    <n v="1.3"/>
    <s v="Normal"/>
    <s v="Normal"/>
    <s v="Normal"/>
    <s v="Normal"/>
    <x v="4"/>
  </r>
  <r>
    <d v="2021-07-07T00:00:00"/>
    <n v="24.6"/>
    <n v="22.3"/>
    <n v="30"/>
    <n v="0"/>
    <s v="Normal"/>
    <s v="Normal"/>
    <s v="Normal"/>
    <s v="Normal"/>
    <x v="4"/>
  </r>
  <r>
    <d v="2021-07-08T00:00:00"/>
    <n v="25.3"/>
    <n v="21.8"/>
    <n v="29.4"/>
    <n v="0"/>
    <s v="Normal"/>
    <s v="Normal"/>
    <s v="Normal"/>
    <s v="Normal"/>
    <x v="4"/>
  </r>
  <r>
    <d v="2021-07-09T00:00:00"/>
    <n v="24.2"/>
    <n v="20.3"/>
    <n v="30.1"/>
    <n v="0"/>
    <s v="Normal"/>
    <s v="Normal"/>
    <s v="Normal"/>
    <s v="Normal"/>
    <x v="4"/>
  </r>
  <r>
    <d v="2021-07-10T00:00:00"/>
    <n v="22.8"/>
    <n v="20.100000000000001"/>
    <n v="29"/>
    <n v="0.3"/>
    <s v="Normal"/>
    <s v="Normal"/>
    <s v="Normal"/>
    <s v="Normal"/>
    <x v="4"/>
  </r>
  <r>
    <d v="2021-07-11T00:00:00"/>
    <n v="22.8"/>
    <n v="20.100000000000001"/>
    <n v="26.8"/>
    <n v="0.5"/>
    <s v="Normal"/>
    <s v="Normal"/>
    <s v="Normal"/>
    <s v="Normal"/>
    <x v="4"/>
  </r>
  <r>
    <d v="2021-07-12T00:00:00"/>
    <n v="23.2"/>
    <n v="20.2"/>
    <n v="26.8"/>
    <n v="0"/>
    <s v="Normal"/>
    <s v="Normal"/>
    <s v="Normal"/>
    <s v="Normal"/>
    <x v="4"/>
  </r>
  <r>
    <d v="2021-07-13T00:00:00"/>
    <n v="21.8"/>
    <n v="20.5"/>
    <n v="24"/>
    <n v="4.5999999999999996"/>
    <s v="Normal"/>
    <s v="Normal"/>
    <s v="Normal"/>
    <s v="Normal"/>
    <x v="4"/>
  </r>
  <r>
    <d v="2021-07-14T00:00:00"/>
    <n v="21.1"/>
    <n v="19.8"/>
    <n v="23.4"/>
    <n v="11.4"/>
    <s v="Normal"/>
    <s v="Normal"/>
    <s v="Normal"/>
    <s v="Outlier"/>
    <x v="4"/>
  </r>
  <r>
    <d v="2021-07-15T00:00:00"/>
    <n v="21.7"/>
    <n v="19.899999999999999"/>
    <n v="25.4"/>
    <n v="18.8"/>
    <s v="Normal"/>
    <s v="Normal"/>
    <s v="Normal"/>
    <s v="Outlier"/>
    <x v="4"/>
  </r>
  <r>
    <d v="2021-07-16T00:00:00"/>
    <n v="22.7"/>
    <n v="20.8"/>
    <n v="25.6"/>
    <n v="2.8"/>
    <s v="Normal"/>
    <s v="Normal"/>
    <s v="Normal"/>
    <s v="Normal"/>
    <x v="4"/>
  </r>
  <r>
    <d v="2021-07-17T00:00:00"/>
    <n v="22.1"/>
    <n v="20.7"/>
    <n v="27"/>
    <n v="1.3"/>
    <s v="Normal"/>
    <s v="Normal"/>
    <s v="Normal"/>
    <s v="Normal"/>
    <x v="4"/>
  </r>
  <r>
    <d v="2021-07-18T00:00:00"/>
    <n v="21.6"/>
    <n v="20"/>
    <n v="28.2"/>
    <n v="17.8"/>
    <s v="Normal"/>
    <s v="Normal"/>
    <s v="Normal"/>
    <s v="Outlier"/>
    <x v="4"/>
  </r>
  <r>
    <d v="2021-07-19T00:00:00"/>
    <n v="22.6"/>
    <n v="19.5"/>
    <n v="26.8"/>
    <n v="4.3"/>
    <s v="Normal"/>
    <s v="Normal"/>
    <s v="Normal"/>
    <s v="Normal"/>
    <x v="4"/>
  </r>
  <r>
    <d v="2021-07-20T00:00:00"/>
    <n v="23.1"/>
    <n v="19.7"/>
    <n v="27.6"/>
    <n v="7.1"/>
    <s v="Normal"/>
    <s v="Normal"/>
    <s v="Normal"/>
    <s v="Normal"/>
    <x v="4"/>
  </r>
  <r>
    <d v="2021-07-21T00:00:00"/>
    <n v="21.8"/>
    <n v="20.399999999999999"/>
    <n v="27.8"/>
    <n v="0"/>
    <s v="Normal"/>
    <s v="Normal"/>
    <s v="Normal"/>
    <s v="Normal"/>
    <x v="4"/>
  </r>
  <r>
    <d v="2021-07-22T00:00:00"/>
    <n v="21.2"/>
    <n v="20"/>
    <n v="24.2"/>
    <n v="3.3"/>
    <s v="Normal"/>
    <s v="Normal"/>
    <s v="Normal"/>
    <s v="Normal"/>
    <x v="4"/>
  </r>
  <r>
    <d v="2021-07-23T00:00:00"/>
    <n v="21.4"/>
    <n v="19.7"/>
    <n v="24.7"/>
    <n v="3"/>
    <s v="Normal"/>
    <s v="Normal"/>
    <s v="Normal"/>
    <s v="Normal"/>
    <x v="4"/>
  </r>
  <r>
    <d v="2021-07-24T00:00:00"/>
    <n v="22.6"/>
    <n v="20"/>
    <n v="27.1"/>
    <n v="0.5"/>
    <s v="Normal"/>
    <s v="Normal"/>
    <s v="Normal"/>
    <s v="Normal"/>
    <x v="4"/>
  </r>
  <r>
    <d v="2021-07-25T00:00:00"/>
    <n v="23.2"/>
    <n v="20.6"/>
    <n v="28"/>
    <n v="24.4"/>
    <s v="Normal"/>
    <s v="Normal"/>
    <s v="Normal"/>
    <s v="Outlier"/>
    <x v="4"/>
  </r>
  <r>
    <d v="2021-07-26T00:00:00"/>
    <n v="23.4"/>
    <n v="20.5"/>
    <n v="28.4"/>
    <n v="59.7"/>
    <s v="Normal"/>
    <s v="Normal"/>
    <s v="Normal"/>
    <s v="Outlier"/>
    <x v="4"/>
  </r>
  <r>
    <d v="2021-07-27T00:00:00"/>
    <n v="23.4"/>
    <n v="20.100000000000001"/>
    <n v="28.3"/>
    <n v="0"/>
    <s v="Normal"/>
    <s v="Normal"/>
    <s v="Normal"/>
    <s v="Normal"/>
    <x v="4"/>
  </r>
  <r>
    <d v="2021-07-28T00:00:00"/>
    <n v="23.1"/>
    <n v="19.8"/>
    <n v="27.6"/>
    <n v="1"/>
    <s v="Normal"/>
    <s v="Normal"/>
    <s v="Normal"/>
    <s v="Normal"/>
    <x v="4"/>
  </r>
  <r>
    <d v="2021-07-29T00:00:00"/>
    <n v="22.7"/>
    <n v="19.5"/>
    <n v="26.4"/>
    <n v="0.9"/>
    <s v="Normal"/>
    <s v="Normal"/>
    <s v="Normal"/>
    <s v="Normal"/>
    <x v="4"/>
  </r>
  <r>
    <d v="2021-07-30T00:00:00"/>
    <n v="23.5"/>
    <n v="19.600000000000001"/>
    <n v="28.4"/>
    <n v="0"/>
    <s v="Normal"/>
    <s v="Normal"/>
    <s v="Normal"/>
    <s v="Normal"/>
    <x v="4"/>
  </r>
  <r>
    <d v="2021-07-31T00:00:00"/>
    <n v="23.1"/>
    <n v="19"/>
    <n v="28.1"/>
    <n v="0.7"/>
    <s v="Normal"/>
    <s v="Normal"/>
    <s v="Normal"/>
    <s v="Normal"/>
    <x v="4"/>
  </r>
  <r>
    <d v="2021-08-01T00:00:00"/>
    <n v="23.2"/>
    <n v="20"/>
    <n v="28"/>
    <n v="0"/>
    <s v="Normal"/>
    <s v="Normal"/>
    <s v="Normal"/>
    <s v="Normal"/>
    <x v="4"/>
  </r>
  <r>
    <d v="2021-08-02T00:00:00"/>
    <n v="23.6"/>
    <n v="19.600000000000001"/>
    <n v="27.5"/>
    <n v="0"/>
    <s v="Normal"/>
    <s v="Normal"/>
    <s v="Normal"/>
    <s v="Normal"/>
    <x v="4"/>
  </r>
  <r>
    <d v="2021-08-03T00:00:00"/>
    <n v="23.2"/>
    <n v="19.5"/>
    <n v="28.2"/>
    <n v="0.7"/>
    <s v="Normal"/>
    <s v="Normal"/>
    <s v="Normal"/>
    <s v="Normal"/>
    <x v="4"/>
  </r>
  <r>
    <d v="2021-08-04T00:00:00"/>
    <n v="23.3"/>
    <n v="19.8"/>
    <n v="27.8"/>
    <n v="2.8"/>
    <s v="Normal"/>
    <s v="Normal"/>
    <s v="Normal"/>
    <s v="Normal"/>
    <x v="4"/>
  </r>
  <r>
    <d v="2021-08-05T00:00:00"/>
    <n v="22.7"/>
    <n v="19.2"/>
    <n v="27.6"/>
    <n v="2.7"/>
    <s v="Normal"/>
    <s v="Normal"/>
    <s v="Normal"/>
    <s v="Normal"/>
    <x v="4"/>
  </r>
  <r>
    <d v="2021-08-06T00:00:00"/>
    <n v="23.5"/>
    <n v="19.899999999999999"/>
    <n v="28.8"/>
    <n v="1.6"/>
    <s v="Normal"/>
    <s v="Normal"/>
    <s v="Normal"/>
    <s v="Normal"/>
    <x v="4"/>
  </r>
  <r>
    <d v="2021-08-07T00:00:00"/>
    <n v="24.3"/>
    <n v="20.9"/>
    <n v="29.4"/>
    <n v="4.3"/>
    <s v="Normal"/>
    <s v="Normal"/>
    <s v="Normal"/>
    <s v="Normal"/>
    <x v="4"/>
  </r>
  <r>
    <d v="2021-08-08T00:00:00"/>
    <n v="24.9"/>
    <n v="20.8"/>
    <n v="30.3"/>
    <n v="1.3"/>
    <s v="Normal"/>
    <s v="Normal"/>
    <s v="Normal"/>
    <s v="Normal"/>
    <x v="4"/>
  </r>
  <r>
    <d v="2021-08-09T00:00:00"/>
    <n v="25.5"/>
    <n v="21.7"/>
    <n v="30.7"/>
    <n v="0.5"/>
    <s v="Normal"/>
    <s v="Normal"/>
    <s v="Normal"/>
    <s v="Normal"/>
    <x v="4"/>
  </r>
  <r>
    <d v="2021-08-10T00:00:00"/>
    <n v="23.9"/>
    <n v="21.8"/>
    <n v="30.7"/>
    <n v="0"/>
    <s v="Normal"/>
    <s v="Normal"/>
    <s v="Normal"/>
    <s v="Normal"/>
    <x v="4"/>
  </r>
  <r>
    <d v="2021-08-11T00:00:00"/>
    <n v="24"/>
    <n v="20.8"/>
    <n v="28.2"/>
    <n v="0"/>
    <s v="Normal"/>
    <s v="Normal"/>
    <s v="Normal"/>
    <s v="Normal"/>
    <x v="4"/>
  </r>
  <r>
    <d v="2021-08-12T00:00:00"/>
    <n v="22.8"/>
    <n v="19.7"/>
    <n v="28.2"/>
    <n v="1.5"/>
    <s v="Normal"/>
    <s v="Normal"/>
    <s v="Normal"/>
    <s v="Normal"/>
    <x v="4"/>
  </r>
  <r>
    <d v="2021-08-13T00:00:00"/>
    <n v="23.2"/>
    <n v="20"/>
    <n v="27"/>
    <n v="3.8"/>
    <s v="Normal"/>
    <s v="Normal"/>
    <s v="Normal"/>
    <s v="Normal"/>
    <x v="4"/>
  </r>
  <r>
    <d v="2021-08-14T00:00:00"/>
    <n v="23.6"/>
    <n v="20.3"/>
    <n v="27.4"/>
    <n v="0"/>
    <s v="Normal"/>
    <s v="Normal"/>
    <s v="Normal"/>
    <s v="Normal"/>
    <x v="4"/>
  </r>
  <r>
    <d v="2021-08-15T00:00:00"/>
    <n v="22.7"/>
    <n v="19"/>
    <n v="27"/>
    <n v="0.5"/>
    <s v="Normal"/>
    <s v="Normal"/>
    <s v="Normal"/>
    <s v="Normal"/>
    <x v="4"/>
  </r>
  <r>
    <d v="2021-08-16T00:00:00"/>
    <n v="22.8"/>
    <n v="20.7"/>
    <n v="28"/>
    <n v="0"/>
    <s v="Normal"/>
    <s v="Normal"/>
    <s v="Normal"/>
    <s v="Normal"/>
    <x v="4"/>
  </r>
  <r>
    <d v="2021-08-17T00:00:00"/>
    <n v="22.9"/>
    <n v="20.3"/>
    <n v="26.5"/>
    <n v="13.7"/>
    <s v="Normal"/>
    <s v="Normal"/>
    <s v="Normal"/>
    <s v="Outlier"/>
    <x v="4"/>
  </r>
  <r>
    <d v="2021-08-18T00:00:00"/>
    <n v="23.6"/>
    <n v="20.7"/>
    <n v="27.5"/>
    <n v="0"/>
    <s v="Normal"/>
    <s v="Normal"/>
    <s v="Normal"/>
    <s v="Normal"/>
    <x v="4"/>
  </r>
  <r>
    <d v="2021-08-19T00:00:00"/>
    <n v="23.6"/>
    <n v="20.399999999999999"/>
    <n v="28.4"/>
    <n v="0.3"/>
    <s v="Normal"/>
    <s v="Normal"/>
    <s v="Normal"/>
    <s v="Normal"/>
    <x v="4"/>
  </r>
  <r>
    <d v="2021-08-20T00:00:00"/>
    <n v="24.1"/>
    <n v="20.5"/>
    <n v="28.8"/>
    <n v="7.1"/>
    <s v="Normal"/>
    <s v="Normal"/>
    <s v="Normal"/>
    <s v="Normal"/>
    <x v="4"/>
  </r>
  <r>
    <d v="2021-08-21T00:00:00"/>
    <n v="22.4"/>
    <n v="20.2"/>
    <n v="28.6"/>
    <n v="0.3"/>
    <s v="Normal"/>
    <s v="Normal"/>
    <s v="Normal"/>
    <s v="Normal"/>
    <x v="4"/>
  </r>
  <r>
    <d v="2021-08-22T00:00:00"/>
    <n v="22.8"/>
    <n v="19.2"/>
    <n v="27.7"/>
    <n v="5.6"/>
    <s v="Normal"/>
    <s v="Normal"/>
    <s v="Normal"/>
    <s v="Normal"/>
    <x v="4"/>
  </r>
  <r>
    <d v="2021-08-23T00:00:00"/>
    <n v="23.6"/>
    <n v="20.5"/>
    <n v="27.1"/>
    <n v="3"/>
    <s v="Normal"/>
    <s v="Normal"/>
    <s v="Normal"/>
    <s v="Normal"/>
    <x v="4"/>
  </r>
  <r>
    <d v="2021-08-24T00:00:00"/>
    <n v="24.5"/>
    <n v="20.3"/>
    <n v="29"/>
    <n v="3.8"/>
    <s v="Normal"/>
    <s v="Normal"/>
    <s v="Normal"/>
    <s v="Normal"/>
    <x v="4"/>
  </r>
  <r>
    <d v="2021-08-25T00:00:00"/>
    <n v="24.1"/>
    <n v="20.7"/>
    <n v="29.1"/>
    <n v="1"/>
    <s v="Normal"/>
    <s v="Normal"/>
    <s v="Normal"/>
    <s v="Normal"/>
    <x v="4"/>
  </r>
  <r>
    <d v="2021-08-26T00:00:00"/>
    <n v="24.1"/>
    <n v="21"/>
    <n v="29.6"/>
    <n v="0"/>
    <s v="Normal"/>
    <s v="Normal"/>
    <s v="Normal"/>
    <s v="Normal"/>
    <x v="4"/>
  </r>
  <r>
    <d v="2021-08-27T00:00:00"/>
    <n v="22.7"/>
    <n v="20.5"/>
    <n v="30.4"/>
    <n v="24.9"/>
    <s v="Normal"/>
    <s v="Normal"/>
    <s v="Normal"/>
    <s v="Outlier"/>
    <x v="4"/>
  </r>
  <r>
    <d v="2021-08-28T00:00:00"/>
    <n v="22.4"/>
    <n v="20.100000000000001"/>
    <n v="28.4"/>
    <n v="11.7"/>
    <s v="Normal"/>
    <s v="Normal"/>
    <s v="Normal"/>
    <s v="Outlier"/>
    <x v="4"/>
  </r>
  <r>
    <d v="2021-08-29T00:00:00"/>
    <n v="21.7"/>
    <n v="19.2"/>
    <n v="25.8"/>
    <n v="4.0999999999999996"/>
    <s v="Normal"/>
    <s v="Normal"/>
    <s v="Normal"/>
    <s v="Normal"/>
    <x v="4"/>
  </r>
  <r>
    <d v="2021-08-30T00:00:00"/>
    <n v="22.4"/>
    <n v="19.7"/>
    <n v="26.2"/>
    <n v="3.8"/>
    <s v="Normal"/>
    <s v="Normal"/>
    <s v="Normal"/>
    <s v="Normal"/>
    <x v="4"/>
  </r>
  <r>
    <d v="2021-08-31T00:00:00"/>
    <n v="23.9"/>
    <n v="19.7"/>
    <n v="27.6"/>
    <n v="0.5"/>
    <s v="Normal"/>
    <s v="Normal"/>
    <s v="Normal"/>
    <s v="Normal"/>
    <x v="4"/>
  </r>
  <r>
    <d v="2021-09-01T00:00:00"/>
    <n v="23.6"/>
    <n v="20.9"/>
    <n v="29.3"/>
    <n v="0"/>
    <s v="Normal"/>
    <s v="Normal"/>
    <s v="Normal"/>
    <s v="Normal"/>
    <x v="4"/>
  </r>
  <r>
    <d v="2021-09-02T00:00:00"/>
    <n v="22.6"/>
    <n v="19.5"/>
    <n v="29.4"/>
    <n v="2.8"/>
    <s v="Normal"/>
    <s v="Normal"/>
    <s v="Normal"/>
    <s v="Normal"/>
    <x v="4"/>
  </r>
  <r>
    <d v="2021-09-03T00:00:00"/>
    <n v="22.5"/>
    <n v="19.5"/>
    <n v="26.7"/>
    <n v="44.7"/>
    <s v="Normal"/>
    <s v="Normal"/>
    <s v="Normal"/>
    <s v="Outlier"/>
    <x v="4"/>
  </r>
  <r>
    <d v="2021-09-04T00:00:00"/>
    <n v="22.3"/>
    <n v="20.399999999999999"/>
    <n v="26.2"/>
    <n v="0"/>
    <s v="Normal"/>
    <s v="Normal"/>
    <s v="Normal"/>
    <s v="Normal"/>
    <x v="4"/>
  </r>
  <r>
    <d v="2021-09-05T00:00:00"/>
    <n v="22.1"/>
    <n v="20.2"/>
    <n v="26.6"/>
    <n v="1"/>
    <s v="Normal"/>
    <s v="Normal"/>
    <s v="Normal"/>
    <s v="Normal"/>
    <x v="4"/>
  </r>
  <r>
    <d v="2021-09-06T00:00:00"/>
    <n v="22.6"/>
    <n v="20.2"/>
    <n v="27.2"/>
    <n v="7.9"/>
    <s v="Normal"/>
    <s v="Normal"/>
    <s v="Normal"/>
    <s v="Normal"/>
    <x v="4"/>
  </r>
  <r>
    <d v="2021-09-07T00:00:00"/>
    <n v="22.2"/>
    <n v="20"/>
    <n v="27"/>
    <n v="2"/>
    <s v="Normal"/>
    <s v="Normal"/>
    <s v="Normal"/>
    <s v="Normal"/>
    <x v="4"/>
  </r>
  <r>
    <d v="2021-09-08T00:00:00"/>
    <n v="23.1"/>
    <n v="20.5"/>
    <n v="27"/>
    <n v="0.5"/>
    <s v="Normal"/>
    <s v="Normal"/>
    <s v="Normal"/>
    <s v="Normal"/>
    <x v="4"/>
  </r>
  <r>
    <d v="2021-09-09T00:00:00"/>
    <n v="24"/>
    <n v="20"/>
    <n v="27.8"/>
    <n v="0.5"/>
    <s v="Normal"/>
    <s v="Normal"/>
    <s v="Normal"/>
    <s v="Normal"/>
    <x v="4"/>
  </r>
  <r>
    <d v="2021-09-10T00:00:00"/>
    <n v="24.1"/>
    <n v="20.2"/>
    <n v="29.1"/>
    <n v="0"/>
    <s v="Normal"/>
    <s v="Normal"/>
    <s v="Normal"/>
    <s v="Normal"/>
    <x v="4"/>
  </r>
  <r>
    <d v="2021-09-11T00:00:00"/>
    <n v="22.8"/>
    <n v="19.399999999999999"/>
    <n v="28"/>
    <n v="1.3"/>
    <s v="Normal"/>
    <s v="Normal"/>
    <s v="Normal"/>
    <s v="Normal"/>
    <x v="4"/>
  </r>
  <r>
    <d v="2021-09-12T00:00:00"/>
    <n v="23.6"/>
    <n v="20.7"/>
    <n v="28.5"/>
    <n v="0"/>
    <s v="Normal"/>
    <s v="Normal"/>
    <s v="Normal"/>
    <s v="Normal"/>
    <x v="4"/>
  </r>
  <r>
    <d v="2021-09-13T00:00:00"/>
    <n v="23.7"/>
    <n v="20.9"/>
    <n v="28"/>
    <n v="0"/>
    <s v="Normal"/>
    <s v="Normal"/>
    <s v="Normal"/>
    <s v="Normal"/>
    <x v="4"/>
  </r>
  <r>
    <d v="2021-09-14T00:00:00"/>
    <n v="24.1"/>
    <n v="19.899999999999999"/>
    <n v="28.2"/>
    <n v="0"/>
    <s v="Normal"/>
    <s v="Normal"/>
    <s v="Normal"/>
    <s v="Normal"/>
    <x v="4"/>
  </r>
  <r>
    <d v="2021-09-15T00:00:00"/>
    <n v="23.2"/>
    <n v="19.2"/>
    <n v="27.7"/>
    <n v="1.4"/>
    <s v="Normal"/>
    <s v="Normal"/>
    <s v="Normal"/>
    <s v="Normal"/>
    <x v="4"/>
  </r>
  <r>
    <d v="2021-09-16T00:00:00"/>
    <n v="23.7"/>
    <n v="19"/>
    <n v="29"/>
    <n v="0.3"/>
    <s v="Normal"/>
    <s v="Normal"/>
    <s v="Normal"/>
    <s v="Normal"/>
    <x v="4"/>
  </r>
  <r>
    <d v="2021-09-17T00:00:00"/>
    <n v="24"/>
    <n v="19.3"/>
    <n v="30"/>
    <n v="0.4"/>
    <s v="Normal"/>
    <s v="Normal"/>
    <s v="Normal"/>
    <s v="Normal"/>
    <x v="4"/>
  </r>
  <r>
    <d v="2021-09-18T00:00:00"/>
    <n v="24.3"/>
    <n v="18.8"/>
    <n v="30.4"/>
    <n v="0.1"/>
    <s v="Normal"/>
    <s v="Normal"/>
    <s v="Normal"/>
    <s v="Normal"/>
    <x v="4"/>
  </r>
  <r>
    <d v="2021-09-19T00:00:00"/>
    <n v="24.4"/>
    <n v="19.5"/>
    <n v="30"/>
    <n v="3.8"/>
    <s v="Normal"/>
    <s v="Normal"/>
    <s v="Normal"/>
    <s v="Normal"/>
    <x v="4"/>
  </r>
  <r>
    <d v="2021-09-20T00:00:00"/>
    <n v="22.4"/>
    <n v="19.8"/>
    <n v="31.3"/>
    <n v="26.2"/>
    <s v="Normal"/>
    <s v="Normal"/>
    <s v="Normal"/>
    <s v="Outlier"/>
    <x v="4"/>
  </r>
  <r>
    <d v="2021-09-21T00:00:00"/>
    <n v="23.5"/>
    <n v="20.3"/>
    <n v="29"/>
    <n v="53.3"/>
    <s v="Normal"/>
    <s v="Normal"/>
    <s v="Normal"/>
    <s v="Outlier"/>
    <x v="4"/>
  </r>
  <r>
    <d v="2021-09-22T00:00:00"/>
    <n v="23.9"/>
    <n v="20.6"/>
    <n v="29.7"/>
    <n v="11.2"/>
    <s v="Normal"/>
    <s v="Normal"/>
    <s v="Normal"/>
    <s v="Outlier"/>
    <x v="4"/>
  </r>
  <r>
    <d v="2021-09-23T00:00:00"/>
    <n v="23.8"/>
    <n v="20.6"/>
    <n v="28"/>
    <n v="0"/>
    <s v="Normal"/>
    <s v="Normal"/>
    <s v="Normal"/>
    <s v="Normal"/>
    <x v="4"/>
  </r>
  <r>
    <d v="2021-09-24T00:00:00"/>
    <n v="24"/>
    <n v="20.7"/>
    <n v="28.2"/>
    <n v="0.3"/>
    <s v="Normal"/>
    <s v="Normal"/>
    <s v="Normal"/>
    <s v="Normal"/>
    <x v="4"/>
  </r>
  <r>
    <d v="2021-09-25T00:00:00"/>
    <n v="24.2"/>
    <n v="20.8"/>
    <n v="28.8"/>
    <n v="0.5"/>
    <s v="Normal"/>
    <s v="Normal"/>
    <s v="Normal"/>
    <s v="Normal"/>
    <x v="4"/>
  </r>
  <r>
    <d v="2021-09-26T00:00:00"/>
    <n v="23.1"/>
    <n v="20.100000000000001"/>
    <n v="29.2"/>
    <n v="12.2"/>
    <s v="Normal"/>
    <s v="Normal"/>
    <s v="Normal"/>
    <s v="Outlier"/>
    <x v="4"/>
  </r>
  <r>
    <d v="2021-09-27T00:00:00"/>
    <n v="22.7"/>
    <n v="20.2"/>
    <n v="27"/>
    <n v="0.5"/>
    <s v="Normal"/>
    <s v="Normal"/>
    <s v="Normal"/>
    <s v="Normal"/>
    <x v="4"/>
  </r>
  <r>
    <d v="2021-09-28T00:00:00"/>
    <n v="22.3"/>
    <n v="18.8"/>
    <n v="27"/>
    <n v="10.199999999999999"/>
    <s v="Normal"/>
    <s v="Normal"/>
    <s v="Normal"/>
    <s v="Normal"/>
    <x v="4"/>
  </r>
  <r>
    <d v="2021-09-29T00:00:00"/>
    <n v="23.4"/>
    <n v="19.399999999999999"/>
    <n v="27.4"/>
    <n v="9.1"/>
    <s v="Normal"/>
    <s v="Normal"/>
    <s v="Normal"/>
    <s v="Normal"/>
    <x v="4"/>
  </r>
  <r>
    <d v="2021-09-30T00:00:00"/>
    <n v="24"/>
    <n v="20.399999999999999"/>
    <n v="28"/>
    <n v="0"/>
    <s v="Normal"/>
    <s v="Normal"/>
    <s v="Normal"/>
    <s v="Normal"/>
    <x v="4"/>
  </r>
  <r>
    <d v="2021-10-01T00:00:00"/>
    <n v="23"/>
    <n v="19.899999999999999"/>
    <n v="29.8"/>
    <n v="8.5"/>
    <s v="Normal"/>
    <s v="Normal"/>
    <s v="Normal"/>
    <s v="Normal"/>
    <x v="4"/>
  </r>
  <r>
    <d v="2021-10-02T00:00:00"/>
    <n v="23.1"/>
    <n v="19.2"/>
    <n v="29"/>
    <n v="5.8"/>
    <s v="Normal"/>
    <s v="Normal"/>
    <s v="Normal"/>
    <s v="Normal"/>
    <x v="4"/>
  </r>
  <r>
    <d v="2021-10-03T00:00:00"/>
    <n v="23.7"/>
    <n v="20"/>
    <n v="30"/>
    <n v="0"/>
    <s v="Normal"/>
    <s v="Normal"/>
    <s v="Normal"/>
    <s v="Normal"/>
    <x v="4"/>
  </r>
  <r>
    <d v="2021-10-04T00:00:00"/>
    <n v="24.8"/>
    <n v="20.2"/>
    <n v="29.7"/>
    <n v="64"/>
    <s v="Normal"/>
    <s v="Normal"/>
    <s v="Normal"/>
    <s v="Outlier"/>
    <x v="4"/>
  </r>
  <r>
    <d v="2021-10-05T00:00:00"/>
    <n v="23.3"/>
    <n v="19.100000000000001"/>
    <n v="30.6"/>
    <n v="0"/>
    <s v="Normal"/>
    <s v="Normal"/>
    <s v="Normal"/>
    <s v="Normal"/>
    <x v="4"/>
  </r>
  <r>
    <d v="2021-10-06T00:00:00"/>
    <n v="22.6"/>
    <n v="20.100000000000001"/>
    <n v="28"/>
    <n v="38.6"/>
    <s v="Normal"/>
    <s v="Normal"/>
    <s v="Normal"/>
    <s v="Outlier"/>
    <x v="4"/>
  </r>
  <r>
    <d v="2021-10-07T00:00:00"/>
    <n v="24.9"/>
    <n v="21"/>
    <n v="29.6"/>
    <n v="0.5"/>
    <s v="Normal"/>
    <s v="Normal"/>
    <s v="Normal"/>
    <s v="Normal"/>
    <x v="4"/>
  </r>
  <r>
    <d v="2021-10-08T00:00:00"/>
    <n v="22.8"/>
    <n v="21.8"/>
    <n v="30.6"/>
    <n v="6.1"/>
    <s v="Normal"/>
    <s v="Normal"/>
    <s v="Normal"/>
    <s v="Normal"/>
    <x v="4"/>
  </r>
  <r>
    <d v="2021-10-09T00:00:00"/>
    <n v="22.1"/>
    <n v="20.8"/>
    <n v="27.1"/>
    <n v="7.9"/>
    <s v="Normal"/>
    <s v="Normal"/>
    <s v="Normal"/>
    <s v="Normal"/>
    <x v="4"/>
  </r>
  <r>
    <d v="2021-10-10T00:00:00"/>
    <n v="22.5"/>
    <n v="21.1"/>
    <n v="26.3"/>
    <n v="14.5"/>
    <s v="Normal"/>
    <s v="Normal"/>
    <s v="Normal"/>
    <s v="Outlier"/>
    <x v="4"/>
  </r>
  <r>
    <d v="2021-10-11T00:00:00"/>
    <n v="22.8"/>
    <n v="19.600000000000001"/>
    <n v="27"/>
    <n v="13"/>
    <s v="Normal"/>
    <s v="Normal"/>
    <s v="Normal"/>
    <s v="Outlier"/>
    <x v="4"/>
  </r>
  <r>
    <d v="2021-10-12T00:00:00"/>
    <n v="22"/>
    <n v="19.399999999999999"/>
    <n v="27.5"/>
    <n v="32.5"/>
    <s v="Normal"/>
    <s v="Normal"/>
    <s v="Normal"/>
    <s v="Outlier"/>
    <x v="4"/>
  </r>
  <r>
    <d v="2021-10-13T00:00:00"/>
    <n v="22.8"/>
    <n v="19.7"/>
    <n v="27.8"/>
    <n v="18.3"/>
    <s v="Normal"/>
    <s v="Normal"/>
    <s v="Normal"/>
    <s v="Outlier"/>
    <x v="4"/>
  </r>
  <r>
    <d v="2021-10-14T00:00:00"/>
    <n v="24.2"/>
    <n v="20.399999999999999"/>
    <n v="28"/>
    <n v="26.9"/>
    <s v="Normal"/>
    <s v="Normal"/>
    <s v="Normal"/>
    <s v="Outlier"/>
    <x v="4"/>
  </r>
  <r>
    <d v="2021-10-15T00:00:00"/>
    <n v="23.6"/>
    <n v="21.5"/>
    <n v="29"/>
    <n v="39.6"/>
    <s v="Normal"/>
    <s v="Normal"/>
    <s v="Normal"/>
    <s v="Outlier"/>
    <x v="4"/>
  </r>
  <r>
    <d v="2021-10-16T00:00:00"/>
    <n v="23.8"/>
    <n v="19.399999999999999"/>
    <n v="28.3"/>
    <n v="15"/>
    <s v="Normal"/>
    <s v="Normal"/>
    <s v="Normal"/>
    <s v="Outlier"/>
    <x v="4"/>
  </r>
  <r>
    <d v="2021-10-17T00:00:00"/>
    <n v="22.7"/>
    <n v="20.6"/>
    <n v="28.9"/>
    <n v="7.1"/>
    <s v="Normal"/>
    <s v="Normal"/>
    <s v="Normal"/>
    <s v="Normal"/>
    <x v="4"/>
  </r>
  <r>
    <d v="2021-10-18T00:00:00"/>
    <n v="22.9"/>
    <n v="20.8"/>
    <n v="26.7"/>
    <n v="0.8"/>
    <s v="Normal"/>
    <s v="Normal"/>
    <s v="Normal"/>
    <s v="Normal"/>
    <x v="4"/>
  </r>
  <r>
    <d v="2021-10-19T00:00:00"/>
    <n v="23.8"/>
    <n v="20.5"/>
    <n v="27.6"/>
    <n v="15.2"/>
    <s v="Normal"/>
    <s v="Normal"/>
    <s v="Normal"/>
    <s v="Outlier"/>
    <x v="4"/>
  </r>
  <r>
    <d v="2021-10-20T00:00:00"/>
    <n v="24.7"/>
    <n v="20"/>
    <n v="28.8"/>
    <n v="0"/>
    <s v="Normal"/>
    <s v="Normal"/>
    <s v="Normal"/>
    <s v="Normal"/>
    <x v="4"/>
  </r>
  <r>
    <d v="2021-10-21T00:00:00"/>
    <n v="25.5"/>
    <n v="20.9"/>
    <n v="29.3"/>
    <n v="0.5"/>
    <s v="Normal"/>
    <s v="Normal"/>
    <s v="Normal"/>
    <s v="Normal"/>
    <x v="4"/>
  </r>
  <r>
    <d v="2021-10-22T00:00:00"/>
    <n v="25.1"/>
    <n v="18.5"/>
    <n v="30.7"/>
    <n v="0.3"/>
    <s v="Normal"/>
    <s v="Normal"/>
    <s v="Normal"/>
    <s v="Normal"/>
    <x v="4"/>
  </r>
  <r>
    <d v="2021-10-23T00:00:00"/>
    <n v="24.1"/>
    <n v="20.399999999999999"/>
    <n v="31.6"/>
    <n v="17.3"/>
    <s v="Normal"/>
    <s v="Normal"/>
    <s v="Normal"/>
    <s v="Outlier"/>
    <x v="4"/>
  </r>
  <r>
    <d v="2021-10-24T00:00:00"/>
    <n v="24.3"/>
    <n v="19.2"/>
    <n v="30.1"/>
    <n v="41.9"/>
    <s v="Normal"/>
    <s v="Normal"/>
    <s v="Normal"/>
    <s v="Outlier"/>
    <x v="4"/>
  </r>
  <r>
    <d v="2021-10-25T00:00:00"/>
    <n v="23.9"/>
    <n v="20.9"/>
    <n v="29.4"/>
    <n v="0"/>
    <s v="Normal"/>
    <s v="Normal"/>
    <s v="Normal"/>
    <s v="Normal"/>
    <x v="4"/>
  </r>
  <r>
    <d v="2021-10-26T00:00:00"/>
    <n v="22.5"/>
    <n v="17.8"/>
    <n v="27"/>
    <n v="0.8"/>
    <s v="Normal"/>
    <s v="Normal"/>
    <s v="Normal"/>
    <s v="Normal"/>
    <x v="4"/>
  </r>
  <r>
    <d v="2021-10-27T00:00:00"/>
    <n v="22.3"/>
    <n v="18.3"/>
    <n v="26.6"/>
    <n v="0"/>
    <s v="Normal"/>
    <s v="Normal"/>
    <s v="Normal"/>
    <s v="Normal"/>
    <x v="4"/>
  </r>
  <r>
    <d v="2021-10-28T00:00:00"/>
    <n v="22"/>
    <n v="17.2"/>
    <n v="27.4"/>
    <n v="0.1"/>
    <s v="Normal"/>
    <s v="Normal"/>
    <s v="Normal"/>
    <s v="Normal"/>
    <x v="4"/>
  </r>
  <r>
    <d v="2021-10-29T00:00:00"/>
    <n v="21.6"/>
    <n v="18.899999999999999"/>
    <n v="25.7"/>
    <n v="10.3"/>
    <s v="Normal"/>
    <s v="Normal"/>
    <s v="Normal"/>
    <s v="Outlier"/>
    <x v="4"/>
  </r>
  <r>
    <d v="2021-10-30T00:00:00"/>
    <n v="22.5"/>
    <n v="19.899999999999999"/>
    <n v="26.8"/>
    <n v="5"/>
    <s v="Normal"/>
    <s v="Normal"/>
    <s v="Normal"/>
    <s v="Normal"/>
    <x v="4"/>
  </r>
  <r>
    <d v="2021-10-31T00:00:00"/>
    <n v="22.3"/>
    <n v="19.7"/>
    <n v="26.8"/>
    <n v="8.6"/>
    <s v="Normal"/>
    <s v="Normal"/>
    <s v="Normal"/>
    <s v="Normal"/>
    <x v="4"/>
  </r>
  <r>
    <d v="2021-11-01T00:00:00"/>
    <n v="21.7"/>
    <n v="19.600000000000001"/>
    <n v="26.8"/>
    <n v="8.6999999999999993"/>
    <s v="Normal"/>
    <s v="Normal"/>
    <s v="Normal"/>
    <s v="Normal"/>
    <x v="4"/>
  </r>
  <r>
    <d v="2021-11-02T00:00:00"/>
    <n v="21.9"/>
    <n v="19.5"/>
    <n v="25.9"/>
    <n v="5.3"/>
    <s v="Normal"/>
    <s v="Normal"/>
    <s v="Normal"/>
    <s v="Normal"/>
    <x v="4"/>
  </r>
  <r>
    <d v="2021-11-03T00:00:00"/>
    <n v="22.3"/>
    <n v="20.2"/>
    <n v="26.8"/>
    <n v="0"/>
    <s v="Normal"/>
    <s v="Normal"/>
    <s v="Normal"/>
    <s v="Normal"/>
    <x v="4"/>
  </r>
  <r>
    <d v="2021-11-04T00:00:00"/>
    <n v="22.1"/>
    <n v="19.399999999999999"/>
    <n v="27"/>
    <n v="10.7"/>
    <s v="Normal"/>
    <s v="Normal"/>
    <s v="Normal"/>
    <s v="Outlier"/>
    <x v="4"/>
  </r>
  <r>
    <d v="2021-11-05T00:00:00"/>
    <n v="21.7"/>
    <n v="19.2"/>
    <n v="28.4"/>
    <n v="55.9"/>
    <s v="Normal"/>
    <s v="Normal"/>
    <s v="Normal"/>
    <s v="Outlier"/>
    <x v="4"/>
  </r>
  <r>
    <d v="2021-11-06T00:00:00"/>
    <n v="22.8"/>
    <n v="18.3"/>
    <n v="26.6"/>
    <n v="0"/>
    <s v="Normal"/>
    <s v="Normal"/>
    <s v="Normal"/>
    <s v="Normal"/>
    <x v="4"/>
  </r>
  <r>
    <d v="2021-11-07T00:00:00"/>
    <n v="21"/>
    <n v="19.2"/>
    <n v="23.6"/>
    <n v="3.7"/>
    <s v="Normal"/>
    <s v="Normal"/>
    <s v="Normal"/>
    <s v="Normal"/>
    <x v="4"/>
  </r>
  <r>
    <d v="2021-11-08T00:00:00"/>
    <n v="20.5"/>
    <n v="19.5"/>
    <n v="24.5"/>
    <n v="2"/>
    <s v="Normal"/>
    <s v="Normal"/>
    <s v="Normal"/>
    <s v="Normal"/>
    <x v="4"/>
  </r>
  <r>
    <d v="2021-11-09T00:00:00"/>
    <n v="21.4"/>
    <n v="18.2"/>
    <n v="25.6"/>
    <n v="1"/>
    <s v="Normal"/>
    <s v="Normal"/>
    <s v="Normal"/>
    <s v="Normal"/>
    <x v="4"/>
  </r>
  <r>
    <d v="2021-11-10T00:00:00"/>
    <n v="20.7"/>
    <n v="17.399999999999999"/>
    <n v="26.6"/>
    <n v="0"/>
    <s v="Normal"/>
    <s v="Normal"/>
    <s v="Normal"/>
    <s v="Normal"/>
    <x v="4"/>
  </r>
  <r>
    <d v="2021-11-12T00:00:00"/>
    <n v="20.399999999999999"/>
    <n v="16.8"/>
    <n v="22.5"/>
    <n v="19.100000000000001"/>
    <s v="Normal"/>
    <s v="Outlier"/>
    <s v="Normal"/>
    <s v="Outlier"/>
    <x v="4"/>
  </r>
  <r>
    <d v="2021-11-13T00:00:00"/>
    <n v="21.8"/>
    <n v="20.100000000000001"/>
    <n v="24.7"/>
    <n v="6.6"/>
    <s v="Normal"/>
    <s v="Normal"/>
    <s v="Normal"/>
    <s v="Normal"/>
    <x v="4"/>
  </r>
  <r>
    <d v="2021-11-14T00:00:00"/>
    <n v="22.4"/>
    <n v="19.100000000000001"/>
    <n v="26"/>
    <n v="0"/>
    <s v="Normal"/>
    <s v="Normal"/>
    <s v="Normal"/>
    <s v="Normal"/>
    <x v="4"/>
  </r>
  <r>
    <d v="2021-11-15T00:00:00"/>
    <n v="22.8"/>
    <n v="20.7"/>
    <n v="26.2"/>
    <n v="1"/>
    <s v="Normal"/>
    <s v="Normal"/>
    <s v="Normal"/>
    <s v="Normal"/>
    <x v="4"/>
  </r>
  <r>
    <d v="2021-11-16T00:00:00"/>
    <n v="22.8"/>
    <n v="18.899999999999999"/>
    <n v="26.4"/>
    <n v="52.1"/>
    <s v="Normal"/>
    <s v="Normal"/>
    <s v="Normal"/>
    <s v="Outlier"/>
    <x v="4"/>
  </r>
  <r>
    <d v="2021-11-17T00:00:00"/>
    <n v="22.5"/>
    <n v="19.8"/>
    <n v="27.6"/>
    <n v="0.8"/>
    <s v="Normal"/>
    <s v="Normal"/>
    <s v="Normal"/>
    <s v="Normal"/>
    <x v="4"/>
  </r>
  <r>
    <d v="2021-11-18T00:00:00"/>
    <n v="20.6"/>
    <n v="20"/>
    <n v="27.2"/>
    <n v="3.6"/>
    <s v="Normal"/>
    <s v="Normal"/>
    <s v="Normal"/>
    <s v="Normal"/>
    <x v="4"/>
  </r>
  <r>
    <d v="2021-11-19T00:00:00"/>
    <n v="21.1"/>
    <n v="19.8"/>
    <n v="23.2"/>
    <n v="73.400000000000006"/>
    <s v="Normal"/>
    <s v="Normal"/>
    <s v="Normal"/>
    <s v="Outlier"/>
    <x v="4"/>
  </r>
  <r>
    <d v="2021-11-20T00:00:00"/>
    <n v="21.1"/>
    <n v="20.100000000000001"/>
    <n v="22.6"/>
    <n v="3.8"/>
    <s v="Normal"/>
    <s v="Normal"/>
    <s v="Normal"/>
    <s v="Normal"/>
    <x v="4"/>
  </r>
  <r>
    <d v="2021-11-21T00:00:00"/>
    <n v="22.5"/>
    <n v="19.3"/>
    <n v="26.2"/>
    <n v="2.2999999999999998"/>
    <s v="Normal"/>
    <s v="Normal"/>
    <s v="Normal"/>
    <s v="Normal"/>
    <x v="4"/>
  </r>
  <r>
    <d v="2021-11-22T00:00:00"/>
    <n v="22.8"/>
    <n v="20.5"/>
    <n v="26.5"/>
    <n v="5.0999999999999996"/>
    <s v="Normal"/>
    <s v="Normal"/>
    <s v="Normal"/>
    <s v="Normal"/>
    <x v="4"/>
  </r>
  <r>
    <d v="2021-11-23T00:00:00"/>
    <n v="24.2"/>
    <n v="20.100000000000001"/>
    <n v="28.4"/>
    <n v="0"/>
    <s v="Normal"/>
    <s v="Normal"/>
    <s v="Normal"/>
    <s v="Normal"/>
    <x v="4"/>
  </r>
  <r>
    <d v="2021-11-24T00:00:00"/>
    <n v="22.8"/>
    <n v="20.100000000000001"/>
    <n v="29.8"/>
    <n v="0"/>
    <s v="Normal"/>
    <s v="Normal"/>
    <s v="Normal"/>
    <s v="Normal"/>
    <x v="4"/>
  </r>
  <r>
    <d v="2021-11-25T00:00:00"/>
    <n v="23"/>
    <n v="19.399999999999999"/>
    <n v="27"/>
    <n v="11.4"/>
    <s v="Normal"/>
    <s v="Normal"/>
    <s v="Normal"/>
    <s v="Outlier"/>
    <x v="4"/>
  </r>
  <r>
    <d v="2021-11-26T00:00:00"/>
    <n v="21.8"/>
    <n v="19.100000000000001"/>
    <n v="27"/>
    <n v="0"/>
    <s v="Normal"/>
    <s v="Normal"/>
    <s v="Normal"/>
    <s v="Normal"/>
    <x v="4"/>
  </r>
  <r>
    <d v="2021-11-27T00:00:00"/>
    <n v="20.399999999999999"/>
    <n v="18.399999999999999"/>
    <n v="23"/>
    <n v="5"/>
    <s v="Normal"/>
    <s v="Normal"/>
    <s v="Normal"/>
    <s v="Normal"/>
    <x v="4"/>
  </r>
  <r>
    <d v="2021-11-28T00:00:00"/>
    <n v="21"/>
    <n v="19.8"/>
    <n v="23.4"/>
    <n v="0"/>
    <s v="Normal"/>
    <s v="Normal"/>
    <s v="Normal"/>
    <s v="Normal"/>
    <x v="4"/>
  </r>
  <r>
    <d v="2021-11-29T00:00:00"/>
    <n v="21.1"/>
    <n v="19.5"/>
    <n v="22.6"/>
    <n v="0"/>
    <s v="Normal"/>
    <s v="Normal"/>
    <s v="Normal"/>
    <s v="Normal"/>
    <x v="4"/>
  </r>
  <r>
    <d v="2021-11-30T00:00:00"/>
    <n v="22.4"/>
    <n v="18.899999999999999"/>
    <n v="25.8"/>
    <n v="0.5"/>
    <s v="Normal"/>
    <s v="Normal"/>
    <s v="Normal"/>
    <s v="Normal"/>
    <x v="4"/>
  </r>
  <r>
    <d v="2021-12-01T00:00:00"/>
    <n v="21.7"/>
    <n v="20"/>
    <n v="26.4"/>
    <n v="0"/>
    <s v="Normal"/>
    <s v="Normal"/>
    <s v="Normal"/>
    <s v="Normal"/>
    <x v="4"/>
  </r>
  <r>
    <d v="2021-12-02T00:00:00"/>
    <n v="21.6"/>
    <n v="19.2"/>
    <n v="25.9"/>
    <n v="6.9"/>
    <s v="Normal"/>
    <s v="Normal"/>
    <s v="Normal"/>
    <s v="Normal"/>
    <x v="4"/>
  </r>
  <r>
    <d v="2021-12-03T00:00:00"/>
    <n v="21.9"/>
    <n v="17.899999999999999"/>
    <n v="27.4"/>
    <n v="3"/>
    <s v="Normal"/>
    <s v="Normal"/>
    <s v="Normal"/>
    <s v="Normal"/>
    <x v="4"/>
  </r>
  <r>
    <d v="2021-12-04T00:00:00"/>
    <n v="23.9"/>
    <n v="21"/>
    <n v="28.2"/>
    <n v="0"/>
    <s v="Normal"/>
    <s v="Normal"/>
    <s v="Normal"/>
    <s v="Normal"/>
    <x v="4"/>
  </r>
  <r>
    <d v="2021-12-05T00:00:00"/>
    <n v="23.2"/>
    <n v="19.8"/>
    <n v="28.4"/>
    <n v="1"/>
    <s v="Normal"/>
    <s v="Normal"/>
    <s v="Normal"/>
    <s v="Normal"/>
    <x v="4"/>
  </r>
  <r>
    <d v="2021-12-06T00:00:00"/>
    <n v="23.2"/>
    <n v="19.3"/>
    <n v="29.2"/>
    <n v="0"/>
    <s v="Normal"/>
    <s v="Normal"/>
    <s v="Normal"/>
    <s v="Normal"/>
    <x v="4"/>
  </r>
  <r>
    <d v="2021-12-07T00:00:00"/>
    <n v="22.1"/>
    <n v="17.7"/>
    <n v="26.4"/>
    <n v="0"/>
    <s v="Normal"/>
    <s v="Normal"/>
    <s v="Normal"/>
    <s v="Normal"/>
    <x v="4"/>
  </r>
  <r>
    <d v="2021-12-08T00:00:00"/>
    <n v="21.7"/>
    <n v="16.899999999999999"/>
    <n v="27.4"/>
    <n v="0"/>
    <s v="Normal"/>
    <s v="Normal"/>
    <s v="Normal"/>
    <s v="Normal"/>
    <x v="4"/>
  </r>
  <r>
    <d v="2021-12-09T00:00:00"/>
    <n v="22.1"/>
    <n v="18.8"/>
    <n v="26.2"/>
    <n v="0.9"/>
    <s v="Normal"/>
    <s v="Normal"/>
    <s v="Normal"/>
    <s v="Normal"/>
    <x v="4"/>
  </r>
  <r>
    <d v="2021-12-10T00:00:00"/>
    <n v="22.7"/>
    <n v="18.600000000000001"/>
    <n v="27.2"/>
    <n v="1"/>
    <s v="Normal"/>
    <s v="Normal"/>
    <s v="Normal"/>
    <s v="Normal"/>
    <x v="4"/>
  </r>
  <r>
    <d v="2021-12-11T00:00:00"/>
    <n v="21.6"/>
    <n v="18"/>
    <n v="28.4"/>
    <n v="0"/>
    <s v="Normal"/>
    <s v="Normal"/>
    <s v="Normal"/>
    <s v="Normal"/>
    <x v="4"/>
  </r>
  <r>
    <d v="2021-12-12T00:00:00"/>
    <n v="20.9"/>
    <n v="17.5"/>
    <n v="24.7"/>
    <n v="0.2"/>
    <s v="Normal"/>
    <s v="Normal"/>
    <s v="Normal"/>
    <s v="Normal"/>
    <x v="4"/>
  </r>
  <r>
    <d v="2021-12-13T00:00:00"/>
    <n v="20.6"/>
    <n v="18"/>
    <n v="24.9"/>
    <n v="2.4"/>
    <s v="Normal"/>
    <s v="Normal"/>
    <s v="Normal"/>
    <s v="Normal"/>
    <x v="4"/>
  </r>
  <r>
    <d v="2021-12-14T00:00:00"/>
    <n v="21.2"/>
    <n v="18.3"/>
    <n v="24.4"/>
    <n v="2.8"/>
    <s v="Normal"/>
    <s v="Normal"/>
    <s v="Normal"/>
    <s v="Normal"/>
    <x v="4"/>
  </r>
  <r>
    <d v="2021-12-15T00:00:00"/>
    <n v="20.6"/>
    <n v="17.399999999999999"/>
    <n v="24.4"/>
    <n v="0.3"/>
    <s v="Normal"/>
    <s v="Normal"/>
    <s v="Normal"/>
    <s v="Normal"/>
    <x v="4"/>
  </r>
  <r>
    <d v="2021-12-16T00:00:00"/>
    <n v="21.5"/>
    <n v="17.2"/>
    <n v="26.4"/>
    <n v="0"/>
    <s v="Normal"/>
    <s v="Normal"/>
    <s v="Normal"/>
    <s v="Normal"/>
    <x v="4"/>
  </r>
  <r>
    <d v="2021-12-17T00:00:00"/>
    <n v="20.6"/>
    <n v="16.3"/>
    <n v="27.6"/>
    <n v="0"/>
    <s v="Normal"/>
    <s v="Outlier"/>
    <s v="Normal"/>
    <s v="Normal"/>
    <x v="4"/>
  </r>
  <r>
    <d v="2021-12-18T00:00:00"/>
    <n v="20.2"/>
    <n v="15.3"/>
    <n v="26"/>
    <n v="0"/>
    <s v="Normal"/>
    <s v="Outlier"/>
    <s v="Normal"/>
    <s v="Normal"/>
    <x v="4"/>
  </r>
  <r>
    <d v="2021-12-21T00:00:00"/>
    <n v="19"/>
    <n v="13.9"/>
    <n v="26"/>
    <n v="0"/>
    <s v="Outlier"/>
    <s v="Outlier"/>
    <s v="Normal"/>
    <s v="Normal"/>
    <x v="4"/>
  </r>
  <r>
    <d v="2021-12-22T00:00:00"/>
    <n v="19.399999999999999"/>
    <n v="12.8"/>
    <n v="27.4"/>
    <n v="0"/>
    <s v="Normal"/>
    <s v="Outlier"/>
    <s v="Normal"/>
    <s v="Normal"/>
    <x v="4"/>
  </r>
  <r>
    <d v="2021-12-23T00:00:00"/>
    <n v="20"/>
    <n v="13.2"/>
    <n v="27.4"/>
    <n v="0"/>
    <s v="Normal"/>
    <s v="Outlier"/>
    <s v="Normal"/>
    <s v="Normal"/>
    <x v="4"/>
  </r>
  <r>
    <d v="2021-12-24T00:00:00"/>
    <n v="19.899999999999999"/>
    <n v="12.5"/>
    <n v="27.2"/>
    <n v="0"/>
    <s v="Normal"/>
    <s v="Outlier"/>
    <s v="Normal"/>
    <s v="Normal"/>
    <x v="4"/>
  </r>
  <r>
    <d v="2021-12-25T00:00:00"/>
    <n v="20.3"/>
    <n v="12.6"/>
    <n v="29"/>
    <n v="0"/>
    <s v="Normal"/>
    <s v="Outlier"/>
    <s v="Normal"/>
    <s v="Normal"/>
    <x v="4"/>
  </r>
  <r>
    <d v="2021-12-26T00:00:00"/>
    <n v="20.7"/>
    <n v="13.5"/>
    <n v="29.2"/>
    <n v="0"/>
    <s v="Normal"/>
    <s v="Outlier"/>
    <s v="Normal"/>
    <s v="Normal"/>
    <x v="4"/>
  </r>
  <r>
    <d v="2021-12-27T00:00:00"/>
    <n v="20.2"/>
    <n v="15.2"/>
    <n v="26.6"/>
    <n v="0"/>
    <s v="Normal"/>
    <s v="Outlier"/>
    <s v="Normal"/>
    <s v="Normal"/>
    <x v="4"/>
  </r>
  <r>
    <d v="2021-12-28T00:00:00"/>
    <n v="20.3"/>
    <n v="15.4"/>
    <n v="26.4"/>
    <n v="0"/>
    <s v="Normal"/>
    <s v="Outlier"/>
    <s v="Normal"/>
    <s v="Normal"/>
    <x v="4"/>
  </r>
  <r>
    <d v="2021-12-29T00:00:00"/>
    <n v="21"/>
    <n v="17"/>
    <n v="26"/>
    <n v="0"/>
    <s v="Normal"/>
    <s v="Normal"/>
    <s v="Normal"/>
    <s v="Normal"/>
    <x v="4"/>
  </r>
  <r>
    <d v="2021-12-30T00:00:00"/>
    <n v="20.2"/>
    <n v="15.4"/>
    <n v="26.4"/>
    <n v="0.7"/>
    <s v="Normal"/>
    <s v="Outlier"/>
    <s v="Normal"/>
    <s v="Normal"/>
    <x v="4"/>
  </r>
  <r>
    <d v="2021-12-31T00:00:00"/>
    <n v="20.3"/>
    <n v="17.600000000000001"/>
    <n v="26.5"/>
    <n v="0"/>
    <s v="Normal"/>
    <s v="Normal"/>
    <s v="Normal"/>
    <s v="Normal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d v="2022-01-01T00:00:00"/>
    <n v="21.4"/>
    <n v="18.5"/>
    <n v="24.6"/>
    <n v="3.3"/>
    <s v="Normal"/>
    <s v="Normal"/>
    <s v="Normal"/>
    <s v="Normal"/>
    <x v="0"/>
  </r>
  <r>
    <d v="2022-01-02T00:00:00"/>
    <n v="22"/>
    <n v="17.5"/>
    <n v="26.4"/>
    <n v="0"/>
    <s v="Normal"/>
    <s v="Normal"/>
    <s v="Normal"/>
    <s v="Normal"/>
    <x v="0"/>
  </r>
  <r>
    <d v="2022-01-08T00:00:00"/>
    <n v="21.6"/>
    <n v="17.2"/>
    <n v="27.2"/>
    <n v="0"/>
    <s v="Normal"/>
    <s v="Normal"/>
    <s v="Normal"/>
    <s v="Normal"/>
    <x v="0"/>
  </r>
  <r>
    <d v="2022-01-09T00:00:00"/>
    <n v="21.7"/>
    <n v="17.3"/>
    <n v="27.2"/>
    <n v="0"/>
    <s v="Normal"/>
    <s v="Normal"/>
    <s v="Normal"/>
    <s v="Normal"/>
    <x v="0"/>
  </r>
  <r>
    <d v="2022-01-12T00:00:00"/>
    <n v="22.4"/>
    <n v="18.3"/>
    <n v="28.6"/>
    <n v="0.4"/>
    <s v="Normal"/>
    <s v="Normal"/>
    <s v="Normal"/>
    <s v="Normal"/>
    <x v="0"/>
  </r>
  <r>
    <d v="2022-01-13T00:00:00"/>
    <n v="22.1"/>
    <n v="17.5"/>
    <n v="27.4"/>
    <n v="0.5"/>
    <s v="Normal"/>
    <s v="Normal"/>
    <s v="Normal"/>
    <s v="Normal"/>
    <x v="0"/>
  </r>
  <r>
    <d v="2022-01-14T00:00:00"/>
    <n v="21.8"/>
    <n v="17.8"/>
    <n v="27.4"/>
    <n v="0.2"/>
    <s v="Normal"/>
    <s v="Normal"/>
    <s v="Normal"/>
    <s v="Normal"/>
    <x v="0"/>
  </r>
  <r>
    <d v="2022-01-16T00:00:00"/>
    <n v="21.9"/>
    <n v="17.399999999999999"/>
    <n v="27.6"/>
    <n v="0.2"/>
    <s v="Normal"/>
    <s v="Normal"/>
    <s v="Normal"/>
    <s v="Normal"/>
    <x v="0"/>
  </r>
  <r>
    <d v="2022-01-26T00:00:00"/>
    <n v="22.2"/>
    <n v="17.3"/>
    <n v="28"/>
    <n v="0.1"/>
    <s v="Normal"/>
    <s v="Normal"/>
    <s v="Normal"/>
    <s v="Normal"/>
    <x v="0"/>
  </r>
  <r>
    <d v="2022-01-27T00:00:00"/>
    <n v="21.5"/>
    <n v="17.899999999999999"/>
    <n v="25.4"/>
    <n v="1.8"/>
    <s v="Normal"/>
    <s v="Normal"/>
    <s v="Normal"/>
    <s v="Normal"/>
    <x v="0"/>
  </r>
  <r>
    <d v="2022-01-28T00:00:00"/>
    <n v="21.1"/>
    <n v="17"/>
    <n v="26.3"/>
    <n v="0"/>
    <s v="Normal"/>
    <s v="Normal"/>
    <s v="Normal"/>
    <s v="Normal"/>
    <x v="0"/>
  </r>
  <r>
    <d v="2022-01-30T00:00:00"/>
    <n v="23"/>
    <n v="18.100000000000001"/>
    <n v="29.4"/>
    <n v="0"/>
    <s v="Normal"/>
    <s v="Normal"/>
    <s v="Normal"/>
    <s v="Normal"/>
    <x v="0"/>
  </r>
  <r>
    <d v="2022-01-31T00:00:00"/>
    <n v="23.4"/>
    <n v="18.3"/>
    <n v="29.6"/>
    <n v="0"/>
    <s v="Normal"/>
    <s v="Normal"/>
    <s v="Normal"/>
    <s v="Normal"/>
    <x v="0"/>
  </r>
  <r>
    <d v="2022-02-01T00:00:00"/>
    <n v="23.2"/>
    <n v="17.399999999999999"/>
    <n v="29.8"/>
    <n v="0"/>
    <s v="Normal"/>
    <s v="Normal"/>
    <s v="Normal"/>
    <s v="Normal"/>
    <x v="0"/>
  </r>
  <r>
    <d v="2022-02-06T00:00:00"/>
    <n v="22.7"/>
    <n v="18.2"/>
    <n v="28"/>
    <n v="0"/>
    <s v="Normal"/>
    <s v="Normal"/>
    <s v="Normal"/>
    <s v="Normal"/>
    <x v="0"/>
  </r>
  <r>
    <d v="2022-02-07T00:00:00"/>
    <n v="22.6"/>
    <n v="17.3"/>
    <n v="28.3"/>
    <n v="0"/>
    <s v="Normal"/>
    <s v="Normal"/>
    <s v="Normal"/>
    <s v="Normal"/>
    <x v="0"/>
  </r>
  <r>
    <d v="2022-02-15T00:00:00"/>
    <n v="22.7"/>
    <n v="17.100000000000001"/>
    <n v="28.4"/>
    <n v="0"/>
    <s v="Normal"/>
    <s v="Normal"/>
    <s v="Normal"/>
    <s v="Normal"/>
    <x v="0"/>
  </r>
  <r>
    <d v="2022-02-22T00:00:00"/>
    <n v="24.7"/>
    <n v="17.899999999999999"/>
    <n v="31.3"/>
    <n v="0"/>
    <s v="Normal"/>
    <s v="Normal"/>
    <s v="Normal"/>
    <s v="Normal"/>
    <x v="0"/>
  </r>
  <r>
    <d v="2022-03-02T00:00:00"/>
    <n v="23.7"/>
    <n v="16.899999999999999"/>
    <n v="30.4"/>
    <n v="0"/>
    <s v="Normal"/>
    <s v="Normal"/>
    <s v="Normal"/>
    <s v="Normal"/>
    <x v="0"/>
  </r>
  <r>
    <d v="2022-03-04T00:00:00"/>
    <n v="24"/>
    <n v="17.399999999999999"/>
    <n v="31.6"/>
    <n v="0"/>
    <s v="Normal"/>
    <s v="Normal"/>
    <s v="Normal"/>
    <s v="Normal"/>
    <x v="0"/>
  </r>
  <r>
    <d v="2022-03-06T00:00:00"/>
    <n v="23.8"/>
    <n v="17.2"/>
    <n v="30.3"/>
    <n v="0"/>
    <s v="Normal"/>
    <s v="Normal"/>
    <s v="Normal"/>
    <s v="Normal"/>
    <x v="0"/>
  </r>
  <r>
    <d v="2022-03-08T00:00:00"/>
    <n v="24.9"/>
    <n v="18"/>
    <n v="30.6"/>
    <n v="0"/>
    <s v="Normal"/>
    <s v="Normal"/>
    <s v="Normal"/>
    <s v="Normal"/>
    <x v="0"/>
  </r>
  <r>
    <d v="2022-03-10T00:00:00"/>
    <n v="25.4"/>
    <n v="17.100000000000001"/>
    <n v="32.799999999999997"/>
    <n v="0"/>
    <s v="Normal"/>
    <s v="Normal"/>
    <s v="Normal"/>
    <s v="Normal"/>
    <x v="0"/>
  </r>
  <r>
    <d v="2022-03-11T00:00:00"/>
    <n v="25.2"/>
    <n v="17.2"/>
    <n v="32.799999999999997"/>
    <n v="0"/>
    <s v="Normal"/>
    <s v="Normal"/>
    <s v="Normal"/>
    <s v="Normal"/>
    <x v="0"/>
  </r>
  <r>
    <d v="2022-03-12T00:00:00"/>
    <n v="25.5"/>
    <n v="18.100000000000001"/>
    <n v="33"/>
    <n v="0"/>
    <s v="Normal"/>
    <s v="Normal"/>
    <s v="Normal"/>
    <s v="Normal"/>
    <x v="0"/>
  </r>
  <r>
    <d v="2022-03-13T00:00:00"/>
    <n v="25.6"/>
    <n v="18.5"/>
    <n v="32.799999999999997"/>
    <n v="0"/>
    <s v="Normal"/>
    <s v="Normal"/>
    <s v="Normal"/>
    <s v="Normal"/>
    <x v="0"/>
  </r>
  <r>
    <d v="2022-03-14T00:00:00"/>
    <n v="26"/>
    <n v="18.399999999999999"/>
    <n v="32.799999999999997"/>
    <n v="0"/>
    <s v="Normal"/>
    <s v="Normal"/>
    <s v="Normal"/>
    <s v="Normal"/>
    <x v="0"/>
  </r>
  <r>
    <d v="2022-03-15T00:00:00"/>
    <n v="25.7"/>
    <n v="17.5"/>
    <n v="33.4"/>
    <n v="0"/>
    <s v="Normal"/>
    <s v="Normal"/>
    <s v="Normal"/>
    <s v="Normal"/>
    <x v="0"/>
  </r>
  <r>
    <d v="2022-03-16T00:00:00"/>
    <n v="25.7"/>
    <n v="17.600000000000001"/>
    <n v="34.200000000000003"/>
    <n v="0"/>
    <s v="Normal"/>
    <s v="Normal"/>
    <s v="Normal"/>
    <s v="Normal"/>
    <x v="0"/>
  </r>
  <r>
    <d v="2022-03-17T00:00:00"/>
    <n v="26.6"/>
    <n v="19.100000000000001"/>
    <n v="34.200000000000003"/>
    <n v="0"/>
    <s v="Normal"/>
    <s v="Normal"/>
    <s v="Normal"/>
    <s v="Normal"/>
    <x v="0"/>
  </r>
  <r>
    <d v="2022-03-18T00:00:00"/>
    <n v="26.6"/>
    <n v="18.7"/>
    <n v="34"/>
    <n v="0"/>
    <s v="Normal"/>
    <s v="Normal"/>
    <s v="Normal"/>
    <s v="Normal"/>
    <x v="0"/>
  </r>
  <r>
    <d v="2022-03-19T00:00:00"/>
    <n v="26.2"/>
    <n v="18.899999999999999"/>
    <n v="33.4"/>
    <n v="0.1"/>
    <s v="Normal"/>
    <s v="Normal"/>
    <s v="Normal"/>
    <s v="Normal"/>
    <x v="0"/>
  </r>
  <r>
    <d v="2022-03-20T00:00:00"/>
    <n v="24.9"/>
    <n v="22"/>
    <n v="34.1"/>
    <n v="0"/>
    <s v="Normal"/>
    <s v="Normal"/>
    <s v="Normal"/>
    <s v="Normal"/>
    <x v="0"/>
  </r>
  <r>
    <d v="2022-03-21T00:00:00"/>
    <n v="24.7"/>
    <n v="21.3"/>
    <n v="33.200000000000003"/>
    <n v="6.1"/>
    <s v="Normal"/>
    <s v="Normal"/>
    <s v="Normal"/>
    <s v="Normal"/>
    <x v="0"/>
  </r>
  <r>
    <d v="2022-03-22T00:00:00"/>
    <n v="25.6"/>
    <n v="21.8"/>
    <n v="33.5"/>
    <n v="7.9"/>
    <s v="Normal"/>
    <s v="Normal"/>
    <s v="Normal"/>
    <s v="Normal"/>
    <x v="0"/>
  </r>
  <r>
    <d v="2022-03-23T00:00:00"/>
    <n v="27"/>
    <n v="21.4"/>
    <n v="32.799999999999997"/>
    <n v="2"/>
    <s v="Normal"/>
    <s v="Normal"/>
    <s v="Normal"/>
    <s v="Normal"/>
    <x v="0"/>
  </r>
  <r>
    <d v="2022-03-25T00:00:00"/>
    <n v="26.4"/>
    <n v="19.399999999999999"/>
    <n v="32.299999999999997"/>
    <n v="0.2"/>
    <s v="Normal"/>
    <s v="Normal"/>
    <s v="Normal"/>
    <s v="Normal"/>
    <x v="0"/>
  </r>
  <r>
    <d v="2022-03-26T00:00:00"/>
    <n v="26.7"/>
    <n v="19.899999999999999"/>
    <n v="32.9"/>
    <n v="0"/>
    <s v="Normal"/>
    <s v="Normal"/>
    <s v="Normal"/>
    <s v="Normal"/>
    <x v="0"/>
  </r>
  <r>
    <d v="2022-03-27T00:00:00"/>
    <n v="27.1"/>
    <n v="20.399999999999999"/>
    <n v="33.799999999999997"/>
    <n v="0"/>
    <s v="Normal"/>
    <s v="Normal"/>
    <s v="Normal"/>
    <s v="Normal"/>
    <x v="0"/>
  </r>
  <r>
    <d v="2022-03-28T00:00:00"/>
    <n v="27.3"/>
    <n v="20.100000000000001"/>
    <n v="33.799999999999997"/>
    <n v="0"/>
    <s v="Normal"/>
    <s v="Normal"/>
    <s v="Normal"/>
    <s v="Normal"/>
    <x v="0"/>
  </r>
  <r>
    <d v="2022-03-29T00:00:00"/>
    <n v="27.5"/>
    <n v="20.399999999999999"/>
    <n v="34.200000000000003"/>
    <n v="0.1"/>
    <s v="Normal"/>
    <s v="Normal"/>
    <s v="Normal"/>
    <s v="Normal"/>
    <x v="0"/>
  </r>
  <r>
    <d v="2022-03-30T00:00:00"/>
    <n v="27.6"/>
    <n v="21.8"/>
    <n v="33.799999999999997"/>
    <n v="0.1"/>
    <s v="Normal"/>
    <s v="Normal"/>
    <s v="Normal"/>
    <s v="Normal"/>
    <x v="0"/>
  </r>
  <r>
    <d v="2022-03-31T00:00:00"/>
    <n v="27.5"/>
    <n v="20.9"/>
    <n v="34"/>
    <n v="0"/>
    <s v="Normal"/>
    <s v="Normal"/>
    <s v="Normal"/>
    <s v="Normal"/>
    <x v="0"/>
  </r>
  <r>
    <d v="2022-04-01T00:00:00"/>
    <n v="27.2"/>
    <n v="21.2"/>
    <n v="33"/>
    <n v="0"/>
    <s v="Normal"/>
    <s v="Normal"/>
    <s v="Normal"/>
    <s v="Normal"/>
    <x v="0"/>
  </r>
  <r>
    <d v="2022-04-02T00:00:00"/>
    <n v="26.8"/>
    <n v="20"/>
    <n v="33"/>
    <n v="0"/>
    <s v="Normal"/>
    <s v="Normal"/>
    <s v="Normal"/>
    <s v="Normal"/>
    <x v="0"/>
  </r>
  <r>
    <d v="2022-04-03T00:00:00"/>
    <n v="26.6"/>
    <n v="18.600000000000001"/>
    <n v="33.6"/>
    <n v="0"/>
    <s v="Normal"/>
    <s v="Normal"/>
    <s v="Normal"/>
    <s v="Normal"/>
    <x v="0"/>
  </r>
  <r>
    <d v="2022-04-04T00:00:00"/>
    <n v="26.5"/>
    <n v="19"/>
    <n v="33.799999999999997"/>
    <n v="0"/>
    <s v="Normal"/>
    <s v="Normal"/>
    <s v="Normal"/>
    <s v="Normal"/>
    <x v="0"/>
  </r>
  <r>
    <d v="2022-04-05T00:00:00"/>
    <n v="26.3"/>
    <n v="19"/>
    <n v="33.200000000000003"/>
    <n v="0"/>
    <s v="Normal"/>
    <s v="Normal"/>
    <s v="Normal"/>
    <s v="Normal"/>
    <x v="0"/>
  </r>
  <r>
    <d v="2022-04-06T00:00:00"/>
    <n v="26.7"/>
    <n v="18.399999999999999"/>
    <n v="35"/>
    <n v="0"/>
    <s v="Normal"/>
    <s v="Normal"/>
    <s v="Normal"/>
    <s v="Normal"/>
    <x v="0"/>
  </r>
  <r>
    <d v="2022-04-07T00:00:00"/>
    <n v="27.1"/>
    <n v="19.100000000000001"/>
    <n v="34.799999999999997"/>
    <n v="0"/>
    <s v="Normal"/>
    <s v="Normal"/>
    <s v="Normal"/>
    <s v="Normal"/>
    <x v="0"/>
  </r>
  <r>
    <d v="2022-04-08T00:00:00"/>
    <n v="26.7"/>
    <n v="19.3"/>
    <n v="33.200000000000003"/>
    <n v="0"/>
    <s v="Normal"/>
    <s v="Normal"/>
    <s v="Normal"/>
    <s v="Normal"/>
    <x v="0"/>
  </r>
  <r>
    <d v="2022-04-09T00:00:00"/>
    <n v="27.1"/>
    <n v="19.899999999999999"/>
    <n v="33.6"/>
    <n v="0"/>
    <s v="Normal"/>
    <s v="Normal"/>
    <s v="Normal"/>
    <s v="Normal"/>
    <x v="0"/>
  </r>
  <r>
    <d v="2022-04-10T00:00:00"/>
    <n v="27"/>
    <n v="20.3"/>
    <n v="34"/>
    <n v="0"/>
    <s v="Normal"/>
    <s v="Normal"/>
    <s v="Normal"/>
    <s v="Normal"/>
    <x v="0"/>
  </r>
  <r>
    <d v="2022-04-11T00:00:00"/>
    <n v="27.2"/>
    <n v="20.100000000000001"/>
    <n v="34.200000000000003"/>
    <n v="0"/>
    <s v="Normal"/>
    <s v="Normal"/>
    <s v="Normal"/>
    <s v="Normal"/>
    <x v="0"/>
  </r>
  <r>
    <d v="2022-04-12T00:00:00"/>
    <n v="26.7"/>
    <n v="20.5"/>
    <n v="34"/>
    <n v="0"/>
    <s v="Normal"/>
    <s v="Normal"/>
    <s v="Normal"/>
    <s v="Normal"/>
    <x v="0"/>
  </r>
  <r>
    <d v="2022-04-13T00:00:00"/>
    <n v="25"/>
    <n v="21.5"/>
    <n v="32.799999999999997"/>
    <n v="3.5"/>
    <s v="Normal"/>
    <s v="Normal"/>
    <s v="Normal"/>
    <s v="Normal"/>
    <x v="0"/>
  </r>
  <r>
    <d v="2022-04-16T00:00:00"/>
    <n v="26.3"/>
    <n v="19.7"/>
    <n v="34.1"/>
    <n v="0"/>
    <s v="Normal"/>
    <s v="Normal"/>
    <s v="Normal"/>
    <s v="Normal"/>
    <x v="0"/>
  </r>
  <r>
    <d v="2022-04-18T00:00:00"/>
    <n v="23.8"/>
    <n v="19.100000000000001"/>
    <n v="32.1"/>
    <n v="1"/>
    <s v="Normal"/>
    <s v="Normal"/>
    <s v="Normal"/>
    <s v="Normal"/>
    <x v="0"/>
  </r>
  <r>
    <d v="2022-04-20T00:00:00"/>
    <n v="27.9"/>
    <n v="21.8"/>
    <n v="34.1"/>
    <n v="0"/>
    <s v="Normal"/>
    <s v="Normal"/>
    <s v="Normal"/>
    <s v="Normal"/>
    <x v="0"/>
  </r>
  <r>
    <d v="2022-04-21T00:00:00"/>
    <n v="27.3"/>
    <n v="20.8"/>
    <n v="33.4"/>
    <n v="0"/>
    <s v="Normal"/>
    <s v="Normal"/>
    <s v="Normal"/>
    <s v="Normal"/>
    <x v="0"/>
  </r>
  <r>
    <d v="2022-04-22T00:00:00"/>
    <n v="26.7"/>
    <n v="20.3"/>
    <n v="33.200000000000003"/>
    <n v="0"/>
    <s v="Normal"/>
    <s v="Normal"/>
    <s v="Normal"/>
    <s v="Normal"/>
    <x v="0"/>
  </r>
  <r>
    <d v="2022-04-23T00:00:00"/>
    <n v="26.3"/>
    <n v="20.5"/>
    <n v="32.200000000000003"/>
    <n v="0"/>
    <s v="Normal"/>
    <s v="Normal"/>
    <s v="Normal"/>
    <s v="Normal"/>
    <x v="0"/>
  </r>
  <r>
    <d v="2022-04-24T00:00:00"/>
    <n v="27"/>
    <n v="20.399999999999999"/>
    <n v="33.700000000000003"/>
    <n v="0"/>
    <s v="Normal"/>
    <s v="Normal"/>
    <s v="Normal"/>
    <s v="Normal"/>
    <x v="0"/>
  </r>
  <r>
    <d v="2022-04-25T00:00:00"/>
    <n v="27.8"/>
    <n v="20.8"/>
    <n v="34.1"/>
    <n v="0"/>
    <s v="Normal"/>
    <s v="Normal"/>
    <s v="Normal"/>
    <s v="Normal"/>
    <x v="0"/>
  </r>
  <r>
    <d v="2022-04-26T00:00:00"/>
    <n v="27.9"/>
    <n v="20.6"/>
    <n v="34.5"/>
    <n v="0"/>
    <s v="Normal"/>
    <s v="Normal"/>
    <s v="Normal"/>
    <s v="Normal"/>
    <x v="0"/>
  </r>
  <r>
    <d v="2022-04-28T00:00:00"/>
    <n v="28.2"/>
    <n v="21.7"/>
    <n v="34.799999999999997"/>
    <n v="0"/>
    <s v="Normal"/>
    <s v="Normal"/>
    <s v="Normal"/>
    <s v="Normal"/>
    <x v="0"/>
  </r>
  <r>
    <d v="2022-05-01T00:00:00"/>
    <n v="24.9"/>
    <n v="20.399999999999999"/>
    <n v="34.799999999999997"/>
    <n v="0"/>
    <s v="Normal"/>
    <s v="Normal"/>
    <s v="Normal"/>
    <s v="Normal"/>
    <x v="0"/>
  </r>
  <r>
    <d v="2022-05-03T00:00:00"/>
    <n v="26.3"/>
    <n v="21.8"/>
    <n v="34"/>
    <n v="0"/>
    <s v="Normal"/>
    <s v="Normal"/>
    <s v="Normal"/>
    <s v="Normal"/>
    <x v="0"/>
  </r>
  <r>
    <d v="2022-05-04T00:00:00"/>
    <n v="25.5"/>
    <n v="20.9"/>
    <n v="34.200000000000003"/>
    <n v="8.9"/>
    <s v="Normal"/>
    <s v="Normal"/>
    <s v="Normal"/>
    <s v="Normal"/>
    <x v="0"/>
  </r>
  <r>
    <d v="2022-05-05T00:00:00"/>
    <n v="23.9"/>
    <n v="20.399999999999999"/>
    <n v="34.200000000000003"/>
    <n v="4.3"/>
    <s v="Normal"/>
    <s v="Normal"/>
    <s v="Normal"/>
    <s v="Normal"/>
    <x v="0"/>
  </r>
  <r>
    <d v="2022-05-06T00:00:00"/>
    <n v="25.2"/>
    <n v="21.3"/>
    <n v="31.8"/>
    <n v="0.3"/>
    <s v="Normal"/>
    <s v="Normal"/>
    <s v="Normal"/>
    <s v="Normal"/>
    <x v="0"/>
  </r>
  <r>
    <d v="2022-05-07T00:00:00"/>
    <n v="26"/>
    <n v="21.2"/>
    <n v="33.5"/>
    <n v="5.0999999999999996"/>
    <s v="Normal"/>
    <s v="Normal"/>
    <s v="Normal"/>
    <s v="Normal"/>
    <x v="0"/>
  </r>
  <r>
    <d v="2022-05-08T00:00:00"/>
    <n v="26.1"/>
    <n v="21"/>
    <n v="33.200000000000003"/>
    <n v="0"/>
    <s v="Normal"/>
    <s v="Normal"/>
    <s v="Normal"/>
    <s v="Normal"/>
    <x v="0"/>
  </r>
  <r>
    <d v="2022-05-09T00:00:00"/>
    <n v="25.3"/>
    <n v="21"/>
    <n v="33.200000000000003"/>
    <n v="2"/>
    <s v="Normal"/>
    <s v="Normal"/>
    <s v="Normal"/>
    <s v="Normal"/>
    <x v="0"/>
  </r>
  <r>
    <d v="2022-05-11T00:00:00"/>
    <n v="22.1"/>
    <n v="20.399999999999999"/>
    <n v="25"/>
    <n v="5.0999999999999996"/>
    <s v="Normal"/>
    <s v="Normal"/>
    <s v="Normal"/>
    <s v="Normal"/>
    <x v="0"/>
  </r>
  <r>
    <d v="2022-05-12T00:00:00"/>
    <n v="21.3"/>
    <n v="19.5"/>
    <n v="25"/>
    <n v="5.3"/>
    <s v="Normal"/>
    <s v="Normal"/>
    <s v="Normal"/>
    <s v="Normal"/>
    <x v="0"/>
  </r>
  <r>
    <d v="2022-05-13T00:00:00"/>
    <n v="22.9"/>
    <n v="20"/>
    <n v="26.3"/>
    <n v="2"/>
    <s v="Normal"/>
    <s v="Normal"/>
    <s v="Normal"/>
    <s v="Normal"/>
    <x v="0"/>
  </r>
  <r>
    <d v="2022-05-14T00:00:00"/>
    <n v="25.2"/>
    <n v="20.3"/>
    <n v="29.7"/>
    <n v="0"/>
    <s v="Normal"/>
    <s v="Normal"/>
    <s v="Normal"/>
    <s v="Normal"/>
    <x v="0"/>
  </r>
  <r>
    <d v="2022-05-16T00:00:00"/>
    <n v="23.9"/>
    <n v="20.8"/>
    <n v="29.5"/>
    <n v="0.3"/>
    <s v="Normal"/>
    <s v="Normal"/>
    <s v="Normal"/>
    <s v="Normal"/>
    <x v="0"/>
  </r>
  <r>
    <d v="2022-05-17T00:00:00"/>
    <n v="23.8"/>
    <n v="21.1"/>
    <n v="30.1"/>
    <n v="6.4"/>
    <s v="Normal"/>
    <s v="Normal"/>
    <s v="Normal"/>
    <s v="Normal"/>
    <x v="0"/>
  </r>
  <r>
    <d v="2022-05-19T00:00:00"/>
    <n v="20.6"/>
    <n v="19.399999999999999"/>
    <n v="29"/>
    <n v="0.8"/>
    <s v="Normal"/>
    <s v="Normal"/>
    <s v="Normal"/>
    <s v="Normal"/>
    <x v="0"/>
  </r>
  <r>
    <d v="2022-05-20T00:00:00"/>
    <n v="21.8"/>
    <n v="17.899999999999999"/>
    <n v="27"/>
    <n v="4.8"/>
    <s v="Normal"/>
    <s v="Normal"/>
    <s v="Normal"/>
    <s v="Normal"/>
    <x v="0"/>
  </r>
  <r>
    <d v="2022-05-21T00:00:00"/>
    <n v="22.8"/>
    <n v="18.8"/>
    <n v="27"/>
    <n v="3.8"/>
    <s v="Normal"/>
    <s v="Normal"/>
    <s v="Normal"/>
    <s v="Normal"/>
    <x v="0"/>
  </r>
  <r>
    <d v="2022-05-22T00:00:00"/>
    <n v="23.8"/>
    <n v="20.7"/>
    <n v="28.5"/>
    <n v="0"/>
    <s v="Normal"/>
    <s v="Normal"/>
    <s v="Normal"/>
    <s v="Normal"/>
    <x v="0"/>
  </r>
  <r>
    <d v="2022-05-23T00:00:00"/>
    <n v="24.5"/>
    <n v="19.899999999999999"/>
    <n v="29.6"/>
    <n v="0"/>
    <s v="Normal"/>
    <s v="Normal"/>
    <s v="Normal"/>
    <s v="Normal"/>
    <x v="0"/>
  </r>
  <r>
    <d v="2022-05-24T00:00:00"/>
    <n v="26.2"/>
    <n v="22.1"/>
    <n v="30.7"/>
    <n v="0"/>
    <s v="Normal"/>
    <s v="Normal"/>
    <s v="Normal"/>
    <s v="Normal"/>
    <x v="0"/>
  </r>
  <r>
    <d v="2022-05-25T00:00:00"/>
    <n v="24.6"/>
    <n v="20.100000000000001"/>
    <n v="30"/>
    <n v="0"/>
    <s v="Normal"/>
    <s v="Normal"/>
    <s v="Normal"/>
    <s v="Normal"/>
    <x v="0"/>
  </r>
  <r>
    <d v="2022-05-26T00:00:00"/>
    <n v="24.9"/>
    <n v="21.8"/>
    <n v="31.7"/>
    <n v="1.1000000000000001"/>
    <s v="Normal"/>
    <s v="Normal"/>
    <s v="Normal"/>
    <s v="Normal"/>
    <x v="0"/>
  </r>
  <r>
    <d v="2022-05-27T00:00:00"/>
    <n v="26.1"/>
    <n v="21.6"/>
    <n v="31.9"/>
    <n v="0"/>
    <s v="Normal"/>
    <s v="Normal"/>
    <s v="Normal"/>
    <s v="Normal"/>
    <x v="0"/>
  </r>
  <r>
    <d v="2022-05-28T00:00:00"/>
    <n v="24.5"/>
    <n v="19.2"/>
    <n v="30"/>
    <n v="0.3"/>
    <s v="Normal"/>
    <s v="Normal"/>
    <s v="Normal"/>
    <s v="Normal"/>
    <x v="0"/>
  </r>
  <r>
    <d v="2022-05-29T00:00:00"/>
    <n v="24.8"/>
    <n v="19.5"/>
    <n v="30"/>
    <n v="0"/>
    <s v="Normal"/>
    <s v="Normal"/>
    <s v="Normal"/>
    <s v="Normal"/>
    <x v="0"/>
  </r>
  <r>
    <d v="2022-05-31T00:00:00"/>
    <n v="24.1"/>
    <n v="20.6"/>
    <n v="30.4"/>
    <n v="6.9"/>
    <s v="Normal"/>
    <s v="Normal"/>
    <s v="Normal"/>
    <s v="Normal"/>
    <x v="0"/>
  </r>
  <r>
    <d v="2022-06-01T00:00:00"/>
    <n v="25.2"/>
    <n v="21.2"/>
    <n v="30.4"/>
    <n v="3.3"/>
    <s v="Normal"/>
    <s v="Normal"/>
    <s v="Normal"/>
    <s v="Normal"/>
    <x v="0"/>
  </r>
  <r>
    <d v="2022-06-02T00:00:00"/>
    <n v="25.7"/>
    <n v="22"/>
    <n v="31"/>
    <n v="0"/>
    <s v="Normal"/>
    <s v="Normal"/>
    <s v="Normal"/>
    <s v="Normal"/>
    <x v="0"/>
  </r>
  <r>
    <d v="2022-06-04T00:00:00"/>
    <n v="24.2"/>
    <n v="19.7"/>
    <n v="32.200000000000003"/>
    <n v="7.2"/>
    <s v="Normal"/>
    <s v="Normal"/>
    <s v="Normal"/>
    <s v="Normal"/>
    <x v="0"/>
  </r>
  <r>
    <d v="2022-06-07T00:00:00"/>
    <n v="24.9"/>
    <n v="21.1"/>
    <n v="30.6"/>
    <n v="0.8"/>
    <s v="Normal"/>
    <s v="Normal"/>
    <s v="Normal"/>
    <s v="Normal"/>
    <x v="0"/>
  </r>
  <r>
    <d v="2022-06-08T00:00:00"/>
    <n v="25.1"/>
    <n v="21.2"/>
    <n v="30.6"/>
    <n v="0"/>
    <s v="Normal"/>
    <s v="Normal"/>
    <s v="Normal"/>
    <s v="Normal"/>
    <x v="0"/>
  </r>
  <r>
    <d v="2022-06-09T00:00:00"/>
    <n v="24.3"/>
    <n v="19.8"/>
    <n v="29.4"/>
    <n v="1"/>
    <s v="Normal"/>
    <s v="Normal"/>
    <s v="Normal"/>
    <s v="Normal"/>
    <x v="0"/>
  </r>
  <r>
    <d v="2022-06-10T00:00:00"/>
    <n v="24"/>
    <n v="19.5"/>
    <n v="29.2"/>
    <n v="1.6"/>
    <s v="Normal"/>
    <s v="Normal"/>
    <s v="Normal"/>
    <s v="Normal"/>
    <x v="0"/>
  </r>
  <r>
    <d v="2022-06-11T00:00:00"/>
    <n v="23.6"/>
    <n v="19.3"/>
    <n v="29.2"/>
    <n v="2"/>
    <s v="Normal"/>
    <s v="Normal"/>
    <s v="Normal"/>
    <s v="Normal"/>
    <x v="0"/>
  </r>
  <r>
    <d v="2022-06-12T00:00:00"/>
    <n v="23"/>
    <n v="19.7"/>
    <n v="28.8"/>
    <n v="10"/>
    <s v="Normal"/>
    <s v="Normal"/>
    <s v="Normal"/>
    <s v="Normal"/>
    <x v="0"/>
  </r>
  <r>
    <d v="2022-06-13T00:00:00"/>
    <n v="23.6"/>
    <n v="19.2"/>
    <n v="28.9"/>
    <n v="0.1"/>
    <s v="Normal"/>
    <s v="Normal"/>
    <s v="Normal"/>
    <s v="Normal"/>
    <x v="0"/>
  </r>
  <r>
    <d v="2022-06-14T00:00:00"/>
    <n v="23.6"/>
    <n v="19.399999999999999"/>
    <n v="29.5"/>
    <n v="0.6"/>
    <s v="Normal"/>
    <s v="Normal"/>
    <s v="Normal"/>
    <s v="Normal"/>
    <x v="0"/>
  </r>
  <r>
    <d v="2022-06-16T00:00:00"/>
    <n v="24.5"/>
    <n v="20"/>
    <n v="30.6"/>
    <n v="0"/>
    <s v="Normal"/>
    <s v="Normal"/>
    <s v="Normal"/>
    <s v="Normal"/>
    <x v="0"/>
  </r>
  <r>
    <d v="2022-06-19T00:00:00"/>
    <n v="24.2"/>
    <n v="21.1"/>
    <n v="29.5"/>
    <n v="1"/>
    <s v="Normal"/>
    <s v="Normal"/>
    <s v="Normal"/>
    <s v="Normal"/>
    <x v="0"/>
  </r>
  <r>
    <d v="2022-06-20T00:00:00"/>
    <n v="24.1"/>
    <n v="20.7"/>
    <n v="29.5"/>
    <n v="2"/>
    <s v="Normal"/>
    <s v="Normal"/>
    <s v="Normal"/>
    <s v="Normal"/>
    <x v="0"/>
  </r>
  <r>
    <d v="2022-06-22T00:00:00"/>
    <n v="22.7"/>
    <n v="20.399999999999999"/>
    <n v="27.8"/>
    <n v="0.3"/>
    <s v="Normal"/>
    <s v="Normal"/>
    <s v="Normal"/>
    <s v="Normal"/>
    <x v="0"/>
  </r>
  <r>
    <d v="2022-06-23T00:00:00"/>
    <n v="23.1"/>
    <n v="20.399999999999999"/>
    <n v="26.2"/>
    <n v="0"/>
    <s v="Normal"/>
    <s v="Normal"/>
    <s v="Normal"/>
    <s v="Normal"/>
    <x v="0"/>
  </r>
  <r>
    <d v="2022-06-24T00:00:00"/>
    <n v="22.8"/>
    <n v="19.5"/>
    <n v="27.6"/>
    <n v="0.3"/>
    <s v="Normal"/>
    <s v="Normal"/>
    <s v="Normal"/>
    <s v="Normal"/>
    <x v="0"/>
  </r>
  <r>
    <d v="2022-06-25T00:00:00"/>
    <n v="22.4"/>
    <n v="19.7"/>
    <n v="27.7"/>
    <n v="4.2"/>
    <s v="Normal"/>
    <s v="Normal"/>
    <s v="Normal"/>
    <s v="Normal"/>
    <x v="0"/>
  </r>
  <r>
    <d v="2022-06-26T00:00:00"/>
    <n v="23.2"/>
    <n v="20.3"/>
    <n v="27.2"/>
    <n v="0.2"/>
    <s v="Normal"/>
    <s v="Normal"/>
    <s v="Normal"/>
    <s v="Normal"/>
    <x v="0"/>
  </r>
  <r>
    <d v="2022-06-27T00:00:00"/>
    <n v="23.7"/>
    <n v="20.100000000000001"/>
    <n v="28.3"/>
    <n v="0"/>
    <s v="Normal"/>
    <s v="Normal"/>
    <s v="Normal"/>
    <s v="Normal"/>
    <x v="0"/>
  </r>
  <r>
    <d v="2022-06-28T00:00:00"/>
    <n v="22.5"/>
    <n v="19.600000000000001"/>
    <n v="26.7"/>
    <n v="2.2000000000000002"/>
    <s v="Normal"/>
    <s v="Normal"/>
    <s v="Normal"/>
    <s v="Normal"/>
    <x v="0"/>
  </r>
  <r>
    <d v="2022-06-29T00:00:00"/>
    <n v="23.9"/>
    <n v="21.1"/>
    <n v="29.5"/>
    <n v="0"/>
    <s v="Normal"/>
    <s v="Normal"/>
    <s v="Normal"/>
    <s v="Normal"/>
    <x v="0"/>
  </r>
  <r>
    <d v="2022-06-30T00:00:00"/>
    <n v="23.2"/>
    <n v="20.5"/>
    <n v="29.5"/>
    <n v="5.8"/>
    <s v="Normal"/>
    <s v="Normal"/>
    <s v="Normal"/>
    <s v="Normal"/>
    <x v="0"/>
  </r>
  <r>
    <d v="2022-07-01T00:00:00"/>
    <n v="23.6"/>
    <n v="20.5"/>
    <n v="28.7"/>
    <n v="3.6"/>
    <s v="Normal"/>
    <s v="Normal"/>
    <s v="Normal"/>
    <s v="Normal"/>
    <x v="0"/>
  </r>
  <r>
    <d v="2022-07-02T00:00:00"/>
    <n v="24.1"/>
    <n v="20.9"/>
    <n v="28.7"/>
    <n v="0"/>
    <s v="Normal"/>
    <s v="Normal"/>
    <s v="Normal"/>
    <s v="Normal"/>
    <x v="0"/>
  </r>
  <r>
    <d v="2022-07-03T00:00:00"/>
    <n v="23.5"/>
    <n v="21.1"/>
    <n v="28.5"/>
    <n v="0"/>
    <s v="Normal"/>
    <s v="Normal"/>
    <s v="Normal"/>
    <s v="Normal"/>
    <x v="0"/>
  </r>
  <r>
    <d v="2022-07-04T00:00:00"/>
    <n v="22.5"/>
    <n v="20.2"/>
    <n v="27"/>
    <n v="0"/>
    <s v="Normal"/>
    <s v="Normal"/>
    <s v="Normal"/>
    <s v="Normal"/>
    <x v="0"/>
  </r>
  <r>
    <d v="2022-07-05T00:00:00"/>
    <n v="22.9"/>
    <n v="20.100000000000001"/>
    <n v="26.5"/>
    <n v="2"/>
    <s v="Normal"/>
    <s v="Normal"/>
    <s v="Normal"/>
    <s v="Normal"/>
    <x v="0"/>
  </r>
  <r>
    <d v="2022-07-06T00:00:00"/>
    <n v="22.1"/>
    <n v="20.6"/>
    <n v="26.5"/>
    <n v="0.3"/>
    <s v="Normal"/>
    <s v="Normal"/>
    <s v="Normal"/>
    <s v="Normal"/>
    <x v="0"/>
  </r>
  <r>
    <d v="2022-07-07T00:00:00"/>
    <n v="21.4"/>
    <n v="19.7"/>
    <n v="25"/>
    <n v="1"/>
    <s v="Normal"/>
    <s v="Normal"/>
    <s v="Normal"/>
    <s v="Normal"/>
    <x v="0"/>
  </r>
  <r>
    <d v="2022-07-08T00:00:00"/>
    <n v="21.4"/>
    <n v="19.7"/>
    <n v="25.5"/>
    <n v="6.1"/>
    <s v="Normal"/>
    <s v="Normal"/>
    <s v="Normal"/>
    <s v="Normal"/>
    <x v="0"/>
  </r>
  <r>
    <d v="2022-07-09T00:00:00"/>
    <n v="21.7"/>
    <n v="19.8"/>
    <n v="25.5"/>
    <n v="7.1"/>
    <s v="Normal"/>
    <s v="Normal"/>
    <s v="Normal"/>
    <s v="Normal"/>
    <x v="0"/>
  </r>
  <r>
    <d v="2022-07-11T00:00:00"/>
    <n v="21.7"/>
    <n v="20.2"/>
    <n v="26.2"/>
    <n v="0.8"/>
    <s v="Normal"/>
    <s v="Normal"/>
    <s v="Normal"/>
    <s v="Normal"/>
    <x v="0"/>
  </r>
  <r>
    <d v="2022-07-12T00:00:00"/>
    <n v="23.2"/>
    <n v="19.8"/>
    <n v="27.5"/>
    <n v="4.5999999999999996"/>
    <s v="Normal"/>
    <s v="Normal"/>
    <s v="Normal"/>
    <s v="Normal"/>
    <x v="0"/>
  </r>
  <r>
    <d v="2022-07-13T00:00:00"/>
    <n v="21.6"/>
    <n v="19.7"/>
    <n v="27.5"/>
    <n v="1"/>
    <s v="Normal"/>
    <s v="Normal"/>
    <s v="Normal"/>
    <s v="Normal"/>
    <x v="0"/>
  </r>
  <r>
    <d v="2022-07-14T00:00:00"/>
    <n v="21.2"/>
    <n v="19.5"/>
    <n v="24.3"/>
    <n v="2"/>
    <s v="Normal"/>
    <s v="Normal"/>
    <s v="Normal"/>
    <s v="Normal"/>
    <x v="0"/>
  </r>
  <r>
    <d v="2022-07-15T00:00:00"/>
    <n v="22.3"/>
    <n v="19.5"/>
    <n v="25.6"/>
    <n v="2.2999999999999998"/>
    <s v="Normal"/>
    <s v="Normal"/>
    <s v="Normal"/>
    <s v="Normal"/>
    <x v="0"/>
  </r>
  <r>
    <d v="2022-07-16T00:00:00"/>
    <n v="22"/>
    <n v="20.100000000000001"/>
    <n v="25.6"/>
    <n v="0.5"/>
    <s v="Normal"/>
    <s v="Normal"/>
    <s v="Normal"/>
    <s v="Normal"/>
    <x v="0"/>
  </r>
  <r>
    <d v="2022-07-17T00:00:00"/>
    <n v="23.2"/>
    <n v="20.2"/>
    <n v="25.3"/>
    <n v="0"/>
    <s v="Normal"/>
    <s v="Normal"/>
    <s v="Normal"/>
    <s v="Normal"/>
    <x v="0"/>
  </r>
  <r>
    <d v="2022-07-18T00:00:00"/>
    <n v="22.6"/>
    <n v="20.9"/>
    <n v="27.5"/>
    <n v="0.3"/>
    <s v="Normal"/>
    <s v="Normal"/>
    <s v="Normal"/>
    <s v="Normal"/>
    <x v="0"/>
  </r>
  <r>
    <d v="2022-07-19T00:00:00"/>
    <n v="24.7"/>
    <n v="20.100000000000001"/>
    <n v="29.6"/>
    <n v="0.3"/>
    <s v="Normal"/>
    <s v="Normal"/>
    <s v="Normal"/>
    <s v="Normal"/>
    <x v="0"/>
  </r>
  <r>
    <d v="2022-07-20T00:00:00"/>
    <n v="24.9"/>
    <n v="19.8"/>
    <n v="30.8"/>
    <n v="0"/>
    <s v="Normal"/>
    <s v="Normal"/>
    <s v="Normal"/>
    <s v="Normal"/>
    <x v="0"/>
  </r>
  <r>
    <d v="2022-07-22T00:00:00"/>
    <n v="23.2"/>
    <n v="21.1"/>
    <n v="27.9"/>
    <n v="0"/>
    <s v="Normal"/>
    <s v="Normal"/>
    <s v="Normal"/>
    <s v="Normal"/>
    <x v="0"/>
  </r>
  <r>
    <d v="2022-07-23T00:00:00"/>
    <n v="23.1"/>
    <n v="20.9"/>
    <n v="26.7"/>
    <n v="0"/>
    <s v="Normal"/>
    <s v="Normal"/>
    <s v="Normal"/>
    <s v="Normal"/>
    <x v="0"/>
  </r>
  <r>
    <d v="2022-07-24T00:00:00"/>
    <n v="22.8"/>
    <n v="20"/>
    <n v="26.7"/>
    <n v="0.3"/>
    <s v="Normal"/>
    <s v="Normal"/>
    <s v="Normal"/>
    <s v="Normal"/>
    <x v="0"/>
  </r>
  <r>
    <d v="2022-07-25T00:00:00"/>
    <n v="24.1"/>
    <n v="20.2"/>
    <n v="28.5"/>
    <n v="0.5"/>
    <s v="Normal"/>
    <s v="Normal"/>
    <s v="Normal"/>
    <s v="Normal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4">
  <r>
    <d v="2017-01-26T00:00:00"/>
    <n v="21.9"/>
    <n v="18.3"/>
    <n v="29.2"/>
    <n v="0"/>
    <s v="Normal"/>
    <s v="Normal"/>
    <s v="Normal"/>
    <s v="Normal"/>
    <n v="2017"/>
    <x v="0"/>
  </r>
  <r>
    <d v="2017-01-27T00:00:00"/>
    <n v="22.1"/>
    <n v="19.7"/>
    <n v="26"/>
    <n v="0.3"/>
    <s v="Normal"/>
    <s v="Normal"/>
    <s v="Normal"/>
    <s v="Normal"/>
    <n v="2017"/>
    <x v="0"/>
  </r>
  <r>
    <d v="2017-01-28T00:00:00"/>
    <n v="22.7"/>
    <n v="20"/>
    <n v="26.7"/>
    <n v="0"/>
    <s v="Normal"/>
    <s v="Normal"/>
    <s v="Normal"/>
    <s v="Normal"/>
    <n v="2017"/>
    <x v="0"/>
  </r>
  <r>
    <d v="2017-01-29T00:00:00"/>
    <n v="23.7"/>
    <n v="19.2"/>
    <n v="29"/>
    <n v="0"/>
    <s v="Normal"/>
    <s v="Normal"/>
    <s v="Normal"/>
    <s v="Normal"/>
    <n v="2017"/>
    <x v="0"/>
  </r>
  <r>
    <d v="2017-03-07T00:00:00"/>
    <n v="26.2"/>
    <n v="21.5"/>
    <n v="33.1"/>
    <n v="8.4"/>
    <s v="Normal"/>
    <s v="Normal"/>
    <s v="Normal"/>
    <s v="Normal"/>
    <n v="2017"/>
    <x v="1"/>
  </r>
  <r>
    <d v="2017-03-09T00:00:00"/>
    <n v="26.7"/>
    <n v="21.2"/>
    <n v="32.1"/>
    <n v="0"/>
    <s v="Normal"/>
    <s v="Normal"/>
    <s v="Normal"/>
    <s v="Normal"/>
    <n v="2017"/>
    <x v="1"/>
  </r>
  <r>
    <d v="2017-03-11T00:00:00"/>
    <n v="27.2"/>
    <n v="21"/>
    <n v="33.5"/>
    <n v="0"/>
    <s v="Normal"/>
    <s v="Normal"/>
    <s v="Normal"/>
    <s v="Normal"/>
    <n v="2017"/>
    <x v="1"/>
  </r>
  <r>
    <d v="2017-03-14T00:00:00"/>
    <n v="25.1"/>
    <n v="22"/>
    <n v="34"/>
    <n v="0"/>
    <s v="Normal"/>
    <s v="Normal"/>
    <s v="Normal"/>
    <s v="Normal"/>
    <n v="2017"/>
    <x v="1"/>
  </r>
  <r>
    <d v="2017-03-15T00:00:00"/>
    <n v="25.3"/>
    <n v="20.8"/>
    <n v="30.4"/>
    <n v="0"/>
    <s v="Normal"/>
    <s v="Normal"/>
    <s v="Normal"/>
    <s v="Normal"/>
    <n v="2017"/>
    <x v="1"/>
  </r>
  <r>
    <d v="2017-04-05T00:00:00"/>
    <n v="27.3"/>
    <n v="21.2"/>
    <n v="36.1"/>
    <n v="0"/>
    <s v="Normal"/>
    <s v="Normal"/>
    <s v="Normal"/>
    <s v="Normal"/>
    <n v="2017"/>
    <x v="2"/>
  </r>
  <r>
    <d v="2017-04-06T00:00:00"/>
    <n v="27.8"/>
    <n v="22.4"/>
    <n v="35.5"/>
    <n v="3.6"/>
    <s v="Normal"/>
    <s v="Normal"/>
    <s v="Normal"/>
    <s v="Normal"/>
    <n v="2017"/>
    <x v="2"/>
  </r>
  <r>
    <d v="2017-04-17T00:00:00"/>
    <n v="25.7"/>
    <n v="22.2"/>
    <n v="36.200000000000003"/>
    <n v="0.5"/>
    <s v="Normal"/>
    <s v="Normal"/>
    <s v="Normal"/>
    <s v="Normal"/>
    <n v="2017"/>
    <x v="2"/>
  </r>
  <r>
    <d v="2017-04-20T00:00:00"/>
    <n v="26.6"/>
    <n v="22.8"/>
    <n v="35.700000000000003"/>
    <n v="0.3"/>
    <s v="Normal"/>
    <s v="Normal"/>
    <s v="Normal"/>
    <s v="Normal"/>
    <n v="2017"/>
    <x v="2"/>
  </r>
  <r>
    <d v="2017-04-21T00:00:00"/>
    <n v="26.8"/>
    <n v="21.7"/>
    <n v="35.200000000000003"/>
    <n v="1"/>
    <s v="Normal"/>
    <s v="Normal"/>
    <s v="Normal"/>
    <s v="Normal"/>
    <n v="2017"/>
    <x v="2"/>
  </r>
  <r>
    <d v="2017-04-29T00:00:00"/>
    <n v="25.6"/>
    <n v="21.8"/>
    <n v="35.299999999999997"/>
    <n v="1.3"/>
    <s v="Normal"/>
    <s v="Normal"/>
    <s v="Normal"/>
    <s v="Normal"/>
    <n v="2017"/>
    <x v="2"/>
  </r>
  <r>
    <d v="2017-04-30T00:00:00"/>
    <n v="28.3"/>
    <n v="20.100000000000001"/>
    <n v="35.6"/>
    <n v="6.1"/>
    <s v="Normal"/>
    <s v="Normal"/>
    <s v="Normal"/>
    <s v="Normal"/>
    <n v="2017"/>
    <x v="2"/>
  </r>
  <r>
    <d v="2017-05-01T00:00:00"/>
    <n v="26.8"/>
    <n v="20.5"/>
    <n v="35.6"/>
    <n v="1"/>
    <s v="Normal"/>
    <s v="Normal"/>
    <s v="Normal"/>
    <s v="Normal"/>
    <n v="2017"/>
    <x v="3"/>
  </r>
  <r>
    <d v="2017-05-02T00:00:00"/>
    <n v="27.6"/>
    <n v="22.3"/>
    <n v="35.1"/>
    <n v="0"/>
    <s v="Normal"/>
    <s v="Normal"/>
    <s v="Normal"/>
    <s v="Normal"/>
    <n v="2017"/>
    <x v="3"/>
  </r>
  <r>
    <d v="2017-05-03T00:00:00"/>
    <n v="28.1"/>
    <n v="23.3"/>
    <n v="34.200000000000003"/>
    <n v="0"/>
    <s v="Normal"/>
    <s v="Normal"/>
    <s v="Normal"/>
    <s v="Normal"/>
    <n v="2017"/>
    <x v="3"/>
  </r>
  <r>
    <d v="2017-05-07T00:00:00"/>
    <n v="27.3"/>
    <n v="20.9"/>
    <n v="35.799999999999997"/>
    <n v="0"/>
    <s v="Normal"/>
    <s v="Normal"/>
    <s v="Normal"/>
    <s v="Normal"/>
    <n v="2017"/>
    <x v="3"/>
  </r>
  <r>
    <d v="2017-05-09T00:00:00"/>
    <n v="26"/>
    <n v="21.9"/>
    <n v="33.200000000000003"/>
    <n v="0"/>
    <s v="Normal"/>
    <s v="Normal"/>
    <s v="Normal"/>
    <s v="Normal"/>
    <n v="2017"/>
    <x v="3"/>
  </r>
  <r>
    <d v="2017-05-10T00:00:00"/>
    <n v="27"/>
    <n v="21.5"/>
    <n v="33.200000000000003"/>
    <n v="0"/>
    <s v="Normal"/>
    <s v="Normal"/>
    <s v="Normal"/>
    <s v="Normal"/>
    <n v="2017"/>
    <x v="3"/>
  </r>
  <r>
    <d v="2017-05-11T00:00:00"/>
    <n v="26.9"/>
    <n v="22"/>
    <n v="34.4"/>
    <n v="0"/>
    <s v="Normal"/>
    <s v="Normal"/>
    <s v="Normal"/>
    <s v="Normal"/>
    <n v="2017"/>
    <x v="3"/>
  </r>
  <r>
    <d v="2017-05-12T00:00:00"/>
    <n v="27.6"/>
    <n v="23"/>
    <n v="32.5"/>
    <n v="1.8"/>
    <s v="Normal"/>
    <s v="Normal"/>
    <s v="Normal"/>
    <s v="Normal"/>
    <n v="2017"/>
    <x v="3"/>
  </r>
  <r>
    <d v="2017-05-15T00:00:00"/>
    <n v="27.1"/>
    <n v="21.8"/>
    <n v="35"/>
    <n v="2.5"/>
    <s v="Normal"/>
    <s v="Normal"/>
    <s v="Normal"/>
    <s v="Normal"/>
    <n v="2017"/>
    <x v="3"/>
  </r>
  <r>
    <d v="2017-05-18T00:00:00"/>
    <n v="26"/>
    <n v="19.8"/>
    <n v="34.5"/>
    <n v="9.9"/>
    <s v="Normal"/>
    <s v="Normal"/>
    <s v="Normal"/>
    <s v="Normal"/>
    <n v="2017"/>
    <x v="3"/>
  </r>
  <r>
    <d v="2017-05-20T00:00:00"/>
    <n v="26.8"/>
    <n v="20.9"/>
    <n v="34.4"/>
    <n v="0"/>
    <s v="Normal"/>
    <s v="Normal"/>
    <s v="Normal"/>
    <s v="Normal"/>
    <n v="2017"/>
    <x v="3"/>
  </r>
  <r>
    <d v="2017-05-22T00:00:00"/>
    <n v="25.7"/>
    <n v="23.2"/>
    <n v="32"/>
    <n v="0"/>
    <s v="Normal"/>
    <s v="Normal"/>
    <s v="Normal"/>
    <s v="Normal"/>
    <n v="2017"/>
    <x v="3"/>
  </r>
  <r>
    <d v="2017-05-25T00:00:00"/>
    <n v="27.6"/>
    <n v="21.9"/>
    <n v="34"/>
    <n v="0"/>
    <s v="Normal"/>
    <s v="Normal"/>
    <s v="Normal"/>
    <s v="Normal"/>
    <n v="2017"/>
    <x v="3"/>
  </r>
  <r>
    <d v="2017-05-26T00:00:00"/>
    <n v="26.2"/>
    <n v="20.9"/>
    <n v="33.299999999999997"/>
    <n v="0"/>
    <s v="Normal"/>
    <s v="Normal"/>
    <s v="Normal"/>
    <s v="Normal"/>
    <n v="2017"/>
    <x v="3"/>
  </r>
  <r>
    <d v="2017-05-29T00:00:00"/>
    <n v="25.5"/>
    <n v="21.3"/>
    <n v="29.7"/>
    <n v="0"/>
    <s v="Normal"/>
    <s v="Normal"/>
    <s v="Normal"/>
    <s v="Normal"/>
    <n v="2017"/>
    <x v="3"/>
  </r>
  <r>
    <d v="2017-05-31T00:00:00"/>
    <n v="24.9"/>
    <n v="20.8"/>
    <n v="31.2"/>
    <n v="0"/>
    <s v="Normal"/>
    <s v="Normal"/>
    <s v="Normal"/>
    <s v="Normal"/>
    <n v="2017"/>
    <x v="3"/>
  </r>
  <r>
    <d v="2017-06-06T00:00:00"/>
    <n v="25.8"/>
    <n v="21.8"/>
    <n v="32"/>
    <n v="0"/>
    <s v="Normal"/>
    <s v="Normal"/>
    <s v="Normal"/>
    <s v="Normal"/>
    <n v="2017"/>
    <x v="4"/>
  </r>
  <r>
    <d v="2017-06-07T00:00:00"/>
    <n v="23.9"/>
    <n v="21.7"/>
    <n v="31.2"/>
    <n v="0"/>
    <s v="Normal"/>
    <s v="Normal"/>
    <s v="Normal"/>
    <s v="Normal"/>
    <n v="2017"/>
    <x v="4"/>
  </r>
  <r>
    <d v="2017-06-08T00:00:00"/>
    <n v="25"/>
    <n v="21.5"/>
    <n v="28.9"/>
    <n v="0.8"/>
    <s v="Normal"/>
    <s v="Normal"/>
    <s v="Normal"/>
    <s v="Normal"/>
    <n v="2017"/>
    <x v="4"/>
  </r>
  <r>
    <d v="2017-06-09T00:00:00"/>
    <n v="23.3"/>
    <n v="21.1"/>
    <n v="29.6"/>
    <n v="0"/>
    <s v="Normal"/>
    <s v="Normal"/>
    <s v="Normal"/>
    <s v="Normal"/>
    <n v="2017"/>
    <x v="4"/>
  </r>
  <r>
    <d v="2017-06-10T00:00:00"/>
    <n v="23.9"/>
    <n v="20.7"/>
    <n v="28.1"/>
    <n v="8.6"/>
    <s v="Normal"/>
    <s v="Normal"/>
    <s v="Normal"/>
    <s v="Normal"/>
    <n v="2017"/>
    <x v="4"/>
  </r>
  <r>
    <d v="2017-06-11T00:00:00"/>
    <n v="23.4"/>
    <n v="20.8"/>
    <n v="27.9"/>
    <n v="0"/>
    <s v="Normal"/>
    <s v="Normal"/>
    <s v="Normal"/>
    <s v="Normal"/>
    <n v="2017"/>
    <x v="4"/>
  </r>
  <r>
    <d v="2017-06-12T00:00:00"/>
    <n v="22.3"/>
    <n v="20.2"/>
    <n v="28.3"/>
    <n v="1.8"/>
    <s v="Normal"/>
    <s v="Normal"/>
    <s v="Normal"/>
    <s v="Normal"/>
    <n v="2017"/>
    <x v="4"/>
  </r>
  <r>
    <d v="2017-06-13T00:00:00"/>
    <n v="24.2"/>
    <n v="20.7"/>
    <n v="29.2"/>
    <n v="1"/>
    <s v="Normal"/>
    <s v="Normal"/>
    <s v="Normal"/>
    <s v="Normal"/>
    <n v="2017"/>
    <x v="4"/>
  </r>
  <r>
    <d v="2017-06-14T00:00:00"/>
    <n v="25.8"/>
    <n v="22"/>
    <n v="30.9"/>
    <n v="1"/>
    <s v="Normal"/>
    <s v="Normal"/>
    <s v="Normal"/>
    <s v="Normal"/>
    <n v="2017"/>
    <x v="4"/>
  </r>
  <r>
    <d v="2017-06-15T00:00:00"/>
    <n v="25.1"/>
    <n v="21.5"/>
    <n v="31.2"/>
    <n v="0"/>
    <s v="Normal"/>
    <s v="Normal"/>
    <s v="Normal"/>
    <s v="Normal"/>
    <n v="2017"/>
    <x v="4"/>
  </r>
  <r>
    <d v="2017-06-18T00:00:00"/>
    <n v="23.8"/>
    <n v="20.2"/>
    <n v="29.3"/>
    <n v="0"/>
    <s v="Normal"/>
    <s v="Normal"/>
    <s v="Normal"/>
    <s v="Normal"/>
    <n v="2017"/>
    <x v="4"/>
  </r>
  <r>
    <d v="2017-06-19T00:00:00"/>
    <n v="23.4"/>
    <n v="20"/>
    <n v="29"/>
    <n v="3.6"/>
    <s v="Normal"/>
    <s v="Normal"/>
    <s v="Normal"/>
    <s v="Normal"/>
    <n v="2017"/>
    <x v="4"/>
  </r>
  <r>
    <d v="2017-06-20T00:00:00"/>
    <n v="24.1"/>
    <n v="21"/>
    <n v="28"/>
    <n v="0"/>
    <s v="Normal"/>
    <s v="Normal"/>
    <s v="Normal"/>
    <s v="Normal"/>
    <n v="2017"/>
    <x v="4"/>
  </r>
  <r>
    <d v="2017-06-21T00:00:00"/>
    <n v="24.6"/>
    <n v="20.8"/>
    <n v="29.8"/>
    <n v="0.3"/>
    <s v="Normal"/>
    <s v="Normal"/>
    <s v="Normal"/>
    <s v="Normal"/>
    <n v="2017"/>
    <x v="4"/>
  </r>
  <r>
    <d v="2017-06-22T00:00:00"/>
    <n v="24.4"/>
    <n v="20.5"/>
    <n v="29.5"/>
    <n v="0"/>
    <s v="Normal"/>
    <s v="Normal"/>
    <s v="Normal"/>
    <s v="Normal"/>
    <n v="2017"/>
    <x v="4"/>
  </r>
  <r>
    <d v="2017-06-23T00:00:00"/>
    <n v="24.9"/>
    <n v="19.399999999999999"/>
    <n v="30.6"/>
    <n v="0.8"/>
    <s v="Normal"/>
    <s v="Normal"/>
    <s v="Normal"/>
    <s v="Normal"/>
    <n v="2017"/>
    <x v="4"/>
  </r>
  <r>
    <d v="2017-06-24T00:00:00"/>
    <n v="24.4"/>
    <n v="21"/>
    <n v="30.5"/>
    <n v="0"/>
    <s v="Normal"/>
    <s v="Normal"/>
    <s v="Normal"/>
    <s v="Normal"/>
    <n v="2017"/>
    <x v="4"/>
  </r>
  <r>
    <d v="2017-06-25T00:00:00"/>
    <n v="23.8"/>
    <n v="20.6"/>
    <n v="29.4"/>
    <n v="0"/>
    <s v="Normal"/>
    <s v="Normal"/>
    <s v="Normal"/>
    <s v="Normal"/>
    <n v="2017"/>
    <x v="4"/>
  </r>
  <r>
    <d v="2017-06-26T00:00:00"/>
    <n v="24"/>
    <n v="20.399999999999999"/>
    <n v="29"/>
    <n v="0"/>
    <s v="Normal"/>
    <s v="Normal"/>
    <s v="Normal"/>
    <s v="Normal"/>
    <n v="2017"/>
    <x v="4"/>
  </r>
  <r>
    <d v="2017-06-27T00:00:00"/>
    <n v="23.6"/>
    <n v="20.399999999999999"/>
    <n v="30.6"/>
    <n v="0"/>
    <s v="Normal"/>
    <s v="Normal"/>
    <s v="Normal"/>
    <s v="Normal"/>
    <n v="2017"/>
    <x v="4"/>
  </r>
  <r>
    <d v="2017-06-28T00:00:00"/>
    <n v="24.3"/>
    <n v="20.3"/>
    <n v="29.8"/>
    <n v="0"/>
    <s v="Normal"/>
    <s v="Normal"/>
    <s v="Normal"/>
    <s v="Normal"/>
    <n v="2017"/>
    <x v="4"/>
  </r>
  <r>
    <d v="2017-06-29T00:00:00"/>
    <n v="24.3"/>
    <n v="20.399999999999999"/>
    <n v="29.1"/>
    <n v="0"/>
    <s v="Normal"/>
    <s v="Normal"/>
    <s v="Normal"/>
    <s v="Normal"/>
    <n v="2017"/>
    <x v="4"/>
  </r>
  <r>
    <d v="2017-07-01T00:00:00"/>
    <n v="24.6"/>
    <n v="19.3"/>
    <n v="29.2"/>
    <n v="0"/>
    <s v="Normal"/>
    <s v="Normal"/>
    <s v="Normal"/>
    <s v="Normal"/>
    <n v="2017"/>
    <x v="5"/>
  </r>
  <r>
    <d v="2017-07-02T00:00:00"/>
    <n v="25.2"/>
    <n v="20.5"/>
    <n v="30.3"/>
    <n v="0"/>
    <s v="Normal"/>
    <s v="Normal"/>
    <s v="Normal"/>
    <s v="Normal"/>
    <n v="2017"/>
    <x v="5"/>
  </r>
  <r>
    <d v="2017-07-04T00:00:00"/>
    <n v="23.7"/>
    <n v="20.399999999999999"/>
    <n v="28.7"/>
    <n v="3.8"/>
    <s v="Normal"/>
    <s v="Normal"/>
    <s v="Normal"/>
    <s v="Normal"/>
    <n v="2017"/>
    <x v="5"/>
  </r>
  <r>
    <d v="2017-07-05T00:00:00"/>
    <n v="23.2"/>
    <n v="20"/>
    <n v="29.6"/>
    <n v="2.2999999999999998"/>
    <s v="Normal"/>
    <s v="Normal"/>
    <s v="Normal"/>
    <s v="Normal"/>
    <n v="2017"/>
    <x v="5"/>
  </r>
  <r>
    <d v="2017-07-06T00:00:00"/>
    <n v="23.7"/>
    <n v="20.2"/>
    <n v="29.2"/>
    <n v="10.199999999999999"/>
    <s v="Normal"/>
    <s v="Normal"/>
    <s v="Normal"/>
    <s v="Normal"/>
    <n v="2017"/>
    <x v="5"/>
  </r>
  <r>
    <d v="2017-07-07T00:00:00"/>
    <n v="23.2"/>
    <n v="20.5"/>
    <n v="29.3"/>
    <n v="5.0999999999999996"/>
    <s v="Normal"/>
    <s v="Normal"/>
    <s v="Normal"/>
    <s v="Normal"/>
    <n v="2017"/>
    <x v="5"/>
  </r>
  <r>
    <d v="2017-07-08T00:00:00"/>
    <n v="23.3"/>
    <n v="20.399999999999999"/>
    <n v="27.4"/>
    <n v="0"/>
    <s v="Normal"/>
    <s v="Normal"/>
    <s v="Normal"/>
    <s v="Normal"/>
    <n v="2017"/>
    <x v="5"/>
  </r>
  <r>
    <d v="2017-07-09T00:00:00"/>
    <n v="24.5"/>
    <n v="20.2"/>
    <n v="30.3"/>
    <n v="0"/>
    <s v="Normal"/>
    <s v="Normal"/>
    <s v="Normal"/>
    <s v="Normal"/>
    <n v="2017"/>
    <x v="5"/>
  </r>
  <r>
    <d v="2017-07-12T00:00:00"/>
    <n v="23.7"/>
    <n v="21"/>
    <n v="29.5"/>
    <n v="0"/>
    <s v="Normal"/>
    <s v="Normal"/>
    <s v="Normal"/>
    <s v="Normal"/>
    <n v="2017"/>
    <x v="5"/>
  </r>
  <r>
    <d v="2017-07-13T00:00:00"/>
    <n v="22.8"/>
    <n v="20"/>
    <n v="28.5"/>
    <n v="1.5"/>
    <s v="Normal"/>
    <s v="Normal"/>
    <s v="Normal"/>
    <s v="Normal"/>
    <n v="2017"/>
    <x v="5"/>
  </r>
  <r>
    <d v="2017-07-14T00:00:00"/>
    <n v="22.9"/>
    <n v="20"/>
    <n v="25.9"/>
    <n v="0"/>
    <s v="Normal"/>
    <s v="Normal"/>
    <s v="Normal"/>
    <s v="Normal"/>
    <n v="2017"/>
    <x v="5"/>
  </r>
  <r>
    <d v="2017-07-15T00:00:00"/>
    <n v="22.2"/>
    <n v="20.2"/>
    <n v="27.2"/>
    <n v="0"/>
    <s v="Normal"/>
    <s v="Normal"/>
    <s v="Normal"/>
    <s v="Normal"/>
    <n v="2017"/>
    <x v="5"/>
  </r>
  <r>
    <d v="2017-07-16T00:00:00"/>
    <n v="23.2"/>
    <n v="19.7"/>
    <n v="28.4"/>
    <n v="0"/>
    <s v="Normal"/>
    <s v="Normal"/>
    <s v="Normal"/>
    <s v="Normal"/>
    <n v="2017"/>
    <x v="5"/>
  </r>
  <r>
    <d v="2017-07-17T00:00:00"/>
    <n v="23.8"/>
    <n v="20"/>
    <n v="28.8"/>
    <n v="0"/>
    <s v="Normal"/>
    <s v="Normal"/>
    <s v="Normal"/>
    <s v="Normal"/>
    <n v="2017"/>
    <x v="5"/>
  </r>
  <r>
    <d v="2017-07-18T00:00:00"/>
    <n v="22.8"/>
    <n v="20.7"/>
    <n v="28.3"/>
    <n v="0"/>
    <s v="Normal"/>
    <s v="Normal"/>
    <s v="Normal"/>
    <s v="Normal"/>
    <n v="2017"/>
    <x v="5"/>
  </r>
  <r>
    <d v="2017-07-19T00:00:00"/>
    <n v="22.2"/>
    <n v="20.6"/>
    <n v="26.6"/>
    <n v="0"/>
    <s v="Normal"/>
    <s v="Normal"/>
    <s v="Normal"/>
    <s v="Normal"/>
    <n v="2017"/>
    <x v="5"/>
  </r>
  <r>
    <d v="2017-07-20T00:00:00"/>
    <n v="23.6"/>
    <n v="20.6"/>
    <n v="29.1"/>
    <n v="9.4"/>
    <s v="Normal"/>
    <s v="Normal"/>
    <s v="Normal"/>
    <s v="Normal"/>
    <n v="2017"/>
    <x v="5"/>
  </r>
  <r>
    <d v="2017-07-21T00:00:00"/>
    <n v="23.8"/>
    <n v="19.7"/>
    <n v="28.7"/>
    <n v="0.8"/>
    <s v="Normal"/>
    <s v="Normal"/>
    <s v="Normal"/>
    <s v="Normal"/>
    <n v="2017"/>
    <x v="5"/>
  </r>
  <r>
    <d v="2017-07-22T00:00:00"/>
    <n v="24.8"/>
    <n v="20"/>
    <n v="30.8"/>
    <n v="0"/>
    <s v="Normal"/>
    <s v="Normal"/>
    <s v="Normal"/>
    <s v="Normal"/>
    <n v="2017"/>
    <x v="5"/>
  </r>
  <r>
    <d v="2017-07-25T00:00:00"/>
    <n v="25.2"/>
    <n v="20.5"/>
    <n v="30.3"/>
    <n v="0"/>
    <s v="Normal"/>
    <s v="Normal"/>
    <s v="Normal"/>
    <s v="Normal"/>
    <n v="2017"/>
    <x v="5"/>
  </r>
  <r>
    <d v="2017-07-26T00:00:00"/>
    <n v="25.4"/>
    <n v="20.5"/>
    <n v="30.5"/>
    <n v="0"/>
    <s v="Normal"/>
    <s v="Normal"/>
    <s v="Normal"/>
    <s v="Normal"/>
    <n v="2017"/>
    <x v="5"/>
  </r>
  <r>
    <d v="2017-07-30T00:00:00"/>
    <n v="25.2"/>
    <n v="21.3"/>
    <n v="30.7"/>
    <n v="0"/>
    <s v="Normal"/>
    <s v="Normal"/>
    <s v="Normal"/>
    <s v="Normal"/>
    <n v="2017"/>
    <x v="5"/>
  </r>
  <r>
    <d v="2017-07-31T00:00:00"/>
    <n v="24.9"/>
    <n v="22"/>
    <n v="30.7"/>
    <n v="1.3"/>
    <s v="Normal"/>
    <s v="Normal"/>
    <s v="Normal"/>
    <s v="Normal"/>
    <n v="2017"/>
    <x v="5"/>
  </r>
  <r>
    <d v="2017-08-01T00:00:00"/>
    <n v="25.2"/>
    <n v="21.4"/>
    <n v="30.5"/>
    <n v="8.4"/>
    <s v="Normal"/>
    <s v="Normal"/>
    <s v="Normal"/>
    <s v="Normal"/>
    <n v="2017"/>
    <x v="6"/>
  </r>
  <r>
    <d v="2017-08-02T00:00:00"/>
    <n v="25.1"/>
    <n v="21.6"/>
    <n v="31.5"/>
    <n v="1.8"/>
    <s v="Normal"/>
    <s v="Normal"/>
    <s v="Normal"/>
    <s v="Normal"/>
    <n v="2017"/>
    <x v="6"/>
  </r>
  <r>
    <d v="2017-08-03T00:00:00"/>
    <n v="24.3"/>
    <n v="20.3"/>
    <n v="31.2"/>
    <n v="0"/>
    <s v="Normal"/>
    <s v="Normal"/>
    <s v="Normal"/>
    <s v="Normal"/>
    <n v="2017"/>
    <x v="6"/>
  </r>
  <r>
    <d v="2017-08-04T00:00:00"/>
    <n v="23.8"/>
    <n v="20.3"/>
    <n v="29.5"/>
    <n v="0"/>
    <s v="Normal"/>
    <s v="Normal"/>
    <s v="Normal"/>
    <s v="Normal"/>
    <n v="2017"/>
    <x v="6"/>
  </r>
  <r>
    <d v="2017-08-05T00:00:00"/>
    <n v="24.4"/>
    <n v="21.3"/>
    <n v="29.5"/>
    <n v="0"/>
    <s v="Normal"/>
    <s v="Normal"/>
    <s v="Normal"/>
    <s v="Normal"/>
    <n v="2017"/>
    <x v="6"/>
  </r>
  <r>
    <d v="2017-08-06T00:00:00"/>
    <n v="24.8"/>
    <n v="21.3"/>
    <n v="29.5"/>
    <n v="0"/>
    <s v="Normal"/>
    <s v="Normal"/>
    <s v="Normal"/>
    <s v="Normal"/>
    <n v="2017"/>
    <x v="6"/>
  </r>
  <r>
    <d v="2017-08-07T00:00:00"/>
    <n v="25.7"/>
    <n v="21.2"/>
    <n v="30.2"/>
    <n v="0"/>
    <s v="Normal"/>
    <s v="Normal"/>
    <s v="Normal"/>
    <s v="Normal"/>
    <n v="2017"/>
    <x v="6"/>
  </r>
  <r>
    <d v="2017-08-09T00:00:00"/>
    <n v="23.7"/>
    <n v="21.9"/>
    <n v="31.3"/>
    <n v="1"/>
    <s v="Normal"/>
    <s v="Normal"/>
    <s v="Normal"/>
    <s v="Normal"/>
    <n v="2017"/>
    <x v="6"/>
  </r>
  <r>
    <d v="2017-08-11T00:00:00"/>
    <n v="23.5"/>
    <n v="19.8"/>
    <n v="28"/>
    <n v="4.0999999999999996"/>
    <s v="Normal"/>
    <s v="Normal"/>
    <s v="Normal"/>
    <s v="Normal"/>
    <n v="2017"/>
    <x v="6"/>
  </r>
  <r>
    <d v="2017-08-13T00:00:00"/>
    <n v="23.3"/>
    <n v="21.2"/>
    <n v="27.6"/>
    <n v="0"/>
    <s v="Normal"/>
    <s v="Normal"/>
    <s v="Normal"/>
    <s v="Normal"/>
    <n v="2017"/>
    <x v="6"/>
  </r>
  <r>
    <d v="2017-08-14T00:00:00"/>
    <n v="24.7"/>
    <n v="21.6"/>
    <n v="28.8"/>
    <n v="0"/>
    <s v="Normal"/>
    <s v="Normal"/>
    <s v="Normal"/>
    <s v="Normal"/>
    <n v="2017"/>
    <x v="6"/>
  </r>
  <r>
    <d v="2017-08-18T00:00:00"/>
    <n v="23.2"/>
    <n v="20.399999999999999"/>
    <n v="29.2"/>
    <n v="7.9"/>
    <s v="Normal"/>
    <s v="Normal"/>
    <s v="Normal"/>
    <s v="Normal"/>
    <n v="2017"/>
    <x v="6"/>
  </r>
  <r>
    <d v="2017-08-19T00:00:00"/>
    <n v="22.6"/>
    <n v="20.3"/>
    <n v="28.9"/>
    <n v="5.3"/>
    <s v="Normal"/>
    <s v="Normal"/>
    <s v="Normal"/>
    <s v="Normal"/>
    <n v="2017"/>
    <x v="6"/>
  </r>
  <r>
    <d v="2017-08-21T00:00:00"/>
    <n v="23.6"/>
    <n v="20.3"/>
    <n v="28.8"/>
    <n v="3.3"/>
    <s v="Normal"/>
    <s v="Normal"/>
    <s v="Normal"/>
    <s v="Normal"/>
    <n v="2017"/>
    <x v="6"/>
  </r>
  <r>
    <d v="2017-08-22T00:00:00"/>
    <n v="23.4"/>
    <n v="20.2"/>
    <n v="28"/>
    <n v="0"/>
    <s v="Normal"/>
    <s v="Normal"/>
    <s v="Normal"/>
    <s v="Normal"/>
    <n v="2017"/>
    <x v="6"/>
  </r>
  <r>
    <d v="2017-08-26T00:00:00"/>
    <n v="23.8"/>
    <n v="20.8"/>
    <n v="29.8"/>
    <n v="0.3"/>
    <s v="Normal"/>
    <s v="Normal"/>
    <s v="Normal"/>
    <s v="Normal"/>
    <n v="2017"/>
    <x v="6"/>
  </r>
  <r>
    <d v="2017-08-27T00:00:00"/>
    <n v="22.3"/>
    <n v="21"/>
    <n v="28.5"/>
    <n v="0.3"/>
    <s v="Normal"/>
    <s v="Normal"/>
    <s v="Normal"/>
    <s v="Normal"/>
    <n v="2017"/>
    <x v="6"/>
  </r>
  <r>
    <d v="2017-08-28T00:00:00"/>
    <n v="22.8"/>
    <n v="20.5"/>
    <n v="26.5"/>
    <n v="6.1"/>
    <s v="Normal"/>
    <s v="Normal"/>
    <s v="Normal"/>
    <s v="Normal"/>
    <n v="2017"/>
    <x v="6"/>
  </r>
  <r>
    <d v="2017-08-29T00:00:00"/>
    <n v="22.4"/>
    <n v="20.5"/>
    <n v="26.2"/>
    <n v="0"/>
    <s v="Normal"/>
    <s v="Normal"/>
    <s v="Normal"/>
    <s v="Normal"/>
    <n v="2017"/>
    <x v="6"/>
  </r>
  <r>
    <d v="2017-08-30T00:00:00"/>
    <n v="24.5"/>
    <n v="21.1"/>
    <n v="29.7"/>
    <n v="0"/>
    <s v="Normal"/>
    <s v="Normal"/>
    <s v="Normal"/>
    <s v="Normal"/>
    <n v="2017"/>
    <x v="6"/>
  </r>
  <r>
    <d v="2017-08-31T00:00:00"/>
    <n v="24.8"/>
    <n v="21"/>
    <n v="29.9"/>
    <n v="0"/>
    <s v="Normal"/>
    <s v="Normal"/>
    <s v="Normal"/>
    <s v="Normal"/>
    <n v="2017"/>
    <x v="6"/>
  </r>
  <r>
    <d v="2017-09-05T00:00:00"/>
    <n v="24.8"/>
    <n v="19.899999999999999"/>
    <n v="30.2"/>
    <n v="2.5"/>
    <s v="Normal"/>
    <s v="Normal"/>
    <s v="Normal"/>
    <s v="Normal"/>
    <n v="2017"/>
    <x v="7"/>
  </r>
  <r>
    <d v="2017-09-07T00:00:00"/>
    <n v="24.1"/>
    <n v="21.3"/>
    <n v="28.5"/>
    <n v="6.6"/>
    <s v="Normal"/>
    <s v="Normal"/>
    <s v="Normal"/>
    <s v="Normal"/>
    <n v="2017"/>
    <x v="7"/>
  </r>
  <r>
    <d v="2017-09-08T00:00:00"/>
    <n v="23.2"/>
    <n v="19.8"/>
    <n v="29.3"/>
    <n v="1.3"/>
    <s v="Normal"/>
    <s v="Normal"/>
    <s v="Normal"/>
    <s v="Normal"/>
    <n v="2017"/>
    <x v="7"/>
  </r>
  <r>
    <d v="2017-09-11T00:00:00"/>
    <n v="24.8"/>
    <n v="21.9"/>
    <n v="27.8"/>
    <n v="0"/>
    <s v="Normal"/>
    <s v="Normal"/>
    <s v="Normal"/>
    <s v="Normal"/>
    <n v="2017"/>
    <x v="7"/>
  </r>
  <r>
    <d v="2017-09-15T00:00:00"/>
    <n v="23.7"/>
    <n v="21"/>
    <n v="31.1"/>
    <n v="2.2999999999999998"/>
    <s v="Normal"/>
    <s v="Normal"/>
    <s v="Normal"/>
    <s v="Normal"/>
    <n v="2017"/>
    <x v="7"/>
  </r>
  <r>
    <d v="2017-09-16T00:00:00"/>
    <n v="23.7"/>
    <n v="20.8"/>
    <n v="29.4"/>
    <n v="0"/>
    <s v="Normal"/>
    <s v="Normal"/>
    <s v="Normal"/>
    <s v="Normal"/>
    <n v="2017"/>
    <x v="7"/>
  </r>
  <r>
    <d v="2017-09-18T00:00:00"/>
    <n v="22.6"/>
    <n v="19.3"/>
    <n v="27.3"/>
    <n v="0.5"/>
    <s v="Normal"/>
    <s v="Normal"/>
    <s v="Normal"/>
    <s v="Normal"/>
    <n v="2017"/>
    <x v="7"/>
  </r>
  <r>
    <d v="2017-09-19T00:00:00"/>
    <n v="23.1"/>
    <n v="20.399999999999999"/>
    <n v="28.3"/>
    <n v="0"/>
    <s v="Normal"/>
    <s v="Normal"/>
    <s v="Normal"/>
    <s v="Normal"/>
    <n v="2017"/>
    <x v="7"/>
  </r>
  <r>
    <d v="2017-09-20T00:00:00"/>
    <n v="23.2"/>
    <n v="19.399999999999999"/>
    <n v="28.8"/>
    <n v="0"/>
    <s v="Normal"/>
    <s v="Normal"/>
    <s v="Normal"/>
    <s v="Normal"/>
    <n v="2017"/>
    <x v="7"/>
  </r>
  <r>
    <d v="2017-09-22T00:00:00"/>
    <n v="24.3"/>
    <n v="20.5"/>
    <n v="28.4"/>
    <n v="0"/>
    <s v="Normal"/>
    <s v="Normal"/>
    <s v="Normal"/>
    <s v="Normal"/>
    <n v="2017"/>
    <x v="7"/>
  </r>
  <r>
    <d v="2017-09-23T00:00:00"/>
    <n v="25.6"/>
    <n v="20.6"/>
    <n v="29.4"/>
    <n v="0"/>
    <s v="Normal"/>
    <s v="Normal"/>
    <s v="Normal"/>
    <s v="Normal"/>
    <n v="2017"/>
    <x v="7"/>
  </r>
  <r>
    <d v="2017-09-24T00:00:00"/>
    <n v="24.2"/>
    <n v="20.9"/>
    <n v="30.5"/>
    <n v="0"/>
    <s v="Normal"/>
    <s v="Normal"/>
    <s v="Normal"/>
    <s v="Normal"/>
    <n v="2017"/>
    <x v="7"/>
  </r>
  <r>
    <d v="2017-09-26T00:00:00"/>
    <n v="23.8"/>
    <n v="19.8"/>
    <n v="27.6"/>
    <n v="9.1"/>
    <s v="Normal"/>
    <s v="Normal"/>
    <s v="Normal"/>
    <s v="Normal"/>
    <n v="2017"/>
    <x v="7"/>
  </r>
  <r>
    <d v="2017-09-28T00:00:00"/>
    <n v="22.5"/>
    <n v="19.399999999999999"/>
    <n v="26.8"/>
    <n v="1.8"/>
    <s v="Normal"/>
    <s v="Normal"/>
    <s v="Normal"/>
    <s v="Normal"/>
    <n v="2017"/>
    <x v="7"/>
  </r>
  <r>
    <d v="2017-09-29T00:00:00"/>
    <n v="22.7"/>
    <n v="20.3"/>
    <n v="26.2"/>
    <n v="0.5"/>
    <s v="Normal"/>
    <s v="Normal"/>
    <s v="Normal"/>
    <s v="Normal"/>
    <n v="2017"/>
    <x v="7"/>
  </r>
  <r>
    <d v="2017-10-01T00:00:00"/>
    <n v="23.1"/>
    <n v="20.3"/>
    <n v="28.6"/>
    <n v="0.5"/>
    <s v="Normal"/>
    <s v="Normal"/>
    <s v="Normal"/>
    <s v="Normal"/>
    <n v="2017"/>
    <x v="8"/>
  </r>
  <r>
    <d v="2017-10-03T00:00:00"/>
    <n v="24.9"/>
    <n v="20.6"/>
    <n v="28.8"/>
    <n v="0"/>
    <s v="Normal"/>
    <s v="Normal"/>
    <s v="Normal"/>
    <s v="Normal"/>
    <n v="2017"/>
    <x v="8"/>
  </r>
  <r>
    <d v="2017-10-04T00:00:00"/>
    <n v="24.3"/>
    <n v="20.5"/>
    <n v="29.3"/>
    <n v="0"/>
    <s v="Normal"/>
    <s v="Normal"/>
    <s v="Normal"/>
    <s v="Normal"/>
    <n v="2017"/>
    <x v="8"/>
  </r>
  <r>
    <d v="2017-10-09T00:00:00"/>
    <n v="24.8"/>
    <n v="21.5"/>
    <n v="29"/>
    <n v="2"/>
    <s v="Normal"/>
    <s v="Normal"/>
    <s v="Normal"/>
    <s v="Normal"/>
    <n v="2017"/>
    <x v="8"/>
  </r>
  <r>
    <d v="2017-10-10T00:00:00"/>
    <n v="24.5"/>
    <n v="19.600000000000001"/>
    <n v="29.3"/>
    <n v="9.1"/>
    <s v="Normal"/>
    <s v="Normal"/>
    <s v="Normal"/>
    <s v="Normal"/>
    <n v="2017"/>
    <x v="8"/>
  </r>
  <r>
    <d v="2017-10-11T00:00:00"/>
    <n v="23.8"/>
    <n v="20.2"/>
    <n v="29.9"/>
    <n v="5.3"/>
    <s v="Normal"/>
    <s v="Normal"/>
    <s v="Normal"/>
    <s v="Normal"/>
    <n v="2017"/>
    <x v="8"/>
  </r>
  <r>
    <d v="2017-10-16T00:00:00"/>
    <n v="22.4"/>
    <n v="19.8"/>
    <n v="26"/>
    <n v="0"/>
    <s v="Normal"/>
    <s v="Normal"/>
    <s v="Normal"/>
    <s v="Normal"/>
    <n v="2017"/>
    <x v="8"/>
  </r>
  <r>
    <d v="2017-10-17T00:00:00"/>
    <n v="23.1"/>
    <n v="20.9"/>
    <n v="26.8"/>
    <n v="0"/>
    <s v="Normal"/>
    <s v="Normal"/>
    <s v="Normal"/>
    <s v="Normal"/>
    <n v="2017"/>
    <x v="8"/>
  </r>
  <r>
    <d v="2017-10-19T00:00:00"/>
    <n v="23.7"/>
    <n v="20.100000000000001"/>
    <n v="29.8"/>
    <n v="0"/>
    <s v="Normal"/>
    <s v="Normal"/>
    <s v="Normal"/>
    <s v="Normal"/>
    <n v="2017"/>
    <x v="8"/>
  </r>
  <r>
    <d v="2017-10-27T00:00:00"/>
    <n v="23.9"/>
    <n v="20.2"/>
    <n v="28.1"/>
    <n v="0"/>
    <s v="Normal"/>
    <s v="Normal"/>
    <s v="Normal"/>
    <s v="Normal"/>
    <n v="2017"/>
    <x v="8"/>
  </r>
  <r>
    <d v="2017-10-28T00:00:00"/>
    <n v="23.9"/>
    <n v="19.8"/>
    <n v="30"/>
    <n v="0"/>
    <s v="Normal"/>
    <s v="Normal"/>
    <s v="Normal"/>
    <s v="Normal"/>
    <n v="2017"/>
    <x v="8"/>
  </r>
  <r>
    <d v="2017-10-31T00:00:00"/>
    <n v="22.2"/>
    <n v="19.399999999999999"/>
    <n v="26.7"/>
    <n v="0"/>
    <s v="Normal"/>
    <s v="Normal"/>
    <s v="Normal"/>
    <s v="Normal"/>
    <n v="2017"/>
    <x v="8"/>
  </r>
  <r>
    <d v="2017-11-01T00:00:00"/>
    <n v="21.7"/>
    <n v="19.899999999999999"/>
    <n v="25"/>
    <n v="0"/>
    <s v="Normal"/>
    <s v="Normal"/>
    <s v="Normal"/>
    <s v="Normal"/>
    <n v="2017"/>
    <x v="9"/>
  </r>
  <r>
    <d v="2017-11-02T00:00:00"/>
    <n v="22.9"/>
    <n v="18.8"/>
    <n v="26.8"/>
    <n v="0.3"/>
    <s v="Normal"/>
    <s v="Normal"/>
    <s v="Normal"/>
    <s v="Normal"/>
    <n v="2017"/>
    <x v="9"/>
  </r>
  <r>
    <d v="2017-11-03T00:00:00"/>
    <n v="23.2"/>
    <n v="19.3"/>
    <n v="27.8"/>
    <n v="0"/>
    <s v="Normal"/>
    <s v="Normal"/>
    <s v="Normal"/>
    <s v="Normal"/>
    <n v="2017"/>
    <x v="9"/>
  </r>
  <r>
    <d v="2017-11-05T00:00:00"/>
    <n v="21.5"/>
    <n v="19.3"/>
    <n v="25.6"/>
    <n v="2"/>
    <s v="Normal"/>
    <s v="Normal"/>
    <s v="Normal"/>
    <s v="Normal"/>
    <n v="2017"/>
    <x v="9"/>
  </r>
  <r>
    <d v="2017-11-06T00:00:00"/>
    <n v="21.7"/>
    <n v="19.7"/>
    <n v="25.4"/>
    <n v="3.3"/>
    <s v="Normal"/>
    <s v="Normal"/>
    <s v="Normal"/>
    <s v="Normal"/>
    <n v="2017"/>
    <x v="9"/>
  </r>
  <r>
    <d v="2017-11-07T00:00:00"/>
    <n v="21.5"/>
    <n v="18.899999999999999"/>
    <n v="25.6"/>
    <n v="1.5"/>
    <s v="Normal"/>
    <s v="Normal"/>
    <s v="Normal"/>
    <s v="Normal"/>
    <n v="2017"/>
    <x v="9"/>
  </r>
  <r>
    <d v="2017-11-09T00:00:00"/>
    <n v="22.5"/>
    <n v="18.600000000000001"/>
    <n v="27"/>
    <n v="0"/>
    <s v="Normal"/>
    <s v="Normal"/>
    <s v="Normal"/>
    <s v="Normal"/>
    <n v="2017"/>
    <x v="9"/>
  </r>
  <r>
    <d v="2017-11-17T00:00:00"/>
    <n v="23.8"/>
    <n v="21.3"/>
    <n v="29.2"/>
    <n v="0"/>
    <s v="Normal"/>
    <s v="Normal"/>
    <s v="Normal"/>
    <s v="Normal"/>
    <n v="2017"/>
    <x v="9"/>
  </r>
  <r>
    <d v="2017-11-30T00:00:00"/>
    <n v="21.3"/>
    <n v="19.3"/>
    <n v="27.6"/>
    <n v="0"/>
    <s v="Normal"/>
    <s v="Normal"/>
    <s v="Normal"/>
    <s v="Normal"/>
    <n v="2017"/>
    <x v="9"/>
  </r>
  <r>
    <d v="2017-12-03T00:00:00"/>
    <n v="20.8"/>
    <n v="18.3"/>
    <n v="24.2"/>
    <n v="0"/>
    <s v="Normal"/>
    <s v="Normal"/>
    <s v="Normal"/>
    <s v="Normal"/>
    <n v="2017"/>
    <x v="10"/>
  </r>
  <r>
    <d v="2017-12-13T00:00:00"/>
    <n v="22.7"/>
    <n v="18.100000000000001"/>
    <n v="28.1"/>
    <n v="0"/>
    <s v="Normal"/>
    <s v="Normal"/>
    <s v="Normal"/>
    <s v="Normal"/>
    <n v="2017"/>
    <x v="10"/>
  </r>
  <r>
    <d v="2018-02-08T00:00:00"/>
    <n v="23.3"/>
    <n v="19.2"/>
    <n v="30"/>
    <n v="1.5"/>
    <s v="Normal"/>
    <s v="Normal"/>
    <s v="Normal"/>
    <s v="Normal"/>
    <n v="2018"/>
    <x v="11"/>
  </r>
  <r>
    <d v="2018-02-09T00:00:00"/>
    <n v="24.4"/>
    <n v="19.7"/>
    <n v="30.6"/>
    <n v="0"/>
    <s v="Normal"/>
    <s v="Normal"/>
    <s v="Normal"/>
    <s v="Normal"/>
    <n v="2018"/>
    <x v="11"/>
  </r>
  <r>
    <d v="2018-02-10T00:00:00"/>
    <n v="24.2"/>
    <n v="19.7"/>
    <n v="31.6"/>
    <n v="1.5"/>
    <s v="Normal"/>
    <s v="Normal"/>
    <s v="Normal"/>
    <s v="Normal"/>
    <n v="2018"/>
    <x v="11"/>
  </r>
  <r>
    <d v="2018-02-11T00:00:00"/>
    <n v="24"/>
    <n v="17.7"/>
    <n v="30.7"/>
    <n v="0"/>
    <s v="Normal"/>
    <s v="Normal"/>
    <s v="Normal"/>
    <s v="Normal"/>
    <n v="2018"/>
    <x v="11"/>
  </r>
  <r>
    <d v="2018-03-14T00:00:00"/>
    <n v="26.5"/>
    <n v="22.4"/>
    <n v="31.6"/>
    <n v="0"/>
    <s v="Normal"/>
    <s v="Normal"/>
    <s v="Normal"/>
    <s v="Normal"/>
    <n v="2018"/>
    <x v="1"/>
  </r>
  <r>
    <d v="2018-03-15T00:00:00"/>
    <n v="25.8"/>
    <n v="21.9"/>
    <n v="32.1"/>
    <n v="0"/>
    <s v="Normal"/>
    <s v="Normal"/>
    <s v="Normal"/>
    <s v="Normal"/>
    <n v="2018"/>
    <x v="1"/>
  </r>
  <r>
    <d v="2018-03-17T00:00:00"/>
    <n v="23.7"/>
    <n v="18.899999999999999"/>
    <n v="32"/>
    <n v="0"/>
    <s v="Normal"/>
    <s v="Normal"/>
    <s v="Normal"/>
    <s v="Normal"/>
    <n v="2018"/>
    <x v="1"/>
  </r>
  <r>
    <d v="2018-03-18T00:00:00"/>
    <n v="24.7"/>
    <n v="20.3"/>
    <n v="29.1"/>
    <n v="0"/>
    <s v="Normal"/>
    <s v="Normal"/>
    <s v="Normal"/>
    <s v="Normal"/>
    <n v="2018"/>
    <x v="1"/>
  </r>
  <r>
    <d v="2018-03-30T00:00:00"/>
    <n v="25.7"/>
    <n v="21.4"/>
    <n v="34"/>
    <n v="0"/>
    <s v="Normal"/>
    <s v="Normal"/>
    <s v="Normal"/>
    <s v="Normal"/>
    <n v="2018"/>
    <x v="1"/>
  </r>
  <r>
    <d v="2018-03-31T00:00:00"/>
    <n v="25.9"/>
    <n v="21.1"/>
    <n v="34.799999999999997"/>
    <n v="3.3"/>
    <s v="Normal"/>
    <s v="Normal"/>
    <s v="Normal"/>
    <s v="Normal"/>
    <n v="2018"/>
    <x v="1"/>
  </r>
  <r>
    <d v="2018-04-01T00:00:00"/>
    <n v="27.6"/>
    <n v="21.2"/>
    <n v="33.200000000000003"/>
    <n v="0"/>
    <s v="Normal"/>
    <s v="Normal"/>
    <s v="Normal"/>
    <s v="Normal"/>
    <n v="2018"/>
    <x v="2"/>
  </r>
  <r>
    <d v="2018-04-04T00:00:00"/>
    <n v="26.2"/>
    <n v="21.4"/>
    <n v="31.5"/>
    <n v="0"/>
    <s v="Normal"/>
    <s v="Normal"/>
    <s v="Normal"/>
    <s v="Normal"/>
    <n v="2018"/>
    <x v="2"/>
  </r>
  <r>
    <d v="2018-04-23T00:00:00"/>
    <n v="27.2"/>
    <n v="22"/>
    <n v="33.799999999999997"/>
    <n v="4.8"/>
    <s v="Normal"/>
    <s v="Normal"/>
    <s v="Normal"/>
    <s v="Normal"/>
    <n v="2018"/>
    <x v="2"/>
  </r>
  <r>
    <d v="2018-04-24T00:00:00"/>
    <n v="25.1"/>
    <n v="22.4"/>
    <n v="34.200000000000003"/>
    <n v="0"/>
    <s v="Normal"/>
    <s v="Normal"/>
    <s v="Normal"/>
    <s v="Normal"/>
    <n v="2018"/>
    <x v="2"/>
  </r>
  <r>
    <d v="2018-04-25T00:00:00"/>
    <n v="26.6"/>
    <n v="22.2"/>
    <n v="34"/>
    <n v="3.8"/>
    <s v="Normal"/>
    <s v="Normal"/>
    <s v="Normal"/>
    <s v="Normal"/>
    <n v="2018"/>
    <x v="2"/>
  </r>
  <r>
    <d v="2018-04-26T00:00:00"/>
    <n v="27.2"/>
    <n v="22.8"/>
    <n v="34.4"/>
    <n v="0.5"/>
    <s v="Normal"/>
    <s v="Normal"/>
    <s v="Normal"/>
    <s v="Normal"/>
    <n v="2018"/>
    <x v="2"/>
  </r>
  <r>
    <d v="2018-04-27T00:00:00"/>
    <n v="28.3"/>
    <n v="22"/>
    <n v="34.700000000000003"/>
    <n v="0.5"/>
    <s v="Normal"/>
    <s v="Normal"/>
    <s v="Normal"/>
    <s v="Normal"/>
    <n v="2018"/>
    <x v="2"/>
  </r>
  <r>
    <d v="2018-04-28T00:00:00"/>
    <n v="27.7"/>
    <n v="22.5"/>
    <n v="34.200000000000003"/>
    <n v="0"/>
    <s v="Normal"/>
    <s v="Normal"/>
    <s v="Normal"/>
    <s v="Normal"/>
    <n v="2018"/>
    <x v="2"/>
  </r>
  <r>
    <d v="2018-04-30T00:00:00"/>
    <n v="27"/>
    <n v="23.2"/>
    <n v="34.9"/>
    <n v="0.3"/>
    <s v="Normal"/>
    <s v="Normal"/>
    <s v="Normal"/>
    <s v="Normal"/>
    <n v="2018"/>
    <x v="2"/>
  </r>
  <r>
    <d v="2018-05-01T00:00:00"/>
    <n v="26.9"/>
    <n v="21.4"/>
    <n v="35.200000000000003"/>
    <n v="5.6"/>
    <s v="Normal"/>
    <s v="Normal"/>
    <s v="Normal"/>
    <s v="Normal"/>
    <n v="2018"/>
    <x v="3"/>
  </r>
  <r>
    <d v="2018-05-02T00:00:00"/>
    <n v="26.5"/>
    <n v="23.3"/>
    <n v="33"/>
    <n v="0"/>
    <s v="Normal"/>
    <s v="Normal"/>
    <s v="Normal"/>
    <s v="Normal"/>
    <n v="2018"/>
    <x v="3"/>
  </r>
  <r>
    <d v="2018-05-03T00:00:00"/>
    <n v="25.9"/>
    <n v="18.899999999999999"/>
    <n v="34"/>
    <n v="0.8"/>
    <s v="Normal"/>
    <s v="Normal"/>
    <s v="Normal"/>
    <s v="Normal"/>
    <n v="2018"/>
    <x v="3"/>
  </r>
  <r>
    <d v="2018-05-05T00:00:00"/>
    <n v="27"/>
    <n v="23.1"/>
    <n v="32"/>
    <n v="0"/>
    <s v="Normal"/>
    <s v="Normal"/>
    <s v="Normal"/>
    <s v="Normal"/>
    <n v="2018"/>
    <x v="3"/>
  </r>
  <r>
    <d v="2018-05-09T00:00:00"/>
    <n v="27.2"/>
    <n v="21.8"/>
    <n v="32.799999999999997"/>
    <n v="0"/>
    <s v="Normal"/>
    <s v="Normal"/>
    <s v="Normal"/>
    <s v="Normal"/>
    <n v="2018"/>
    <x v="3"/>
  </r>
  <r>
    <d v="2018-05-13T00:00:00"/>
    <n v="24.9"/>
    <n v="20.8"/>
    <n v="32"/>
    <n v="0"/>
    <s v="Normal"/>
    <s v="Normal"/>
    <s v="Normal"/>
    <s v="Normal"/>
    <n v="2018"/>
    <x v="3"/>
  </r>
  <r>
    <d v="2018-05-16T00:00:00"/>
    <n v="26.2"/>
    <n v="20.7"/>
    <n v="32.4"/>
    <n v="4.3"/>
    <s v="Normal"/>
    <s v="Normal"/>
    <s v="Normal"/>
    <s v="Normal"/>
    <n v="2018"/>
    <x v="3"/>
  </r>
  <r>
    <d v="2018-05-17T00:00:00"/>
    <n v="26.7"/>
    <n v="21.9"/>
    <n v="31"/>
    <n v="0"/>
    <s v="Normal"/>
    <s v="Normal"/>
    <s v="Normal"/>
    <s v="Normal"/>
    <n v="2018"/>
    <x v="3"/>
  </r>
  <r>
    <d v="2018-05-20T00:00:00"/>
    <n v="25.2"/>
    <n v="20.5"/>
    <n v="32.4"/>
    <n v="8.6"/>
    <s v="Normal"/>
    <s v="Normal"/>
    <s v="Normal"/>
    <s v="Normal"/>
    <n v="2018"/>
    <x v="3"/>
  </r>
  <r>
    <d v="2018-05-21T00:00:00"/>
    <n v="24"/>
    <n v="21.6"/>
    <n v="32.4"/>
    <n v="0"/>
    <s v="Normal"/>
    <s v="Normal"/>
    <s v="Normal"/>
    <s v="Normal"/>
    <n v="2018"/>
    <x v="3"/>
  </r>
  <r>
    <d v="2018-05-22T00:00:00"/>
    <n v="26.3"/>
    <n v="20.5"/>
    <n v="31.8"/>
    <n v="9.4"/>
    <s v="Normal"/>
    <s v="Normal"/>
    <s v="Normal"/>
    <s v="Normal"/>
    <n v="2018"/>
    <x v="3"/>
  </r>
  <r>
    <d v="2018-05-27T00:00:00"/>
    <n v="26"/>
    <n v="22.2"/>
    <n v="30.8"/>
    <n v="0"/>
    <s v="Normal"/>
    <s v="Normal"/>
    <s v="Normal"/>
    <s v="Normal"/>
    <n v="2018"/>
    <x v="3"/>
  </r>
  <r>
    <d v="2018-05-28T00:00:00"/>
    <n v="26.3"/>
    <n v="22.3"/>
    <n v="32"/>
    <n v="0"/>
    <s v="Normal"/>
    <s v="Normal"/>
    <s v="Normal"/>
    <s v="Normal"/>
    <n v="2018"/>
    <x v="3"/>
  </r>
  <r>
    <d v="2018-05-30T00:00:00"/>
    <n v="24.5"/>
    <n v="20.9"/>
    <n v="30.5"/>
    <n v="0"/>
    <s v="Normal"/>
    <s v="Normal"/>
    <s v="Normal"/>
    <s v="Normal"/>
    <n v="2018"/>
    <x v="3"/>
  </r>
  <r>
    <d v="2018-06-01T00:00:00"/>
    <n v="24.4"/>
    <n v="21.9"/>
    <n v="30.3"/>
    <n v="0"/>
    <s v="Normal"/>
    <s v="Normal"/>
    <s v="Normal"/>
    <s v="Normal"/>
    <n v="2018"/>
    <x v="4"/>
  </r>
  <r>
    <d v="2018-06-02T00:00:00"/>
    <n v="23.8"/>
    <n v="20.9"/>
    <n v="31"/>
    <n v="1.5"/>
    <s v="Normal"/>
    <s v="Normal"/>
    <s v="Normal"/>
    <s v="Normal"/>
    <n v="2018"/>
    <x v="4"/>
  </r>
  <r>
    <d v="2018-06-03T00:00:00"/>
    <n v="23.7"/>
    <n v="20.8"/>
    <n v="30.3"/>
    <n v="1.8"/>
    <s v="Normal"/>
    <s v="Normal"/>
    <s v="Normal"/>
    <s v="Normal"/>
    <n v="2018"/>
    <x v="4"/>
  </r>
  <r>
    <d v="2018-06-04T00:00:00"/>
    <n v="23.8"/>
    <n v="21"/>
    <n v="30.4"/>
    <n v="6.1"/>
    <s v="Normal"/>
    <s v="Normal"/>
    <s v="Normal"/>
    <s v="Normal"/>
    <n v="2018"/>
    <x v="4"/>
  </r>
  <r>
    <d v="2018-06-05T00:00:00"/>
    <n v="24.8"/>
    <n v="21.2"/>
    <n v="30"/>
    <n v="0"/>
    <s v="Normal"/>
    <s v="Normal"/>
    <s v="Normal"/>
    <s v="Normal"/>
    <n v="2018"/>
    <x v="4"/>
  </r>
  <r>
    <d v="2018-06-06T00:00:00"/>
    <n v="25.6"/>
    <n v="21.9"/>
    <n v="29.7"/>
    <n v="0"/>
    <s v="Normal"/>
    <s v="Normal"/>
    <s v="Normal"/>
    <s v="Normal"/>
    <n v="2018"/>
    <x v="4"/>
  </r>
  <r>
    <d v="2018-06-07T00:00:00"/>
    <n v="23.9"/>
    <n v="21.7"/>
    <n v="30.1"/>
    <n v="0"/>
    <s v="Normal"/>
    <s v="Normal"/>
    <s v="Normal"/>
    <s v="Normal"/>
    <n v="2018"/>
    <x v="4"/>
  </r>
  <r>
    <d v="2018-06-08T00:00:00"/>
    <n v="23.3"/>
    <n v="21"/>
    <n v="29"/>
    <n v="0"/>
    <s v="Normal"/>
    <s v="Normal"/>
    <s v="Normal"/>
    <s v="Normal"/>
    <n v="2018"/>
    <x v="4"/>
  </r>
  <r>
    <d v="2018-06-09T00:00:00"/>
    <n v="22"/>
    <n v="20.7"/>
    <n v="25.8"/>
    <n v="3.8"/>
    <s v="Normal"/>
    <s v="Normal"/>
    <s v="Normal"/>
    <s v="Normal"/>
    <n v="2018"/>
    <x v="4"/>
  </r>
  <r>
    <d v="2018-06-10T00:00:00"/>
    <n v="22.7"/>
    <n v="20.5"/>
    <n v="27"/>
    <n v="1.3"/>
    <s v="Normal"/>
    <s v="Normal"/>
    <s v="Normal"/>
    <s v="Normal"/>
    <n v="2018"/>
    <x v="4"/>
  </r>
  <r>
    <d v="2018-06-11T00:00:00"/>
    <n v="23.7"/>
    <n v="21"/>
    <n v="26.9"/>
    <n v="2"/>
    <s v="Normal"/>
    <s v="Normal"/>
    <s v="Normal"/>
    <s v="Normal"/>
    <n v="2018"/>
    <x v="4"/>
  </r>
  <r>
    <d v="2018-06-14T00:00:00"/>
    <n v="23.2"/>
    <n v="21"/>
    <n v="27.9"/>
    <n v="0"/>
    <s v="Normal"/>
    <s v="Normal"/>
    <s v="Normal"/>
    <s v="Normal"/>
    <n v="2018"/>
    <x v="4"/>
  </r>
  <r>
    <d v="2018-06-15T00:00:00"/>
    <n v="23.8"/>
    <n v="20.5"/>
    <n v="31.2"/>
    <n v="3"/>
    <s v="Normal"/>
    <s v="Normal"/>
    <s v="Normal"/>
    <s v="Normal"/>
    <n v="2018"/>
    <x v="4"/>
  </r>
  <r>
    <d v="2018-06-16T00:00:00"/>
    <n v="24.1"/>
    <n v="20.100000000000001"/>
    <n v="31"/>
    <n v="5.6"/>
    <s v="Normal"/>
    <s v="Normal"/>
    <s v="Normal"/>
    <s v="Normal"/>
    <n v="2018"/>
    <x v="4"/>
  </r>
  <r>
    <d v="2018-06-17T00:00:00"/>
    <n v="23.6"/>
    <n v="20.9"/>
    <n v="30"/>
    <n v="0"/>
    <s v="Normal"/>
    <s v="Normal"/>
    <s v="Normal"/>
    <s v="Normal"/>
    <n v="2018"/>
    <x v="4"/>
  </r>
  <r>
    <d v="2018-06-19T00:00:00"/>
    <n v="23.8"/>
    <n v="20.100000000000001"/>
    <n v="28.9"/>
    <n v="7.1"/>
    <s v="Normal"/>
    <s v="Normal"/>
    <s v="Normal"/>
    <s v="Normal"/>
    <n v="2018"/>
    <x v="4"/>
  </r>
  <r>
    <d v="2018-06-20T00:00:00"/>
    <n v="23.4"/>
    <n v="20.7"/>
    <n v="29.1"/>
    <n v="0"/>
    <s v="Normal"/>
    <s v="Normal"/>
    <s v="Normal"/>
    <s v="Normal"/>
    <n v="2018"/>
    <x v="4"/>
  </r>
  <r>
    <d v="2018-06-22T00:00:00"/>
    <n v="23.2"/>
    <n v="19.7"/>
    <n v="28"/>
    <n v="0"/>
    <s v="Normal"/>
    <s v="Normal"/>
    <s v="Normal"/>
    <s v="Normal"/>
    <n v="2018"/>
    <x v="4"/>
  </r>
  <r>
    <d v="2018-06-23T00:00:00"/>
    <n v="22.5"/>
    <n v="20.3"/>
    <n v="28"/>
    <n v="1"/>
    <s v="Normal"/>
    <s v="Normal"/>
    <s v="Normal"/>
    <s v="Normal"/>
    <n v="2018"/>
    <x v="4"/>
  </r>
  <r>
    <d v="2018-06-25T00:00:00"/>
    <n v="23.5"/>
    <n v="20.100000000000001"/>
    <n v="27.8"/>
    <n v="0"/>
    <s v="Normal"/>
    <s v="Normal"/>
    <s v="Normal"/>
    <s v="Normal"/>
    <n v="2018"/>
    <x v="4"/>
  </r>
  <r>
    <d v="2018-06-26T00:00:00"/>
    <n v="23.1"/>
    <n v="20.2"/>
    <n v="28.1"/>
    <n v="0"/>
    <s v="Normal"/>
    <s v="Normal"/>
    <s v="Normal"/>
    <s v="Normal"/>
    <n v="2018"/>
    <x v="4"/>
  </r>
  <r>
    <d v="2018-06-28T00:00:00"/>
    <n v="22.4"/>
    <n v="20"/>
    <n v="26.2"/>
    <n v="4.5999999999999996"/>
    <s v="Normal"/>
    <s v="Normal"/>
    <s v="Normal"/>
    <s v="Normal"/>
    <n v="2018"/>
    <x v="4"/>
  </r>
  <r>
    <d v="2018-06-29T00:00:00"/>
    <n v="23.1"/>
    <n v="20.100000000000001"/>
    <n v="28.2"/>
    <n v="0"/>
    <s v="Normal"/>
    <s v="Normal"/>
    <s v="Normal"/>
    <s v="Normal"/>
    <n v="2018"/>
    <x v="4"/>
  </r>
  <r>
    <d v="2018-06-30T00:00:00"/>
    <n v="23.8"/>
    <n v="19.5"/>
    <n v="29.3"/>
    <n v="0"/>
    <s v="Normal"/>
    <s v="Normal"/>
    <s v="Normal"/>
    <s v="Normal"/>
    <n v="2018"/>
    <x v="4"/>
  </r>
  <r>
    <d v="2018-07-01T00:00:00"/>
    <n v="24.2"/>
    <n v="20.6"/>
    <n v="29.5"/>
    <n v="0.5"/>
    <s v="Normal"/>
    <s v="Normal"/>
    <s v="Normal"/>
    <s v="Normal"/>
    <n v="2018"/>
    <x v="5"/>
  </r>
  <r>
    <d v="2018-07-02T00:00:00"/>
    <n v="24.8"/>
    <n v="20.9"/>
    <n v="30.7"/>
    <n v="0"/>
    <s v="Normal"/>
    <s v="Normal"/>
    <s v="Normal"/>
    <s v="Normal"/>
    <n v="2018"/>
    <x v="5"/>
  </r>
  <r>
    <d v="2018-07-03T00:00:00"/>
    <n v="24.4"/>
    <n v="20.7"/>
    <n v="30.2"/>
    <n v="0.5"/>
    <s v="Normal"/>
    <s v="Normal"/>
    <s v="Normal"/>
    <s v="Normal"/>
    <n v="2018"/>
    <x v="5"/>
  </r>
  <r>
    <d v="2018-07-04T00:00:00"/>
    <n v="24.1"/>
    <n v="20.5"/>
    <n v="29"/>
    <n v="0"/>
    <s v="Normal"/>
    <s v="Normal"/>
    <s v="Normal"/>
    <s v="Normal"/>
    <n v="2018"/>
    <x v="5"/>
  </r>
  <r>
    <d v="2018-07-07T00:00:00"/>
    <n v="22.9"/>
    <n v="20.5"/>
    <n v="26.3"/>
    <n v="0.3"/>
    <s v="Normal"/>
    <s v="Normal"/>
    <s v="Normal"/>
    <s v="Normal"/>
    <n v="2018"/>
    <x v="5"/>
  </r>
  <r>
    <d v="2018-07-08T00:00:00"/>
    <n v="22.4"/>
    <n v="20.3"/>
    <n v="26.4"/>
    <n v="0"/>
    <s v="Normal"/>
    <s v="Normal"/>
    <s v="Normal"/>
    <s v="Normal"/>
    <n v="2018"/>
    <x v="5"/>
  </r>
  <r>
    <d v="2018-07-09T00:00:00"/>
    <n v="22.8"/>
    <n v="20.7"/>
    <n v="26.4"/>
    <n v="1"/>
    <s v="Normal"/>
    <s v="Normal"/>
    <s v="Normal"/>
    <s v="Normal"/>
    <n v="2018"/>
    <x v="5"/>
  </r>
  <r>
    <d v="2018-07-10T00:00:00"/>
    <n v="22.7"/>
    <n v="20.6"/>
    <n v="26.9"/>
    <n v="2"/>
    <s v="Normal"/>
    <s v="Normal"/>
    <s v="Normal"/>
    <s v="Normal"/>
    <n v="2018"/>
    <x v="5"/>
  </r>
  <r>
    <d v="2018-07-12T00:00:00"/>
    <n v="22.8"/>
    <n v="20.100000000000001"/>
    <n v="27.3"/>
    <n v="4.3"/>
    <s v="Normal"/>
    <s v="Normal"/>
    <s v="Normal"/>
    <s v="Normal"/>
    <n v="2018"/>
    <x v="5"/>
  </r>
  <r>
    <d v="2018-07-13T00:00:00"/>
    <n v="22.2"/>
    <n v="20.5"/>
    <n v="27.4"/>
    <n v="0"/>
    <s v="Normal"/>
    <s v="Normal"/>
    <s v="Normal"/>
    <s v="Normal"/>
    <n v="2018"/>
    <x v="5"/>
  </r>
  <r>
    <d v="2018-07-14T00:00:00"/>
    <n v="22.4"/>
    <n v="20.3"/>
    <n v="26.5"/>
    <n v="4.5999999999999996"/>
    <s v="Normal"/>
    <s v="Normal"/>
    <s v="Normal"/>
    <s v="Normal"/>
    <n v="2018"/>
    <x v="5"/>
  </r>
  <r>
    <d v="2018-07-15T00:00:00"/>
    <n v="23.6"/>
    <n v="20.399999999999999"/>
    <n v="28.2"/>
    <n v="1.8"/>
    <s v="Normal"/>
    <s v="Normal"/>
    <s v="Normal"/>
    <s v="Normal"/>
    <n v="2018"/>
    <x v="5"/>
  </r>
  <r>
    <d v="2018-07-16T00:00:00"/>
    <n v="22.2"/>
    <n v="20.2"/>
    <n v="28.4"/>
    <n v="0"/>
    <s v="Normal"/>
    <s v="Normal"/>
    <s v="Normal"/>
    <s v="Normal"/>
    <n v="2018"/>
    <x v="5"/>
  </r>
  <r>
    <d v="2018-07-17T00:00:00"/>
    <n v="22.5"/>
    <n v="19.2"/>
    <n v="26.2"/>
    <n v="1.5"/>
    <s v="Normal"/>
    <s v="Normal"/>
    <s v="Normal"/>
    <s v="Normal"/>
    <n v="2018"/>
    <x v="5"/>
  </r>
  <r>
    <d v="2018-07-18T00:00:00"/>
    <n v="23.8"/>
    <n v="19.7"/>
    <n v="29.2"/>
    <n v="0"/>
    <s v="Normal"/>
    <s v="Normal"/>
    <s v="Normal"/>
    <s v="Normal"/>
    <n v="2018"/>
    <x v="5"/>
  </r>
  <r>
    <d v="2018-07-20T00:00:00"/>
    <n v="23"/>
    <n v="20.399999999999999"/>
    <n v="27"/>
    <n v="0"/>
    <s v="Normal"/>
    <s v="Normal"/>
    <s v="Normal"/>
    <s v="Normal"/>
    <n v="2018"/>
    <x v="5"/>
  </r>
  <r>
    <d v="2018-07-21T00:00:00"/>
    <n v="22.7"/>
    <n v="20.3"/>
    <n v="26.9"/>
    <n v="0"/>
    <s v="Normal"/>
    <s v="Normal"/>
    <s v="Normal"/>
    <s v="Normal"/>
    <n v="2018"/>
    <x v="5"/>
  </r>
  <r>
    <d v="2018-07-22T00:00:00"/>
    <n v="23.6"/>
    <n v="20.3"/>
    <n v="28.9"/>
    <n v="0.3"/>
    <s v="Normal"/>
    <s v="Normal"/>
    <s v="Normal"/>
    <s v="Normal"/>
    <n v="2018"/>
    <x v="5"/>
  </r>
  <r>
    <d v="2018-07-23T00:00:00"/>
    <n v="22.7"/>
    <n v="20.2"/>
    <n v="28.3"/>
    <n v="0"/>
    <s v="Normal"/>
    <s v="Normal"/>
    <s v="Normal"/>
    <s v="Normal"/>
    <n v="2018"/>
    <x v="5"/>
  </r>
  <r>
    <d v="2018-07-25T00:00:00"/>
    <n v="23.3"/>
    <n v="20.2"/>
    <n v="28.2"/>
    <n v="2"/>
    <s v="Normal"/>
    <s v="Normal"/>
    <s v="Normal"/>
    <s v="Normal"/>
    <n v="2018"/>
    <x v="5"/>
  </r>
  <r>
    <d v="2018-07-26T00:00:00"/>
    <n v="23.7"/>
    <n v="20.6"/>
    <n v="28.8"/>
    <n v="0.8"/>
    <s v="Normal"/>
    <s v="Normal"/>
    <s v="Normal"/>
    <s v="Normal"/>
    <n v="2018"/>
    <x v="5"/>
  </r>
  <r>
    <d v="2018-07-27T00:00:00"/>
    <n v="23.3"/>
    <n v="20.5"/>
    <n v="27.3"/>
    <n v="0"/>
    <s v="Normal"/>
    <s v="Normal"/>
    <s v="Normal"/>
    <s v="Normal"/>
    <n v="2018"/>
    <x v="5"/>
  </r>
  <r>
    <d v="2018-07-28T00:00:00"/>
    <n v="23.5"/>
    <n v="20"/>
    <n v="27.3"/>
    <n v="0.3"/>
    <s v="Normal"/>
    <s v="Normal"/>
    <s v="Normal"/>
    <s v="Normal"/>
    <n v="2018"/>
    <x v="5"/>
  </r>
  <r>
    <d v="2018-07-30T00:00:00"/>
    <n v="23.8"/>
    <n v="20.5"/>
    <n v="27.8"/>
    <n v="0.5"/>
    <s v="Normal"/>
    <s v="Normal"/>
    <s v="Normal"/>
    <s v="Normal"/>
    <n v="2018"/>
    <x v="5"/>
  </r>
  <r>
    <d v="2018-07-31T00:00:00"/>
    <n v="23.1"/>
    <n v="20.3"/>
    <n v="28.3"/>
    <n v="4.8"/>
    <s v="Normal"/>
    <s v="Normal"/>
    <s v="Normal"/>
    <s v="Normal"/>
    <n v="2018"/>
    <x v="5"/>
  </r>
  <r>
    <d v="2018-08-01T00:00:00"/>
    <n v="21.9"/>
    <n v="19.399999999999999"/>
    <n v="27.2"/>
    <n v="5.3"/>
    <s v="Normal"/>
    <s v="Normal"/>
    <s v="Normal"/>
    <s v="Normal"/>
    <n v="2018"/>
    <x v="6"/>
  </r>
  <r>
    <d v="2018-08-03T00:00:00"/>
    <n v="23.3"/>
    <n v="20.8"/>
    <n v="28.6"/>
    <n v="0"/>
    <s v="Normal"/>
    <s v="Normal"/>
    <s v="Normal"/>
    <s v="Normal"/>
    <n v="2018"/>
    <x v="6"/>
  </r>
  <r>
    <d v="2018-08-04T00:00:00"/>
    <n v="22.8"/>
    <n v="20.100000000000001"/>
    <n v="28.8"/>
    <n v="2.5"/>
    <s v="Normal"/>
    <s v="Normal"/>
    <s v="Normal"/>
    <s v="Normal"/>
    <n v="2018"/>
    <x v="6"/>
  </r>
  <r>
    <d v="2018-08-05T00:00:00"/>
    <n v="23.8"/>
    <n v="20.3"/>
    <n v="27.8"/>
    <n v="0"/>
    <s v="Normal"/>
    <s v="Normal"/>
    <s v="Normal"/>
    <s v="Normal"/>
    <n v="2018"/>
    <x v="6"/>
  </r>
  <r>
    <d v="2018-08-06T00:00:00"/>
    <n v="22.7"/>
    <n v="20.2"/>
    <n v="28.1"/>
    <n v="0.5"/>
    <s v="Normal"/>
    <s v="Normal"/>
    <s v="Normal"/>
    <s v="Normal"/>
    <n v="2018"/>
    <x v="6"/>
  </r>
  <r>
    <d v="2018-08-08T00:00:00"/>
    <n v="22"/>
    <n v="20"/>
    <n v="25.4"/>
    <n v="3.6"/>
    <s v="Normal"/>
    <s v="Normal"/>
    <s v="Normal"/>
    <s v="Normal"/>
    <n v="2018"/>
    <x v="6"/>
  </r>
  <r>
    <d v="2018-08-09T00:00:00"/>
    <n v="23.4"/>
    <n v="20.2"/>
    <n v="28.7"/>
    <n v="8.9"/>
    <s v="Normal"/>
    <s v="Normal"/>
    <s v="Normal"/>
    <s v="Normal"/>
    <n v="2018"/>
    <x v="6"/>
  </r>
  <r>
    <d v="2018-08-10T00:00:00"/>
    <n v="22.7"/>
    <n v="20.5"/>
    <n v="28.2"/>
    <n v="0"/>
    <s v="Normal"/>
    <s v="Normal"/>
    <s v="Normal"/>
    <s v="Normal"/>
    <n v="2018"/>
    <x v="6"/>
  </r>
  <r>
    <d v="2018-08-11T00:00:00"/>
    <n v="21.9"/>
    <n v="20"/>
    <n v="26.5"/>
    <n v="1.8"/>
    <s v="Normal"/>
    <s v="Normal"/>
    <s v="Normal"/>
    <s v="Normal"/>
    <n v="2018"/>
    <x v="6"/>
  </r>
  <r>
    <d v="2018-08-12T00:00:00"/>
    <n v="21.5"/>
    <n v="19.899999999999999"/>
    <n v="25.6"/>
    <n v="2.2999999999999998"/>
    <s v="Normal"/>
    <s v="Normal"/>
    <s v="Normal"/>
    <s v="Normal"/>
    <n v="2018"/>
    <x v="6"/>
  </r>
  <r>
    <d v="2018-08-13T00:00:00"/>
    <n v="21.7"/>
    <n v="19.399999999999999"/>
    <n v="24.6"/>
    <n v="3.3"/>
    <s v="Normal"/>
    <s v="Normal"/>
    <s v="Normal"/>
    <s v="Normal"/>
    <n v="2018"/>
    <x v="6"/>
  </r>
  <r>
    <d v="2018-08-14T00:00:00"/>
    <n v="21.9"/>
    <n v="19.600000000000001"/>
    <n v="26.9"/>
    <n v="1"/>
    <s v="Normal"/>
    <s v="Normal"/>
    <s v="Normal"/>
    <s v="Normal"/>
    <n v="2018"/>
    <x v="6"/>
  </r>
  <r>
    <d v="2018-08-15T00:00:00"/>
    <n v="22.2"/>
    <n v="20.100000000000001"/>
    <n v="25.7"/>
    <n v="6.4"/>
    <s v="Normal"/>
    <s v="Normal"/>
    <s v="Normal"/>
    <s v="Normal"/>
    <n v="2018"/>
    <x v="6"/>
  </r>
  <r>
    <d v="2018-08-17T00:00:00"/>
    <n v="23.2"/>
    <n v="20.3"/>
    <n v="28.3"/>
    <n v="0.5"/>
    <s v="Normal"/>
    <s v="Normal"/>
    <s v="Normal"/>
    <s v="Normal"/>
    <n v="2018"/>
    <x v="6"/>
  </r>
  <r>
    <d v="2018-08-18T00:00:00"/>
    <n v="23.4"/>
    <n v="20"/>
    <n v="27.5"/>
    <n v="0"/>
    <s v="Normal"/>
    <s v="Normal"/>
    <s v="Normal"/>
    <s v="Normal"/>
    <n v="2018"/>
    <x v="6"/>
  </r>
  <r>
    <d v="2018-08-19T00:00:00"/>
    <n v="23.3"/>
    <n v="20.7"/>
    <n v="27.4"/>
    <n v="0"/>
    <s v="Normal"/>
    <s v="Normal"/>
    <s v="Normal"/>
    <s v="Normal"/>
    <n v="2018"/>
    <x v="6"/>
  </r>
  <r>
    <d v="2018-08-20T00:00:00"/>
    <n v="22.8"/>
    <n v="20.2"/>
    <n v="27.3"/>
    <n v="0"/>
    <s v="Normal"/>
    <s v="Normal"/>
    <s v="Normal"/>
    <s v="Normal"/>
    <n v="2018"/>
    <x v="6"/>
  </r>
  <r>
    <d v="2018-08-21T00:00:00"/>
    <n v="23.3"/>
    <n v="19.7"/>
    <n v="28.9"/>
    <n v="0"/>
    <s v="Normal"/>
    <s v="Normal"/>
    <s v="Normal"/>
    <s v="Normal"/>
    <n v="2018"/>
    <x v="6"/>
  </r>
  <r>
    <d v="2018-08-22T00:00:00"/>
    <n v="23.7"/>
    <n v="19.7"/>
    <n v="28.2"/>
    <n v="0"/>
    <s v="Normal"/>
    <s v="Normal"/>
    <s v="Normal"/>
    <s v="Normal"/>
    <n v="2018"/>
    <x v="6"/>
  </r>
  <r>
    <d v="2018-08-23T00:00:00"/>
    <n v="23.3"/>
    <n v="20.5"/>
    <n v="28"/>
    <n v="0"/>
    <s v="Normal"/>
    <s v="Normal"/>
    <s v="Normal"/>
    <s v="Normal"/>
    <n v="2018"/>
    <x v="6"/>
  </r>
  <r>
    <d v="2018-08-24T00:00:00"/>
    <n v="22.4"/>
    <n v="19.899999999999999"/>
    <n v="28.8"/>
    <n v="3.3"/>
    <s v="Normal"/>
    <s v="Normal"/>
    <s v="Normal"/>
    <s v="Normal"/>
    <n v="2018"/>
    <x v="6"/>
  </r>
  <r>
    <d v="2018-08-26T00:00:00"/>
    <n v="22.4"/>
    <n v="19.899999999999999"/>
    <n v="28.5"/>
    <n v="0"/>
    <s v="Normal"/>
    <s v="Normal"/>
    <s v="Normal"/>
    <s v="Normal"/>
    <n v="2018"/>
    <x v="6"/>
  </r>
  <r>
    <d v="2018-08-27T00:00:00"/>
    <n v="21.9"/>
    <n v="19.5"/>
    <n v="28.3"/>
    <n v="8.4"/>
    <s v="Normal"/>
    <s v="Normal"/>
    <s v="Normal"/>
    <s v="Normal"/>
    <n v="2018"/>
    <x v="6"/>
  </r>
  <r>
    <d v="2018-08-28T00:00:00"/>
    <n v="22.6"/>
    <n v="19.600000000000001"/>
    <n v="27.6"/>
    <n v="0.5"/>
    <s v="Normal"/>
    <s v="Normal"/>
    <s v="Normal"/>
    <s v="Normal"/>
    <n v="2018"/>
    <x v="6"/>
  </r>
  <r>
    <d v="2018-08-29T00:00:00"/>
    <n v="22.9"/>
    <n v="20"/>
    <n v="28"/>
    <n v="8.4"/>
    <s v="Normal"/>
    <s v="Normal"/>
    <s v="Normal"/>
    <s v="Normal"/>
    <n v="2018"/>
    <x v="6"/>
  </r>
  <r>
    <d v="2018-08-30T00:00:00"/>
    <n v="23.3"/>
    <n v="20.3"/>
    <n v="28.2"/>
    <n v="3"/>
    <s v="Normal"/>
    <s v="Normal"/>
    <s v="Normal"/>
    <s v="Normal"/>
    <n v="2018"/>
    <x v="6"/>
  </r>
  <r>
    <d v="2018-09-01T00:00:00"/>
    <n v="23.7"/>
    <n v="20"/>
    <n v="28.3"/>
    <n v="0"/>
    <s v="Normal"/>
    <s v="Normal"/>
    <s v="Normal"/>
    <s v="Normal"/>
    <n v="2018"/>
    <x v="7"/>
  </r>
  <r>
    <d v="2018-09-02T00:00:00"/>
    <n v="23.7"/>
    <n v="20.3"/>
    <n v="28.2"/>
    <n v="0.3"/>
    <s v="Normal"/>
    <s v="Normal"/>
    <s v="Normal"/>
    <s v="Normal"/>
    <n v="2018"/>
    <x v="7"/>
  </r>
  <r>
    <d v="2018-09-03T00:00:00"/>
    <n v="24.7"/>
    <n v="19.7"/>
    <n v="29.3"/>
    <n v="0"/>
    <s v="Normal"/>
    <s v="Normal"/>
    <s v="Normal"/>
    <s v="Normal"/>
    <n v="2018"/>
    <x v="7"/>
  </r>
  <r>
    <d v="2018-09-07T00:00:00"/>
    <n v="24.4"/>
    <n v="20.3"/>
    <n v="29.2"/>
    <n v="0"/>
    <s v="Normal"/>
    <s v="Normal"/>
    <s v="Normal"/>
    <s v="Normal"/>
    <n v="2018"/>
    <x v="7"/>
  </r>
  <r>
    <d v="2018-09-08T00:00:00"/>
    <n v="24.3"/>
    <n v="20.100000000000001"/>
    <n v="29.1"/>
    <n v="0"/>
    <s v="Normal"/>
    <s v="Normal"/>
    <s v="Normal"/>
    <s v="Normal"/>
    <n v="2018"/>
    <x v="7"/>
  </r>
  <r>
    <d v="2018-09-09T00:00:00"/>
    <n v="25.7"/>
    <n v="20.5"/>
    <n v="30.3"/>
    <n v="0"/>
    <s v="Normal"/>
    <s v="Normal"/>
    <s v="Normal"/>
    <s v="Normal"/>
    <n v="2018"/>
    <x v="7"/>
  </r>
  <r>
    <d v="2018-09-11T00:00:00"/>
    <n v="25.3"/>
    <n v="21.7"/>
    <n v="30.8"/>
    <n v="0"/>
    <s v="Normal"/>
    <s v="Normal"/>
    <s v="Normal"/>
    <s v="Normal"/>
    <n v="2018"/>
    <x v="7"/>
  </r>
  <r>
    <d v="2018-09-12T00:00:00"/>
    <n v="25.9"/>
    <n v="20.9"/>
    <n v="31.1"/>
    <n v="0"/>
    <s v="Normal"/>
    <s v="Normal"/>
    <s v="Normal"/>
    <s v="Normal"/>
    <n v="2018"/>
    <x v="7"/>
  </r>
  <r>
    <d v="2018-09-14T00:00:00"/>
    <n v="24.8"/>
    <n v="20.399999999999999"/>
    <n v="30.3"/>
    <n v="2"/>
    <s v="Normal"/>
    <s v="Normal"/>
    <s v="Normal"/>
    <s v="Normal"/>
    <n v="2018"/>
    <x v="7"/>
  </r>
  <r>
    <d v="2018-09-15T00:00:00"/>
    <n v="23.2"/>
    <n v="20.100000000000001"/>
    <n v="31.7"/>
    <n v="9.9"/>
    <s v="Normal"/>
    <s v="Normal"/>
    <s v="Normal"/>
    <s v="Normal"/>
    <n v="2018"/>
    <x v="7"/>
  </r>
  <r>
    <d v="2018-09-16T00:00:00"/>
    <n v="23.3"/>
    <n v="20.5"/>
    <n v="30.3"/>
    <n v="6.4"/>
    <s v="Normal"/>
    <s v="Normal"/>
    <s v="Normal"/>
    <s v="Normal"/>
    <n v="2018"/>
    <x v="7"/>
  </r>
  <r>
    <d v="2018-09-21T00:00:00"/>
    <n v="23.5"/>
    <n v="20"/>
    <n v="28.4"/>
    <n v="7.6"/>
    <s v="Normal"/>
    <s v="Normal"/>
    <s v="Normal"/>
    <s v="Normal"/>
    <n v="2018"/>
    <x v="7"/>
  </r>
  <r>
    <d v="2018-09-22T00:00:00"/>
    <n v="23.9"/>
    <n v="18.399999999999999"/>
    <n v="28.2"/>
    <n v="0"/>
    <s v="Normal"/>
    <s v="Normal"/>
    <s v="Normal"/>
    <s v="Normal"/>
    <n v="2018"/>
    <x v="7"/>
  </r>
  <r>
    <d v="2018-09-26T00:00:00"/>
    <n v="24.4"/>
    <n v="20.399999999999999"/>
    <n v="29.7"/>
    <n v="0.3"/>
    <s v="Normal"/>
    <s v="Normal"/>
    <s v="Normal"/>
    <s v="Normal"/>
    <n v="2018"/>
    <x v="7"/>
  </r>
  <r>
    <d v="2018-09-28T00:00:00"/>
    <n v="25.1"/>
    <n v="21.3"/>
    <n v="29.5"/>
    <n v="1.3"/>
    <s v="Normal"/>
    <s v="Normal"/>
    <s v="Normal"/>
    <s v="Normal"/>
    <n v="2018"/>
    <x v="7"/>
  </r>
  <r>
    <d v="2018-09-29T00:00:00"/>
    <n v="25.3"/>
    <n v="21.4"/>
    <n v="29.9"/>
    <n v="4.3"/>
    <s v="Normal"/>
    <s v="Normal"/>
    <s v="Normal"/>
    <s v="Normal"/>
    <n v="2018"/>
    <x v="7"/>
  </r>
  <r>
    <d v="2018-09-30T00:00:00"/>
    <n v="25.4"/>
    <n v="21.8"/>
    <n v="30.2"/>
    <n v="0"/>
    <s v="Normal"/>
    <s v="Normal"/>
    <s v="Normal"/>
    <s v="Normal"/>
    <n v="2018"/>
    <x v="7"/>
  </r>
  <r>
    <d v="2018-10-01T00:00:00"/>
    <n v="25.5"/>
    <n v="21.6"/>
    <n v="30.9"/>
    <n v="0.3"/>
    <s v="Normal"/>
    <s v="Normal"/>
    <s v="Normal"/>
    <s v="Normal"/>
    <n v="2018"/>
    <x v="8"/>
  </r>
  <r>
    <d v="2018-10-02T00:00:00"/>
    <n v="24.9"/>
    <n v="21.3"/>
    <n v="30.3"/>
    <n v="0"/>
    <s v="Normal"/>
    <s v="Normal"/>
    <s v="Normal"/>
    <s v="Normal"/>
    <n v="2018"/>
    <x v="8"/>
  </r>
  <r>
    <d v="2018-10-03T00:00:00"/>
    <n v="24.1"/>
    <n v="21.6"/>
    <n v="30.4"/>
    <n v="0.3"/>
    <s v="Normal"/>
    <s v="Normal"/>
    <s v="Normal"/>
    <s v="Normal"/>
    <n v="2018"/>
    <x v="8"/>
  </r>
  <r>
    <d v="2018-10-05T00:00:00"/>
    <n v="23"/>
    <n v="20.6"/>
    <n v="25.9"/>
    <n v="10.199999999999999"/>
    <s v="Normal"/>
    <s v="Normal"/>
    <s v="Normal"/>
    <s v="Normal"/>
    <n v="2018"/>
    <x v="8"/>
  </r>
  <r>
    <d v="2018-10-06T00:00:00"/>
    <n v="22.5"/>
    <n v="20.399999999999999"/>
    <n v="26.4"/>
    <n v="2.5"/>
    <s v="Normal"/>
    <s v="Normal"/>
    <s v="Normal"/>
    <s v="Normal"/>
    <n v="2018"/>
    <x v="8"/>
  </r>
  <r>
    <d v="2018-10-07T00:00:00"/>
    <n v="24.3"/>
    <n v="20.2"/>
    <n v="28.4"/>
    <n v="7.9"/>
    <s v="Normal"/>
    <s v="Normal"/>
    <s v="Normal"/>
    <s v="Normal"/>
    <n v="2018"/>
    <x v="8"/>
  </r>
  <r>
    <d v="2018-10-08T00:00:00"/>
    <n v="24.1"/>
    <n v="20.8"/>
    <n v="29.5"/>
    <n v="0"/>
    <s v="Normal"/>
    <s v="Normal"/>
    <s v="Normal"/>
    <s v="Normal"/>
    <n v="2018"/>
    <x v="8"/>
  </r>
  <r>
    <d v="2018-10-09T00:00:00"/>
    <n v="24.3"/>
    <n v="20.6"/>
    <n v="29.5"/>
    <n v="4.3"/>
    <s v="Normal"/>
    <s v="Normal"/>
    <s v="Normal"/>
    <s v="Normal"/>
    <n v="2018"/>
    <x v="8"/>
  </r>
  <r>
    <d v="2018-10-10T00:00:00"/>
    <n v="24"/>
    <n v="19.100000000000001"/>
    <n v="30"/>
    <n v="0"/>
    <s v="Normal"/>
    <s v="Normal"/>
    <s v="Normal"/>
    <s v="Normal"/>
    <n v="2018"/>
    <x v="8"/>
  </r>
  <r>
    <d v="2018-10-15T00:00:00"/>
    <n v="23.4"/>
    <n v="20.100000000000001"/>
    <n v="29.8"/>
    <n v="3.8"/>
    <s v="Normal"/>
    <s v="Normal"/>
    <s v="Normal"/>
    <s v="Normal"/>
    <n v="2018"/>
    <x v="8"/>
  </r>
  <r>
    <d v="2018-10-16T00:00:00"/>
    <n v="24.3"/>
    <n v="20.7"/>
    <n v="29"/>
    <n v="5.0999999999999996"/>
    <s v="Normal"/>
    <s v="Normal"/>
    <s v="Normal"/>
    <s v="Normal"/>
    <n v="2018"/>
    <x v="8"/>
  </r>
  <r>
    <d v="2018-10-17T00:00:00"/>
    <n v="22.4"/>
    <n v="19.399999999999999"/>
    <n v="29.3"/>
    <n v="0"/>
    <s v="Normal"/>
    <s v="Normal"/>
    <s v="Normal"/>
    <s v="Normal"/>
    <n v="2018"/>
    <x v="8"/>
  </r>
  <r>
    <d v="2018-10-19T00:00:00"/>
    <n v="23.9"/>
    <n v="20.2"/>
    <n v="28.7"/>
    <n v="1"/>
    <s v="Normal"/>
    <s v="Normal"/>
    <s v="Normal"/>
    <s v="Normal"/>
    <n v="2018"/>
    <x v="8"/>
  </r>
  <r>
    <d v="2018-10-20T00:00:00"/>
    <n v="23.8"/>
    <n v="19.7"/>
    <n v="29.3"/>
    <n v="0"/>
    <s v="Normal"/>
    <s v="Normal"/>
    <s v="Normal"/>
    <s v="Normal"/>
    <n v="2018"/>
    <x v="8"/>
  </r>
  <r>
    <d v="2018-11-03T00:00:00"/>
    <n v="22.8"/>
    <n v="19.600000000000001"/>
    <n v="27.7"/>
    <n v="0.5"/>
    <s v="Normal"/>
    <s v="Normal"/>
    <s v="Normal"/>
    <s v="Normal"/>
    <n v="2018"/>
    <x v="9"/>
  </r>
  <r>
    <d v="2018-11-04T00:00:00"/>
    <n v="23.5"/>
    <n v="18.8"/>
    <n v="28.1"/>
    <n v="4.5999999999999996"/>
    <s v="Normal"/>
    <s v="Normal"/>
    <s v="Normal"/>
    <s v="Normal"/>
    <n v="2018"/>
    <x v="9"/>
  </r>
  <r>
    <d v="2018-11-05T00:00:00"/>
    <n v="23.6"/>
    <n v="19.7"/>
    <n v="29.2"/>
    <n v="0"/>
    <s v="Normal"/>
    <s v="Normal"/>
    <s v="Normal"/>
    <s v="Normal"/>
    <n v="2018"/>
    <x v="9"/>
  </r>
  <r>
    <d v="2018-11-16T00:00:00"/>
    <n v="21.9"/>
    <n v="19.7"/>
    <n v="28.6"/>
    <n v="0"/>
    <s v="Normal"/>
    <s v="Normal"/>
    <s v="Normal"/>
    <s v="Normal"/>
    <n v="2018"/>
    <x v="9"/>
  </r>
  <r>
    <d v="2018-11-17T00:00:00"/>
    <n v="23.9"/>
    <n v="19.2"/>
    <n v="29.3"/>
    <n v="0.3"/>
    <s v="Normal"/>
    <s v="Normal"/>
    <s v="Normal"/>
    <s v="Normal"/>
    <n v="2018"/>
    <x v="9"/>
  </r>
  <r>
    <d v="2018-11-18T00:00:00"/>
    <n v="24.3"/>
    <n v="20.6"/>
    <n v="30.2"/>
    <n v="0"/>
    <s v="Normal"/>
    <s v="Normal"/>
    <s v="Normal"/>
    <s v="Normal"/>
    <n v="2018"/>
    <x v="9"/>
  </r>
  <r>
    <d v="2018-11-20T00:00:00"/>
    <n v="24.4"/>
    <n v="19.7"/>
    <n v="29.8"/>
    <n v="0"/>
    <s v="Normal"/>
    <s v="Normal"/>
    <s v="Normal"/>
    <s v="Normal"/>
    <n v="2018"/>
    <x v="9"/>
  </r>
  <r>
    <d v="2018-11-22T00:00:00"/>
    <n v="21.6"/>
    <n v="19.600000000000001"/>
    <n v="26.6"/>
    <n v="0"/>
    <s v="Normal"/>
    <s v="Normal"/>
    <s v="Normal"/>
    <s v="Normal"/>
    <n v="2018"/>
    <x v="9"/>
  </r>
  <r>
    <d v="2018-11-23T00:00:00"/>
    <n v="20.9"/>
    <n v="19.600000000000001"/>
    <n v="24.8"/>
    <n v="0.5"/>
    <s v="Normal"/>
    <s v="Normal"/>
    <s v="Normal"/>
    <s v="Normal"/>
    <n v="2018"/>
    <x v="9"/>
  </r>
  <r>
    <d v="2018-11-25T00:00:00"/>
    <n v="22.6"/>
    <n v="19.2"/>
    <n v="28.5"/>
    <n v="0"/>
    <s v="Normal"/>
    <s v="Normal"/>
    <s v="Normal"/>
    <s v="Normal"/>
    <n v="2018"/>
    <x v="9"/>
  </r>
  <r>
    <d v="2018-12-05T00:00:00"/>
    <n v="23.2"/>
    <n v="19.5"/>
    <n v="28.1"/>
    <n v="4.8"/>
    <s v="Normal"/>
    <s v="Normal"/>
    <s v="Normal"/>
    <s v="Normal"/>
    <n v="2018"/>
    <x v="10"/>
  </r>
  <r>
    <d v="2018-12-06T00:00:00"/>
    <n v="23.5"/>
    <n v="20"/>
    <n v="28.3"/>
    <n v="0"/>
    <s v="Normal"/>
    <s v="Normal"/>
    <s v="Normal"/>
    <s v="Normal"/>
    <n v="2018"/>
    <x v="10"/>
  </r>
  <r>
    <d v="2018-12-20T00:00:00"/>
    <n v="22.2"/>
    <n v="17.7"/>
    <n v="27.7"/>
    <n v="0"/>
    <s v="Normal"/>
    <s v="Normal"/>
    <s v="Normal"/>
    <s v="Normal"/>
    <n v="2018"/>
    <x v="10"/>
  </r>
  <r>
    <d v="2018-12-30T00:00:00"/>
    <n v="20.6"/>
    <n v="17.2"/>
    <n v="26.6"/>
    <n v="0"/>
    <s v="Normal"/>
    <s v="Normal"/>
    <s v="Normal"/>
    <s v="Normal"/>
    <n v="2018"/>
    <x v="10"/>
  </r>
  <r>
    <d v="2019-01-29T00:00:00"/>
    <n v="21.9"/>
    <n v="17.7"/>
    <n v="29.6"/>
    <n v="0.8"/>
    <s v="Normal"/>
    <s v="Normal"/>
    <s v="Normal"/>
    <s v="Normal"/>
    <n v="2019"/>
    <x v="0"/>
  </r>
  <r>
    <d v="2019-01-30T00:00:00"/>
    <n v="22.1"/>
    <n v="17.2"/>
    <n v="27.4"/>
    <n v="0"/>
    <s v="Normal"/>
    <s v="Normal"/>
    <s v="Normal"/>
    <s v="Normal"/>
    <n v="2019"/>
    <x v="0"/>
  </r>
  <r>
    <d v="2019-03-05T00:00:00"/>
    <n v="27.8"/>
    <n v="23.1"/>
    <n v="34.299999999999997"/>
    <n v="0"/>
    <s v="Normal"/>
    <s v="Normal"/>
    <s v="Normal"/>
    <s v="Normal"/>
    <n v="2019"/>
    <x v="1"/>
  </r>
  <r>
    <d v="2019-04-09T00:00:00"/>
    <n v="28.2"/>
    <n v="22.8"/>
    <n v="35.6"/>
    <n v="7.6"/>
    <s v="Normal"/>
    <s v="Normal"/>
    <s v="Normal"/>
    <s v="Normal"/>
    <n v="2019"/>
    <x v="2"/>
  </r>
  <r>
    <d v="2019-04-20T00:00:00"/>
    <n v="26.8"/>
    <n v="22.4"/>
    <n v="33.200000000000003"/>
    <n v="0.3"/>
    <s v="Normal"/>
    <s v="Normal"/>
    <s v="Normal"/>
    <s v="Normal"/>
    <n v="2019"/>
    <x v="2"/>
  </r>
  <r>
    <d v="2019-04-21T00:00:00"/>
    <n v="27.4"/>
    <n v="21.6"/>
    <n v="34.200000000000003"/>
    <n v="0"/>
    <s v="Normal"/>
    <s v="Normal"/>
    <s v="Normal"/>
    <s v="Normal"/>
    <n v="2019"/>
    <x v="2"/>
  </r>
  <r>
    <d v="2019-04-23T00:00:00"/>
    <n v="27.9"/>
    <n v="23.2"/>
    <n v="35"/>
    <n v="0"/>
    <s v="Normal"/>
    <s v="Normal"/>
    <s v="Normal"/>
    <s v="Normal"/>
    <n v="2019"/>
    <x v="2"/>
  </r>
  <r>
    <d v="2019-05-01T00:00:00"/>
    <n v="26.3"/>
    <n v="20.9"/>
    <n v="28.9"/>
    <n v="0"/>
    <s v="Normal"/>
    <s v="Normal"/>
    <s v="Normal"/>
    <s v="Normal"/>
    <n v="2019"/>
    <x v="3"/>
  </r>
  <r>
    <d v="2019-05-07T00:00:00"/>
    <n v="25.5"/>
    <n v="21.9"/>
    <n v="36.200000000000003"/>
    <n v="0"/>
    <s v="Normal"/>
    <s v="Normal"/>
    <s v="Normal"/>
    <s v="Normal"/>
    <n v="2019"/>
    <x v="3"/>
  </r>
  <r>
    <d v="2019-05-09T00:00:00"/>
    <n v="27.9"/>
    <n v="20.8"/>
    <n v="33.1"/>
    <n v="0"/>
    <s v="Normal"/>
    <s v="Normal"/>
    <s v="Normal"/>
    <s v="Normal"/>
    <n v="2019"/>
    <x v="3"/>
  </r>
  <r>
    <d v="2019-05-13T00:00:00"/>
    <n v="26.7"/>
    <n v="21.7"/>
    <n v="35"/>
    <n v="0"/>
    <s v="Normal"/>
    <s v="Normal"/>
    <s v="Normal"/>
    <s v="Normal"/>
    <n v="2019"/>
    <x v="3"/>
  </r>
  <r>
    <d v="2019-05-14T00:00:00"/>
    <n v="27.9"/>
    <n v="21.8"/>
    <n v="35"/>
    <n v="0"/>
    <s v="Normal"/>
    <s v="Normal"/>
    <s v="Normal"/>
    <s v="Normal"/>
    <n v="2019"/>
    <x v="3"/>
  </r>
  <r>
    <d v="2019-05-15T00:00:00"/>
    <n v="25.6"/>
    <n v="22.2"/>
    <n v="34.799999999999997"/>
    <n v="0"/>
    <s v="Normal"/>
    <s v="Normal"/>
    <s v="Normal"/>
    <s v="Normal"/>
    <n v="2019"/>
    <x v="3"/>
  </r>
  <r>
    <d v="2019-05-17T00:00:00"/>
    <n v="24"/>
    <n v="21.4"/>
    <n v="33.6"/>
    <n v="9.9"/>
    <s v="Normal"/>
    <s v="Normal"/>
    <s v="Normal"/>
    <s v="Normal"/>
    <n v="2019"/>
    <x v="3"/>
  </r>
  <r>
    <d v="2019-05-24T00:00:00"/>
    <n v="26.1"/>
    <n v="22.4"/>
    <n v="34"/>
    <n v="3.8"/>
    <s v="Normal"/>
    <s v="Normal"/>
    <s v="Normal"/>
    <s v="Normal"/>
    <n v="2019"/>
    <x v="3"/>
  </r>
  <r>
    <d v="2019-05-25T00:00:00"/>
    <n v="24.8"/>
    <n v="21"/>
    <n v="33.5"/>
    <n v="0"/>
    <s v="Normal"/>
    <s v="Normal"/>
    <s v="Normal"/>
    <s v="Normal"/>
    <n v="2019"/>
    <x v="3"/>
  </r>
  <r>
    <d v="2019-05-29T00:00:00"/>
    <n v="27.9"/>
    <n v="23"/>
    <n v="33.6"/>
    <n v="0.3"/>
    <s v="Normal"/>
    <s v="Normal"/>
    <s v="Normal"/>
    <s v="Normal"/>
    <n v="2019"/>
    <x v="3"/>
  </r>
  <r>
    <d v="2019-05-30T00:00:00"/>
    <n v="27.8"/>
    <n v="23"/>
    <n v="34"/>
    <n v="0"/>
    <s v="Normal"/>
    <s v="Normal"/>
    <s v="Normal"/>
    <s v="Normal"/>
    <n v="2019"/>
    <x v="3"/>
  </r>
  <r>
    <d v="2019-06-01T00:00:00"/>
    <n v="27.5"/>
    <n v="21"/>
    <n v="33.200000000000003"/>
    <n v="1.5"/>
    <s v="Normal"/>
    <s v="Normal"/>
    <s v="Normal"/>
    <s v="Normal"/>
    <n v="2019"/>
    <x v="4"/>
  </r>
  <r>
    <d v="2019-06-02T00:00:00"/>
    <n v="26.2"/>
    <n v="21.8"/>
    <n v="33.200000000000003"/>
    <n v="0"/>
    <s v="Normal"/>
    <s v="Normal"/>
    <s v="Normal"/>
    <s v="Normal"/>
    <n v="2019"/>
    <x v="4"/>
  </r>
  <r>
    <d v="2019-06-03T00:00:00"/>
    <n v="25.5"/>
    <n v="21.2"/>
    <n v="32.1"/>
    <n v="8.4"/>
    <s v="Normal"/>
    <s v="Normal"/>
    <s v="Normal"/>
    <s v="Normal"/>
    <n v="2019"/>
    <x v="4"/>
  </r>
  <r>
    <d v="2019-06-04T00:00:00"/>
    <n v="26.9"/>
    <n v="22.1"/>
    <n v="30.5"/>
    <n v="0"/>
    <s v="Normal"/>
    <s v="Normal"/>
    <s v="Normal"/>
    <s v="Normal"/>
    <n v="2019"/>
    <x v="4"/>
  </r>
  <r>
    <d v="2019-06-08T00:00:00"/>
    <n v="26.3"/>
    <n v="22.5"/>
    <n v="31.5"/>
    <n v="0"/>
    <s v="Normal"/>
    <s v="Normal"/>
    <s v="Normal"/>
    <s v="Normal"/>
    <n v="2019"/>
    <x v="4"/>
  </r>
  <r>
    <d v="2019-06-13T00:00:00"/>
    <n v="24.8"/>
    <n v="22"/>
    <n v="29.4"/>
    <n v="0"/>
    <s v="Normal"/>
    <s v="Normal"/>
    <s v="Normal"/>
    <s v="Normal"/>
    <n v="2019"/>
    <x v="4"/>
  </r>
  <r>
    <d v="2019-06-19T00:00:00"/>
    <n v="26.6"/>
    <n v="21.5"/>
    <n v="31.2"/>
    <n v="0"/>
    <s v="Normal"/>
    <s v="Normal"/>
    <s v="Normal"/>
    <s v="Normal"/>
    <n v="2019"/>
    <x v="4"/>
  </r>
  <r>
    <d v="2019-06-20T00:00:00"/>
    <n v="25.7"/>
    <n v="22.2"/>
    <n v="32.299999999999997"/>
    <n v="1.3"/>
    <s v="Normal"/>
    <s v="Normal"/>
    <s v="Normal"/>
    <s v="Normal"/>
    <n v="2019"/>
    <x v="4"/>
  </r>
  <r>
    <d v="2019-06-21T00:00:00"/>
    <n v="24.6"/>
    <n v="20.7"/>
    <n v="30.6"/>
    <n v="0"/>
    <s v="Normal"/>
    <s v="Normal"/>
    <s v="Normal"/>
    <s v="Normal"/>
    <n v="2019"/>
    <x v="4"/>
  </r>
  <r>
    <d v="2019-06-22T00:00:00"/>
    <n v="25.1"/>
    <n v="21.6"/>
    <n v="29.4"/>
    <n v="0"/>
    <s v="Normal"/>
    <s v="Normal"/>
    <s v="Normal"/>
    <s v="Normal"/>
    <n v="2019"/>
    <x v="4"/>
  </r>
  <r>
    <d v="2019-06-23T00:00:00"/>
    <n v="23.8"/>
    <n v="20.8"/>
    <n v="29.4"/>
    <n v="3"/>
    <s v="Normal"/>
    <s v="Normal"/>
    <s v="Normal"/>
    <s v="Normal"/>
    <n v="2019"/>
    <x v="4"/>
  </r>
  <r>
    <d v="2019-06-25T00:00:00"/>
    <n v="25"/>
    <n v="21.4"/>
    <n v="29.7"/>
    <n v="0"/>
    <s v="Normal"/>
    <s v="Normal"/>
    <s v="Normal"/>
    <s v="Normal"/>
    <n v="2019"/>
    <x v="4"/>
  </r>
  <r>
    <d v="2019-06-26T00:00:00"/>
    <n v="24.6"/>
    <n v="21.6"/>
    <n v="29.8"/>
    <n v="0"/>
    <s v="Normal"/>
    <s v="Normal"/>
    <s v="Normal"/>
    <s v="Normal"/>
    <n v="2019"/>
    <x v="4"/>
  </r>
  <r>
    <d v="2019-06-28T00:00:00"/>
    <n v="25.2"/>
    <n v="21"/>
    <n v="31"/>
    <n v="2"/>
    <s v="Normal"/>
    <s v="Normal"/>
    <s v="Normal"/>
    <s v="Normal"/>
    <n v="2019"/>
    <x v="4"/>
  </r>
  <r>
    <d v="2019-06-29T00:00:00"/>
    <n v="25.1"/>
    <n v="21"/>
    <n v="31.2"/>
    <n v="0"/>
    <s v="Normal"/>
    <s v="Normal"/>
    <s v="Normal"/>
    <s v="Normal"/>
    <n v="2019"/>
    <x v="4"/>
  </r>
  <r>
    <d v="2019-07-01T00:00:00"/>
    <n v="25.6"/>
    <n v="21"/>
    <n v="29.8"/>
    <n v="0"/>
    <s v="Normal"/>
    <s v="Normal"/>
    <s v="Normal"/>
    <s v="Normal"/>
    <n v="2019"/>
    <x v="5"/>
  </r>
  <r>
    <d v="2019-07-03T00:00:00"/>
    <n v="25.4"/>
    <n v="21.4"/>
    <n v="30.8"/>
    <n v="0"/>
    <s v="Normal"/>
    <s v="Normal"/>
    <s v="Normal"/>
    <s v="Normal"/>
    <n v="2019"/>
    <x v="5"/>
  </r>
  <r>
    <d v="2019-07-05T00:00:00"/>
    <n v="23.7"/>
    <n v="20.8"/>
    <n v="30.3"/>
    <n v="0"/>
    <s v="Normal"/>
    <s v="Normal"/>
    <s v="Normal"/>
    <s v="Normal"/>
    <n v="2019"/>
    <x v="5"/>
  </r>
  <r>
    <d v="2019-07-07T00:00:00"/>
    <n v="24.5"/>
    <n v="20.7"/>
    <n v="28.6"/>
    <n v="1"/>
    <s v="Normal"/>
    <s v="Normal"/>
    <s v="Normal"/>
    <s v="Normal"/>
    <n v="2019"/>
    <x v="5"/>
  </r>
  <r>
    <d v="2019-07-08T00:00:00"/>
    <n v="24.4"/>
    <n v="20.6"/>
    <n v="29.2"/>
    <n v="0"/>
    <s v="Normal"/>
    <s v="Normal"/>
    <s v="Normal"/>
    <s v="Normal"/>
    <n v="2019"/>
    <x v="5"/>
  </r>
  <r>
    <d v="2019-07-09T00:00:00"/>
    <n v="23.8"/>
    <n v="20"/>
    <n v="29.5"/>
    <n v="0"/>
    <s v="Normal"/>
    <s v="Normal"/>
    <s v="Normal"/>
    <s v="Normal"/>
    <n v="2019"/>
    <x v="5"/>
  </r>
  <r>
    <d v="2019-07-10T00:00:00"/>
    <n v="23.2"/>
    <n v="19.5"/>
    <n v="29.6"/>
    <n v="0"/>
    <s v="Normal"/>
    <s v="Normal"/>
    <s v="Normal"/>
    <s v="Normal"/>
    <n v="2019"/>
    <x v="5"/>
  </r>
  <r>
    <d v="2019-07-11T00:00:00"/>
    <n v="24.2"/>
    <n v="20.2"/>
    <n v="29.4"/>
    <n v="0"/>
    <s v="Normal"/>
    <s v="Normal"/>
    <s v="Normal"/>
    <s v="Normal"/>
    <n v="2019"/>
    <x v="5"/>
  </r>
  <r>
    <d v="2019-07-12T00:00:00"/>
    <n v="25.3"/>
    <n v="20.8"/>
    <n v="31.4"/>
    <n v="7.1"/>
    <s v="Normal"/>
    <s v="Normal"/>
    <s v="Normal"/>
    <s v="Normal"/>
    <n v="2019"/>
    <x v="5"/>
  </r>
  <r>
    <d v="2019-07-13T00:00:00"/>
    <n v="25.2"/>
    <n v="21"/>
    <n v="31.2"/>
    <n v="2.5"/>
    <s v="Normal"/>
    <s v="Normal"/>
    <s v="Normal"/>
    <s v="Normal"/>
    <n v="2019"/>
    <x v="5"/>
  </r>
  <r>
    <d v="2019-07-14T00:00:00"/>
    <n v="24.7"/>
    <n v="21.3"/>
    <n v="30"/>
    <n v="1"/>
    <s v="Normal"/>
    <s v="Normal"/>
    <s v="Normal"/>
    <s v="Normal"/>
    <n v="2019"/>
    <x v="5"/>
  </r>
  <r>
    <d v="2019-07-15T00:00:00"/>
    <n v="24.2"/>
    <n v="21.4"/>
    <n v="30.8"/>
    <n v="0.3"/>
    <s v="Normal"/>
    <s v="Normal"/>
    <s v="Normal"/>
    <s v="Normal"/>
    <n v="2019"/>
    <x v="5"/>
  </r>
  <r>
    <d v="2019-07-16T00:00:00"/>
    <n v="24.8"/>
    <n v="21"/>
    <n v="30.4"/>
    <n v="3"/>
    <s v="Normal"/>
    <s v="Normal"/>
    <s v="Normal"/>
    <s v="Normal"/>
    <n v="2019"/>
    <x v="5"/>
  </r>
  <r>
    <d v="2019-07-17T00:00:00"/>
    <n v="24.8"/>
    <n v="21"/>
    <n v="30.3"/>
    <n v="3"/>
    <s v="Normal"/>
    <s v="Normal"/>
    <s v="Normal"/>
    <s v="Normal"/>
    <n v="2019"/>
    <x v="5"/>
  </r>
  <r>
    <d v="2019-07-19T00:00:00"/>
    <n v="23.6"/>
    <n v="21.6"/>
    <n v="28.4"/>
    <n v="1"/>
    <s v="Normal"/>
    <s v="Normal"/>
    <s v="Normal"/>
    <s v="Normal"/>
    <n v="2019"/>
    <x v="5"/>
  </r>
  <r>
    <d v="2019-07-20T00:00:00"/>
    <n v="23.4"/>
    <n v="20.6"/>
    <n v="28.4"/>
    <n v="1.3"/>
    <s v="Normal"/>
    <s v="Normal"/>
    <s v="Normal"/>
    <s v="Normal"/>
    <n v="2019"/>
    <x v="5"/>
  </r>
  <r>
    <d v="2019-07-21T00:00:00"/>
    <n v="23"/>
    <n v="20.6"/>
    <n v="27.7"/>
    <n v="0"/>
    <s v="Normal"/>
    <s v="Normal"/>
    <s v="Normal"/>
    <s v="Normal"/>
    <n v="2019"/>
    <x v="5"/>
  </r>
  <r>
    <d v="2019-07-22T00:00:00"/>
    <n v="22.2"/>
    <n v="19.899999999999999"/>
    <n v="27.6"/>
    <n v="3.3"/>
    <s v="Normal"/>
    <s v="Normal"/>
    <s v="Normal"/>
    <s v="Normal"/>
    <n v="2019"/>
    <x v="5"/>
  </r>
  <r>
    <d v="2019-07-24T00:00:00"/>
    <n v="24.3"/>
    <n v="20"/>
    <n v="29.7"/>
    <n v="0.3"/>
    <s v="Normal"/>
    <s v="Normal"/>
    <s v="Normal"/>
    <s v="Normal"/>
    <n v="2019"/>
    <x v="5"/>
  </r>
  <r>
    <d v="2019-07-25T00:00:00"/>
    <n v="23.8"/>
    <n v="21.3"/>
    <n v="29.5"/>
    <n v="1"/>
    <s v="Normal"/>
    <s v="Normal"/>
    <s v="Normal"/>
    <s v="Normal"/>
    <n v="2019"/>
    <x v="5"/>
  </r>
  <r>
    <d v="2019-07-27T00:00:00"/>
    <n v="24.1"/>
    <n v="20.399999999999999"/>
    <n v="28.3"/>
    <n v="0"/>
    <s v="Normal"/>
    <s v="Normal"/>
    <s v="Normal"/>
    <s v="Normal"/>
    <n v="2019"/>
    <x v="5"/>
  </r>
  <r>
    <d v="2019-07-28T00:00:00"/>
    <n v="23.4"/>
    <n v="20.6"/>
    <n v="29"/>
    <n v="0"/>
    <s v="Normal"/>
    <s v="Normal"/>
    <s v="Normal"/>
    <s v="Normal"/>
    <n v="2019"/>
    <x v="5"/>
  </r>
  <r>
    <d v="2019-07-29T00:00:00"/>
    <n v="23.4"/>
    <n v="20.8"/>
    <n v="28.2"/>
    <n v="0"/>
    <s v="Normal"/>
    <s v="Normal"/>
    <s v="Normal"/>
    <s v="Normal"/>
    <n v="2019"/>
    <x v="5"/>
  </r>
  <r>
    <d v="2019-07-30T00:00:00"/>
    <n v="22.9"/>
    <n v="20.100000000000001"/>
    <n v="27.6"/>
    <n v="0"/>
    <s v="Normal"/>
    <s v="Normal"/>
    <s v="Normal"/>
    <s v="Normal"/>
    <n v="2019"/>
    <x v="5"/>
  </r>
  <r>
    <d v="2019-08-05T00:00:00"/>
    <n v="22.4"/>
    <n v="20.6"/>
    <n v="27.9"/>
    <n v="2"/>
    <s v="Normal"/>
    <s v="Normal"/>
    <s v="Normal"/>
    <s v="Normal"/>
    <n v="2019"/>
    <x v="6"/>
  </r>
  <r>
    <d v="2019-08-06T00:00:00"/>
    <n v="21.8"/>
    <n v="20"/>
    <n v="25.6"/>
    <n v="2.8"/>
    <s v="Normal"/>
    <s v="Normal"/>
    <s v="Normal"/>
    <s v="Normal"/>
    <n v="2019"/>
    <x v="6"/>
  </r>
  <r>
    <d v="2019-08-07T00:00:00"/>
    <n v="22.1"/>
    <n v="20.3"/>
    <n v="25.4"/>
    <n v="2"/>
    <s v="Normal"/>
    <s v="Normal"/>
    <s v="Normal"/>
    <s v="Normal"/>
    <n v="2019"/>
    <x v="6"/>
  </r>
  <r>
    <d v="2019-08-08T00:00:00"/>
    <n v="22"/>
    <n v="20.8"/>
    <n v="25.2"/>
    <n v="3"/>
    <s v="Normal"/>
    <s v="Normal"/>
    <s v="Normal"/>
    <s v="Normal"/>
    <n v="2019"/>
    <x v="6"/>
  </r>
  <r>
    <d v="2019-08-10T00:00:00"/>
    <n v="22.7"/>
    <n v="19.8"/>
    <n v="26.2"/>
    <n v="0.8"/>
    <s v="Normal"/>
    <s v="Normal"/>
    <s v="Normal"/>
    <s v="Normal"/>
    <n v="2019"/>
    <x v="6"/>
  </r>
  <r>
    <d v="2019-08-11T00:00:00"/>
    <n v="23"/>
    <n v="20"/>
    <n v="28.5"/>
    <n v="0"/>
    <s v="Normal"/>
    <s v="Normal"/>
    <s v="Normal"/>
    <s v="Normal"/>
    <n v="2019"/>
    <x v="6"/>
  </r>
  <r>
    <d v="2019-08-12T00:00:00"/>
    <n v="23.2"/>
    <n v="20.2"/>
    <n v="27.5"/>
    <n v="6.1"/>
    <s v="Normal"/>
    <s v="Normal"/>
    <s v="Normal"/>
    <s v="Normal"/>
    <n v="2019"/>
    <x v="6"/>
  </r>
  <r>
    <d v="2019-08-14T00:00:00"/>
    <n v="22.8"/>
    <n v="20.7"/>
    <n v="27.4"/>
    <n v="0.3"/>
    <s v="Normal"/>
    <s v="Normal"/>
    <s v="Normal"/>
    <s v="Normal"/>
    <n v="2019"/>
    <x v="6"/>
  </r>
  <r>
    <d v="2019-08-15T00:00:00"/>
    <n v="23.2"/>
    <n v="20.5"/>
    <n v="28.4"/>
    <n v="9.1"/>
    <s v="Normal"/>
    <s v="Normal"/>
    <s v="Normal"/>
    <s v="Normal"/>
    <n v="2019"/>
    <x v="6"/>
  </r>
  <r>
    <d v="2019-08-16T00:00:00"/>
    <n v="23.1"/>
    <n v="20.8"/>
    <n v="29.2"/>
    <n v="0"/>
    <s v="Normal"/>
    <s v="Normal"/>
    <s v="Normal"/>
    <s v="Normal"/>
    <n v="2019"/>
    <x v="6"/>
  </r>
  <r>
    <d v="2019-08-17T00:00:00"/>
    <n v="22.2"/>
    <n v="20"/>
    <n v="28.6"/>
    <n v="3"/>
    <s v="Normal"/>
    <s v="Normal"/>
    <s v="Normal"/>
    <s v="Normal"/>
    <n v="2019"/>
    <x v="6"/>
  </r>
  <r>
    <d v="2019-08-22T00:00:00"/>
    <n v="22.7"/>
    <n v="20.8"/>
    <n v="27.3"/>
    <n v="0"/>
    <s v="Normal"/>
    <s v="Normal"/>
    <s v="Normal"/>
    <s v="Normal"/>
    <n v="2019"/>
    <x v="6"/>
  </r>
  <r>
    <d v="2019-08-23T00:00:00"/>
    <n v="22.7"/>
    <n v="20.3"/>
    <n v="27.5"/>
    <n v="5.3"/>
    <s v="Normal"/>
    <s v="Normal"/>
    <s v="Normal"/>
    <s v="Normal"/>
    <n v="2019"/>
    <x v="6"/>
  </r>
  <r>
    <d v="2019-08-24T00:00:00"/>
    <n v="22.7"/>
    <n v="20"/>
    <n v="27.6"/>
    <n v="1.5"/>
    <s v="Normal"/>
    <s v="Normal"/>
    <s v="Normal"/>
    <s v="Normal"/>
    <n v="2019"/>
    <x v="6"/>
  </r>
  <r>
    <d v="2019-08-25T00:00:00"/>
    <n v="23"/>
    <n v="20"/>
    <n v="28.4"/>
    <n v="0"/>
    <s v="Normal"/>
    <s v="Normal"/>
    <s v="Normal"/>
    <s v="Normal"/>
    <n v="2019"/>
    <x v="6"/>
  </r>
  <r>
    <d v="2019-08-26T00:00:00"/>
    <n v="23"/>
    <n v="20"/>
    <n v="28.3"/>
    <n v="0"/>
    <s v="Normal"/>
    <s v="Normal"/>
    <s v="Normal"/>
    <s v="Normal"/>
    <n v="2019"/>
    <x v="6"/>
  </r>
  <r>
    <d v="2019-08-27T00:00:00"/>
    <n v="23.9"/>
    <n v="20.399999999999999"/>
    <n v="29.4"/>
    <n v="0.3"/>
    <s v="Normal"/>
    <s v="Normal"/>
    <s v="Normal"/>
    <s v="Normal"/>
    <n v="2019"/>
    <x v="6"/>
  </r>
  <r>
    <d v="2019-08-28T00:00:00"/>
    <n v="23.7"/>
    <n v="20"/>
    <n v="29"/>
    <n v="0"/>
    <s v="Normal"/>
    <s v="Normal"/>
    <s v="Normal"/>
    <s v="Normal"/>
    <n v="2019"/>
    <x v="6"/>
  </r>
  <r>
    <d v="2019-08-29T00:00:00"/>
    <n v="24.1"/>
    <n v="20.6"/>
    <n v="29.3"/>
    <n v="0"/>
    <s v="Normal"/>
    <s v="Normal"/>
    <s v="Normal"/>
    <s v="Normal"/>
    <n v="2019"/>
    <x v="6"/>
  </r>
  <r>
    <d v="2019-08-30T00:00:00"/>
    <n v="24.3"/>
    <n v="20.6"/>
    <n v="29"/>
    <n v="0"/>
    <s v="Normal"/>
    <s v="Normal"/>
    <s v="Normal"/>
    <s v="Normal"/>
    <n v="2019"/>
    <x v="6"/>
  </r>
  <r>
    <d v="2019-08-31T00:00:00"/>
    <n v="23"/>
    <n v="20.399999999999999"/>
    <n v="28.7"/>
    <n v="0"/>
    <s v="Normal"/>
    <s v="Normal"/>
    <s v="Normal"/>
    <s v="Normal"/>
    <n v="2019"/>
    <x v="6"/>
  </r>
  <r>
    <d v="2019-09-01T00:00:00"/>
    <n v="23"/>
    <n v="20.100000000000001"/>
    <n v="26.4"/>
    <n v="0"/>
    <s v="Normal"/>
    <s v="Normal"/>
    <s v="Normal"/>
    <s v="Normal"/>
    <n v="2019"/>
    <x v="7"/>
  </r>
  <r>
    <d v="2019-09-02T00:00:00"/>
    <n v="22.3"/>
    <n v="20.3"/>
    <n v="26.8"/>
    <n v="0.5"/>
    <s v="Normal"/>
    <s v="Normal"/>
    <s v="Normal"/>
    <s v="Normal"/>
    <n v="2019"/>
    <x v="7"/>
  </r>
  <r>
    <d v="2019-09-04T00:00:00"/>
    <n v="22.2"/>
    <n v="20.3"/>
    <n v="26.4"/>
    <n v="4.5999999999999996"/>
    <s v="Normal"/>
    <s v="Normal"/>
    <s v="Normal"/>
    <s v="Normal"/>
    <n v="2019"/>
    <x v="7"/>
  </r>
  <r>
    <d v="2019-09-05T00:00:00"/>
    <n v="22.6"/>
    <n v="20.399999999999999"/>
    <n v="27.8"/>
    <n v="0"/>
    <s v="Normal"/>
    <s v="Normal"/>
    <s v="Normal"/>
    <s v="Normal"/>
    <n v="2019"/>
    <x v="7"/>
  </r>
  <r>
    <d v="2019-09-06T00:00:00"/>
    <n v="22.8"/>
    <n v="20.399999999999999"/>
    <n v="27.4"/>
    <n v="0.5"/>
    <s v="Normal"/>
    <s v="Normal"/>
    <s v="Normal"/>
    <s v="Normal"/>
    <n v="2019"/>
    <x v="7"/>
  </r>
  <r>
    <d v="2019-09-07T00:00:00"/>
    <n v="23.2"/>
    <n v="20.399999999999999"/>
    <n v="27.3"/>
    <n v="2.2999999999999998"/>
    <s v="Normal"/>
    <s v="Normal"/>
    <s v="Normal"/>
    <s v="Normal"/>
    <n v="2019"/>
    <x v="7"/>
  </r>
  <r>
    <d v="2019-09-08T00:00:00"/>
    <n v="23.6"/>
    <n v="20.8"/>
    <n v="27.8"/>
    <n v="0.3"/>
    <s v="Normal"/>
    <s v="Normal"/>
    <s v="Normal"/>
    <s v="Normal"/>
    <n v="2019"/>
    <x v="7"/>
  </r>
  <r>
    <d v="2019-09-09T00:00:00"/>
    <n v="24.1"/>
    <n v="21"/>
    <n v="27.5"/>
    <n v="0.3"/>
    <s v="Normal"/>
    <s v="Normal"/>
    <s v="Normal"/>
    <s v="Normal"/>
    <n v="2019"/>
    <x v="7"/>
  </r>
  <r>
    <d v="2019-09-10T00:00:00"/>
    <n v="24.2"/>
    <n v="20.6"/>
    <n v="27.9"/>
    <n v="0"/>
    <s v="Normal"/>
    <s v="Normal"/>
    <s v="Normal"/>
    <s v="Normal"/>
    <n v="2019"/>
    <x v="7"/>
  </r>
  <r>
    <d v="2019-09-12T00:00:00"/>
    <n v="24"/>
    <n v="21"/>
    <n v="29.6"/>
    <n v="0"/>
    <s v="Normal"/>
    <s v="Normal"/>
    <s v="Normal"/>
    <s v="Normal"/>
    <n v="2019"/>
    <x v="7"/>
  </r>
  <r>
    <d v="2019-09-13T00:00:00"/>
    <n v="24.7"/>
    <n v="21"/>
    <n v="29.8"/>
    <n v="0.5"/>
    <s v="Normal"/>
    <s v="Normal"/>
    <s v="Normal"/>
    <s v="Normal"/>
    <n v="2019"/>
    <x v="7"/>
  </r>
  <r>
    <d v="2019-09-14T00:00:00"/>
    <n v="25.1"/>
    <n v="21.2"/>
    <n v="30.2"/>
    <n v="0"/>
    <s v="Normal"/>
    <s v="Normal"/>
    <s v="Normal"/>
    <s v="Normal"/>
    <n v="2019"/>
    <x v="7"/>
  </r>
  <r>
    <d v="2019-09-15T00:00:00"/>
    <n v="24.8"/>
    <n v="21.3"/>
    <n v="30.7"/>
    <n v="0"/>
    <s v="Normal"/>
    <s v="Normal"/>
    <s v="Normal"/>
    <s v="Normal"/>
    <n v="2019"/>
    <x v="7"/>
  </r>
  <r>
    <d v="2019-09-16T00:00:00"/>
    <n v="23.2"/>
    <n v="20.2"/>
    <n v="29.5"/>
    <n v="0.3"/>
    <s v="Normal"/>
    <s v="Normal"/>
    <s v="Normal"/>
    <s v="Normal"/>
    <n v="2019"/>
    <x v="7"/>
  </r>
  <r>
    <d v="2019-09-18T00:00:00"/>
    <n v="23.9"/>
    <n v="21.6"/>
    <n v="27.8"/>
    <n v="0.5"/>
    <s v="Normal"/>
    <s v="Normal"/>
    <s v="Normal"/>
    <s v="Normal"/>
    <n v="2019"/>
    <x v="7"/>
  </r>
  <r>
    <d v="2019-09-19T00:00:00"/>
    <n v="24.2"/>
    <n v="21.2"/>
    <n v="27.8"/>
    <n v="0.3"/>
    <s v="Normal"/>
    <s v="Normal"/>
    <s v="Normal"/>
    <s v="Normal"/>
    <n v="2019"/>
    <x v="7"/>
  </r>
  <r>
    <d v="2019-09-20T00:00:00"/>
    <n v="24.2"/>
    <n v="20.6"/>
    <n v="29"/>
    <n v="1.8"/>
    <s v="Normal"/>
    <s v="Normal"/>
    <s v="Normal"/>
    <s v="Normal"/>
    <n v="2019"/>
    <x v="7"/>
  </r>
  <r>
    <d v="2019-09-21T00:00:00"/>
    <n v="25.2"/>
    <n v="21.2"/>
    <n v="29.8"/>
    <n v="0"/>
    <s v="Normal"/>
    <s v="Normal"/>
    <s v="Normal"/>
    <s v="Normal"/>
    <n v="2019"/>
    <x v="7"/>
  </r>
  <r>
    <d v="2019-09-22T00:00:00"/>
    <n v="23.2"/>
    <n v="21.2"/>
    <n v="30.8"/>
    <n v="7.9"/>
    <s v="Normal"/>
    <s v="Normal"/>
    <s v="Normal"/>
    <s v="Normal"/>
    <n v="2019"/>
    <x v="7"/>
  </r>
  <r>
    <d v="2019-09-26T00:00:00"/>
    <n v="23.9"/>
    <n v="20.2"/>
    <n v="28"/>
    <n v="1.8"/>
    <s v="Normal"/>
    <s v="Normal"/>
    <s v="Normal"/>
    <s v="Normal"/>
    <n v="2019"/>
    <x v="7"/>
  </r>
  <r>
    <d v="2019-09-27T00:00:00"/>
    <n v="23.9"/>
    <n v="21"/>
    <n v="29.8"/>
    <n v="0"/>
    <s v="Normal"/>
    <s v="Normal"/>
    <s v="Normal"/>
    <s v="Normal"/>
    <n v="2019"/>
    <x v="7"/>
  </r>
  <r>
    <d v="2019-09-28T00:00:00"/>
    <n v="24.7"/>
    <n v="21.1"/>
    <n v="29.1"/>
    <n v="6.1"/>
    <s v="Normal"/>
    <s v="Normal"/>
    <s v="Normal"/>
    <s v="Normal"/>
    <n v="2019"/>
    <x v="7"/>
  </r>
  <r>
    <d v="2019-09-29T00:00:00"/>
    <n v="24.7"/>
    <n v="21.1"/>
    <n v="30"/>
    <n v="0"/>
    <s v="Normal"/>
    <s v="Normal"/>
    <s v="Normal"/>
    <s v="Normal"/>
    <n v="2019"/>
    <x v="7"/>
  </r>
  <r>
    <d v="2019-10-03T00:00:00"/>
    <n v="23.5"/>
    <n v="19.2"/>
    <n v="30.4"/>
    <n v="7.9"/>
    <s v="Normal"/>
    <s v="Normal"/>
    <s v="Normal"/>
    <s v="Normal"/>
    <n v="2019"/>
    <x v="8"/>
  </r>
  <r>
    <d v="2019-10-04T00:00:00"/>
    <n v="23"/>
    <n v="19.600000000000001"/>
    <n v="28.3"/>
    <n v="2.2999999999999998"/>
    <s v="Normal"/>
    <s v="Normal"/>
    <s v="Normal"/>
    <s v="Normal"/>
    <n v="2019"/>
    <x v="8"/>
  </r>
  <r>
    <d v="2019-10-05T00:00:00"/>
    <n v="23.5"/>
    <n v="19.899999999999999"/>
    <n v="29.4"/>
    <n v="8.6"/>
    <s v="Normal"/>
    <s v="Normal"/>
    <s v="Normal"/>
    <s v="Normal"/>
    <n v="2019"/>
    <x v="8"/>
  </r>
  <r>
    <d v="2019-10-06T00:00:00"/>
    <n v="24.3"/>
    <n v="20.6"/>
    <n v="28.7"/>
    <n v="0.5"/>
    <s v="Normal"/>
    <s v="Normal"/>
    <s v="Normal"/>
    <s v="Normal"/>
    <n v="2019"/>
    <x v="8"/>
  </r>
  <r>
    <d v="2019-10-07T00:00:00"/>
    <n v="24.1"/>
    <n v="21.3"/>
    <n v="29.6"/>
    <n v="0"/>
    <s v="Normal"/>
    <s v="Normal"/>
    <s v="Normal"/>
    <s v="Normal"/>
    <n v="2019"/>
    <x v="8"/>
  </r>
  <r>
    <d v="2019-10-08T00:00:00"/>
    <n v="23.3"/>
    <n v="19.2"/>
    <n v="29.2"/>
    <n v="0"/>
    <s v="Normal"/>
    <s v="Normal"/>
    <s v="Normal"/>
    <s v="Normal"/>
    <n v="2019"/>
    <x v="8"/>
  </r>
  <r>
    <d v="2019-10-09T00:00:00"/>
    <n v="24.3"/>
    <n v="19.3"/>
    <n v="30.1"/>
    <n v="5.6"/>
    <s v="Normal"/>
    <s v="Normal"/>
    <s v="Normal"/>
    <s v="Normal"/>
    <n v="2019"/>
    <x v="8"/>
  </r>
  <r>
    <d v="2019-10-10T00:00:00"/>
    <n v="24.7"/>
    <n v="20.7"/>
    <n v="30"/>
    <n v="0"/>
    <s v="Normal"/>
    <s v="Normal"/>
    <s v="Normal"/>
    <s v="Normal"/>
    <n v="2019"/>
    <x v="8"/>
  </r>
  <r>
    <d v="2019-10-11T00:00:00"/>
    <n v="24.4"/>
    <n v="21.8"/>
    <n v="30"/>
    <n v="0"/>
    <s v="Normal"/>
    <s v="Normal"/>
    <s v="Normal"/>
    <s v="Normal"/>
    <n v="2019"/>
    <x v="8"/>
  </r>
  <r>
    <d v="2019-10-12T00:00:00"/>
    <n v="25"/>
    <n v="21.5"/>
    <n v="29.6"/>
    <n v="0.5"/>
    <s v="Normal"/>
    <s v="Normal"/>
    <s v="Normal"/>
    <s v="Normal"/>
    <n v="2019"/>
    <x v="8"/>
  </r>
  <r>
    <d v="2019-10-13T00:00:00"/>
    <n v="24.9"/>
    <n v="21.5"/>
    <n v="29.8"/>
    <n v="0"/>
    <s v="Normal"/>
    <s v="Normal"/>
    <s v="Normal"/>
    <s v="Normal"/>
    <n v="2019"/>
    <x v="8"/>
  </r>
  <r>
    <d v="2019-10-14T00:00:00"/>
    <n v="26.7"/>
    <n v="21.6"/>
    <n v="29.6"/>
    <n v="0"/>
    <s v="Normal"/>
    <s v="Normal"/>
    <s v="Normal"/>
    <s v="Normal"/>
    <n v="2019"/>
    <x v="8"/>
  </r>
  <r>
    <d v="2019-10-15T00:00:00"/>
    <n v="24.7"/>
    <n v="21.6"/>
    <n v="30.7"/>
    <n v="0"/>
    <s v="Normal"/>
    <s v="Normal"/>
    <s v="Normal"/>
    <s v="Normal"/>
    <n v="2019"/>
    <x v="8"/>
  </r>
  <r>
    <d v="2019-10-16T00:00:00"/>
    <n v="24.5"/>
    <n v="21.2"/>
    <n v="30"/>
    <n v="0"/>
    <s v="Normal"/>
    <s v="Normal"/>
    <s v="Normal"/>
    <s v="Normal"/>
    <n v="2019"/>
    <x v="8"/>
  </r>
  <r>
    <d v="2019-10-17T00:00:00"/>
    <n v="22.4"/>
    <n v="20.8"/>
    <n v="28.4"/>
    <n v="0"/>
    <s v="Normal"/>
    <s v="Normal"/>
    <s v="Normal"/>
    <s v="Normal"/>
    <n v="2019"/>
    <x v="8"/>
  </r>
  <r>
    <d v="2019-10-18T00:00:00"/>
    <n v="23"/>
    <n v="20.2"/>
    <n v="26.8"/>
    <n v="3.8"/>
    <s v="Normal"/>
    <s v="Normal"/>
    <s v="Normal"/>
    <s v="Normal"/>
    <n v="2019"/>
    <x v="8"/>
  </r>
  <r>
    <d v="2019-10-19T00:00:00"/>
    <n v="23.4"/>
    <n v="20.2"/>
    <n v="27.6"/>
    <n v="8.9"/>
    <s v="Normal"/>
    <s v="Normal"/>
    <s v="Normal"/>
    <s v="Normal"/>
    <n v="2019"/>
    <x v="8"/>
  </r>
  <r>
    <d v="2019-10-20T00:00:00"/>
    <n v="23.3"/>
    <n v="21"/>
    <n v="27.9"/>
    <n v="0"/>
    <s v="Normal"/>
    <s v="Normal"/>
    <s v="Normal"/>
    <s v="Normal"/>
    <n v="2019"/>
    <x v="8"/>
  </r>
  <r>
    <d v="2019-10-21T00:00:00"/>
    <n v="22.2"/>
    <n v="20.6"/>
    <n v="28.6"/>
    <n v="7.9"/>
    <s v="Normal"/>
    <s v="Normal"/>
    <s v="Normal"/>
    <s v="Normal"/>
    <n v="2019"/>
    <x v="8"/>
  </r>
  <r>
    <d v="2019-10-24T00:00:00"/>
    <n v="22.5"/>
    <n v="20"/>
    <n v="27.6"/>
    <n v="0"/>
    <s v="Normal"/>
    <s v="Normal"/>
    <s v="Normal"/>
    <s v="Normal"/>
    <n v="2019"/>
    <x v="8"/>
  </r>
  <r>
    <d v="2019-10-25T00:00:00"/>
    <n v="21.5"/>
    <n v="19.600000000000001"/>
    <n v="26.7"/>
    <n v="0"/>
    <s v="Normal"/>
    <s v="Normal"/>
    <s v="Normal"/>
    <s v="Normal"/>
    <n v="2019"/>
    <x v="8"/>
  </r>
  <r>
    <d v="2019-10-26T00:00:00"/>
    <n v="22.4"/>
    <n v="19"/>
    <n v="27"/>
    <n v="6.1"/>
    <s v="Normal"/>
    <s v="Normal"/>
    <s v="Normal"/>
    <s v="Normal"/>
    <n v="2019"/>
    <x v="8"/>
  </r>
  <r>
    <d v="2019-10-27T00:00:00"/>
    <n v="22.3"/>
    <n v="19.399999999999999"/>
    <n v="27.8"/>
    <n v="3"/>
    <s v="Normal"/>
    <s v="Normal"/>
    <s v="Normal"/>
    <s v="Normal"/>
    <n v="2019"/>
    <x v="8"/>
  </r>
  <r>
    <d v="2019-10-29T00:00:00"/>
    <n v="22"/>
    <n v="20"/>
    <n v="27.6"/>
    <n v="0"/>
    <s v="Normal"/>
    <s v="Normal"/>
    <s v="Normal"/>
    <s v="Normal"/>
    <n v="2019"/>
    <x v="8"/>
  </r>
  <r>
    <d v="2019-10-30T00:00:00"/>
    <n v="21.4"/>
    <n v="19.7"/>
    <n v="25.3"/>
    <n v="4.5999999999999996"/>
    <s v="Normal"/>
    <s v="Normal"/>
    <s v="Normal"/>
    <s v="Normal"/>
    <n v="2019"/>
    <x v="8"/>
  </r>
  <r>
    <d v="2019-10-31T00:00:00"/>
    <n v="22.5"/>
    <n v="19.7"/>
    <n v="25.6"/>
    <n v="6.9"/>
    <s v="Normal"/>
    <s v="Normal"/>
    <s v="Normal"/>
    <s v="Normal"/>
    <n v="2019"/>
    <x v="8"/>
  </r>
  <r>
    <d v="2019-11-01T00:00:00"/>
    <n v="23.8"/>
    <n v="18"/>
    <n v="28.8"/>
    <n v="0.3"/>
    <s v="Normal"/>
    <s v="Normal"/>
    <s v="Normal"/>
    <s v="Normal"/>
    <n v="2019"/>
    <x v="9"/>
  </r>
  <r>
    <d v="2019-11-02T00:00:00"/>
    <n v="24.2"/>
    <n v="21"/>
    <n v="29.4"/>
    <n v="0"/>
    <s v="Normal"/>
    <s v="Normal"/>
    <s v="Normal"/>
    <s v="Normal"/>
    <n v="2019"/>
    <x v="9"/>
  </r>
  <r>
    <d v="2019-11-08T00:00:00"/>
    <n v="24.4"/>
    <n v="18.8"/>
    <n v="29.4"/>
    <n v="3"/>
    <s v="Normal"/>
    <s v="Normal"/>
    <s v="Normal"/>
    <s v="Normal"/>
    <n v="2019"/>
    <x v="9"/>
  </r>
  <r>
    <d v="2019-11-09T00:00:00"/>
    <n v="24.3"/>
    <n v="20.3"/>
    <n v="29.2"/>
    <n v="0"/>
    <s v="Normal"/>
    <s v="Normal"/>
    <s v="Normal"/>
    <s v="Normal"/>
    <n v="2019"/>
    <x v="9"/>
  </r>
  <r>
    <d v="2019-11-11T00:00:00"/>
    <n v="23.8"/>
    <n v="19.7"/>
    <n v="29.8"/>
    <n v="0"/>
    <s v="Normal"/>
    <s v="Normal"/>
    <s v="Normal"/>
    <s v="Normal"/>
    <n v="2019"/>
    <x v="9"/>
  </r>
  <r>
    <d v="2019-11-15T00:00:00"/>
    <n v="22.7"/>
    <n v="19.600000000000001"/>
    <n v="26.8"/>
    <n v="2.8"/>
    <s v="Normal"/>
    <s v="Normal"/>
    <s v="Normal"/>
    <s v="Normal"/>
    <n v="2019"/>
    <x v="9"/>
  </r>
  <r>
    <d v="2019-11-16T00:00:00"/>
    <n v="23.5"/>
    <n v="20.399999999999999"/>
    <n v="26.2"/>
    <n v="0.5"/>
    <s v="Normal"/>
    <s v="Normal"/>
    <s v="Normal"/>
    <s v="Normal"/>
    <n v="2019"/>
    <x v="9"/>
  </r>
  <r>
    <d v="2019-11-17T00:00:00"/>
    <n v="24"/>
    <n v="19.5"/>
    <n v="29.2"/>
    <n v="0"/>
    <s v="Normal"/>
    <s v="Normal"/>
    <s v="Normal"/>
    <s v="Normal"/>
    <n v="2019"/>
    <x v="9"/>
  </r>
  <r>
    <d v="2019-11-19T00:00:00"/>
    <n v="23.6"/>
    <n v="19.8"/>
    <n v="29.4"/>
    <n v="0"/>
    <s v="Normal"/>
    <s v="Normal"/>
    <s v="Normal"/>
    <s v="Normal"/>
    <n v="2019"/>
    <x v="9"/>
  </r>
  <r>
    <d v="2019-11-21T00:00:00"/>
    <n v="22.4"/>
    <n v="20.399999999999999"/>
    <n v="27.6"/>
    <n v="2.5"/>
    <s v="Normal"/>
    <s v="Normal"/>
    <s v="Normal"/>
    <s v="Normal"/>
    <n v="2019"/>
    <x v="9"/>
  </r>
  <r>
    <d v="2019-11-22T00:00:00"/>
    <n v="22.3"/>
    <n v="19.2"/>
    <n v="25.6"/>
    <n v="0"/>
    <s v="Normal"/>
    <s v="Normal"/>
    <s v="Normal"/>
    <s v="Normal"/>
    <n v="2019"/>
    <x v="9"/>
  </r>
  <r>
    <d v="2019-11-23T00:00:00"/>
    <n v="23.2"/>
    <n v="17.3"/>
    <n v="28"/>
    <n v="0"/>
    <s v="Normal"/>
    <s v="Normal"/>
    <s v="Normal"/>
    <s v="Normal"/>
    <n v="2019"/>
    <x v="9"/>
  </r>
  <r>
    <d v="2019-11-27T00:00:00"/>
    <n v="21.9"/>
    <n v="20"/>
    <n v="28.3"/>
    <n v="0.3"/>
    <s v="Normal"/>
    <s v="Normal"/>
    <s v="Normal"/>
    <s v="Normal"/>
    <n v="2019"/>
    <x v="9"/>
  </r>
  <r>
    <d v="2019-11-28T00:00:00"/>
    <n v="22.6"/>
    <n v="19.2"/>
    <n v="27.8"/>
    <n v="0"/>
    <s v="Normal"/>
    <s v="Normal"/>
    <s v="Normal"/>
    <s v="Normal"/>
    <n v="2019"/>
    <x v="9"/>
  </r>
  <r>
    <d v="2019-11-29T00:00:00"/>
    <n v="22.5"/>
    <n v="19.399999999999999"/>
    <n v="28.4"/>
    <n v="0"/>
    <s v="Normal"/>
    <s v="Normal"/>
    <s v="Normal"/>
    <s v="Normal"/>
    <n v="2019"/>
    <x v="9"/>
  </r>
  <r>
    <d v="2019-11-30T00:00:00"/>
    <n v="21.4"/>
    <n v="18.7"/>
    <n v="27"/>
    <n v="1.5"/>
    <s v="Normal"/>
    <s v="Normal"/>
    <s v="Normal"/>
    <s v="Normal"/>
    <n v="2019"/>
    <x v="9"/>
  </r>
  <r>
    <d v="2019-12-01T00:00:00"/>
    <n v="21.2"/>
    <n v="19.399999999999999"/>
    <n v="24.6"/>
    <n v="1.8"/>
    <s v="Normal"/>
    <s v="Normal"/>
    <s v="Normal"/>
    <s v="Normal"/>
    <n v="2019"/>
    <x v="10"/>
  </r>
  <r>
    <d v="2019-12-02T00:00:00"/>
    <n v="21.3"/>
    <n v="19.2"/>
    <n v="25"/>
    <n v="6.9"/>
    <s v="Normal"/>
    <s v="Normal"/>
    <s v="Normal"/>
    <s v="Normal"/>
    <n v="2019"/>
    <x v="10"/>
  </r>
  <r>
    <d v="2019-12-03T00:00:00"/>
    <n v="21.1"/>
    <n v="19.399999999999999"/>
    <n v="24.5"/>
    <n v="0.5"/>
    <s v="Normal"/>
    <s v="Normal"/>
    <s v="Normal"/>
    <s v="Normal"/>
    <n v="2019"/>
    <x v="10"/>
  </r>
  <r>
    <d v="2019-12-04T00:00:00"/>
    <n v="21.2"/>
    <n v="18.8"/>
    <n v="26"/>
    <n v="0"/>
    <s v="Normal"/>
    <s v="Normal"/>
    <s v="Normal"/>
    <s v="Normal"/>
    <n v="2019"/>
    <x v="10"/>
  </r>
  <r>
    <d v="2019-12-05T00:00:00"/>
    <n v="20.8"/>
    <n v="18"/>
    <n v="26"/>
    <n v="0"/>
    <s v="Normal"/>
    <s v="Normal"/>
    <s v="Normal"/>
    <s v="Normal"/>
    <n v="2019"/>
    <x v="10"/>
  </r>
  <r>
    <d v="2019-12-08T00:00:00"/>
    <n v="20.2"/>
    <n v="17.8"/>
    <n v="24.9"/>
    <n v="0.5"/>
    <s v="Normal"/>
    <s v="Normal"/>
    <s v="Normal"/>
    <s v="Normal"/>
    <n v="2019"/>
    <x v="10"/>
  </r>
  <r>
    <d v="2019-12-09T00:00:00"/>
    <n v="21.5"/>
    <n v="17"/>
    <n v="26.8"/>
    <n v="0"/>
    <s v="Normal"/>
    <s v="Normal"/>
    <s v="Normal"/>
    <s v="Normal"/>
    <n v="2019"/>
    <x v="10"/>
  </r>
  <r>
    <d v="2019-12-14T00:00:00"/>
    <n v="21.1"/>
    <n v="18.8"/>
    <n v="28.8"/>
    <n v="0"/>
    <s v="Normal"/>
    <s v="Normal"/>
    <s v="Normal"/>
    <s v="Normal"/>
    <n v="2019"/>
    <x v="10"/>
  </r>
  <r>
    <d v="2019-12-15T00:00:00"/>
    <n v="21.7"/>
    <n v="17.600000000000001"/>
    <n v="25.8"/>
    <n v="2.8"/>
    <s v="Normal"/>
    <s v="Normal"/>
    <s v="Normal"/>
    <s v="Normal"/>
    <n v="2019"/>
    <x v="10"/>
  </r>
  <r>
    <d v="2019-12-16T00:00:00"/>
    <n v="22.1"/>
    <n v="17.399999999999999"/>
    <n v="26.7"/>
    <n v="0"/>
    <s v="Normal"/>
    <s v="Normal"/>
    <s v="Normal"/>
    <s v="Normal"/>
    <n v="2019"/>
    <x v="10"/>
  </r>
  <r>
    <d v="2019-12-17T00:00:00"/>
    <n v="21.3"/>
    <n v="18.399999999999999"/>
    <n v="27.6"/>
    <n v="0"/>
    <s v="Normal"/>
    <s v="Normal"/>
    <s v="Normal"/>
    <s v="Normal"/>
    <n v="2019"/>
    <x v="10"/>
  </r>
  <r>
    <d v="2019-12-18T00:00:00"/>
    <n v="21.6"/>
    <n v="17"/>
    <n v="26.2"/>
    <n v="0"/>
    <s v="Normal"/>
    <s v="Normal"/>
    <s v="Normal"/>
    <s v="Normal"/>
    <n v="2019"/>
    <x v="10"/>
  </r>
  <r>
    <d v="2020-01-04T00:00:00"/>
    <n v="23.6"/>
    <n v="18.600000000000001"/>
    <n v="30.5"/>
    <n v="0"/>
    <s v="Normal"/>
    <s v="Normal"/>
    <s v="Normal"/>
    <s v="Normal"/>
    <n v="2020"/>
    <x v="0"/>
  </r>
  <r>
    <d v="2020-01-06T00:00:00"/>
    <n v="22.1"/>
    <n v="20.399999999999999"/>
    <n v="30.8"/>
    <n v="0.3"/>
    <s v="Normal"/>
    <s v="Normal"/>
    <s v="Normal"/>
    <s v="Normal"/>
    <n v="2020"/>
    <x v="0"/>
  </r>
  <r>
    <d v="2020-01-07T00:00:00"/>
    <n v="22.2"/>
    <n v="18.8"/>
    <n v="26.2"/>
    <n v="0"/>
    <s v="Normal"/>
    <s v="Normal"/>
    <s v="Normal"/>
    <s v="Normal"/>
    <n v="2020"/>
    <x v="0"/>
  </r>
  <r>
    <d v="2020-03-03T00:00:00"/>
    <n v="25.8"/>
    <n v="20"/>
    <n v="30.6"/>
    <n v="0"/>
    <s v="Normal"/>
    <s v="Normal"/>
    <s v="Normal"/>
    <s v="Normal"/>
    <n v="2020"/>
    <x v="1"/>
  </r>
  <r>
    <d v="2020-03-04T00:00:00"/>
    <n v="26.4"/>
    <n v="21.4"/>
    <n v="33"/>
    <n v="1"/>
    <s v="Normal"/>
    <s v="Normal"/>
    <s v="Normal"/>
    <s v="Normal"/>
    <n v="2020"/>
    <x v="1"/>
  </r>
  <r>
    <d v="2020-03-05T00:00:00"/>
    <n v="27.4"/>
    <n v="21.6"/>
    <n v="32.4"/>
    <n v="0"/>
    <s v="Normal"/>
    <s v="Normal"/>
    <s v="Normal"/>
    <s v="Normal"/>
    <n v="2020"/>
    <x v="1"/>
  </r>
  <r>
    <d v="2020-03-07T00:00:00"/>
    <n v="26.1"/>
    <n v="22.3"/>
    <n v="33.4"/>
    <n v="1"/>
    <s v="Normal"/>
    <s v="Normal"/>
    <s v="Normal"/>
    <s v="Normal"/>
    <n v="2020"/>
    <x v="1"/>
  </r>
  <r>
    <d v="2020-03-08T00:00:00"/>
    <n v="26.4"/>
    <n v="21.2"/>
    <n v="32.299999999999997"/>
    <n v="0"/>
    <s v="Normal"/>
    <s v="Normal"/>
    <s v="Normal"/>
    <s v="Normal"/>
    <n v="2020"/>
    <x v="1"/>
  </r>
  <r>
    <d v="2020-03-21T00:00:00"/>
    <n v="27.4"/>
    <n v="22"/>
    <n v="34.1"/>
    <n v="1"/>
    <s v="Normal"/>
    <s v="Normal"/>
    <s v="Normal"/>
    <s v="Normal"/>
    <n v="2020"/>
    <x v="1"/>
  </r>
  <r>
    <d v="2020-03-22T00:00:00"/>
    <n v="27.8"/>
    <n v="22.8"/>
    <n v="35.4"/>
    <n v="0"/>
    <s v="Normal"/>
    <s v="Normal"/>
    <s v="Normal"/>
    <s v="Normal"/>
    <n v="2020"/>
    <x v="1"/>
  </r>
  <r>
    <d v="2020-03-23T00:00:00"/>
    <n v="25.3"/>
    <n v="22.8"/>
    <n v="34.4"/>
    <n v="0"/>
    <s v="Normal"/>
    <s v="Normal"/>
    <s v="Normal"/>
    <s v="Normal"/>
    <n v="2020"/>
    <x v="1"/>
  </r>
  <r>
    <d v="2020-03-24T00:00:00"/>
    <n v="27.4"/>
    <n v="20.8"/>
    <n v="34.4"/>
    <n v="5.0999999999999996"/>
    <s v="Normal"/>
    <s v="Normal"/>
    <s v="Normal"/>
    <s v="Normal"/>
    <n v="2020"/>
    <x v="1"/>
  </r>
  <r>
    <d v="2020-03-25T00:00:00"/>
    <n v="26.8"/>
    <n v="21"/>
    <n v="34.700000000000003"/>
    <n v="0"/>
    <s v="Normal"/>
    <s v="Normal"/>
    <s v="Normal"/>
    <s v="Normal"/>
    <n v="2020"/>
    <x v="1"/>
  </r>
  <r>
    <d v="2020-04-08T00:00:00"/>
    <n v="26.8"/>
    <n v="21"/>
    <n v="32.799999999999997"/>
    <n v="0"/>
    <s v="Normal"/>
    <s v="Normal"/>
    <s v="Normal"/>
    <s v="Normal"/>
    <n v="2020"/>
    <x v="2"/>
  </r>
  <r>
    <d v="2020-04-09T00:00:00"/>
    <n v="24.9"/>
    <n v="19.8"/>
    <n v="33.700000000000003"/>
    <n v="0"/>
    <s v="Normal"/>
    <s v="Normal"/>
    <s v="Normal"/>
    <s v="Normal"/>
    <n v="2020"/>
    <x v="2"/>
  </r>
  <r>
    <d v="2020-04-11T00:00:00"/>
    <n v="26.6"/>
    <n v="21"/>
    <n v="31.8"/>
    <n v="0"/>
    <s v="Normal"/>
    <s v="Normal"/>
    <s v="Normal"/>
    <s v="Normal"/>
    <n v="2020"/>
    <x v="2"/>
  </r>
  <r>
    <d v="2020-04-25T00:00:00"/>
    <n v="25.8"/>
    <n v="22.7"/>
    <n v="30.8"/>
    <n v="0"/>
    <s v="Normal"/>
    <s v="Normal"/>
    <s v="Normal"/>
    <s v="Normal"/>
    <n v="2020"/>
    <x v="2"/>
  </r>
  <r>
    <d v="2020-04-26T00:00:00"/>
    <n v="26.7"/>
    <n v="22.6"/>
    <n v="32"/>
    <n v="0"/>
    <s v="Normal"/>
    <s v="Normal"/>
    <s v="Normal"/>
    <s v="Normal"/>
    <n v="2020"/>
    <x v="2"/>
  </r>
  <r>
    <d v="2020-04-27T00:00:00"/>
    <n v="26.7"/>
    <n v="22.4"/>
    <n v="31.6"/>
    <n v="0"/>
    <s v="Normal"/>
    <s v="Normal"/>
    <s v="Normal"/>
    <s v="Normal"/>
    <n v="2020"/>
    <x v="2"/>
  </r>
  <r>
    <d v="2020-04-28T00:00:00"/>
    <n v="27.2"/>
    <n v="23"/>
    <n v="34.799999999999997"/>
    <n v="3"/>
    <s v="Normal"/>
    <s v="Normal"/>
    <s v="Normal"/>
    <s v="Normal"/>
    <n v="2020"/>
    <x v="2"/>
  </r>
  <r>
    <d v="2020-04-30T00:00:00"/>
    <n v="26.5"/>
    <n v="21"/>
    <n v="33.799999999999997"/>
    <n v="1"/>
    <s v="Normal"/>
    <s v="Normal"/>
    <s v="Normal"/>
    <s v="Normal"/>
    <n v="2020"/>
    <x v="2"/>
  </r>
  <r>
    <d v="2020-05-19T00:00:00"/>
    <n v="26.7"/>
    <n v="22.6"/>
    <n v="31.5"/>
    <n v="0"/>
    <s v="Normal"/>
    <s v="Normal"/>
    <s v="Normal"/>
    <s v="Normal"/>
    <n v="2020"/>
    <x v="3"/>
  </r>
  <r>
    <d v="2020-05-24T00:00:00"/>
    <n v="25.6"/>
    <n v="21.8"/>
    <n v="35.6"/>
    <n v="0"/>
    <s v="Normal"/>
    <s v="Normal"/>
    <s v="Normal"/>
    <s v="Normal"/>
    <n v="2020"/>
    <x v="3"/>
  </r>
  <r>
    <d v="2020-05-26T00:00:00"/>
    <n v="25.6"/>
    <n v="20.399999999999999"/>
    <n v="33.4"/>
    <n v="0"/>
    <s v="Normal"/>
    <s v="Normal"/>
    <s v="Normal"/>
    <s v="Normal"/>
    <n v="2020"/>
    <x v="3"/>
  </r>
  <r>
    <d v="2020-05-28T00:00:00"/>
    <n v="24.9"/>
    <n v="20.8"/>
    <n v="32.6"/>
    <n v="0"/>
    <s v="Normal"/>
    <s v="Normal"/>
    <s v="Normal"/>
    <s v="Normal"/>
    <n v="2020"/>
    <x v="3"/>
  </r>
  <r>
    <d v="2020-05-29T00:00:00"/>
    <n v="24.1"/>
    <n v="20.6"/>
    <n v="32.4"/>
    <n v="4.3"/>
    <s v="Normal"/>
    <s v="Normal"/>
    <s v="Normal"/>
    <s v="Normal"/>
    <n v="2020"/>
    <x v="3"/>
  </r>
  <r>
    <d v="2020-05-31T00:00:00"/>
    <n v="26.3"/>
    <n v="22.4"/>
    <n v="31.9"/>
    <n v="0.3"/>
    <s v="Normal"/>
    <s v="Normal"/>
    <s v="Normal"/>
    <s v="Normal"/>
    <n v="2020"/>
    <x v="3"/>
  </r>
  <r>
    <d v="2020-06-01T00:00:00"/>
    <n v="25.9"/>
    <n v="22.4"/>
    <n v="32.799999999999997"/>
    <n v="0"/>
    <s v="Normal"/>
    <s v="Normal"/>
    <s v="Normal"/>
    <s v="Normal"/>
    <n v="2020"/>
    <x v="4"/>
  </r>
  <r>
    <d v="2020-06-02T00:00:00"/>
    <n v="24.4"/>
    <n v="20.3"/>
    <n v="32"/>
    <n v="0"/>
    <s v="Normal"/>
    <s v="Normal"/>
    <s v="Normal"/>
    <s v="Normal"/>
    <n v="2020"/>
    <x v="4"/>
  </r>
  <r>
    <d v="2020-06-03T00:00:00"/>
    <n v="24.7"/>
    <n v="21.2"/>
    <n v="28.8"/>
    <n v="0"/>
    <s v="Normal"/>
    <s v="Normal"/>
    <s v="Normal"/>
    <s v="Normal"/>
    <n v="2020"/>
    <x v="4"/>
  </r>
  <r>
    <d v="2020-06-04T00:00:00"/>
    <n v="25.4"/>
    <n v="21.8"/>
    <n v="29.4"/>
    <n v="0"/>
    <s v="Normal"/>
    <s v="Normal"/>
    <s v="Normal"/>
    <s v="Normal"/>
    <n v="2020"/>
    <x v="4"/>
  </r>
  <r>
    <d v="2020-06-05T00:00:00"/>
    <n v="25.7"/>
    <n v="21.6"/>
    <n v="31.2"/>
    <n v="0"/>
    <s v="Normal"/>
    <s v="Normal"/>
    <s v="Normal"/>
    <s v="Normal"/>
    <n v="2020"/>
    <x v="4"/>
  </r>
  <r>
    <d v="2020-06-06T00:00:00"/>
    <n v="24.6"/>
    <n v="20.399999999999999"/>
    <n v="31.4"/>
    <n v="0"/>
    <s v="Normal"/>
    <s v="Normal"/>
    <s v="Normal"/>
    <s v="Normal"/>
    <n v="2020"/>
    <x v="4"/>
  </r>
  <r>
    <d v="2020-06-08T00:00:00"/>
    <n v="26.2"/>
    <n v="21.2"/>
    <n v="31.8"/>
    <n v="0"/>
    <s v="Normal"/>
    <s v="Normal"/>
    <s v="Normal"/>
    <s v="Normal"/>
    <n v="2020"/>
    <x v="4"/>
  </r>
  <r>
    <d v="2020-06-09T00:00:00"/>
    <n v="25.4"/>
    <n v="21.6"/>
    <n v="32.5"/>
    <n v="0"/>
    <s v="Normal"/>
    <s v="Normal"/>
    <s v="Normal"/>
    <s v="Normal"/>
    <n v="2020"/>
    <x v="4"/>
  </r>
  <r>
    <d v="2020-06-11T00:00:00"/>
    <n v="23.1"/>
    <n v="19.8"/>
    <n v="30.5"/>
    <n v="1"/>
    <s v="Normal"/>
    <s v="Normal"/>
    <s v="Normal"/>
    <s v="Normal"/>
    <n v="2020"/>
    <x v="4"/>
  </r>
  <r>
    <d v="2020-06-13T00:00:00"/>
    <n v="23.3"/>
    <n v="20"/>
    <n v="28.4"/>
    <n v="0"/>
    <s v="Normal"/>
    <s v="Normal"/>
    <s v="Normal"/>
    <s v="Normal"/>
    <n v="2020"/>
    <x v="4"/>
  </r>
  <r>
    <d v="2020-06-14T00:00:00"/>
    <n v="23.9"/>
    <n v="21"/>
    <n v="29.8"/>
    <n v="1.8"/>
    <s v="Normal"/>
    <s v="Normal"/>
    <s v="Normal"/>
    <s v="Normal"/>
    <n v="2020"/>
    <x v="4"/>
  </r>
  <r>
    <d v="2020-06-15T00:00:00"/>
    <n v="25"/>
    <n v="21.2"/>
    <n v="28.9"/>
    <n v="0"/>
    <s v="Normal"/>
    <s v="Normal"/>
    <s v="Normal"/>
    <s v="Normal"/>
    <n v="2020"/>
    <x v="4"/>
  </r>
  <r>
    <d v="2020-06-16T00:00:00"/>
    <n v="24.8"/>
    <n v="20.6"/>
    <n v="34.299999999999997"/>
    <n v="2"/>
    <s v="Normal"/>
    <s v="Normal"/>
    <s v="Normal"/>
    <s v="Normal"/>
    <n v="2020"/>
    <x v="4"/>
  </r>
  <r>
    <d v="2020-06-17T00:00:00"/>
    <n v="23.4"/>
    <n v="21.4"/>
    <n v="28"/>
    <n v="0"/>
    <s v="Normal"/>
    <s v="Normal"/>
    <s v="Normal"/>
    <s v="Normal"/>
    <n v="2020"/>
    <x v="4"/>
  </r>
  <r>
    <d v="2020-06-18T00:00:00"/>
    <n v="23.3"/>
    <n v="20.6"/>
    <n v="27.2"/>
    <n v="0"/>
    <s v="Normal"/>
    <s v="Normal"/>
    <s v="Normal"/>
    <s v="Normal"/>
    <n v="2020"/>
    <x v="4"/>
  </r>
  <r>
    <d v="2020-06-19T00:00:00"/>
    <n v="24.7"/>
    <n v="20.7"/>
    <n v="30.8"/>
    <n v="0"/>
    <s v="Normal"/>
    <s v="Normal"/>
    <s v="Normal"/>
    <s v="Normal"/>
    <n v="2020"/>
    <x v="4"/>
  </r>
  <r>
    <d v="2020-06-20T00:00:00"/>
    <n v="25.2"/>
    <n v="21.2"/>
    <n v="29.6"/>
    <n v="0"/>
    <s v="Normal"/>
    <s v="Normal"/>
    <s v="Normal"/>
    <s v="Normal"/>
    <n v="2020"/>
    <x v="4"/>
  </r>
  <r>
    <d v="2020-06-21T00:00:00"/>
    <n v="23.8"/>
    <n v="21.1"/>
    <n v="30.3"/>
    <n v="0"/>
    <s v="Normal"/>
    <s v="Normal"/>
    <s v="Normal"/>
    <s v="Normal"/>
    <n v="2020"/>
    <x v="4"/>
  </r>
  <r>
    <d v="2020-06-22T00:00:00"/>
    <n v="23.4"/>
    <n v="21"/>
    <n v="28.8"/>
    <n v="0.3"/>
    <s v="Normal"/>
    <s v="Normal"/>
    <s v="Normal"/>
    <s v="Normal"/>
    <n v="2020"/>
    <x v="4"/>
  </r>
  <r>
    <d v="2020-06-23T00:00:00"/>
    <n v="25.3"/>
    <n v="20.6"/>
    <n v="30.8"/>
    <n v="2.2999999999999998"/>
    <s v="Normal"/>
    <s v="Normal"/>
    <s v="Normal"/>
    <s v="Normal"/>
    <n v="2020"/>
    <x v="4"/>
  </r>
  <r>
    <d v="2020-06-24T00:00:00"/>
    <n v="24.2"/>
    <n v="20.2"/>
    <n v="30.4"/>
    <n v="4.5999999999999996"/>
    <s v="Normal"/>
    <s v="Normal"/>
    <s v="Normal"/>
    <s v="Normal"/>
    <n v="2020"/>
    <x v="4"/>
  </r>
  <r>
    <d v="2020-06-27T00:00:00"/>
    <n v="24.4"/>
    <n v="21"/>
    <n v="29.2"/>
    <n v="0"/>
    <s v="Normal"/>
    <s v="Normal"/>
    <s v="Normal"/>
    <s v="Normal"/>
    <n v="2020"/>
    <x v="4"/>
  </r>
  <r>
    <d v="2020-06-28T00:00:00"/>
    <n v="24.8"/>
    <n v="21.4"/>
    <n v="29"/>
    <n v="2.2999999999999998"/>
    <s v="Normal"/>
    <s v="Normal"/>
    <s v="Normal"/>
    <s v="Normal"/>
    <n v="2020"/>
    <x v="4"/>
  </r>
  <r>
    <d v="2020-06-29T00:00:00"/>
    <n v="23.6"/>
    <n v="21.2"/>
    <n v="30"/>
    <n v="0"/>
    <s v="Normal"/>
    <s v="Normal"/>
    <s v="Normal"/>
    <s v="Normal"/>
    <n v="2020"/>
    <x v="4"/>
  </r>
  <r>
    <d v="2020-06-30T00:00:00"/>
    <n v="24.6"/>
    <n v="20.2"/>
    <n v="29.8"/>
    <n v="1.3"/>
    <s v="Normal"/>
    <s v="Normal"/>
    <s v="Normal"/>
    <s v="Normal"/>
    <n v="2020"/>
    <x v="4"/>
  </r>
  <r>
    <d v="2020-07-01T00:00:00"/>
    <n v="24.7"/>
    <n v="21.2"/>
    <n v="29.4"/>
    <n v="0"/>
    <s v="Normal"/>
    <s v="Normal"/>
    <s v="Normal"/>
    <s v="Normal"/>
    <n v="2020"/>
    <x v="5"/>
  </r>
  <r>
    <d v="2020-07-03T00:00:00"/>
    <n v="22.6"/>
    <n v="19.7"/>
    <n v="26.5"/>
    <n v="7.1"/>
    <s v="Normal"/>
    <s v="Normal"/>
    <s v="Normal"/>
    <s v="Normal"/>
    <n v="2020"/>
    <x v="5"/>
  </r>
  <r>
    <d v="2020-07-04T00:00:00"/>
    <n v="22.8"/>
    <n v="20"/>
    <n v="28.4"/>
    <n v="7.1"/>
    <s v="Normal"/>
    <s v="Normal"/>
    <s v="Normal"/>
    <s v="Normal"/>
    <n v="2020"/>
    <x v="5"/>
  </r>
  <r>
    <d v="2020-07-05T00:00:00"/>
    <n v="23.3"/>
    <n v="21"/>
    <n v="27.2"/>
    <n v="0"/>
    <s v="Normal"/>
    <s v="Normal"/>
    <s v="Normal"/>
    <s v="Normal"/>
    <n v="2020"/>
    <x v="5"/>
  </r>
  <r>
    <d v="2020-07-06T00:00:00"/>
    <n v="23.1"/>
    <n v="20.6"/>
    <n v="27.6"/>
    <n v="0.5"/>
    <s v="Normal"/>
    <s v="Normal"/>
    <s v="Normal"/>
    <s v="Normal"/>
    <n v="2020"/>
    <x v="5"/>
  </r>
  <r>
    <d v="2020-07-07T00:00:00"/>
    <n v="23.4"/>
    <n v="20.8"/>
    <n v="30"/>
    <n v="0"/>
    <s v="Normal"/>
    <s v="Normal"/>
    <s v="Normal"/>
    <s v="Normal"/>
    <n v="2020"/>
    <x v="5"/>
  </r>
  <r>
    <d v="2020-07-08T00:00:00"/>
    <n v="22.9"/>
    <n v="20.6"/>
    <n v="28.6"/>
    <n v="7.4"/>
    <s v="Normal"/>
    <s v="Normal"/>
    <s v="Normal"/>
    <s v="Normal"/>
    <n v="2020"/>
    <x v="5"/>
  </r>
  <r>
    <d v="2020-07-11T00:00:00"/>
    <n v="24.6"/>
    <n v="21"/>
    <n v="28.8"/>
    <n v="0.5"/>
    <s v="Normal"/>
    <s v="Normal"/>
    <s v="Normal"/>
    <s v="Normal"/>
    <n v="2020"/>
    <x v="5"/>
  </r>
  <r>
    <d v="2020-07-12T00:00:00"/>
    <n v="25.1"/>
    <n v="21"/>
    <n v="29.4"/>
    <n v="0.3"/>
    <s v="Normal"/>
    <s v="Normal"/>
    <s v="Normal"/>
    <s v="Normal"/>
    <n v="2020"/>
    <x v="5"/>
  </r>
  <r>
    <d v="2020-07-13T00:00:00"/>
    <n v="24.3"/>
    <n v="21.5"/>
    <n v="29.3"/>
    <n v="0"/>
    <s v="Normal"/>
    <s v="Normal"/>
    <s v="Normal"/>
    <s v="Normal"/>
    <n v="2020"/>
    <x v="5"/>
  </r>
  <r>
    <d v="2020-07-14T00:00:00"/>
    <n v="23.8"/>
    <n v="21.4"/>
    <n v="29.4"/>
    <n v="0"/>
    <s v="Normal"/>
    <s v="Normal"/>
    <s v="Normal"/>
    <s v="Normal"/>
    <n v="2020"/>
    <x v="5"/>
  </r>
  <r>
    <d v="2020-07-15T00:00:00"/>
    <n v="22.4"/>
    <n v="21.8"/>
    <n v="26.2"/>
    <n v="0"/>
    <s v="Normal"/>
    <s v="Normal"/>
    <s v="Normal"/>
    <s v="Normal"/>
    <n v="2020"/>
    <x v="5"/>
  </r>
  <r>
    <d v="2020-07-16T00:00:00"/>
    <n v="21.8"/>
    <n v="20.6"/>
    <n v="26"/>
    <n v="6.6"/>
    <s v="Normal"/>
    <s v="Normal"/>
    <s v="Normal"/>
    <s v="Normal"/>
    <n v="2020"/>
    <x v="5"/>
  </r>
  <r>
    <d v="2020-07-18T00:00:00"/>
    <n v="23.4"/>
    <n v="20.9"/>
    <n v="27.8"/>
    <n v="0"/>
    <s v="Normal"/>
    <s v="Normal"/>
    <s v="Normal"/>
    <s v="Normal"/>
    <n v="2020"/>
    <x v="5"/>
  </r>
  <r>
    <d v="2020-07-19T00:00:00"/>
    <n v="24.4"/>
    <n v="21.4"/>
    <n v="29.8"/>
    <n v="0.8"/>
    <s v="Normal"/>
    <s v="Normal"/>
    <s v="Normal"/>
    <s v="Normal"/>
    <n v="2020"/>
    <x v="5"/>
  </r>
  <r>
    <d v="2020-07-22T00:00:00"/>
    <n v="25.8"/>
    <n v="22"/>
    <n v="30.4"/>
    <n v="0"/>
    <s v="Normal"/>
    <s v="Normal"/>
    <s v="Normal"/>
    <s v="Normal"/>
    <n v="2020"/>
    <x v="5"/>
  </r>
  <r>
    <d v="2020-07-24T00:00:00"/>
    <n v="23.8"/>
    <n v="21.5"/>
    <n v="30.8"/>
    <n v="4.3"/>
    <s v="Normal"/>
    <s v="Normal"/>
    <s v="Normal"/>
    <s v="Normal"/>
    <n v="2020"/>
    <x v="5"/>
  </r>
  <r>
    <d v="2020-07-25T00:00:00"/>
    <n v="23.7"/>
    <n v="20.5"/>
    <n v="29.8"/>
    <n v="0"/>
    <s v="Normal"/>
    <s v="Normal"/>
    <s v="Normal"/>
    <s v="Normal"/>
    <n v="2020"/>
    <x v="5"/>
  </r>
  <r>
    <d v="2020-07-26T00:00:00"/>
    <n v="23.6"/>
    <n v="20.399999999999999"/>
    <n v="29.4"/>
    <n v="4.0999999999999996"/>
    <s v="Normal"/>
    <s v="Normal"/>
    <s v="Normal"/>
    <s v="Normal"/>
    <n v="2020"/>
    <x v="5"/>
  </r>
  <r>
    <d v="2020-07-27T00:00:00"/>
    <n v="24.1"/>
    <n v="20.399999999999999"/>
    <n v="28.8"/>
    <n v="0"/>
    <s v="Normal"/>
    <s v="Normal"/>
    <s v="Normal"/>
    <s v="Normal"/>
    <n v="2020"/>
    <x v="5"/>
  </r>
  <r>
    <d v="2020-07-28T00:00:00"/>
    <n v="24.7"/>
    <n v="20.6"/>
    <n v="29"/>
    <n v="2.2999999999999998"/>
    <s v="Normal"/>
    <s v="Normal"/>
    <s v="Normal"/>
    <s v="Normal"/>
    <n v="2020"/>
    <x v="5"/>
  </r>
  <r>
    <d v="2020-07-29T00:00:00"/>
    <n v="22.9"/>
    <n v="21.2"/>
    <n v="29.5"/>
    <n v="7.9"/>
    <s v="Normal"/>
    <s v="Normal"/>
    <s v="Normal"/>
    <s v="Normal"/>
    <n v="2020"/>
    <x v="5"/>
  </r>
  <r>
    <d v="2020-07-30T00:00:00"/>
    <n v="23.5"/>
    <n v="20.2"/>
    <n v="28.8"/>
    <n v="1.3"/>
    <s v="Normal"/>
    <s v="Normal"/>
    <s v="Normal"/>
    <s v="Normal"/>
    <n v="2020"/>
    <x v="5"/>
  </r>
  <r>
    <d v="2020-07-31T00:00:00"/>
    <n v="23.9"/>
    <n v="21.4"/>
    <n v="28.6"/>
    <n v="4.0999999999999996"/>
    <s v="Normal"/>
    <s v="Normal"/>
    <s v="Normal"/>
    <s v="Normal"/>
    <n v="2020"/>
    <x v="5"/>
  </r>
  <r>
    <d v="2020-08-01T00:00:00"/>
    <n v="23"/>
    <n v="20.399999999999999"/>
    <n v="29.6"/>
    <n v="2"/>
    <s v="Normal"/>
    <s v="Normal"/>
    <s v="Normal"/>
    <s v="Normal"/>
    <n v="2020"/>
    <x v="6"/>
  </r>
  <r>
    <d v="2020-08-02T00:00:00"/>
    <n v="22.8"/>
    <n v="19.600000000000001"/>
    <n v="28"/>
    <n v="3.3"/>
    <s v="Normal"/>
    <s v="Normal"/>
    <s v="Normal"/>
    <s v="Normal"/>
    <n v="2020"/>
    <x v="6"/>
  </r>
  <r>
    <d v="2020-08-03T00:00:00"/>
    <n v="22.9"/>
    <n v="20.399999999999999"/>
    <n v="27.8"/>
    <n v="2.5"/>
    <s v="Normal"/>
    <s v="Normal"/>
    <s v="Normal"/>
    <s v="Normal"/>
    <n v="2020"/>
    <x v="6"/>
  </r>
  <r>
    <d v="2020-08-04T00:00:00"/>
    <n v="21.9"/>
    <n v="19.8"/>
    <n v="26"/>
    <n v="1.5"/>
    <s v="Normal"/>
    <s v="Normal"/>
    <s v="Normal"/>
    <s v="Normal"/>
    <n v="2020"/>
    <x v="6"/>
  </r>
  <r>
    <d v="2020-08-05T00:00:00"/>
    <n v="22.1"/>
    <n v="19.8"/>
    <n v="25.8"/>
    <n v="1.8"/>
    <s v="Normal"/>
    <s v="Normal"/>
    <s v="Normal"/>
    <s v="Normal"/>
    <n v="2020"/>
    <x v="6"/>
  </r>
  <r>
    <d v="2020-08-06T00:00:00"/>
    <n v="23.4"/>
    <n v="20.8"/>
    <n v="29.8"/>
    <n v="2.8"/>
    <s v="Normal"/>
    <s v="Normal"/>
    <s v="Normal"/>
    <s v="Normal"/>
    <n v="2020"/>
    <x v="6"/>
  </r>
  <r>
    <d v="2020-08-07T00:00:00"/>
    <n v="23.4"/>
    <n v="21.4"/>
    <n v="27.8"/>
    <n v="1.3"/>
    <s v="Normal"/>
    <s v="Normal"/>
    <s v="Normal"/>
    <s v="Normal"/>
    <n v="2020"/>
    <x v="6"/>
  </r>
  <r>
    <d v="2020-08-08T00:00:00"/>
    <n v="22.4"/>
    <n v="20.3"/>
    <n v="27.2"/>
    <n v="0"/>
    <s v="Normal"/>
    <s v="Normal"/>
    <s v="Normal"/>
    <s v="Normal"/>
    <n v="2020"/>
    <x v="6"/>
  </r>
  <r>
    <d v="2020-08-09T00:00:00"/>
    <n v="21.8"/>
    <n v="20.2"/>
    <n v="27.4"/>
    <n v="2.2999999999999998"/>
    <s v="Normal"/>
    <s v="Normal"/>
    <s v="Normal"/>
    <s v="Normal"/>
    <n v="2020"/>
    <x v="6"/>
  </r>
  <r>
    <d v="2020-08-11T00:00:00"/>
    <n v="22.8"/>
    <n v="20.6"/>
    <n v="27.8"/>
    <n v="0"/>
    <s v="Normal"/>
    <s v="Normal"/>
    <s v="Normal"/>
    <s v="Normal"/>
    <n v="2020"/>
    <x v="6"/>
  </r>
  <r>
    <d v="2020-08-12T00:00:00"/>
    <n v="23.4"/>
    <n v="20.5"/>
    <n v="28"/>
    <n v="5.0999999999999996"/>
    <s v="Normal"/>
    <s v="Normal"/>
    <s v="Normal"/>
    <s v="Normal"/>
    <n v="2020"/>
    <x v="6"/>
  </r>
  <r>
    <d v="2020-08-13T00:00:00"/>
    <n v="23.7"/>
    <n v="20.6"/>
    <n v="27.9"/>
    <n v="0"/>
    <s v="Normal"/>
    <s v="Normal"/>
    <s v="Normal"/>
    <s v="Normal"/>
    <n v="2020"/>
    <x v="6"/>
  </r>
  <r>
    <d v="2020-08-14T00:00:00"/>
    <n v="22.7"/>
    <n v="20.2"/>
    <n v="28"/>
    <n v="0"/>
    <s v="Normal"/>
    <s v="Normal"/>
    <s v="Normal"/>
    <s v="Normal"/>
    <n v="2020"/>
    <x v="6"/>
  </r>
  <r>
    <d v="2020-08-15T00:00:00"/>
    <n v="22.4"/>
    <n v="20.399999999999999"/>
    <n v="25.6"/>
    <n v="0"/>
    <s v="Normal"/>
    <s v="Normal"/>
    <s v="Normal"/>
    <s v="Normal"/>
    <n v="2020"/>
    <x v="6"/>
  </r>
  <r>
    <d v="2020-08-17T00:00:00"/>
    <n v="22.2"/>
    <n v="20.100000000000001"/>
    <n v="26.8"/>
    <n v="0.3"/>
    <s v="Normal"/>
    <s v="Normal"/>
    <s v="Normal"/>
    <s v="Normal"/>
    <n v="2020"/>
    <x v="6"/>
  </r>
  <r>
    <d v="2020-08-18T00:00:00"/>
    <n v="23"/>
    <n v="20.6"/>
    <n v="26.2"/>
    <n v="1"/>
    <s v="Normal"/>
    <s v="Normal"/>
    <s v="Normal"/>
    <s v="Normal"/>
    <n v="2020"/>
    <x v="6"/>
  </r>
  <r>
    <d v="2020-08-19T00:00:00"/>
    <n v="23.1"/>
    <n v="20.399999999999999"/>
    <n v="26.4"/>
    <n v="0"/>
    <s v="Normal"/>
    <s v="Normal"/>
    <s v="Normal"/>
    <s v="Normal"/>
    <n v="2020"/>
    <x v="6"/>
  </r>
  <r>
    <d v="2020-08-24T00:00:00"/>
    <n v="24.1"/>
    <n v="20.9"/>
    <n v="27.8"/>
    <n v="2"/>
    <s v="Normal"/>
    <s v="Normal"/>
    <s v="Normal"/>
    <s v="Normal"/>
    <n v="2020"/>
    <x v="6"/>
  </r>
  <r>
    <d v="2020-08-25T00:00:00"/>
    <n v="25"/>
    <n v="20.5"/>
    <n v="29.8"/>
    <n v="0"/>
    <s v="Normal"/>
    <s v="Normal"/>
    <s v="Normal"/>
    <s v="Normal"/>
    <n v="2020"/>
    <x v="6"/>
  </r>
  <r>
    <d v="2020-08-26T00:00:00"/>
    <n v="25.6"/>
    <n v="22"/>
    <n v="30.2"/>
    <n v="0"/>
    <s v="Normal"/>
    <s v="Normal"/>
    <s v="Normal"/>
    <s v="Normal"/>
    <n v="2020"/>
    <x v="6"/>
  </r>
  <r>
    <d v="2020-08-28T00:00:00"/>
    <n v="25.3"/>
    <n v="20.399999999999999"/>
    <n v="30.8"/>
    <n v="0"/>
    <s v="Normal"/>
    <s v="Normal"/>
    <s v="Normal"/>
    <s v="Normal"/>
    <n v="2020"/>
    <x v="6"/>
  </r>
  <r>
    <d v="2020-09-02T00:00:00"/>
    <n v="22.9"/>
    <n v="20.6"/>
    <n v="28.4"/>
    <n v="2"/>
    <s v="Normal"/>
    <s v="Normal"/>
    <s v="Normal"/>
    <s v="Normal"/>
    <n v="2020"/>
    <x v="7"/>
  </r>
  <r>
    <d v="2020-09-04T00:00:00"/>
    <n v="24.9"/>
    <n v="21"/>
    <n v="29.2"/>
    <n v="9.6999999999999993"/>
    <s v="Normal"/>
    <s v="Normal"/>
    <s v="Normal"/>
    <s v="Normal"/>
    <n v="2020"/>
    <x v="7"/>
  </r>
  <r>
    <d v="2020-09-05T00:00:00"/>
    <n v="24.8"/>
    <n v="22.3"/>
    <n v="29.2"/>
    <n v="0"/>
    <s v="Normal"/>
    <s v="Normal"/>
    <s v="Normal"/>
    <s v="Normal"/>
    <n v="2020"/>
    <x v="7"/>
  </r>
  <r>
    <d v="2020-09-06T00:00:00"/>
    <n v="25.5"/>
    <n v="22.2"/>
    <n v="29.6"/>
    <n v="0"/>
    <s v="Normal"/>
    <s v="Normal"/>
    <s v="Normal"/>
    <s v="Normal"/>
    <n v="2020"/>
    <x v="7"/>
  </r>
  <r>
    <d v="2020-09-07T00:00:00"/>
    <n v="24.4"/>
    <n v="20.5"/>
    <n v="30.5"/>
    <n v="0"/>
    <s v="Normal"/>
    <s v="Normal"/>
    <s v="Normal"/>
    <s v="Normal"/>
    <n v="2020"/>
    <x v="7"/>
  </r>
  <r>
    <d v="2020-09-08T00:00:00"/>
    <n v="24.4"/>
    <n v="21.2"/>
    <n v="29.8"/>
    <n v="2"/>
    <s v="Normal"/>
    <s v="Normal"/>
    <s v="Normal"/>
    <s v="Normal"/>
    <n v="2020"/>
    <x v="7"/>
  </r>
  <r>
    <d v="2020-09-11T00:00:00"/>
    <n v="22.1"/>
    <n v="19.899999999999999"/>
    <n v="27.6"/>
    <n v="0"/>
    <s v="Normal"/>
    <s v="Normal"/>
    <s v="Normal"/>
    <s v="Normal"/>
    <n v="2020"/>
    <x v="7"/>
  </r>
  <r>
    <d v="2020-09-12T00:00:00"/>
    <n v="21.5"/>
    <n v="18.7"/>
    <n v="25.8"/>
    <n v="1.3"/>
    <s v="Normal"/>
    <s v="Normal"/>
    <s v="Normal"/>
    <s v="Normal"/>
    <n v="2020"/>
    <x v="7"/>
  </r>
  <r>
    <d v="2020-09-14T00:00:00"/>
    <n v="22.5"/>
    <n v="20.399999999999999"/>
    <n v="26.4"/>
    <n v="1"/>
    <s v="Normal"/>
    <s v="Normal"/>
    <s v="Normal"/>
    <s v="Normal"/>
    <n v="2020"/>
    <x v="7"/>
  </r>
  <r>
    <d v="2020-09-15T00:00:00"/>
    <n v="22.8"/>
    <n v="20.2"/>
    <n v="26.5"/>
    <n v="0"/>
    <s v="Normal"/>
    <s v="Normal"/>
    <s v="Normal"/>
    <s v="Normal"/>
    <n v="2020"/>
    <x v="7"/>
  </r>
  <r>
    <d v="2020-09-16T00:00:00"/>
    <n v="23.3"/>
    <n v="20.2"/>
    <n v="26.2"/>
    <n v="0.3"/>
    <s v="Normal"/>
    <s v="Normal"/>
    <s v="Normal"/>
    <s v="Normal"/>
    <n v="2020"/>
    <x v="7"/>
  </r>
  <r>
    <d v="2020-09-17T00:00:00"/>
    <n v="23.8"/>
    <n v="21"/>
    <n v="27"/>
    <n v="0"/>
    <s v="Normal"/>
    <s v="Normal"/>
    <s v="Normal"/>
    <s v="Normal"/>
    <n v="2020"/>
    <x v="7"/>
  </r>
  <r>
    <d v="2020-09-18T00:00:00"/>
    <n v="24"/>
    <n v="19.8"/>
    <n v="28.2"/>
    <n v="0.3"/>
    <s v="Normal"/>
    <s v="Normal"/>
    <s v="Normal"/>
    <s v="Normal"/>
    <n v="2020"/>
    <x v="7"/>
  </r>
  <r>
    <d v="2020-09-19T00:00:00"/>
    <n v="22.1"/>
    <n v="19.3"/>
    <n v="28.4"/>
    <n v="0"/>
    <s v="Normal"/>
    <s v="Normal"/>
    <s v="Normal"/>
    <s v="Normal"/>
    <n v="2020"/>
    <x v="7"/>
  </r>
  <r>
    <d v="2020-09-22T00:00:00"/>
    <n v="21.7"/>
    <n v="18.600000000000001"/>
    <n v="26.6"/>
    <n v="0"/>
    <s v="Normal"/>
    <s v="Normal"/>
    <s v="Normal"/>
    <s v="Normal"/>
    <n v="2020"/>
    <x v="7"/>
  </r>
  <r>
    <d v="2020-09-23T00:00:00"/>
    <n v="22.8"/>
    <n v="18.600000000000001"/>
    <n v="27.8"/>
    <n v="0"/>
    <s v="Normal"/>
    <s v="Normal"/>
    <s v="Normal"/>
    <s v="Normal"/>
    <n v="2020"/>
    <x v="7"/>
  </r>
  <r>
    <d v="2020-09-25T00:00:00"/>
    <n v="24.3"/>
    <n v="20.9"/>
    <n v="29.8"/>
    <n v="0.3"/>
    <s v="Normal"/>
    <s v="Normal"/>
    <s v="Normal"/>
    <s v="Normal"/>
    <n v="2020"/>
    <x v="7"/>
  </r>
  <r>
    <d v="2020-09-26T00:00:00"/>
    <n v="22.8"/>
    <n v="20.6"/>
    <n v="29.6"/>
    <n v="3"/>
    <s v="Normal"/>
    <s v="Normal"/>
    <s v="Normal"/>
    <s v="Normal"/>
    <n v="2020"/>
    <x v="7"/>
  </r>
  <r>
    <d v="2020-09-27T00:00:00"/>
    <n v="23.3"/>
    <n v="20.5"/>
    <n v="27.8"/>
    <n v="0"/>
    <s v="Normal"/>
    <s v="Normal"/>
    <s v="Normal"/>
    <s v="Normal"/>
    <n v="2020"/>
    <x v="7"/>
  </r>
  <r>
    <d v="2020-09-28T00:00:00"/>
    <n v="24.1"/>
    <n v="20.6"/>
    <n v="27"/>
    <n v="0"/>
    <s v="Normal"/>
    <s v="Normal"/>
    <s v="Normal"/>
    <s v="Normal"/>
    <n v="2020"/>
    <x v="7"/>
  </r>
  <r>
    <d v="2020-09-29T00:00:00"/>
    <n v="22.4"/>
    <n v="19.8"/>
    <n v="28.1"/>
    <n v="0"/>
    <s v="Normal"/>
    <s v="Normal"/>
    <s v="Normal"/>
    <s v="Normal"/>
    <n v="2020"/>
    <x v="7"/>
  </r>
  <r>
    <d v="2020-10-01T00:00:00"/>
    <n v="23.5"/>
    <n v="19.5"/>
    <n v="27.1"/>
    <n v="0"/>
    <s v="Normal"/>
    <s v="Normal"/>
    <s v="Normal"/>
    <s v="Normal"/>
    <n v="2020"/>
    <x v="8"/>
  </r>
  <r>
    <d v="2020-10-02T00:00:00"/>
    <n v="24.7"/>
    <n v="21"/>
    <n v="28.5"/>
    <n v="0"/>
    <s v="Normal"/>
    <s v="Normal"/>
    <s v="Normal"/>
    <s v="Normal"/>
    <n v="2020"/>
    <x v="8"/>
  </r>
  <r>
    <d v="2020-10-03T00:00:00"/>
    <n v="23.5"/>
    <n v="19.600000000000001"/>
    <n v="29.6"/>
    <n v="0.5"/>
    <s v="Normal"/>
    <s v="Normal"/>
    <s v="Normal"/>
    <s v="Normal"/>
    <n v="2020"/>
    <x v="8"/>
  </r>
  <r>
    <d v="2020-10-04T00:00:00"/>
    <n v="22.5"/>
    <n v="20"/>
    <n v="28.4"/>
    <n v="0"/>
    <s v="Normal"/>
    <s v="Normal"/>
    <s v="Normal"/>
    <s v="Normal"/>
    <n v="2020"/>
    <x v="8"/>
  </r>
  <r>
    <d v="2020-10-05T00:00:00"/>
    <n v="23.6"/>
    <n v="19"/>
    <n v="28.8"/>
    <n v="0.3"/>
    <s v="Normal"/>
    <s v="Normal"/>
    <s v="Normal"/>
    <s v="Normal"/>
    <n v="2020"/>
    <x v="8"/>
  </r>
  <r>
    <d v="2020-10-06T00:00:00"/>
    <n v="25.1"/>
    <n v="20.2"/>
    <n v="30.8"/>
    <n v="0"/>
    <s v="Normal"/>
    <s v="Normal"/>
    <s v="Normal"/>
    <s v="Normal"/>
    <n v="2020"/>
    <x v="8"/>
  </r>
  <r>
    <d v="2020-10-09T00:00:00"/>
    <n v="23.7"/>
    <n v="20.399999999999999"/>
    <n v="31.2"/>
    <n v="0"/>
    <s v="Normal"/>
    <s v="Normal"/>
    <s v="Normal"/>
    <s v="Normal"/>
    <n v="2020"/>
    <x v="8"/>
  </r>
  <r>
    <d v="2020-10-12T00:00:00"/>
    <n v="21.8"/>
    <n v="20"/>
    <n v="25.6"/>
    <n v="3"/>
    <s v="Normal"/>
    <s v="Normal"/>
    <s v="Normal"/>
    <s v="Normal"/>
    <n v="2020"/>
    <x v="8"/>
  </r>
  <r>
    <d v="2020-10-13T00:00:00"/>
    <n v="21.2"/>
    <n v="19.8"/>
    <n v="25.4"/>
    <n v="5.0999999999999996"/>
    <s v="Normal"/>
    <s v="Normal"/>
    <s v="Normal"/>
    <s v="Normal"/>
    <n v="2020"/>
    <x v="8"/>
  </r>
  <r>
    <d v="2020-10-14T00:00:00"/>
    <n v="21.5"/>
    <n v="19.8"/>
    <n v="25.8"/>
    <n v="0.5"/>
    <s v="Normal"/>
    <s v="Normal"/>
    <s v="Normal"/>
    <s v="Normal"/>
    <n v="2020"/>
    <x v="8"/>
  </r>
  <r>
    <d v="2020-10-15T00:00:00"/>
    <n v="22.5"/>
    <n v="19.2"/>
    <n v="26.6"/>
    <n v="0"/>
    <s v="Normal"/>
    <s v="Normal"/>
    <s v="Normal"/>
    <s v="Normal"/>
    <n v="2020"/>
    <x v="8"/>
  </r>
  <r>
    <d v="2020-10-16T00:00:00"/>
    <n v="23.4"/>
    <n v="17.600000000000001"/>
    <n v="28.8"/>
    <n v="0"/>
    <s v="Normal"/>
    <s v="Normal"/>
    <s v="Normal"/>
    <s v="Normal"/>
    <n v="2020"/>
    <x v="8"/>
  </r>
  <r>
    <d v="2020-10-18T00:00:00"/>
    <n v="23.8"/>
    <n v="20.8"/>
    <n v="28"/>
    <n v="0.3"/>
    <s v="Normal"/>
    <s v="Normal"/>
    <s v="Normal"/>
    <s v="Normal"/>
    <n v="2020"/>
    <x v="8"/>
  </r>
  <r>
    <d v="2020-10-19T00:00:00"/>
    <n v="23.3"/>
    <n v="21"/>
    <n v="28"/>
    <n v="1.8"/>
    <s v="Normal"/>
    <s v="Normal"/>
    <s v="Normal"/>
    <s v="Normal"/>
    <n v="2020"/>
    <x v="8"/>
  </r>
  <r>
    <d v="2020-10-20T00:00:00"/>
    <n v="22.9"/>
    <n v="20"/>
    <n v="26.6"/>
    <n v="3.8"/>
    <s v="Normal"/>
    <s v="Normal"/>
    <s v="Normal"/>
    <s v="Normal"/>
    <n v="2020"/>
    <x v="8"/>
  </r>
  <r>
    <d v="2020-10-22T00:00:00"/>
    <n v="22.2"/>
    <n v="19.3"/>
    <n v="26.4"/>
    <n v="5.3"/>
    <s v="Normal"/>
    <s v="Normal"/>
    <s v="Normal"/>
    <s v="Normal"/>
    <n v="2020"/>
    <x v="8"/>
  </r>
  <r>
    <d v="2020-10-25T00:00:00"/>
    <n v="23.5"/>
    <n v="20.2"/>
    <n v="29.8"/>
    <n v="0"/>
    <s v="Normal"/>
    <s v="Normal"/>
    <s v="Normal"/>
    <s v="Normal"/>
    <n v="2020"/>
    <x v="8"/>
  </r>
  <r>
    <d v="2020-10-26T00:00:00"/>
    <n v="23.6"/>
    <n v="19.399999999999999"/>
    <n v="29.4"/>
    <n v="7.9"/>
    <s v="Normal"/>
    <s v="Normal"/>
    <s v="Normal"/>
    <s v="Normal"/>
    <n v="2020"/>
    <x v="8"/>
  </r>
  <r>
    <d v="2020-10-27T00:00:00"/>
    <n v="23.7"/>
    <n v="19"/>
    <n v="30"/>
    <n v="0"/>
    <s v="Normal"/>
    <s v="Normal"/>
    <s v="Normal"/>
    <s v="Normal"/>
    <n v="2020"/>
    <x v="8"/>
  </r>
  <r>
    <d v="2020-10-30T00:00:00"/>
    <n v="22.9"/>
    <n v="17.8"/>
    <n v="28.3"/>
    <n v="0"/>
    <s v="Normal"/>
    <s v="Normal"/>
    <s v="Normal"/>
    <s v="Normal"/>
    <n v="2020"/>
    <x v="8"/>
  </r>
  <r>
    <d v="2020-11-01T00:00:00"/>
    <n v="24.8"/>
    <n v="19"/>
    <n v="29.1"/>
    <n v="0"/>
    <s v="Normal"/>
    <s v="Normal"/>
    <s v="Normal"/>
    <s v="Normal"/>
    <n v="2020"/>
    <x v="9"/>
  </r>
  <r>
    <d v="2020-11-02T00:00:00"/>
    <n v="24.3"/>
    <n v="20.399999999999999"/>
    <n v="31.5"/>
    <n v="0.3"/>
    <s v="Normal"/>
    <s v="Normal"/>
    <s v="Normal"/>
    <s v="Normal"/>
    <n v="2020"/>
    <x v="9"/>
  </r>
  <r>
    <d v="2020-11-03T00:00:00"/>
    <n v="24.7"/>
    <n v="19.8"/>
    <n v="29"/>
    <n v="0"/>
    <s v="Normal"/>
    <s v="Normal"/>
    <s v="Normal"/>
    <s v="Normal"/>
    <n v="2020"/>
    <x v="9"/>
  </r>
  <r>
    <d v="2020-11-07T00:00:00"/>
    <n v="23.4"/>
    <n v="20.2"/>
    <n v="29.2"/>
    <n v="0"/>
    <s v="Normal"/>
    <s v="Normal"/>
    <s v="Normal"/>
    <s v="Normal"/>
    <n v="2020"/>
    <x v="9"/>
  </r>
  <r>
    <d v="2020-11-08T00:00:00"/>
    <n v="23.4"/>
    <n v="20.8"/>
    <n v="30.2"/>
    <n v="3.3"/>
    <s v="Normal"/>
    <s v="Normal"/>
    <s v="Normal"/>
    <s v="Normal"/>
    <n v="2020"/>
    <x v="9"/>
  </r>
  <r>
    <d v="2020-11-09T00:00:00"/>
    <n v="22.7"/>
    <n v="19.5"/>
    <n v="27.8"/>
    <n v="0"/>
    <s v="Normal"/>
    <s v="Normal"/>
    <s v="Normal"/>
    <s v="Normal"/>
    <n v="2020"/>
    <x v="9"/>
  </r>
  <r>
    <d v="2020-11-13T00:00:00"/>
    <n v="22.1"/>
    <n v="20.399999999999999"/>
    <n v="28"/>
    <n v="0"/>
    <s v="Normal"/>
    <s v="Normal"/>
    <s v="Normal"/>
    <s v="Normal"/>
    <n v="2020"/>
    <x v="9"/>
  </r>
  <r>
    <d v="2020-11-14T00:00:00"/>
    <n v="22.8"/>
    <n v="20"/>
    <n v="27.8"/>
    <n v="8.9"/>
    <s v="Normal"/>
    <s v="Normal"/>
    <s v="Normal"/>
    <s v="Normal"/>
    <n v="2020"/>
    <x v="9"/>
  </r>
  <r>
    <d v="2020-11-15T00:00:00"/>
    <n v="21.6"/>
    <n v="19.100000000000001"/>
    <n v="28.2"/>
    <n v="0"/>
    <s v="Normal"/>
    <s v="Normal"/>
    <s v="Normal"/>
    <s v="Normal"/>
    <n v="2020"/>
    <x v="9"/>
  </r>
  <r>
    <d v="2020-11-16T00:00:00"/>
    <n v="21.6"/>
    <n v="19.2"/>
    <n v="25.8"/>
    <n v="9.9"/>
    <s v="Normal"/>
    <s v="Normal"/>
    <s v="Normal"/>
    <s v="Normal"/>
    <n v="2020"/>
    <x v="9"/>
  </r>
  <r>
    <d v="2020-11-18T00:00:00"/>
    <n v="22.8"/>
    <n v="19.2"/>
    <n v="28.3"/>
    <n v="0"/>
    <s v="Normal"/>
    <s v="Normal"/>
    <s v="Normal"/>
    <s v="Normal"/>
    <n v="2020"/>
    <x v="9"/>
  </r>
  <r>
    <d v="2020-11-19T00:00:00"/>
    <n v="22.9"/>
    <n v="20"/>
    <n v="28.3"/>
    <n v="0"/>
    <s v="Normal"/>
    <s v="Normal"/>
    <s v="Normal"/>
    <s v="Normal"/>
    <n v="2020"/>
    <x v="9"/>
  </r>
  <r>
    <d v="2020-11-26T00:00:00"/>
    <n v="19.399999999999999"/>
    <n v="17.8"/>
    <n v="23.8"/>
    <n v="2"/>
    <s v="Normal"/>
    <s v="Normal"/>
    <s v="Normal"/>
    <s v="Normal"/>
    <n v="2020"/>
    <x v="9"/>
  </r>
  <r>
    <d v="2020-11-28T00:00:00"/>
    <n v="21.5"/>
    <n v="17"/>
    <n v="25.9"/>
    <n v="0.3"/>
    <s v="Normal"/>
    <s v="Normal"/>
    <s v="Normal"/>
    <s v="Normal"/>
    <n v="2020"/>
    <x v="9"/>
  </r>
  <r>
    <d v="2020-11-29T00:00:00"/>
    <n v="21.6"/>
    <n v="19"/>
    <n v="25.6"/>
    <n v="0"/>
    <s v="Normal"/>
    <s v="Normal"/>
    <s v="Normal"/>
    <s v="Normal"/>
    <n v="2020"/>
    <x v="9"/>
  </r>
  <r>
    <d v="2020-11-30T00:00:00"/>
    <n v="21.9"/>
    <n v="18"/>
    <n v="26.8"/>
    <n v="0"/>
    <s v="Normal"/>
    <s v="Normal"/>
    <s v="Normal"/>
    <s v="Normal"/>
    <n v="2020"/>
    <x v="9"/>
  </r>
  <r>
    <d v="2020-12-03T00:00:00"/>
    <n v="19.899999999999999"/>
    <n v="18"/>
    <n v="26.4"/>
    <n v="2.2999999999999998"/>
    <s v="Normal"/>
    <s v="Normal"/>
    <s v="Normal"/>
    <s v="Normal"/>
    <n v="2020"/>
    <x v="10"/>
  </r>
  <r>
    <d v="2020-12-04T00:00:00"/>
    <n v="20.8"/>
    <n v="19.2"/>
    <n v="22.8"/>
    <n v="1.8"/>
    <s v="Normal"/>
    <s v="Normal"/>
    <s v="Normal"/>
    <s v="Normal"/>
    <n v="2020"/>
    <x v="10"/>
  </r>
  <r>
    <d v="2020-12-05T00:00:00"/>
    <n v="21"/>
    <n v="19.399999999999999"/>
    <n v="23.2"/>
    <n v="0.8"/>
    <s v="Normal"/>
    <s v="Normal"/>
    <s v="Normal"/>
    <s v="Normal"/>
    <n v="2020"/>
    <x v="10"/>
  </r>
  <r>
    <d v="2020-12-06T00:00:00"/>
    <n v="20.9"/>
    <n v="18.5"/>
    <n v="24"/>
    <n v="1.3"/>
    <s v="Normal"/>
    <s v="Normal"/>
    <s v="Normal"/>
    <s v="Normal"/>
    <n v="2020"/>
    <x v="10"/>
  </r>
  <r>
    <d v="2020-12-07T00:00:00"/>
    <n v="21.7"/>
    <n v="19.399999999999999"/>
    <n v="24.8"/>
    <n v="7.6"/>
    <s v="Normal"/>
    <s v="Normal"/>
    <s v="Normal"/>
    <s v="Normal"/>
    <n v="2020"/>
    <x v="10"/>
  </r>
  <r>
    <d v="2020-12-08T00:00:00"/>
    <n v="21.3"/>
    <n v="19.5"/>
    <n v="26.2"/>
    <n v="5.6"/>
    <s v="Normal"/>
    <s v="Normal"/>
    <s v="Normal"/>
    <s v="Normal"/>
    <n v="2020"/>
    <x v="10"/>
  </r>
  <r>
    <d v="2020-12-09T00:00:00"/>
    <n v="21.7"/>
    <n v="19.399999999999999"/>
    <n v="25"/>
    <n v="0.8"/>
    <s v="Normal"/>
    <s v="Normal"/>
    <s v="Normal"/>
    <s v="Normal"/>
    <n v="2020"/>
    <x v="10"/>
  </r>
  <r>
    <d v="2020-12-17T00:00:00"/>
    <n v="21.7"/>
    <n v="19.5"/>
    <n v="26.8"/>
    <n v="0.3"/>
    <s v="Normal"/>
    <s v="Normal"/>
    <s v="Normal"/>
    <s v="Normal"/>
    <n v="2020"/>
    <x v="10"/>
  </r>
  <r>
    <d v="2020-12-18T00:00:00"/>
    <n v="22.1"/>
    <n v="18.399999999999999"/>
    <n v="26.6"/>
    <n v="0"/>
    <s v="Normal"/>
    <s v="Normal"/>
    <s v="Normal"/>
    <s v="Normal"/>
    <n v="2020"/>
    <x v="10"/>
  </r>
  <r>
    <d v="2020-12-31T00:00:00"/>
    <n v="21.1"/>
    <n v="18.8"/>
    <n v="29.6"/>
    <n v="0"/>
    <s v="Normal"/>
    <s v="Normal"/>
    <s v="Normal"/>
    <s v="Normal"/>
    <n v="2020"/>
    <x v="10"/>
  </r>
  <r>
    <d v="2021-01-03T00:00:00"/>
    <n v="21.9"/>
    <n v="18.8"/>
    <n v="26"/>
    <n v="0"/>
    <s v="Normal"/>
    <s v="Normal"/>
    <s v="Normal"/>
    <s v="Normal"/>
    <n v="2021"/>
    <x v="0"/>
  </r>
  <r>
    <d v="2021-01-04T00:00:00"/>
    <n v="20.8"/>
    <n v="18.600000000000001"/>
    <n v="27.6"/>
    <n v="0"/>
    <s v="Normal"/>
    <s v="Normal"/>
    <s v="Normal"/>
    <s v="Normal"/>
    <n v="2021"/>
    <x v="0"/>
  </r>
  <r>
    <d v="2021-01-05T00:00:00"/>
    <n v="21.9"/>
    <n v="18.7"/>
    <n v="26.2"/>
    <n v="0"/>
    <s v="Normal"/>
    <s v="Normal"/>
    <s v="Normal"/>
    <s v="Normal"/>
    <n v="2021"/>
    <x v="0"/>
  </r>
  <r>
    <d v="2021-01-06T00:00:00"/>
    <n v="21.2"/>
    <n v="20"/>
    <n v="27.3"/>
    <n v="7.5"/>
    <s v="Normal"/>
    <s v="Normal"/>
    <s v="Normal"/>
    <s v="Normal"/>
    <n v="2021"/>
    <x v="0"/>
  </r>
  <r>
    <d v="2021-01-07T00:00:00"/>
    <n v="21.6"/>
    <n v="19.100000000000001"/>
    <n v="25.4"/>
    <n v="0.8"/>
    <s v="Normal"/>
    <s v="Normal"/>
    <s v="Normal"/>
    <s v="Normal"/>
    <n v="2021"/>
    <x v="0"/>
  </r>
  <r>
    <d v="2021-01-08T00:00:00"/>
    <n v="22.3"/>
    <n v="20"/>
    <n v="27"/>
    <n v="9"/>
    <s v="Normal"/>
    <s v="Normal"/>
    <s v="Normal"/>
    <s v="Normal"/>
    <n v="2021"/>
    <x v="0"/>
  </r>
  <r>
    <d v="2021-01-09T00:00:00"/>
    <n v="21.4"/>
    <n v="18.8"/>
    <n v="27"/>
    <n v="0"/>
    <s v="Normal"/>
    <s v="Normal"/>
    <s v="Normal"/>
    <s v="Normal"/>
    <n v="2021"/>
    <x v="0"/>
  </r>
  <r>
    <d v="2021-01-10T00:00:00"/>
    <n v="22.2"/>
    <n v="18.600000000000001"/>
    <n v="26.2"/>
    <n v="0"/>
    <s v="Normal"/>
    <s v="Normal"/>
    <s v="Normal"/>
    <s v="Normal"/>
    <n v="2021"/>
    <x v="0"/>
  </r>
  <r>
    <d v="2021-01-11T00:00:00"/>
    <n v="21.6"/>
    <n v="18.2"/>
    <n v="26.9"/>
    <n v="0"/>
    <s v="Normal"/>
    <s v="Normal"/>
    <s v="Normal"/>
    <s v="Normal"/>
    <n v="2021"/>
    <x v="0"/>
  </r>
  <r>
    <d v="2021-01-12T00:00:00"/>
    <n v="20.399999999999999"/>
    <n v="18.2"/>
    <n v="25.4"/>
    <n v="0"/>
    <s v="Normal"/>
    <s v="Normal"/>
    <s v="Normal"/>
    <s v="Normal"/>
    <n v="2021"/>
    <x v="0"/>
  </r>
  <r>
    <d v="2021-01-15T00:00:00"/>
    <n v="21.8"/>
    <n v="17.3"/>
    <n v="26.3"/>
    <n v="0"/>
    <s v="Normal"/>
    <s v="Normal"/>
    <s v="Normal"/>
    <s v="Normal"/>
    <n v="2021"/>
    <x v="0"/>
  </r>
  <r>
    <d v="2021-01-16T00:00:00"/>
    <n v="22.2"/>
    <n v="18.100000000000001"/>
    <n v="27.4"/>
    <n v="0"/>
    <s v="Normal"/>
    <s v="Normal"/>
    <s v="Normal"/>
    <s v="Normal"/>
    <n v="2021"/>
    <x v="0"/>
  </r>
  <r>
    <d v="2021-01-17T00:00:00"/>
    <n v="22.2"/>
    <n v="17"/>
    <n v="29.2"/>
    <n v="0"/>
    <s v="Normal"/>
    <s v="Normal"/>
    <s v="Normal"/>
    <s v="Normal"/>
    <n v="2021"/>
    <x v="0"/>
  </r>
  <r>
    <d v="2021-01-21T00:00:00"/>
    <n v="23.8"/>
    <n v="17"/>
    <n v="31.1"/>
    <n v="0"/>
    <s v="Normal"/>
    <s v="Normal"/>
    <s v="Normal"/>
    <s v="Normal"/>
    <n v="2021"/>
    <x v="0"/>
  </r>
  <r>
    <d v="2021-01-22T00:00:00"/>
    <n v="23.8"/>
    <n v="18.399999999999999"/>
    <n v="31.1"/>
    <n v="0.1"/>
    <s v="Normal"/>
    <s v="Normal"/>
    <s v="Normal"/>
    <s v="Normal"/>
    <n v="2021"/>
    <x v="0"/>
  </r>
  <r>
    <d v="2021-01-23T00:00:00"/>
    <n v="22.5"/>
    <n v="18"/>
    <n v="30.3"/>
    <n v="0"/>
    <s v="Normal"/>
    <s v="Normal"/>
    <s v="Normal"/>
    <s v="Normal"/>
    <n v="2021"/>
    <x v="0"/>
  </r>
  <r>
    <d v="2021-01-24T00:00:00"/>
    <n v="21.9"/>
    <n v="17"/>
    <n v="29.2"/>
    <n v="0"/>
    <s v="Normal"/>
    <s v="Normal"/>
    <s v="Normal"/>
    <s v="Normal"/>
    <n v="2021"/>
    <x v="0"/>
  </r>
  <r>
    <d v="2021-01-29T00:00:00"/>
    <n v="22.4"/>
    <n v="18"/>
    <n v="28.4"/>
    <n v="0"/>
    <s v="Normal"/>
    <s v="Normal"/>
    <s v="Normal"/>
    <s v="Normal"/>
    <n v="2021"/>
    <x v="0"/>
  </r>
  <r>
    <d v="2021-01-30T00:00:00"/>
    <n v="22.8"/>
    <n v="17.399999999999999"/>
    <n v="29.3"/>
    <n v="0"/>
    <s v="Normal"/>
    <s v="Normal"/>
    <s v="Normal"/>
    <s v="Normal"/>
    <n v="2021"/>
    <x v="0"/>
  </r>
  <r>
    <d v="2021-01-31T00:00:00"/>
    <n v="22.7"/>
    <n v="17.2"/>
    <n v="29.8"/>
    <n v="0"/>
    <s v="Normal"/>
    <s v="Normal"/>
    <s v="Normal"/>
    <s v="Normal"/>
    <n v="2021"/>
    <x v="0"/>
  </r>
  <r>
    <d v="2021-02-03T00:00:00"/>
    <n v="21.8"/>
    <n v="17.899999999999999"/>
    <n v="28.6"/>
    <n v="0"/>
    <s v="Normal"/>
    <s v="Normal"/>
    <s v="Normal"/>
    <s v="Normal"/>
    <n v="2021"/>
    <x v="11"/>
  </r>
  <r>
    <d v="2021-02-15T00:00:00"/>
    <n v="24"/>
    <n v="17.899999999999999"/>
    <n v="31.5"/>
    <n v="0"/>
    <s v="Normal"/>
    <s v="Normal"/>
    <s v="Normal"/>
    <s v="Normal"/>
    <n v="2021"/>
    <x v="11"/>
  </r>
  <r>
    <d v="2021-02-16T00:00:00"/>
    <n v="23.9"/>
    <n v="18.399999999999999"/>
    <n v="32"/>
    <n v="0"/>
    <s v="Normal"/>
    <s v="Normal"/>
    <s v="Normal"/>
    <s v="Normal"/>
    <n v="2021"/>
    <x v="11"/>
  </r>
  <r>
    <d v="2021-02-17T00:00:00"/>
    <n v="23.8"/>
    <n v="18.399999999999999"/>
    <n v="31.4"/>
    <n v="0"/>
    <s v="Normal"/>
    <s v="Normal"/>
    <s v="Normal"/>
    <s v="Normal"/>
    <n v="2021"/>
    <x v="11"/>
  </r>
  <r>
    <d v="2021-02-18T00:00:00"/>
    <n v="22.8"/>
    <n v="18"/>
    <n v="31.2"/>
    <n v="0.1"/>
    <s v="Normal"/>
    <s v="Normal"/>
    <s v="Normal"/>
    <s v="Normal"/>
    <n v="2021"/>
    <x v="11"/>
  </r>
  <r>
    <d v="2021-02-19T00:00:00"/>
    <n v="22.8"/>
    <n v="18.2"/>
    <n v="29.3"/>
    <n v="1.7"/>
    <s v="Normal"/>
    <s v="Normal"/>
    <s v="Normal"/>
    <s v="Normal"/>
    <n v="2021"/>
    <x v="11"/>
  </r>
  <r>
    <d v="2021-02-21T00:00:00"/>
    <n v="20.6"/>
    <n v="17.100000000000001"/>
    <n v="24.2"/>
    <n v="4.7"/>
    <s v="Normal"/>
    <s v="Normal"/>
    <s v="Normal"/>
    <s v="Normal"/>
    <n v="2021"/>
    <x v="11"/>
  </r>
  <r>
    <d v="2021-02-22T00:00:00"/>
    <n v="22.8"/>
    <n v="18.100000000000001"/>
    <n v="28"/>
    <n v="0.4"/>
    <s v="Normal"/>
    <s v="Normal"/>
    <s v="Normal"/>
    <s v="Normal"/>
    <n v="2021"/>
    <x v="11"/>
  </r>
  <r>
    <d v="2021-02-23T00:00:00"/>
    <n v="24.5"/>
    <n v="18.2"/>
    <n v="30.4"/>
    <n v="0"/>
    <s v="Normal"/>
    <s v="Normal"/>
    <s v="Normal"/>
    <s v="Normal"/>
    <n v="2021"/>
    <x v="11"/>
  </r>
  <r>
    <d v="2021-02-24T00:00:00"/>
    <n v="24.4"/>
    <n v="18"/>
    <n v="31.1"/>
    <n v="0"/>
    <s v="Normal"/>
    <s v="Normal"/>
    <s v="Normal"/>
    <s v="Normal"/>
    <n v="2021"/>
    <x v="11"/>
  </r>
  <r>
    <d v="2021-02-25T00:00:00"/>
    <n v="25.3"/>
    <n v="17.399999999999999"/>
    <n v="32"/>
    <n v="0"/>
    <s v="Normal"/>
    <s v="Normal"/>
    <s v="Normal"/>
    <s v="Normal"/>
    <n v="2021"/>
    <x v="11"/>
  </r>
  <r>
    <d v="2021-02-26T00:00:00"/>
    <n v="25.8"/>
    <n v="18.399999999999999"/>
    <n v="33"/>
    <n v="0"/>
    <s v="Normal"/>
    <s v="Normal"/>
    <s v="Normal"/>
    <s v="Normal"/>
    <n v="2021"/>
    <x v="11"/>
  </r>
  <r>
    <d v="2021-02-27T00:00:00"/>
    <n v="26.2"/>
    <n v="19"/>
    <n v="34.1"/>
    <n v="0"/>
    <s v="Normal"/>
    <s v="Normal"/>
    <s v="Normal"/>
    <s v="Normal"/>
    <n v="2021"/>
    <x v="11"/>
  </r>
  <r>
    <d v="2021-02-28T00:00:00"/>
    <n v="26"/>
    <n v="20"/>
    <n v="33.799999999999997"/>
    <n v="0"/>
    <s v="Normal"/>
    <s v="Normal"/>
    <s v="Normal"/>
    <s v="Normal"/>
    <n v="2021"/>
    <x v="11"/>
  </r>
  <r>
    <d v="2021-03-01T00:00:00"/>
    <n v="25.4"/>
    <n v="17.399999999999999"/>
    <n v="33.799999999999997"/>
    <n v="0"/>
    <s v="Normal"/>
    <s v="Normal"/>
    <s v="Normal"/>
    <s v="Normal"/>
    <n v="2021"/>
    <x v="1"/>
  </r>
  <r>
    <d v="2021-03-02T00:00:00"/>
    <n v="25.3"/>
    <n v="18.399999999999999"/>
    <n v="33.6"/>
    <n v="0"/>
    <s v="Normal"/>
    <s v="Normal"/>
    <s v="Normal"/>
    <s v="Normal"/>
    <n v="2021"/>
    <x v="1"/>
  </r>
  <r>
    <d v="2021-03-03T00:00:00"/>
    <n v="25"/>
    <n v="18.2"/>
    <n v="32.5"/>
    <n v="0"/>
    <s v="Normal"/>
    <s v="Normal"/>
    <s v="Normal"/>
    <s v="Normal"/>
    <n v="2021"/>
    <x v="1"/>
  </r>
  <r>
    <d v="2021-03-06T00:00:00"/>
    <n v="26.7"/>
    <n v="18.399999999999999"/>
    <n v="34.4"/>
    <n v="0"/>
    <s v="Normal"/>
    <s v="Normal"/>
    <s v="Normal"/>
    <s v="Normal"/>
    <n v="2021"/>
    <x v="1"/>
  </r>
  <r>
    <d v="2021-03-07T00:00:00"/>
    <n v="26.5"/>
    <n v="17.5"/>
    <n v="35.9"/>
    <n v="0"/>
    <s v="Normal"/>
    <s v="Normal"/>
    <s v="Normal"/>
    <s v="Normal"/>
    <n v="2021"/>
    <x v="1"/>
  </r>
  <r>
    <d v="2021-03-08T00:00:00"/>
    <n v="26"/>
    <n v="19"/>
    <n v="33.799999999999997"/>
    <n v="0"/>
    <s v="Normal"/>
    <s v="Normal"/>
    <s v="Normal"/>
    <s v="Normal"/>
    <n v="2021"/>
    <x v="1"/>
  </r>
  <r>
    <d v="2021-03-09T00:00:00"/>
    <n v="25.6"/>
    <n v="18.7"/>
    <n v="33.5"/>
    <n v="0"/>
    <s v="Normal"/>
    <s v="Normal"/>
    <s v="Normal"/>
    <s v="Normal"/>
    <n v="2021"/>
    <x v="1"/>
  </r>
  <r>
    <d v="2021-03-10T00:00:00"/>
    <n v="27"/>
    <n v="19.5"/>
    <n v="33.6"/>
    <n v="0"/>
    <s v="Normal"/>
    <s v="Normal"/>
    <s v="Normal"/>
    <s v="Normal"/>
    <n v="2021"/>
    <x v="1"/>
  </r>
  <r>
    <d v="2021-03-11T00:00:00"/>
    <n v="25"/>
    <n v="18.8"/>
    <n v="32"/>
    <n v="0"/>
    <s v="Normal"/>
    <s v="Normal"/>
    <s v="Normal"/>
    <s v="Normal"/>
    <n v="2021"/>
    <x v="1"/>
  </r>
  <r>
    <d v="2021-03-12T00:00:00"/>
    <n v="24.6"/>
    <n v="17.3"/>
    <n v="32.200000000000003"/>
    <n v="0"/>
    <s v="Normal"/>
    <s v="Normal"/>
    <s v="Normal"/>
    <s v="Normal"/>
    <n v="2021"/>
    <x v="1"/>
  </r>
  <r>
    <d v="2021-03-16T00:00:00"/>
    <n v="25.9"/>
    <n v="17.899999999999999"/>
    <n v="32.799999999999997"/>
    <n v="0"/>
    <s v="Normal"/>
    <s v="Normal"/>
    <s v="Normal"/>
    <s v="Normal"/>
    <n v="2021"/>
    <x v="1"/>
  </r>
  <r>
    <d v="2021-03-18T00:00:00"/>
    <n v="25.5"/>
    <n v="17"/>
    <n v="32.799999999999997"/>
    <n v="0"/>
    <s v="Normal"/>
    <s v="Normal"/>
    <s v="Normal"/>
    <s v="Normal"/>
    <n v="2021"/>
    <x v="1"/>
  </r>
  <r>
    <d v="2021-03-19T00:00:00"/>
    <n v="25.3"/>
    <n v="17.8"/>
    <n v="32.799999999999997"/>
    <n v="0"/>
    <s v="Normal"/>
    <s v="Normal"/>
    <s v="Normal"/>
    <s v="Normal"/>
    <n v="2021"/>
    <x v="1"/>
  </r>
  <r>
    <d v="2021-03-20T00:00:00"/>
    <n v="25.3"/>
    <n v="16.899999999999999"/>
    <n v="32.200000000000003"/>
    <n v="0"/>
    <s v="Normal"/>
    <s v="Normal"/>
    <s v="Normal"/>
    <s v="Normal"/>
    <n v="2021"/>
    <x v="1"/>
  </r>
  <r>
    <d v="2021-03-21T00:00:00"/>
    <n v="25.9"/>
    <n v="18.399999999999999"/>
    <n v="33"/>
    <n v="0"/>
    <s v="Normal"/>
    <s v="Normal"/>
    <s v="Normal"/>
    <s v="Normal"/>
    <n v="2021"/>
    <x v="1"/>
  </r>
  <r>
    <d v="2021-03-22T00:00:00"/>
    <n v="26.2"/>
    <n v="17.5"/>
    <n v="33.799999999999997"/>
    <n v="0"/>
    <s v="Normal"/>
    <s v="Normal"/>
    <s v="Normal"/>
    <s v="Normal"/>
    <n v="2021"/>
    <x v="1"/>
  </r>
  <r>
    <d v="2021-03-23T00:00:00"/>
    <n v="26.6"/>
    <n v="18.2"/>
    <n v="34.200000000000003"/>
    <n v="0"/>
    <s v="Normal"/>
    <s v="Normal"/>
    <s v="Normal"/>
    <s v="Normal"/>
    <n v="2021"/>
    <x v="1"/>
  </r>
  <r>
    <d v="2021-03-24T00:00:00"/>
    <n v="26.7"/>
    <n v="18.3"/>
    <n v="33.799999999999997"/>
    <n v="0"/>
    <s v="Normal"/>
    <s v="Normal"/>
    <s v="Normal"/>
    <s v="Normal"/>
    <n v="2021"/>
    <x v="1"/>
  </r>
  <r>
    <d v="2021-03-25T00:00:00"/>
    <n v="27.2"/>
    <n v="18.7"/>
    <n v="33.6"/>
    <n v="0"/>
    <s v="Normal"/>
    <s v="Normal"/>
    <s v="Normal"/>
    <s v="Normal"/>
    <n v="2021"/>
    <x v="1"/>
  </r>
  <r>
    <d v="2021-03-26T00:00:00"/>
    <n v="27.2"/>
    <n v="19.3"/>
    <n v="35"/>
    <n v="0"/>
    <s v="Normal"/>
    <s v="Normal"/>
    <s v="Normal"/>
    <s v="Normal"/>
    <n v="2021"/>
    <x v="1"/>
  </r>
  <r>
    <d v="2021-03-27T00:00:00"/>
    <n v="27.2"/>
    <n v="19.100000000000001"/>
    <n v="34.4"/>
    <n v="0"/>
    <s v="Normal"/>
    <s v="Normal"/>
    <s v="Normal"/>
    <s v="Normal"/>
    <n v="2021"/>
    <x v="1"/>
  </r>
  <r>
    <d v="2021-03-28T00:00:00"/>
    <n v="27.2"/>
    <n v="19.8"/>
    <n v="34.1"/>
    <n v="0"/>
    <s v="Normal"/>
    <s v="Normal"/>
    <s v="Normal"/>
    <s v="Normal"/>
    <n v="2021"/>
    <x v="1"/>
  </r>
  <r>
    <d v="2021-03-29T00:00:00"/>
    <n v="27.5"/>
    <n v="20"/>
    <n v="34.5"/>
    <n v="0"/>
    <s v="Normal"/>
    <s v="Normal"/>
    <s v="Normal"/>
    <s v="Normal"/>
    <n v="2021"/>
    <x v="1"/>
  </r>
  <r>
    <d v="2021-03-30T00:00:00"/>
    <n v="27.7"/>
    <n v="21.4"/>
    <n v="34.1"/>
    <n v="0"/>
    <s v="Normal"/>
    <s v="Normal"/>
    <s v="Normal"/>
    <s v="Normal"/>
    <n v="2021"/>
    <x v="1"/>
  </r>
  <r>
    <d v="2021-04-01T00:00:00"/>
    <n v="28.1"/>
    <n v="21"/>
    <n v="35.6"/>
    <n v="0"/>
    <s v="Normal"/>
    <s v="Normal"/>
    <s v="Normal"/>
    <s v="Normal"/>
    <n v="2021"/>
    <x v="2"/>
  </r>
  <r>
    <d v="2021-04-02T00:00:00"/>
    <n v="27.7"/>
    <n v="19.3"/>
    <n v="35.6"/>
    <n v="0"/>
    <s v="Normal"/>
    <s v="Normal"/>
    <s v="Normal"/>
    <s v="Normal"/>
    <n v="2021"/>
    <x v="2"/>
  </r>
  <r>
    <d v="2021-04-03T00:00:00"/>
    <n v="27.7"/>
    <n v="20.6"/>
    <n v="34.4"/>
    <n v="0"/>
    <s v="Normal"/>
    <s v="Normal"/>
    <s v="Normal"/>
    <s v="Normal"/>
    <n v="2021"/>
    <x v="2"/>
  </r>
  <r>
    <d v="2021-04-05T00:00:00"/>
    <n v="27.7"/>
    <n v="21.4"/>
    <n v="33.299999999999997"/>
    <n v="0"/>
    <s v="Normal"/>
    <s v="Normal"/>
    <s v="Normal"/>
    <s v="Normal"/>
    <n v="2021"/>
    <x v="2"/>
  </r>
  <r>
    <d v="2021-04-06T00:00:00"/>
    <n v="27.3"/>
    <n v="20.2"/>
    <n v="34.4"/>
    <n v="0"/>
    <s v="Normal"/>
    <s v="Normal"/>
    <s v="Normal"/>
    <s v="Normal"/>
    <n v="2021"/>
    <x v="2"/>
  </r>
  <r>
    <d v="2021-04-07T00:00:00"/>
    <n v="27.6"/>
    <n v="19.399999999999999"/>
    <n v="35"/>
    <n v="0"/>
    <s v="Normal"/>
    <s v="Normal"/>
    <s v="Normal"/>
    <s v="Normal"/>
    <n v="2021"/>
    <x v="2"/>
  </r>
  <r>
    <d v="2021-04-08T00:00:00"/>
    <n v="27.3"/>
    <n v="20.100000000000001"/>
    <n v="34.200000000000003"/>
    <n v="0"/>
    <s v="Normal"/>
    <s v="Normal"/>
    <s v="Normal"/>
    <s v="Normal"/>
    <n v="2021"/>
    <x v="2"/>
  </r>
  <r>
    <d v="2021-04-09T00:00:00"/>
    <n v="27.1"/>
    <n v="19.5"/>
    <n v="34"/>
    <n v="0"/>
    <s v="Normal"/>
    <s v="Normal"/>
    <s v="Normal"/>
    <s v="Normal"/>
    <n v="2021"/>
    <x v="2"/>
  </r>
  <r>
    <d v="2021-04-10T00:00:00"/>
    <n v="26.5"/>
    <n v="19.3"/>
    <n v="33.299999999999997"/>
    <n v="0"/>
    <s v="Normal"/>
    <s v="Normal"/>
    <s v="Normal"/>
    <s v="Normal"/>
    <n v="2021"/>
    <x v="2"/>
  </r>
  <r>
    <d v="2021-04-11T00:00:00"/>
    <n v="26.5"/>
    <n v="19.399999999999999"/>
    <n v="33.200000000000003"/>
    <n v="0"/>
    <s v="Normal"/>
    <s v="Normal"/>
    <s v="Normal"/>
    <s v="Normal"/>
    <n v="2021"/>
    <x v="2"/>
  </r>
  <r>
    <d v="2021-04-12T00:00:00"/>
    <n v="26.6"/>
    <n v="20.7"/>
    <n v="33.5"/>
    <n v="0"/>
    <s v="Normal"/>
    <s v="Normal"/>
    <s v="Normal"/>
    <s v="Normal"/>
    <n v="2021"/>
    <x v="2"/>
  </r>
  <r>
    <d v="2021-04-13T00:00:00"/>
    <n v="26.6"/>
    <n v="20.8"/>
    <n v="32.9"/>
    <n v="0"/>
    <s v="Normal"/>
    <s v="Normal"/>
    <s v="Normal"/>
    <s v="Normal"/>
    <n v="2021"/>
    <x v="2"/>
  </r>
  <r>
    <d v="2021-04-14T00:00:00"/>
    <n v="25.1"/>
    <n v="21.8"/>
    <n v="31.8"/>
    <n v="8.1"/>
    <s v="Normal"/>
    <s v="Normal"/>
    <s v="Normal"/>
    <s v="Normal"/>
    <n v="2021"/>
    <x v="2"/>
  </r>
  <r>
    <d v="2021-04-15T00:00:00"/>
    <n v="25.3"/>
    <n v="19.8"/>
    <n v="33.200000000000003"/>
    <n v="1.8"/>
    <s v="Normal"/>
    <s v="Normal"/>
    <s v="Normal"/>
    <s v="Normal"/>
    <n v="2021"/>
    <x v="2"/>
  </r>
  <r>
    <d v="2021-04-16T00:00:00"/>
    <n v="27.2"/>
    <n v="20.8"/>
    <n v="32.6"/>
    <n v="0.3"/>
    <s v="Normal"/>
    <s v="Normal"/>
    <s v="Normal"/>
    <s v="Normal"/>
    <n v="2021"/>
    <x v="2"/>
  </r>
  <r>
    <d v="2021-04-17T00:00:00"/>
    <n v="27.7"/>
    <n v="22.4"/>
    <n v="33.4"/>
    <n v="0"/>
    <s v="Normal"/>
    <s v="Normal"/>
    <s v="Normal"/>
    <s v="Normal"/>
    <n v="2021"/>
    <x v="2"/>
  </r>
  <r>
    <d v="2021-04-18T00:00:00"/>
    <n v="26.8"/>
    <n v="20.9"/>
    <n v="33"/>
    <n v="0.1"/>
    <s v="Normal"/>
    <s v="Normal"/>
    <s v="Normal"/>
    <s v="Normal"/>
    <n v="2021"/>
    <x v="2"/>
  </r>
  <r>
    <d v="2021-04-19T00:00:00"/>
    <n v="27.1"/>
    <n v="20.6"/>
    <n v="34"/>
    <n v="0.1"/>
    <s v="Normal"/>
    <s v="Normal"/>
    <s v="Normal"/>
    <s v="Normal"/>
    <n v="2021"/>
    <x v="2"/>
  </r>
  <r>
    <d v="2021-04-20T00:00:00"/>
    <n v="26"/>
    <n v="21.8"/>
    <n v="34"/>
    <n v="2.1"/>
    <s v="Normal"/>
    <s v="Normal"/>
    <s v="Normal"/>
    <s v="Normal"/>
    <n v="2021"/>
    <x v="2"/>
  </r>
  <r>
    <d v="2021-04-21T00:00:00"/>
    <n v="26.6"/>
    <n v="20.8"/>
    <n v="34.4"/>
    <n v="0"/>
    <s v="Normal"/>
    <s v="Normal"/>
    <s v="Normal"/>
    <s v="Normal"/>
    <n v="2021"/>
    <x v="2"/>
  </r>
  <r>
    <d v="2021-04-25T00:00:00"/>
    <n v="26.5"/>
    <n v="21.8"/>
    <n v="31.9"/>
    <n v="0"/>
    <s v="Normal"/>
    <s v="Normal"/>
    <s v="Normal"/>
    <s v="Normal"/>
    <n v="2021"/>
    <x v="2"/>
  </r>
  <r>
    <d v="2021-04-26T00:00:00"/>
    <n v="26.5"/>
    <n v="21.2"/>
    <n v="33"/>
    <n v="0"/>
    <s v="Normal"/>
    <s v="Normal"/>
    <s v="Normal"/>
    <s v="Normal"/>
    <n v="2021"/>
    <x v="2"/>
  </r>
  <r>
    <d v="2021-04-27T00:00:00"/>
    <n v="26.6"/>
    <n v="20.9"/>
    <n v="32.5"/>
    <n v="0"/>
    <s v="Normal"/>
    <s v="Normal"/>
    <s v="Normal"/>
    <s v="Normal"/>
    <n v="2021"/>
    <x v="2"/>
  </r>
  <r>
    <d v="2021-04-28T00:00:00"/>
    <n v="27"/>
    <n v="20.9"/>
    <n v="33.4"/>
    <n v="0.1"/>
    <s v="Normal"/>
    <s v="Normal"/>
    <s v="Normal"/>
    <s v="Normal"/>
    <n v="2021"/>
    <x v="2"/>
  </r>
  <r>
    <d v="2021-04-29T00:00:00"/>
    <n v="26.5"/>
    <n v="22.2"/>
    <n v="31.8"/>
    <n v="0.7"/>
    <s v="Normal"/>
    <s v="Normal"/>
    <s v="Normal"/>
    <s v="Normal"/>
    <n v="2021"/>
    <x v="2"/>
  </r>
  <r>
    <d v="2021-04-30T00:00:00"/>
    <n v="26.4"/>
    <n v="20.7"/>
    <n v="33.1"/>
    <n v="0"/>
    <s v="Normal"/>
    <s v="Normal"/>
    <s v="Normal"/>
    <s v="Normal"/>
    <n v="2021"/>
    <x v="2"/>
  </r>
  <r>
    <d v="2021-05-01T00:00:00"/>
    <n v="27.1"/>
    <n v="22.5"/>
    <n v="33.4"/>
    <n v="0"/>
    <s v="Normal"/>
    <s v="Normal"/>
    <s v="Normal"/>
    <s v="Normal"/>
    <n v="2021"/>
    <x v="3"/>
  </r>
  <r>
    <d v="2021-05-02T00:00:00"/>
    <n v="26.7"/>
    <n v="21.5"/>
    <n v="32.4"/>
    <n v="0"/>
    <s v="Normal"/>
    <s v="Normal"/>
    <s v="Normal"/>
    <s v="Normal"/>
    <n v="2021"/>
    <x v="3"/>
  </r>
  <r>
    <d v="2021-05-03T00:00:00"/>
    <n v="26.4"/>
    <n v="21.9"/>
    <n v="32"/>
    <n v="0.3"/>
    <s v="Normal"/>
    <s v="Normal"/>
    <s v="Normal"/>
    <s v="Normal"/>
    <n v="2021"/>
    <x v="3"/>
  </r>
  <r>
    <d v="2021-05-04T00:00:00"/>
    <n v="25.1"/>
    <n v="21.1"/>
    <n v="30.4"/>
    <n v="8.9"/>
    <s v="Normal"/>
    <s v="Normal"/>
    <s v="Normal"/>
    <s v="Normal"/>
    <n v="2021"/>
    <x v="3"/>
  </r>
  <r>
    <d v="2021-05-05T00:00:00"/>
    <n v="26.9"/>
    <n v="20.6"/>
    <n v="33.299999999999997"/>
    <n v="0"/>
    <s v="Normal"/>
    <s v="Normal"/>
    <s v="Normal"/>
    <s v="Normal"/>
    <n v="2021"/>
    <x v="3"/>
  </r>
  <r>
    <d v="2021-05-06T00:00:00"/>
    <n v="27"/>
    <n v="21.7"/>
    <n v="32.4"/>
    <n v="0"/>
    <s v="Normal"/>
    <s v="Normal"/>
    <s v="Normal"/>
    <s v="Normal"/>
    <n v="2021"/>
    <x v="3"/>
  </r>
  <r>
    <d v="2021-05-07T00:00:00"/>
    <n v="26.5"/>
    <n v="22.2"/>
    <n v="32"/>
    <n v="0.7"/>
    <s v="Normal"/>
    <s v="Normal"/>
    <s v="Normal"/>
    <s v="Normal"/>
    <n v="2021"/>
    <x v="3"/>
  </r>
  <r>
    <d v="2021-05-08T00:00:00"/>
    <n v="26.8"/>
    <n v="21.5"/>
    <n v="33.6"/>
    <n v="0.2"/>
    <s v="Normal"/>
    <s v="Normal"/>
    <s v="Normal"/>
    <s v="Normal"/>
    <n v="2021"/>
    <x v="3"/>
  </r>
  <r>
    <d v="2021-05-09T00:00:00"/>
    <n v="27.2"/>
    <n v="21.3"/>
    <n v="33.4"/>
    <n v="0.3"/>
    <s v="Normal"/>
    <s v="Normal"/>
    <s v="Normal"/>
    <s v="Normal"/>
    <n v="2021"/>
    <x v="3"/>
  </r>
  <r>
    <d v="2021-05-10T00:00:00"/>
    <n v="26.7"/>
    <n v="22.1"/>
    <n v="32.799999999999997"/>
    <n v="1"/>
    <s v="Normal"/>
    <s v="Normal"/>
    <s v="Normal"/>
    <s v="Normal"/>
    <n v="2021"/>
    <x v="3"/>
  </r>
  <r>
    <d v="2021-05-11T00:00:00"/>
    <n v="26.1"/>
    <n v="21.5"/>
    <n v="33.200000000000003"/>
    <n v="5.6"/>
    <s v="Normal"/>
    <s v="Normal"/>
    <s v="Normal"/>
    <s v="Normal"/>
    <n v="2021"/>
    <x v="3"/>
  </r>
  <r>
    <d v="2021-05-12T00:00:00"/>
    <n v="25.5"/>
    <n v="21.4"/>
    <n v="33.9"/>
    <n v="0"/>
    <s v="Normal"/>
    <s v="Normal"/>
    <s v="Normal"/>
    <s v="Normal"/>
    <n v="2021"/>
    <x v="3"/>
  </r>
  <r>
    <d v="2021-05-15T00:00:00"/>
    <n v="23.8"/>
    <n v="22.2"/>
    <n v="32.6"/>
    <n v="0"/>
    <s v="Normal"/>
    <s v="Normal"/>
    <s v="Normal"/>
    <s v="Normal"/>
    <n v="2021"/>
    <x v="3"/>
  </r>
  <r>
    <d v="2021-05-16T00:00:00"/>
    <n v="24"/>
    <n v="21.4"/>
    <n v="28"/>
    <n v="0"/>
    <s v="Normal"/>
    <s v="Normal"/>
    <s v="Normal"/>
    <s v="Normal"/>
    <n v="2021"/>
    <x v="3"/>
  </r>
  <r>
    <d v="2021-05-17T00:00:00"/>
    <n v="25.7"/>
    <n v="21"/>
    <n v="31.6"/>
    <n v="0"/>
    <s v="Normal"/>
    <s v="Normal"/>
    <s v="Normal"/>
    <s v="Normal"/>
    <n v="2021"/>
    <x v="3"/>
  </r>
  <r>
    <d v="2021-05-18T00:00:00"/>
    <n v="25.7"/>
    <n v="21.6"/>
    <n v="32.6"/>
    <n v="0"/>
    <s v="Normal"/>
    <s v="Normal"/>
    <s v="Normal"/>
    <s v="Normal"/>
    <n v="2021"/>
    <x v="3"/>
  </r>
  <r>
    <d v="2021-05-19T00:00:00"/>
    <n v="25.1"/>
    <n v="20.2"/>
    <n v="32.6"/>
    <n v="4"/>
    <s v="Normal"/>
    <s v="Normal"/>
    <s v="Normal"/>
    <s v="Normal"/>
    <n v="2021"/>
    <x v="3"/>
  </r>
  <r>
    <d v="2021-05-20T00:00:00"/>
    <n v="24.2"/>
    <n v="21.1"/>
    <n v="29.6"/>
    <n v="2.7"/>
    <s v="Normal"/>
    <s v="Normal"/>
    <s v="Normal"/>
    <s v="Normal"/>
    <n v="2021"/>
    <x v="3"/>
  </r>
  <r>
    <d v="2021-05-21T00:00:00"/>
    <n v="23.3"/>
    <n v="20.9"/>
    <n v="30.8"/>
    <n v="2.8"/>
    <s v="Normal"/>
    <s v="Normal"/>
    <s v="Normal"/>
    <s v="Normal"/>
    <n v="2021"/>
    <x v="3"/>
  </r>
  <r>
    <d v="2021-05-23T00:00:00"/>
    <n v="25.8"/>
    <n v="20.8"/>
    <n v="29.4"/>
    <n v="7.4"/>
    <s v="Normal"/>
    <s v="Normal"/>
    <s v="Normal"/>
    <s v="Normal"/>
    <n v="2021"/>
    <x v="3"/>
  </r>
  <r>
    <d v="2021-05-24T00:00:00"/>
    <n v="26.1"/>
    <n v="22"/>
    <n v="31"/>
    <n v="0"/>
    <s v="Normal"/>
    <s v="Normal"/>
    <s v="Normal"/>
    <s v="Normal"/>
    <n v="2021"/>
    <x v="3"/>
  </r>
  <r>
    <d v="2021-05-25T00:00:00"/>
    <n v="24.3"/>
    <n v="20.2"/>
    <n v="31.7"/>
    <n v="0.3"/>
    <s v="Normal"/>
    <s v="Normal"/>
    <s v="Normal"/>
    <s v="Normal"/>
    <n v="2021"/>
    <x v="3"/>
  </r>
  <r>
    <d v="2021-05-27T00:00:00"/>
    <n v="25.3"/>
    <n v="21.2"/>
    <n v="30.1"/>
    <n v="0"/>
    <s v="Normal"/>
    <s v="Normal"/>
    <s v="Normal"/>
    <s v="Normal"/>
    <n v="2021"/>
    <x v="3"/>
  </r>
  <r>
    <d v="2021-05-28T00:00:00"/>
    <n v="24.7"/>
    <n v="18.8"/>
    <n v="30.3"/>
    <n v="0"/>
    <s v="Normal"/>
    <s v="Normal"/>
    <s v="Normal"/>
    <s v="Normal"/>
    <n v="2021"/>
    <x v="3"/>
  </r>
  <r>
    <d v="2021-05-29T00:00:00"/>
    <n v="24.8"/>
    <n v="19.399999999999999"/>
    <n v="30.8"/>
    <n v="0.5"/>
    <s v="Normal"/>
    <s v="Normal"/>
    <s v="Normal"/>
    <s v="Normal"/>
    <n v="2021"/>
    <x v="3"/>
  </r>
  <r>
    <d v="2021-05-30T00:00:00"/>
    <n v="25.2"/>
    <n v="20.100000000000001"/>
    <n v="31.3"/>
    <n v="0.1"/>
    <s v="Normal"/>
    <s v="Normal"/>
    <s v="Normal"/>
    <s v="Normal"/>
    <n v="2021"/>
    <x v="3"/>
  </r>
  <r>
    <d v="2021-05-31T00:00:00"/>
    <n v="25.3"/>
    <n v="20.3"/>
    <n v="31.6"/>
    <n v="2.2999999999999998"/>
    <s v="Normal"/>
    <s v="Normal"/>
    <s v="Normal"/>
    <s v="Normal"/>
    <n v="2021"/>
    <x v="3"/>
  </r>
  <r>
    <d v="2021-06-01T00:00:00"/>
    <n v="25.5"/>
    <n v="20.8"/>
    <n v="31.6"/>
    <n v="5.6"/>
    <s v="Normal"/>
    <s v="Normal"/>
    <s v="Normal"/>
    <s v="Normal"/>
    <n v="2021"/>
    <x v="4"/>
  </r>
  <r>
    <d v="2021-06-02T00:00:00"/>
    <n v="25.9"/>
    <n v="22.2"/>
    <n v="33.700000000000003"/>
    <n v="1"/>
    <s v="Normal"/>
    <s v="Normal"/>
    <s v="Normal"/>
    <s v="Normal"/>
    <n v="2021"/>
    <x v="4"/>
  </r>
  <r>
    <d v="2021-06-03T00:00:00"/>
    <n v="24.6"/>
    <n v="21.9"/>
    <n v="33.700000000000003"/>
    <n v="0.5"/>
    <s v="Normal"/>
    <s v="Normal"/>
    <s v="Normal"/>
    <s v="Normal"/>
    <n v="2021"/>
    <x v="4"/>
  </r>
  <r>
    <d v="2021-06-06T00:00:00"/>
    <n v="24.8"/>
    <n v="20.7"/>
    <n v="29.2"/>
    <n v="4.5999999999999996"/>
    <s v="Normal"/>
    <s v="Normal"/>
    <s v="Normal"/>
    <s v="Normal"/>
    <n v="2021"/>
    <x v="4"/>
  </r>
  <r>
    <d v="2021-06-07T00:00:00"/>
    <n v="25.4"/>
    <n v="22.1"/>
    <n v="29.7"/>
    <n v="0.5"/>
    <s v="Normal"/>
    <s v="Normal"/>
    <s v="Normal"/>
    <s v="Normal"/>
    <n v="2021"/>
    <x v="4"/>
  </r>
  <r>
    <d v="2021-06-08T00:00:00"/>
    <n v="25.6"/>
    <n v="19.7"/>
    <n v="31"/>
    <n v="0"/>
    <s v="Normal"/>
    <s v="Normal"/>
    <s v="Normal"/>
    <s v="Normal"/>
    <n v="2021"/>
    <x v="4"/>
  </r>
  <r>
    <d v="2021-06-09T00:00:00"/>
    <n v="23.4"/>
    <n v="19.2"/>
    <n v="29.2"/>
    <n v="4.5999999999999996"/>
    <s v="Normal"/>
    <s v="Normal"/>
    <s v="Normal"/>
    <s v="Normal"/>
    <n v="2021"/>
    <x v="4"/>
  </r>
  <r>
    <d v="2021-06-10T00:00:00"/>
    <n v="23.6"/>
    <n v="19.8"/>
    <n v="28.5"/>
    <n v="2.2999999999999998"/>
    <s v="Normal"/>
    <s v="Normal"/>
    <s v="Normal"/>
    <s v="Normal"/>
    <n v="2021"/>
    <x v="4"/>
  </r>
  <r>
    <d v="2021-06-11T00:00:00"/>
    <n v="24.2"/>
    <n v="20.399999999999999"/>
    <n v="29"/>
    <n v="0"/>
    <s v="Normal"/>
    <s v="Normal"/>
    <s v="Normal"/>
    <s v="Normal"/>
    <n v="2021"/>
    <x v="4"/>
  </r>
  <r>
    <d v="2021-06-12T00:00:00"/>
    <n v="23.2"/>
    <n v="20.399999999999999"/>
    <n v="27"/>
    <n v="2.8"/>
    <s v="Normal"/>
    <s v="Normal"/>
    <s v="Normal"/>
    <s v="Normal"/>
    <n v="2021"/>
    <x v="4"/>
  </r>
  <r>
    <d v="2021-06-13T00:00:00"/>
    <n v="22.6"/>
    <n v="20.2"/>
    <n v="25.2"/>
    <n v="3.6"/>
    <s v="Normal"/>
    <s v="Normal"/>
    <s v="Normal"/>
    <s v="Normal"/>
    <n v="2021"/>
    <x v="4"/>
  </r>
  <r>
    <d v="2021-06-14T00:00:00"/>
    <n v="22.3"/>
    <n v="20.100000000000001"/>
    <n v="27.6"/>
    <n v="0"/>
    <s v="Normal"/>
    <s v="Normal"/>
    <s v="Normal"/>
    <s v="Normal"/>
    <n v="2021"/>
    <x v="4"/>
  </r>
  <r>
    <d v="2021-06-15T00:00:00"/>
    <n v="22.7"/>
    <n v="20.2"/>
    <n v="26.5"/>
    <n v="4.3"/>
    <s v="Normal"/>
    <s v="Normal"/>
    <s v="Normal"/>
    <s v="Normal"/>
    <n v="2021"/>
    <x v="4"/>
  </r>
  <r>
    <d v="2021-06-16T00:00:00"/>
    <n v="22.7"/>
    <n v="20.8"/>
    <n v="26.7"/>
    <n v="0.5"/>
    <s v="Normal"/>
    <s v="Normal"/>
    <s v="Normal"/>
    <s v="Normal"/>
    <n v="2021"/>
    <x v="4"/>
  </r>
  <r>
    <d v="2021-06-17T00:00:00"/>
    <n v="23.4"/>
    <n v="20.8"/>
    <n v="28"/>
    <n v="5.0999999999999996"/>
    <s v="Normal"/>
    <s v="Normal"/>
    <s v="Normal"/>
    <s v="Normal"/>
    <n v="2021"/>
    <x v="4"/>
  </r>
  <r>
    <d v="2021-06-18T00:00:00"/>
    <n v="23.4"/>
    <n v="20.399999999999999"/>
    <n v="28.4"/>
    <n v="1.3"/>
    <s v="Normal"/>
    <s v="Normal"/>
    <s v="Normal"/>
    <s v="Normal"/>
    <n v="2021"/>
    <x v="4"/>
  </r>
  <r>
    <d v="2021-06-19T00:00:00"/>
    <n v="23.4"/>
    <n v="20.8"/>
    <n v="28"/>
    <n v="0"/>
    <s v="Normal"/>
    <s v="Normal"/>
    <s v="Normal"/>
    <s v="Normal"/>
    <n v="2021"/>
    <x v="4"/>
  </r>
  <r>
    <d v="2021-06-20T00:00:00"/>
    <n v="24.3"/>
    <n v="20.5"/>
    <n v="28.8"/>
    <n v="0"/>
    <s v="Normal"/>
    <s v="Normal"/>
    <s v="Normal"/>
    <s v="Normal"/>
    <n v="2021"/>
    <x v="4"/>
  </r>
  <r>
    <d v="2021-06-21T00:00:00"/>
    <n v="23.9"/>
    <n v="19.3"/>
    <n v="29.1"/>
    <n v="0.6"/>
    <s v="Normal"/>
    <s v="Normal"/>
    <s v="Normal"/>
    <s v="Normal"/>
    <n v="2021"/>
    <x v="4"/>
  </r>
  <r>
    <d v="2021-06-22T00:00:00"/>
    <n v="24.1"/>
    <n v="19.3"/>
    <n v="28.9"/>
    <n v="0.4"/>
    <s v="Normal"/>
    <s v="Normal"/>
    <s v="Normal"/>
    <s v="Normal"/>
    <n v="2021"/>
    <x v="4"/>
  </r>
  <r>
    <d v="2021-06-23T00:00:00"/>
    <n v="24.9"/>
    <n v="19.899999999999999"/>
    <n v="29.9"/>
    <n v="0"/>
    <s v="Normal"/>
    <s v="Normal"/>
    <s v="Normal"/>
    <s v="Normal"/>
    <n v="2021"/>
    <x v="4"/>
  </r>
  <r>
    <d v="2021-06-24T00:00:00"/>
    <n v="24.5"/>
    <n v="19.899999999999999"/>
    <n v="28.8"/>
    <n v="0.9"/>
    <s v="Normal"/>
    <s v="Normal"/>
    <s v="Normal"/>
    <s v="Normal"/>
    <n v="2021"/>
    <x v="4"/>
  </r>
  <r>
    <d v="2021-06-25T00:00:00"/>
    <n v="24.6"/>
    <n v="19.399999999999999"/>
    <n v="29.7"/>
    <n v="0.2"/>
    <s v="Normal"/>
    <s v="Normal"/>
    <s v="Normal"/>
    <s v="Normal"/>
    <n v="2021"/>
    <x v="4"/>
  </r>
  <r>
    <d v="2021-06-26T00:00:00"/>
    <n v="22.8"/>
    <n v="20.100000000000001"/>
    <n v="29.7"/>
    <n v="0"/>
    <s v="Normal"/>
    <s v="Normal"/>
    <s v="Normal"/>
    <s v="Normal"/>
    <n v="2021"/>
    <x v="4"/>
  </r>
  <r>
    <d v="2021-06-27T00:00:00"/>
    <n v="22.6"/>
    <n v="20.2"/>
    <n v="27.2"/>
    <n v="2.2999999999999998"/>
    <s v="Normal"/>
    <s v="Normal"/>
    <s v="Normal"/>
    <s v="Normal"/>
    <n v="2021"/>
    <x v="4"/>
  </r>
  <r>
    <d v="2021-06-28T00:00:00"/>
    <n v="23.7"/>
    <n v="20.8"/>
    <n v="28.5"/>
    <n v="0.5"/>
    <s v="Normal"/>
    <s v="Normal"/>
    <s v="Normal"/>
    <s v="Normal"/>
    <n v="2021"/>
    <x v="4"/>
  </r>
  <r>
    <d v="2021-06-29T00:00:00"/>
    <n v="26.2"/>
    <n v="20.9"/>
    <n v="31.6"/>
    <n v="0"/>
    <s v="Normal"/>
    <s v="Normal"/>
    <s v="Normal"/>
    <s v="Normal"/>
    <n v="2021"/>
    <x v="4"/>
  </r>
  <r>
    <d v="2021-06-30T00:00:00"/>
    <n v="26"/>
    <n v="20.7"/>
    <n v="30.9"/>
    <n v="1.5"/>
    <s v="Normal"/>
    <s v="Normal"/>
    <s v="Normal"/>
    <s v="Normal"/>
    <n v="2021"/>
    <x v="4"/>
  </r>
  <r>
    <d v="2021-07-01T00:00:00"/>
    <n v="25.7"/>
    <n v="23"/>
    <n v="32.700000000000003"/>
    <n v="2.5"/>
    <s v="Normal"/>
    <s v="Normal"/>
    <s v="Normal"/>
    <s v="Normal"/>
    <n v="2021"/>
    <x v="5"/>
  </r>
  <r>
    <d v="2021-07-02T00:00:00"/>
    <n v="26"/>
    <n v="22"/>
    <n v="30.6"/>
    <n v="0"/>
    <s v="Normal"/>
    <s v="Normal"/>
    <s v="Normal"/>
    <s v="Normal"/>
    <n v="2021"/>
    <x v="5"/>
  </r>
  <r>
    <d v="2021-07-04T00:00:00"/>
    <n v="23.6"/>
    <n v="20.399999999999999"/>
    <n v="29.4"/>
    <n v="7.5"/>
    <s v="Normal"/>
    <s v="Normal"/>
    <s v="Normal"/>
    <s v="Normal"/>
    <n v="2021"/>
    <x v="5"/>
  </r>
  <r>
    <d v="2021-07-05T00:00:00"/>
    <n v="23.3"/>
    <n v="20.399999999999999"/>
    <n v="28.4"/>
    <n v="2.7"/>
    <s v="Normal"/>
    <s v="Normal"/>
    <s v="Normal"/>
    <s v="Normal"/>
    <n v="2021"/>
    <x v="5"/>
  </r>
  <r>
    <d v="2021-07-06T00:00:00"/>
    <n v="24.9"/>
    <n v="20.2"/>
    <n v="29.4"/>
    <n v="1.3"/>
    <s v="Normal"/>
    <s v="Normal"/>
    <s v="Normal"/>
    <s v="Normal"/>
    <n v="2021"/>
    <x v="5"/>
  </r>
  <r>
    <d v="2021-07-07T00:00:00"/>
    <n v="24.6"/>
    <n v="22.3"/>
    <n v="30"/>
    <n v="0"/>
    <s v="Normal"/>
    <s v="Normal"/>
    <s v="Normal"/>
    <s v="Normal"/>
    <n v="2021"/>
    <x v="5"/>
  </r>
  <r>
    <d v="2021-07-08T00:00:00"/>
    <n v="25.3"/>
    <n v="21.8"/>
    <n v="29.4"/>
    <n v="0"/>
    <s v="Normal"/>
    <s v="Normal"/>
    <s v="Normal"/>
    <s v="Normal"/>
    <n v="2021"/>
    <x v="5"/>
  </r>
  <r>
    <d v="2021-07-09T00:00:00"/>
    <n v="24.2"/>
    <n v="20.3"/>
    <n v="30.1"/>
    <n v="0"/>
    <s v="Normal"/>
    <s v="Normal"/>
    <s v="Normal"/>
    <s v="Normal"/>
    <n v="2021"/>
    <x v="5"/>
  </r>
  <r>
    <d v="2021-07-10T00:00:00"/>
    <n v="22.8"/>
    <n v="20.100000000000001"/>
    <n v="29"/>
    <n v="0.3"/>
    <s v="Normal"/>
    <s v="Normal"/>
    <s v="Normal"/>
    <s v="Normal"/>
    <n v="2021"/>
    <x v="5"/>
  </r>
  <r>
    <d v="2021-07-11T00:00:00"/>
    <n v="22.8"/>
    <n v="20.100000000000001"/>
    <n v="26.8"/>
    <n v="0.5"/>
    <s v="Normal"/>
    <s v="Normal"/>
    <s v="Normal"/>
    <s v="Normal"/>
    <n v="2021"/>
    <x v="5"/>
  </r>
  <r>
    <d v="2021-07-12T00:00:00"/>
    <n v="23.2"/>
    <n v="20.2"/>
    <n v="26.8"/>
    <n v="0"/>
    <s v="Normal"/>
    <s v="Normal"/>
    <s v="Normal"/>
    <s v="Normal"/>
    <n v="2021"/>
    <x v="5"/>
  </r>
  <r>
    <d v="2021-07-13T00:00:00"/>
    <n v="21.8"/>
    <n v="20.5"/>
    <n v="24"/>
    <n v="4.5999999999999996"/>
    <s v="Normal"/>
    <s v="Normal"/>
    <s v="Normal"/>
    <s v="Normal"/>
    <n v="2021"/>
    <x v="5"/>
  </r>
  <r>
    <d v="2021-07-16T00:00:00"/>
    <n v="22.7"/>
    <n v="20.8"/>
    <n v="25.6"/>
    <n v="2.8"/>
    <s v="Normal"/>
    <s v="Normal"/>
    <s v="Normal"/>
    <s v="Normal"/>
    <n v="2021"/>
    <x v="5"/>
  </r>
  <r>
    <d v="2021-07-17T00:00:00"/>
    <n v="22.1"/>
    <n v="20.7"/>
    <n v="27"/>
    <n v="1.3"/>
    <s v="Normal"/>
    <s v="Normal"/>
    <s v="Normal"/>
    <s v="Normal"/>
    <n v="2021"/>
    <x v="5"/>
  </r>
  <r>
    <d v="2021-07-19T00:00:00"/>
    <n v="22.6"/>
    <n v="19.5"/>
    <n v="26.8"/>
    <n v="4.3"/>
    <s v="Normal"/>
    <s v="Normal"/>
    <s v="Normal"/>
    <s v="Normal"/>
    <n v="2021"/>
    <x v="5"/>
  </r>
  <r>
    <d v="2021-07-20T00:00:00"/>
    <n v="23.1"/>
    <n v="19.7"/>
    <n v="27.6"/>
    <n v="7.1"/>
    <s v="Normal"/>
    <s v="Normal"/>
    <s v="Normal"/>
    <s v="Normal"/>
    <n v="2021"/>
    <x v="5"/>
  </r>
  <r>
    <d v="2021-07-21T00:00:00"/>
    <n v="21.8"/>
    <n v="20.399999999999999"/>
    <n v="27.8"/>
    <n v="0"/>
    <s v="Normal"/>
    <s v="Normal"/>
    <s v="Normal"/>
    <s v="Normal"/>
    <n v="2021"/>
    <x v="5"/>
  </r>
  <r>
    <d v="2021-07-22T00:00:00"/>
    <n v="21.2"/>
    <n v="20"/>
    <n v="24.2"/>
    <n v="3.3"/>
    <s v="Normal"/>
    <s v="Normal"/>
    <s v="Normal"/>
    <s v="Normal"/>
    <n v="2021"/>
    <x v="5"/>
  </r>
  <r>
    <d v="2021-07-23T00:00:00"/>
    <n v="21.4"/>
    <n v="19.7"/>
    <n v="24.7"/>
    <n v="3"/>
    <s v="Normal"/>
    <s v="Normal"/>
    <s v="Normal"/>
    <s v="Normal"/>
    <n v="2021"/>
    <x v="5"/>
  </r>
  <r>
    <d v="2021-07-24T00:00:00"/>
    <n v="22.6"/>
    <n v="20"/>
    <n v="27.1"/>
    <n v="0.5"/>
    <s v="Normal"/>
    <s v="Normal"/>
    <s v="Normal"/>
    <s v="Normal"/>
    <n v="2021"/>
    <x v="5"/>
  </r>
  <r>
    <d v="2021-07-27T00:00:00"/>
    <n v="23.4"/>
    <n v="20.100000000000001"/>
    <n v="28.3"/>
    <n v="0"/>
    <s v="Normal"/>
    <s v="Normal"/>
    <s v="Normal"/>
    <s v="Normal"/>
    <n v="2021"/>
    <x v="5"/>
  </r>
  <r>
    <d v="2021-07-28T00:00:00"/>
    <n v="23.1"/>
    <n v="19.8"/>
    <n v="27.6"/>
    <n v="1"/>
    <s v="Normal"/>
    <s v="Normal"/>
    <s v="Normal"/>
    <s v="Normal"/>
    <n v="2021"/>
    <x v="5"/>
  </r>
  <r>
    <d v="2021-07-29T00:00:00"/>
    <n v="22.7"/>
    <n v="19.5"/>
    <n v="26.4"/>
    <n v="0.9"/>
    <s v="Normal"/>
    <s v="Normal"/>
    <s v="Normal"/>
    <s v="Normal"/>
    <n v="2021"/>
    <x v="5"/>
  </r>
  <r>
    <d v="2021-07-30T00:00:00"/>
    <n v="23.5"/>
    <n v="19.600000000000001"/>
    <n v="28.4"/>
    <n v="0"/>
    <s v="Normal"/>
    <s v="Normal"/>
    <s v="Normal"/>
    <s v="Normal"/>
    <n v="2021"/>
    <x v="5"/>
  </r>
  <r>
    <d v="2021-07-31T00:00:00"/>
    <n v="23.1"/>
    <n v="19"/>
    <n v="28.1"/>
    <n v="0.7"/>
    <s v="Normal"/>
    <s v="Normal"/>
    <s v="Normal"/>
    <s v="Normal"/>
    <n v="2021"/>
    <x v="5"/>
  </r>
  <r>
    <d v="2021-08-01T00:00:00"/>
    <n v="23.2"/>
    <n v="20"/>
    <n v="28"/>
    <n v="0"/>
    <s v="Normal"/>
    <s v="Normal"/>
    <s v="Normal"/>
    <s v="Normal"/>
    <n v="2021"/>
    <x v="6"/>
  </r>
  <r>
    <d v="2021-08-02T00:00:00"/>
    <n v="23.6"/>
    <n v="19.600000000000001"/>
    <n v="27.5"/>
    <n v="0"/>
    <s v="Normal"/>
    <s v="Normal"/>
    <s v="Normal"/>
    <s v="Normal"/>
    <n v="2021"/>
    <x v="6"/>
  </r>
  <r>
    <d v="2021-08-03T00:00:00"/>
    <n v="23.2"/>
    <n v="19.5"/>
    <n v="28.2"/>
    <n v="0.7"/>
    <s v="Normal"/>
    <s v="Normal"/>
    <s v="Normal"/>
    <s v="Normal"/>
    <n v="2021"/>
    <x v="6"/>
  </r>
  <r>
    <d v="2021-08-04T00:00:00"/>
    <n v="23.3"/>
    <n v="19.8"/>
    <n v="27.8"/>
    <n v="2.8"/>
    <s v="Normal"/>
    <s v="Normal"/>
    <s v="Normal"/>
    <s v="Normal"/>
    <n v="2021"/>
    <x v="6"/>
  </r>
  <r>
    <d v="2021-08-05T00:00:00"/>
    <n v="22.7"/>
    <n v="19.2"/>
    <n v="27.6"/>
    <n v="2.7"/>
    <s v="Normal"/>
    <s v="Normal"/>
    <s v="Normal"/>
    <s v="Normal"/>
    <n v="2021"/>
    <x v="6"/>
  </r>
  <r>
    <d v="2021-08-06T00:00:00"/>
    <n v="23.5"/>
    <n v="19.899999999999999"/>
    <n v="28.8"/>
    <n v="1.6"/>
    <s v="Normal"/>
    <s v="Normal"/>
    <s v="Normal"/>
    <s v="Normal"/>
    <n v="2021"/>
    <x v="6"/>
  </r>
  <r>
    <d v="2021-08-07T00:00:00"/>
    <n v="24.3"/>
    <n v="20.9"/>
    <n v="29.4"/>
    <n v="4.3"/>
    <s v="Normal"/>
    <s v="Normal"/>
    <s v="Normal"/>
    <s v="Normal"/>
    <n v="2021"/>
    <x v="6"/>
  </r>
  <r>
    <d v="2021-08-08T00:00:00"/>
    <n v="24.9"/>
    <n v="20.8"/>
    <n v="30.3"/>
    <n v="1.3"/>
    <s v="Normal"/>
    <s v="Normal"/>
    <s v="Normal"/>
    <s v="Normal"/>
    <n v="2021"/>
    <x v="6"/>
  </r>
  <r>
    <d v="2021-08-09T00:00:00"/>
    <n v="25.5"/>
    <n v="21.7"/>
    <n v="30.7"/>
    <n v="0.5"/>
    <s v="Normal"/>
    <s v="Normal"/>
    <s v="Normal"/>
    <s v="Normal"/>
    <n v="2021"/>
    <x v="6"/>
  </r>
  <r>
    <d v="2021-08-10T00:00:00"/>
    <n v="23.9"/>
    <n v="21.8"/>
    <n v="30.7"/>
    <n v="0"/>
    <s v="Normal"/>
    <s v="Normal"/>
    <s v="Normal"/>
    <s v="Normal"/>
    <n v="2021"/>
    <x v="6"/>
  </r>
  <r>
    <d v="2021-08-11T00:00:00"/>
    <n v="24"/>
    <n v="20.8"/>
    <n v="28.2"/>
    <n v="0"/>
    <s v="Normal"/>
    <s v="Normal"/>
    <s v="Normal"/>
    <s v="Normal"/>
    <n v="2021"/>
    <x v="6"/>
  </r>
  <r>
    <d v="2021-08-12T00:00:00"/>
    <n v="22.8"/>
    <n v="19.7"/>
    <n v="28.2"/>
    <n v="1.5"/>
    <s v="Normal"/>
    <s v="Normal"/>
    <s v="Normal"/>
    <s v="Normal"/>
    <n v="2021"/>
    <x v="6"/>
  </r>
  <r>
    <d v="2021-08-13T00:00:00"/>
    <n v="23.2"/>
    <n v="20"/>
    <n v="27"/>
    <n v="3.8"/>
    <s v="Normal"/>
    <s v="Normal"/>
    <s v="Normal"/>
    <s v="Normal"/>
    <n v="2021"/>
    <x v="6"/>
  </r>
  <r>
    <d v="2021-08-14T00:00:00"/>
    <n v="23.6"/>
    <n v="20.3"/>
    <n v="27.4"/>
    <n v="0"/>
    <s v="Normal"/>
    <s v="Normal"/>
    <s v="Normal"/>
    <s v="Normal"/>
    <n v="2021"/>
    <x v="6"/>
  </r>
  <r>
    <d v="2021-08-15T00:00:00"/>
    <n v="22.7"/>
    <n v="19"/>
    <n v="27"/>
    <n v="0.5"/>
    <s v="Normal"/>
    <s v="Normal"/>
    <s v="Normal"/>
    <s v="Normal"/>
    <n v="2021"/>
    <x v="6"/>
  </r>
  <r>
    <d v="2021-08-16T00:00:00"/>
    <n v="22.8"/>
    <n v="20.7"/>
    <n v="28"/>
    <n v="0"/>
    <s v="Normal"/>
    <s v="Normal"/>
    <s v="Normal"/>
    <s v="Normal"/>
    <n v="2021"/>
    <x v="6"/>
  </r>
  <r>
    <d v="2021-08-18T00:00:00"/>
    <n v="23.6"/>
    <n v="20.7"/>
    <n v="27.5"/>
    <n v="0"/>
    <s v="Normal"/>
    <s v="Normal"/>
    <s v="Normal"/>
    <s v="Normal"/>
    <n v="2021"/>
    <x v="6"/>
  </r>
  <r>
    <d v="2021-08-19T00:00:00"/>
    <n v="23.6"/>
    <n v="20.399999999999999"/>
    <n v="28.4"/>
    <n v="0.3"/>
    <s v="Normal"/>
    <s v="Normal"/>
    <s v="Normal"/>
    <s v="Normal"/>
    <n v="2021"/>
    <x v="6"/>
  </r>
  <r>
    <d v="2021-08-20T00:00:00"/>
    <n v="24.1"/>
    <n v="20.5"/>
    <n v="28.8"/>
    <n v="7.1"/>
    <s v="Normal"/>
    <s v="Normal"/>
    <s v="Normal"/>
    <s v="Normal"/>
    <n v="2021"/>
    <x v="6"/>
  </r>
  <r>
    <d v="2021-08-21T00:00:00"/>
    <n v="22.4"/>
    <n v="20.2"/>
    <n v="28.6"/>
    <n v="0.3"/>
    <s v="Normal"/>
    <s v="Normal"/>
    <s v="Normal"/>
    <s v="Normal"/>
    <n v="2021"/>
    <x v="6"/>
  </r>
  <r>
    <d v="2021-08-22T00:00:00"/>
    <n v="22.8"/>
    <n v="19.2"/>
    <n v="27.7"/>
    <n v="5.6"/>
    <s v="Normal"/>
    <s v="Normal"/>
    <s v="Normal"/>
    <s v="Normal"/>
    <n v="2021"/>
    <x v="6"/>
  </r>
  <r>
    <d v="2021-08-23T00:00:00"/>
    <n v="23.6"/>
    <n v="20.5"/>
    <n v="27.1"/>
    <n v="3"/>
    <s v="Normal"/>
    <s v="Normal"/>
    <s v="Normal"/>
    <s v="Normal"/>
    <n v="2021"/>
    <x v="6"/>
  </r>
  <r>
    <d v="2021-08-24T00:00:00"/>
    <n v="24.5"/>
    <n v="20.3"/>
    <n v="29"/>
    <n v="3.8"/>
    <s v="Normal"/>
    <s v="Normal"/>
    <s v="Normal"/>
    <s v="Normal"/>
    <n v="2021"/>
    <x v="6"/>
  </r>
  <r>
    <d v="2021-08-25T00:00:00"/>
    <n v="24.1"/>
    <n v="20.7"/>
    <n v="29.1"/>
    <n v="1"/>
    <s v="Normal"/>
    <s v="Normal"/>
    <s v="Normal"/>
    <s v="Normal"/>
    <n v="2021"/>
    <x v="6"/>
  </r>
  <r>
    <d v="2021-08-26T00:00:00"/>
    <n v="24.1"/>
    <n v="21"/>
    <n v="29.6"/>
    <n v="0"/>
    <s v="Normal"/>
    <s v="Normal"/>
    <s v="Normal"/>
    <s v="Normal"/>
    <n v="2021"/>
    <x v="6"/>
  </r>
  <r>
    <d v="2021-08-29T00:00:00"/>
    <n v="21.7"/>
    <n v="19.2"/>
    <n v="25.8"/>
    <n v="4.0999999999999996"/>
    <s v="Normal"/>
    <s v="Normal"/>
    <s v="Normal"/>
    <s v="Normal"/>
    <n v="2021"/>
    <x v="6"/>
  </r>
  <r>
    <d v="2021-08-30T00:00:00"/>
    <n v="22.4"/>
    <n v="19.7"/>
    <n v="26.2"/>
    <n v="3.8"/>
    <s v="Normal"/>
    <s v="Normal"/>
    <s v="Normal"/>
    <s v="Normal"/>
    <n v="2021"/>
    <x v="6"/>
  </r>
  <r>
    <d v="2021-08-31T00:00:00"/>
    <n v="23.9"/>
    <n v="19.7"/>
    <n v="27.6"/>
    <n v="0.5"/>
    <s v="Normal"/>
    <s v="Normal"/>
    <s v="Normal"/>
    <s v="Normal"/>
    <n v="2021"/>
    <x v="6"/>
  </r>
  <r>
    <d v="2021-09-01T00:00:00"/>
    <n v="23.6"/>
    <n v="20.9"/>
    <n v="29.3"/>
    <n v="0"/>
    <s v="Normal"/>
    <s v="Normal"/>
    <s v="Normal"/>
    <s v="Normal"/>
    <n v="2021"/>
    <x v="7"/>
  </r>
  <r>
    <d v="2021-09-02T00:00:00"/>
    <n v="22.6"/>
    <n v="19.5"/>
    <n v="29.4"/>
    <n v="2.8"/>
    <s v="Normal"/>
    <s v="Normal"/>
    <s v="Normal"/>
    <s v="Normal"/>
    <n v="2021"/>
    <x v="7"/>
  </r>
  <r>
    <d v="2021-09-04T00:00:00"/>
    <n v="22.3"/>
    <n v="20.399999999999999"/>
    <n v="26.2"/>
    <n v="0"/>
    <s v="Normal"/>
    <s v="Normal"/>
    <s v="Normal"/>
    <s v="Normal"/>
    <n v="2021"/>
    <x v="7"/>
  </r>
  <r>
    <d v="2021-09-05T00:00:00"/>
    <n v="22.1"/>
    <n v="20.2"/>
    <n v="26.6"/>
    <n v="1"/>
    <s v="Normal"/>
    <s v="Normal"/>
    <s v="Normal"/>
    <s v="Normal"/>
    <n v="2021"/>
    <x v="7"/>
  </r>
  <r>
    <d v="2021-09-06T00:00:00"/>
    <n v="22.6"/>
    <n v="20.2"/>
    <n v="27.2"/>
    <n v="7.9"/>
    <s v="Normal"/>
    <s v="Normal"/>
    <s v="Normal"/>
    <s v="Normal"/>
    <n v="2021"/>
    <x v="7"/>
  </r>
  <r>
    <d v="2021-09-07T00:00:00"/>
    <n v="22.2"/>
    <n v="20"/>
    <n v="27"/>
    <n v="2"/>
    <s v="Normal"/>
    <s v="Normal"/>
    <s v="Normal"/>
    <s v="Normal"/>
    <n v="2021"/>
    <x v="7"/>
  </r>
  <r>
    <d v="2021-09-08T00:00:00"/>
    <n v="23.1"/>
    <n v="20.5"/>
    <n v="27"/>
    <n v="0.5"/>
    <s v="Normal"/>
    <s v="Normal"/>
    <s v="Normal"/>
    <s v="Normal"/>
    <n v="2021"/>
    <x v="7"/>
  </r>
  <r>
    <d v="2021-09-09T00:00:00"/>
    <n v="24"/>
    <n v="20"/>
    <n v="27.8"/>
    <n v="0.5"/>
    <s v="Normal"/>
    <s v="Normal"/>
    <s v="Normal"/>
    <s v="Normal"/>
    <n v="2021"/>
    <x v="7"/>
  </r>
  <r>
    <d v="2021-09-10T00:00:00"/>
    <n v="24.1"/>
    <n v="20.2"/>
    <n v="29.1"/>
    <n v="0"/>
    <s v="Normal"/>
    <s v="Normal"/>
    <s v="Normal"/>
    <s v="Normal"/>
    <n v="2021"/>
    <x v="7"/>
  </r>
  <r>
    <d v="2021-09-11T00:00:00"/>
    <n v="22.8"/>
    <n v="19.399999999999999"/>
    <n v="28"/>
    <n v="1.3"/>
    <s v="Normal"/>
    <s v="Normal"/>
    <s v="Normal"/>
    <s v="Normal"/>
    <n v="2021"/>
    <x v="7"/>
  </r>
  <r>
    <d v="2021-09-12T00:00:00"/>
    <n v="23.6"/>
    <n v="20.7"/>
    <n v="28.5"/>
    <n v="0"/>
    <s v="Normal"/>
    <s v="Normal"/>
    <s v="Normal"/>
    <s v="Normal"/>
    <n v="2021"/>
    <x v="7"/>
  </r>
  <r>
    <d v="2021-09-13T00:00:00"/>
    <n v="23.7"/>
    <n v="20.9"/>
    <n v="28"/>
    <n v="0"/>
    <s v="Normal"/>
    <s v="Normal"/>
    <s v="Normal"/>
    <s v="Normal"/>
    <n v="2021"/>
    <x v="7"/>
  </r>
  <r>
    <d v="2021-09-14T00:00:00"/>
    <n v="24.1"/>
    <n v="19.899999999999999"/>
    <n v="28.2"/>
    <n v="0"/>
    <s v="Normal"/>
    <s v="Normal"/>
    <s v="Normal"/>
    <s v="Normal"/>
    <n v="2021"/>
    <x v="7"/>
  </r>
  <r>
    <d v="2021-09-15T00:00:00"/>
    <n v="23.2"/>
    <n v="19.2"/>
    <n v="27.7"/>
    <n v="1.4"/>
    <s v="Normal"/>
    <s v="Normal"/>
    <s v="Normal"/>
    <s v="Normal"/>
    <n v="2021"/>
    <x v="7"/>
  </r>
  <r>
    <d v="2021-09-16T00:00:00"/>
    <n v="23.7"/>
    <n v="19"/>
    <n v="29"/>
    <n v="0.3"/>
    <s v="Normal"/>
    <s v="Normal"/>
    <s v="Normal"/>
    <s v="Normal"/>
    <n v="2021"/>
    <x v="7"/>
  </r>
  <r>
    <d v="2021-09-17T00:00:00"/>
    <n v="24"/>
    <n v="19.3"/>
    <n v="30"/>
    <n v="0.4"/>
    <s v="Normal"/>
    <s v="Normal"/>
    <s v="Normal"/>
    <s v="Normal"/>
    <n v="2021"/>
    <x v="7"/>
  </r>
  <r>
    <d v="2021-09-18T00:00:00"/>
    <n v="24.3"/>
    <n v="18.8"/>
    <n v="30.4"/>
    <n v="0.1"/>
    <s v="Normal"/>
    <s v="Normal"/>
    <s v="Normal"/>
    <s v="Normal"/>
    <n v="2021"/>
    <x v="7"/>
  </r>
  <r>
    <d v="2021-09-19T00:00:00"/>
    <n v="24.4"/>
    <n v="19.5"/>
    <n v="30"/>
    <n v="3.8"/>
    <s v="Normal"/>
    <s v="Normal"/>
    <s v="Normal"/>
    <s v="Normal"/>
    <n v="2021"/>
    <x v="7"/>
  </r>
  <r>
    <d v="2021-09-23T00:00:00"/>
    <n v="23.8"/>
    <n v="20.6"/>
    <n v="28"/>
    <n v="0"/>
    <s v="Normal"/>
    <s v="Normal"/>
    <s v="Normal"/>
    <s v="Normal"/>
    <n v="2021"/>
    <x v="7"/>
  </r>
  <r>
    <d v="2021-09-24T00:00:00"/>
    <n v="24"/>
    <n v="20.7"/>
    <n v="28.2"/>
    <n v="0.3"/>
    <s v="Normal"/>
    <s v="Normal"/>
    <s v="Normal"/>
    <s v="Normal"/>
    <n v="2021"/>
    <x v="7"/>
  </r>
  <r>
    <d v="2021-09-25T00:00:00"/>
    <n v="24.2"/>
    <n v="20.8"/>
    <n v="28.8"/>
    <n v="0.5"/>
    <s v="Normal"/>
    <s v="Normal"/>
    <s v="Normal"/>
    <s v="Normal"/>
    <n v="2021"/>
    <x v="7"/>
  </r>
  <r>
    <d v="2021-09-27T00:00:00"/>
    <n v="22.7"/>
    <n v="20.2"/>
    <n v="27"/>
    <n v="0.5"/>
    <s v="Normal"/>
    <s v="Normal"/>
    <s v="Normal"/>
    <s v="Normal"/>
    <n v="2021"/>
    <x v="7"/>
  </r>
  <r>
    <d v="2021-09-28T00:00:00"/>
    <n v="22.3"/>
    <n v="18.8"/>
    <n v="27"/>
    <n v="10.199999999999999"/>
    <s v="Normal"/>
    <s v="Normal"/>
    <s v="Normal"/>
    <s v="Normal"/>
    <n v="2021"/>
    <x v="7"/>
  </r>
  <r>
    <d v="2021-09-29T00:00:00"/>
    <n v="23.4"/>
    <n v="19.399999999999999"/>
    <n v="27.4"/>
    <n v="9.1"/>
    <s v="Normal"/>
    <s v="Normal"/>
    <s v="Normal"/>
    <s v="Normal"/>
    <n v="2021"/>
    <x v="7"/>
  </r>
  <r>
    <d v="2021-09-30T00:00:00"/>
    <n v="24"/>
    <n v="20.399999999999999"/>
    <n v="28"/>
    <n v="0"/>
    <s v="Normal"/>
    <s v="Normal"/>
    <s v="Normal"/>
    <s v="Normal"/>
    <n v="2021"/>
    <x v="7"/>
  </r>
  <r>
    <d v="2021-10-01T00:00:00"/>
    <n v="23"/>
    <n v="19.899999999999999"/>
    <n v="29.8"/>
    <n v="8.5"/>
    <s v="Normal"/>
    <s v="Normal"/>
    <s v="Normal"/>
    <s v="Normal"/>
    <n v="2021"/>
    <x v="8"/>
  </r>
  <r>
    <d v="2021-10-02T00:00:00"/>
    <n v="23.1"/>
    <n v="19.2"/>
    <n v="29"/>
    <n v="5.8"/>
    <s v="Normal"/>
    <s v="Normal"/>
    <s v="Normal"/>
    <s v="Normal"/>
    <n v="2021"/>
    <x v="8"/>
  </r>
  <r>
    <d v="2021-10-03T00:00:00"/>
    <n v="23.7"/>
    <n v="20"/>
    <n v="30"/>
    <n v="0"/>
    <s v="Normal"/>
    <s v="Normal"/>
    <s v="Normal"/>
    <s v="Normal"/>
    <n v="2021"/>
    <x v="8"/>
  </r>
  <r>
    <d v="2021-10-05T00:00:00"/>
    <n v="23.3"/>
    <n v="19.100000000000001"/>
    <n v="30.6"/>
    <n v="0"/>
    <s v="Normal"/>
    <s v="Normal"/>
    <s v="Normal"/>
    <s v="Normal"/>
    <n v="2021"/>
    <x v="8"/>
  </r>
  <r>
    <d v="2021-10-07T00:00:00"/>
    <n v="24.9"/>
    <n v="21"/>
    <n v="29.6"/>
    <n v="0.5"/>
    <s v="Normal"/>
    <s v="Normal"/>
    <s v="Normal"/>
    <s v="Normal"/>
    <n v="2021"/>
    <x v="8"/>
  </r>
  <r>
    <d v="2021-10-08T00:00:00"/>
    <n v="22.8"/>
    <n v="21.8"/>
    <n v="30.6"/>
    <n v="6.1"/>
    <s v="Normal"/>
    <s v="Normal"/>
    <s v="Normal"/>
    <s v="Normal"/>
    <n v="2021"/>
    <x v="8"/>
  </r>
  <r>
    <d v="2021-10-09T00:00:00"/>
    <n v="22.1"/>
    <n v="20.8"/>
    <n v="27.1"/>
    <n v="7.9"/>
    <s v="Normal"/>
    <s v="Normal"/>
    <s v="Normal"/>
    <s v="Normal"/>
    <n v="2021"/>
    <x v="8"/>
  </r>
  <r>
    <d v="2021-10-17T00:00:00"/>
    <n v="22.7"/>
    <n v="20.6"/>
    <n v="28.9"/>
    <n v="7.1"/>
    <s v="Normal"/>
    <s v="Normal"/>
    <s v="Normal"/>
    <s v="Normal"/>
    <n v="2021"/>
    <x v="8"/>
  </r>
  <r>
    <d v="2021-10-18T00:00:00"/>
    <n v="22.9"/>
    <n v="20.8"/>
    <n v="26.7"/>
    <n v="0.8"/>
    <s v="Normal"/>
    <s v="Normal"/>
    <s v="Normal"/>
    <s v="Normal"/>
    <n v="2021"/>
    <x v="8"/>
  </r>
  <r>
    <d v="2021-10-20T00:00:00"/>
    <n v="24.7"/>
    <n v="20"/>
    <n v="28.8"/>
    <n v="0"/>
    <s v="Normal"/>
    <s v="Normal"/>
    <s v="Normal"/>
    <s v="Normal"/>
    <n v="2021"/>
    <x v="8"/>
  </r>
  <r>
    <d v="2021-10-21T00:00:00"/>
    <n v="25.5"/>
    <n v="20.9"/>
    <n v="29.3"/>
    <n v="0.5"/>
    <s v="Normal"/>
    <s v="Normal"/>
    <s v="Normal"/>
    <s v="Normal"/>
    <n v="2021"/>
    <x v="8"/>
  </r>
  <r>
    <d v="2021-10-22T00:00:00"/>
    <n v="25.1"/>
    <n v="18.5"/>
    <n v="30.7"/>
    <n v="0.3"/>
    <s v="Normal"/>
    <s v="Normal"/>
    <s v="Normal"/>
    <s v="Normal"/>
    <n v="2021"/>
    <x v="8"/>
  </r>
  <r>
    <d v="2021-10-25T00:00:00"/>
    <n v="23.9"/>
    <n v="20.9"/>
    <n v="29.4"/>
    <n v="0"/>
    <s v="Normal"/>
    <s v="Normal"/>
    <s v="Normal"/>
    <s v="Normal"/>
    <n v="2021"/>
    <x v="8"/>
  </r>
  <r>
    <d v="2021-10-26T00:00:00"/>
    <n v="22.5"/>
    <n v="17.8"/>
    <n v="27"/>
    <n v="0.8"/>
    <s v="Normal"/>
    <s v="Normal"/>
    <s v="Normal"/>
    <s v="Normal"/>
    <n v="2021"/>
    <x v="8"/>
  </r>
  <r>
    <d v="2021-10-27T00:00:00"/>
    <n v="22.3"/>
    <n v="18.3"/>
    <n v="26.6"/>
    <n v="0"/>
    <s v="Normal"/>
    <s v="Normal"/>
    <s v="Normal"/>
    <s v="Normal"/>
    <n v="2021"/>
    <x v="8"/>
  </r>
  <r>
    <d v="2021-10-28T00:00:00"/>
    <n v="22"/>
    <n v="17.2"/>
    <n v="27.4"/>
    <n v="0.1"/>
    <s v="Normal"/>
    <s v="Normal"/>
    <s v="Normal"/>
    <s v="Normal"/>
    <n v="2021"/>
    <x v="8"/>
  </r>
  <r>
    <d v="2021-10-30T00:00:00"/>
    <n v="22.5"/>
    <n v="19.899999999999999"/>
    <n v="26.8"/>
    <n v="5"/>
    <s v="Normal"/>
    <s v="Normal"/>
    <s v="Normal"/>
    <s v="Normal"/>
    <n v="2021"/>
    <x v="8"/>
  </r>
  <r>
    <d v="2021-10-31T00:00:00"/>
    <n v="22.3"/>
    <n v="19.7"/>
    <n v="26.8"/>
    <n v="8.6"/>
    <s v="Normal"/>
    <s v="Normal"/>
    <s v="Normal"/>
    <s v="Normal"/>
    <n v="2021"/>
    <x v="8"/>
  </r>
  <r>
    <d v="2021-11-01T00:00:00"/>
    <n v="21.7"/>
    <n v="19.600000000000001"/>
    <n v="26.8"/>
    <n v="8.6999999999999993"/>
    <s v="Normal"/>
    <s v="Normal"/>
    <s v="Normal"/>
    <s v="Normal"/>
    <n v="2021"/>
    <x v="9"/>
  </r>
  <r>
    <d v="2021-11-02T00:00:00"/>
    <n v="21.9"/>
    <n v="19.5"/>
    <n v="25.9"/>
    <n v="5.3"/>
    <s v="Normal"/>
    <s v="Normal"/>
    <s v="Normal"/>
    <s v="Normal"/>
    <n v="2021"/>
    <x v="9"/>
  </r>
  <r>
    <d v="2021-11-03T00:00:00"/>
    <n v="22.3"/>
    <n v="20.2"/>
    <n v="26.8"/>
    <n v="0"/>
    <s v="Normal"/>
    <s v="Normal"/>
    <s v="Normal"/>
    <s v="Normal"/>
    <n v="2021"/>
    <x v="9"/>
  </r>
  <r>
    <d v="2021-11-06T00:00:00"/>
    <n v="22.8"/>
    <n v="18.3"/>
    <n v="26.6"/>
    <n v="0"/>
    <s v="Normal"/>
    <s v="Normal"/>
    <s v="Normal"/>
    <s v="Normal"/>
    <n v="2021"/>
    <x v="9"/>
  </r>
  <r>
    <d v="2021-11-07T00:00:00"/>
    <n v="21"/>
    <n v="19.2"/>
    <n v="23.6"/>
    <n v="3.7"/>
    <s v="Normal"/>
    <s v="Normal"/>
    <s v="Normal"/>
    <s v="Normal"/>
    <n v="2021"/>
    <x v="9"/>
  </r>
  <r>
    <d v="2021-11-08T00:00:00"/>
    <n v="20.5"/>
    <n v="19.5"/>
    <n v="24.5"/>
    <n v="2"/>
    <s v="Normal"/>
    <s v="Normal"/>
    <s v="Normal"/>
    <s v="Normal"/>
    <n v="2021"/>
    <x v="9"/>
  </r>
  <r>
    <d v="2021-11-09T00:00:00"/>
    <n v="21.4"/>
    <n v="18.2"/>
    <n v="25.6"/>
    <n v="1"/>
    <s v="Normal"/>
    <s v="Normal"/>
    <s v="Normal"/>
    <s v="Normal"/>
    <n v="2021"/>
    <x v="9"/>
  </r>
  <r>
    <d v="2021-11-10T00:00:00"/>
    <n v="20.7"/>
    <n v="17.399999999999999"/>
    <n v="26.6"/>
    <n v="0"/>
    <s v="Normal"/>
    <s v="Normal"/>
    <s v="Normal"/>
    <s v="Normal"/>
    <n v="2021"/>
    <x v="9"/>
  </r>
  <r>
    <d v="2021-11-13T00:00:00"/>
    <n v="21.8"/>
    <n v="20.100000000000001"/>
    <n v="24.7"/>
    <n v="6.6"/>
    <s v="Normal"/>
    <s v="Normal"/>
    <s v="Normal"/>
    <s v="Normal"/>
    <n v="2021"/>
    <x v="9"/>
  </r>
  <r>
    <d v="2021-11-14T00:00:00"/>
    <n v="22.4"/>
    <n v="19.100000000000001"/>
    <n v="26"/>
    <n v="0"/>
    <s v="Normal"/>
    <s v="Normal"/>
    <s v="Normal"/>
    <s v="Normal"/>
    <n v="2021"/>
    <x v="9"/>
  </r>
  <r>
    <d v="2021-11-15T00:00:00"/>
    <n v="22.8"/>
    <n v="20.7"/>
    <n v="26.2"/>
    <n v="1"/>
    <s v="Normal"/>
    <s v="Normal"/>
    <s v="Normal"/>
    <s v="Normal"/>
    <n v="2021"/>
    <x v="9"/>
  </r>
  <r>
    <d v="2021-11-17T00:00:00"/>
    <n v="22.5"/>
    <n v="19.8"/>
    <n v="27.6"/>
    <n v="0.8"/>
    <s v="Normal"/>
    <s v="Normal"/>
    <s v="Normal"/>
    <s v="Normal"/>
    <n v="2021"/>
    <x v="9"/>
  </r>
  <r>
    <d v="2021-11-18T00:00:00"/>
    <n v="20.6"/>
    <n v="20"/>
    <n v="27.2"/>
    <n v="3.6"/>
    <s v="Normal"/>
    <s v="Normal"/>
    <s v="Normal"/>
    <s v="Normal"/>
    <n v="2021"/>
    <x v="9"/>
  </r>
  <r>
    <d v="2021-11-20T00:00:00"/>
    <n v="21.1"/>
    <n v="20.100000000000001"/>
    <n v="22.6"/>
    <n v="3.8"/>
    <s v="Normal"/>
    <s v="Normal"/>
    <s v="Normal"/>
    <s v="Normal"/>
    <n v="2021"/>
    <x v="9"/>
  </r>
  <r>
    <d v="2021-11-21T00:00:00"/>
    <n v="22.5"/>
    <n v="19.3"/>
    <n v="26.2"/>
    <n v="2.2999999999999998"/>
    <s v="Normal"/>
    <s v="Normal"/>
    <s v="Normal"/>
    <s v="Normal"/>
    <n v="2021"/>
    <x v="9"/>
  </r>
  <r>
    <d v="2021-11-22T00:00:00"/>
    <n v="22.8"/>
    <n v="20.5"/>
    <n v="26.5"/>
    <n v="5.0999999999999996"/>
    <s v="Normal"/>
    <s v="Normal"/>
    <s v="Normal"/>
    <s v="Normal"/>
    <n v="2021"/>
    <x v="9"/>
  </r>
  <r>
    <d v="2021-11-23T00:00:00"/>
    <n v="24.2"/>
    <n v="20.100000000000001"/>
    <n v="28.4"/>
    <n v="0"/>
    <s v="Normal"/>
    <s v="Normal"/>
    <s v="Normal"/>
    <s v="Normal"/>
    <n v="2021"/>
    <x v="9"/>
  </r>
  <r>
    <d v="2021-11-24T00:00:00"/>
    <n v="22.8"/>
    <n v="20.100000000000001"/>
    <n v="29.8"/>
    <n v="0"/>
    <s v="Normal"/>
    <s v="Normal"/>
    <s v="Normal"/>
    <s v="Normal"/>
    <n v="2021"/>
    <x v="9"/>
  </r>
  <r>
    <d v="2021-11-26T00:00:00"/>
    <n v="21.8"/>
    <n v="19.100000000000001"/>
    <n v="27"/>
    <n v="0"/>
    <s v="Normal"/>
    <s v="Normal"/>
    <s v="Normal"/>
    <s v="Normal"/>
    <n v="2021"/>
    <x v="9"/>
  </r>
  <r>
    <d v="2021-11-27T00:00:00"/>
    <n v="20.399999999999999"/>
    <n v="18.399999999999999"/>
    <n v="23"/>
    <n v="5"/>
    <s v="Normal"/>
    <s v="Normal"/>
    <s v="Normal"/>
    <s v="Normal"/>
    <n v="2021"/>
    <x v="9"/>
  </r>
  <r>
    <d v="2021-11-28T00:00:00"/>
    <n v="21"/>
    <n v="19.8"/>
    <n v="23.4"/>
    <n v="0"/>
    <s v="Normal"/>
    <s v="Normal"/>
    <s v="Normal"/>
    <s v="Normal"/>
    <n v="2021"/>
    <x v="9"/>
  </r>
  <r>
    <d v="2021-11-29T00:00:00"/>
    <n v="21.1"/>
    <n v="19.5"/>
    <n v="22.6"/>
    <n v="0"/>
    <s v="Normal"/>
    <s v="Normal"/>
    <s v="Normal"/>
    <s v="Normal"/>
    <n v="2021"/>
    <x v="9"/>
  </r>
  <r>
    <d v="2021-11-30T00:00:00"/>
    <n v="22.4"/>
    <n v="18.899999999999999"/>
    <n v="25.8"/>
    <n v="0.5"/>
    <s v="Normal"/>
    <s v="Normal"/>
    <s v="Normal"/>
    <s v="Normal"/>
    <n v="2021"/>
    <x v="9"/>
  </r>
  <r>
    <d v="2021-12-01T00:00:00"/>
    <n v="21.7"/>
    <n v="20"/>
    <n v="26.4"/>
    <n v="0"/>
    <s v="Normal"/>
    <s v="Normal"/>
    <s v="Normal"/>
    <s v="Normal"/>
    <n v="2021"/>
    <x v="10"/>
  </r>
  <r>
    <d v="2021-12-02T00:00:00"/>
    <n v="21.6"/>
    <n v="19.2"/>
    <n v="25.9"/>
    <n v="6.9"/>
    <s v="Normal"/>
    <s v="Normal"/>
    <s v="Normal"/>
    <s v="Normal"/>
    <n v="2021"/>
    <x v="10"/>
  </r>
  <r>
    <d v="2021-12-03T00:00:00"/>
    <n v="21.9"/>
    <n v="17.899999999999999"/>
    <n v="27.4"/>
    <n v="3"/>
    <s v="Normal"/>
    <s v="Normal"/>
    <s v="Normal"/>
    <s v="Normal"/>
    <n v="2021"/>
    <x v="10"/>
  </r>
  <r>
    <d v="2021-12-04T00:00:00"/>
    <n v="23.9"/>
    <n v="21"/>
    <n v="28.2"/>
    <n v="0"/>
    <s v="Normal"/>
    <s v="Normal"/>
    <s v="Normal"/>
    <s v="Normal"/>
    <n v="2021"/>
    <x v="10"/>
  </r>
  <r>
    <d v="2021-12-05T00:00:00"/>
    <n v="23.2"/>
    <n v="19.8"/>
    <n v="28.4"/>
    <n v="1"/>
    <s v="Normal"/>
    <s v="Normal"/>
    <s v="Normal"/>
    <s v="Normal"/>
    <n v="2021"/>
    <x v="10"/>
  </r>
  <r>
    <d v="2021-12-06T00:00:00"/>
    <n v="23.2"/>
    <n v="19.3"/>
    <n v="29.2"/>
    <n v="0"/>
    <s v="Normal"/>
    <s v="Normal"/>
    <s v="Normal"/>
    <s v="Normal"/>
    <n v="2021"/>
    <x v="10"/>
  </r>
  <r>
    <d v="2021-12-07T00:00:00"/>
    <n v="22.1"/>
    <n v="17.7"/>
    <n v="26.4"/>
    <n v="0"/>
    <s v="Normal"/>
    <s v="Normal"/>
    <s v="Normal"/>
    <s v="Normal"/>
    <n v="2021"/>
    <x v="10"/>
  </r>
  <r>
    <d v="2021-12-08T00:00:00"/>
    <n v="21.7"/>
    <n v="16.899999999999999"/>
    <n v="27.4"/>
    <n v="0"/>
    <s v="Normal"/>
    <s v="Normal"/>
    <s v="Normal"/>
    <s v="Normal"/>
    <n v="2021"/>
    <x v="10"/>
  </r>
  <r>
    <d v="2021-12-09T00:00:00"/>
    <n v="22.1"/>
    <n v="18.8"/>
    <n v="26.2"/>
    <n v="0.9"/>
    <s v="Normal"/>
    <s v="Normal"/>
    <s v="Normal"/>
    <s v="Normal"/>
    <n v="2021"/>
    <x v="10"/>
  </r>
  <r>
    <d v="2021-12-10T00:00:00"/>
    <n v="22.7"/>
    <n v="18.600000000000001"/>
    <n v="27.2"/>
    <n v="1"/>
    <s v="Normal"/>
    <s v="Normal"/>
    <s v="Normal"/>
    <s v="Normal"/>
    <n v="2021"/>
    <x v="10"/>
  </r>
  <r>
    <d v="2021-12-11T00:00:00"/>
    <n v="21.6"/>
    <n v="18"/>
    <n v="28.4"/>
    <n v="0"/>
    <s v="Normal"/>
    <s v="Normal"/>
    <s v="Normal"/>
    <s v="Normal"/>
    <n v="2021"/>
    <x v="10"/>
  </r>
  <r>
    <d v="2021-12-12T00:00:00"/>
    <n v="20.9"/>
    <n v="17.5"/>
    <n v="24.7"/>
    <n v="0.2"/>
    <s v="Normal"/>
    <s v="Normal"/>
    <s v="Normal"/>
    <s v="Normal"/>
    <n v="2021"/>
    <x v="10"/>
  </r>
  <r>
    <d v="2021-12-13T00:00:00"/>
    <n v="20.6"/>
    <n v="18"/>
    <n v="24.9"/>
    <n v="2.4"/>
    <s v="Normal"/>
    <s v="Normal"/>
    <s v="Normal"/>
    <s v="Normal"/>
    <n v="2021"/>
    <x v="10"/>
  </r>
  <r>
    <d v="2021-12-14T00:00:00"/>
    <n v="21.2"/>
    <n v="18.3"/>
    <n v="24.4"/>
    <n v="2.8"/>
    <s v="Normal"/>
    <s v="Normal"/>
    <s v="Normal"/>
    <s v="Normal"/>
    <n v="2021"/>
    <x v="10"/>
  </r>
  <r>
    <d v="2021-12-15T00:00:00"/>
    <n v="20.6"/>
    <n v="17.399999999999999"/>
    <n v="24.4"/>
    <n v="0.3"/>
    <s v="Normal"/>
    <s v="Normal"/>
    <s v="Normal"/>
    <s v="Normal"/>
    <n v="2021"/>
    <x v="10"/>
  </r>
  <r>
    <d v="2021-12-16T00:00:00"/>
    <n v="21.5"/>
    <n v="17.2"/>
    <n v="26.4"/>
    <n v="0"/>
    <s v="Normal"/>
    <s v="Normal"/>
    <s v="Normal"/>
    <s v="Normal"/>
    <n v="2021"/>
    <x v="10"/>
  </r>
  <r>
    <d v="2021-12-29T00:00:00"/>
    <n v="21"/>
    <n v="17"/>
    <n v="26"/>
    <n v="0"/>
    <s v="Normal"/>
    <s v="Normal"/>
    <s v="Normal"/>
    <s v="Normal"/>
    <n v="2021"/>
    <x v="10"/>
  </r>
  <r>
    <d v="2021-12-31T00:00:00"/>
    <n v="20.3"/>
    <n v="17.600000000000001"/>
    <n v="26.5"/>
    <n v="0"/>
    <s v="Normal"/>
    <s v="Normal"/>
    <s v="Normal"/>
    <s v="Normal"/>
    <n v="2021"/>
    <x v="1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d v="2022-01-01T00:00:00"/>
    <n v="21.4"/>
    <n v="18.5"/>
    <n v="24.6"/>
    <n v="3.3"/>
    <s v="Normal"/>
    <s v="Normal"/>
    <s v="Normal"/>
    <s v="Normal"/>
    <n v="2022"/>
    <x v="0"/>
  </r>
  <r>
    <d v="2022-01-02T00:00:00"/>
    <n v="22"/>
    <n v="17.5"/>
    <n v="26.4"/>
    <n v="0"/>
    <s v="Normal"/>
    <s v="Normal"/>
    <s v="Normal"/>
    <s v="Normal"/>
    <n v="2022"/>
    <x v="0"/>
  </r>
  <r>
    <d v="2022-01-08T00:00:00"/>
    <n v="21.6"/>
    <n v="17.2"/>
    <n v="27.2"/>
    <n v="0"/>
    <s v="Normal"/>
    <s v="Normal"/>
    <s v="Normal"/>
    <s v="Normal"/>
    <n v="2022"/>
    <x v="0"/>
  </r>
  <r>
    <d v="2022-01-09T00:00:00"/>
    <n v="21.7"/>
    <n v="17.3"/>
    <n v="27.2"/>
    <n v="0"/>
    <s v="Normal"/>
    <s v="Normal"/>
    <s v="Normal"/>
    <s v="Normal"/>
    <n v="2022"/>
    <x v="0"/>
  </r>
  <r>
    <d v="2022-01-12T00:00:00"/>
    <n v="22.4"/>
    <n v="18.3"/>
    <n v="28.6"/>
    <n v="0.4"/>
    <s v="Normal"/>
    <s v="Normal"/>
    <s v="Normal"/>
    <s v="Normal"/>
    <n v="2022"/>
    <x v="0"/>
  </r>
  <r>
    <d v="2022-01-13T00:00:00"/>
    <n v="22.1"/>
    <n v="17.5"/>
    <n v="27.4"/>
    <n v="0.5"/>
    <s v="Normal"/>
    <s v="Normal"/>
    <s v="Normal"/>
    <s v="Normal"/>
    <n v="2022"/>
    <x v="0"/>
  </r>
  <r>
    <d v="2022-01-14T00:00:00"/>
    <n v="21.8"/>
    <n v="17.8"/>
    <n v="27.4"/>
    <n v="0.2"/>
    <s v="Normal"/>
    <s v="Normal"/>
    <s v="Normal"/>
    <s v="Normal"/>
    <n v="2022"/>
    <x v="0"/>
  </r>
  <r>
    <d v="2022-01-16T00:00:00"/>
    <n v="21.9"/>
    <n v="17.399999999999999"/>
    <n v="27.6"/>
    <n v="0.2"/>
    <s v="Normal"/>
    <s v="Normal"/>
    <s v="Normal"/>
    <s v="Normal"/>
    <n v="2022"/>
    <x v="0"/>
  </r>
  <r>
    <d v="2022-01-26T00:00:00"/>
    <n v="22.2"/>
    <n v="17.3"/>
    <n v="28"/>
    <n v="0.1"/>
    <s v="Normal"/>
    <s v="Normal"/>
    <s v="Normal"/>
    <s v="Normal"/>
    <n v="2022"/>
    <x v="0"/>
  </r>
  <r>
    <d v="2022-01-27T00:00:00"/>
    <n v="21.5"/>
    <n v="17.899999999999999"/>
    <n v="25.4"/>
    <n v="1.8"/>
    <s v="Normal"/>
    <s v="Normal"/>
    <s v="Normal"/>
    <s v="Normal"/>
    <n v="2022"/>
    <x v="0"/>
  </r>
  <r>
    <d v="2022-01-28T00:00:00"/>
    <n v="21.1"/>
    <n v="17"/>
    <n v="26.3"/>
    <n v="0"/>
    <s v="Normal"/>
    <s v="Normal"/>
    <s v="Normal"/>
    <s v="Normal"/>
    <n v="2022"/>
    <x v="0"/>
  </r>
  <r>
    <d v="2022-01-30T00:00:00"/>
    <n v="23"/>
    <n v="18.100000000000001"/>
    <n v="29.4"/>
    <n v="0"/>
    <s v="Normal"/>
    <s v="Normal"/>
    <s v="Normal"/>
    <s v="Normal"/>
    <n v="2022"/>
    <x v="0"/>
  </r>
  <r>
    <d v="2022-01-31T00:00:00"/>
    <n v="23.4"/>
    <n v="18.3"/>
    <n v="29.6"/>
    <n v="0"/>
    <s v="Normal"/>
    <s v="Normal"/>
    <s v="Normal"/>
    <s v="Normal"/>
    <n v="2022"/>
    <x v="0"/>
  </r>
  <r>
    <d v="2022-02-01T00:00:00"/>
    <n v="23.2"/>
    <n v="17.399999999999999"/>
    <n v="29.8"/>
    <n v="0"/>
    <s v="Normal"/>
    <s v="Normal"/>
    <s v="Normal"/>
    <s v="Normal"/>
    <n v="2022"/>
    <x v="1"/>
  </r>
  <r>
    <d v="2022-02-06T00:00:00"/>
    <n v="22.7"/>
    <n v="18.2"/>
    <n v="28"/>
    <n v="0"/>
    <s v="Normal"/>
    <s v="Normal"/>
    <s v="Normal"/>
    <s v="Normal"/>
    <n v="2022"/>
    <x v="1"/>
  </r>
  <r>
    <d v="2022-02-07T00:00:00"/>
    <n v="22.6"/>
    <n v="17.3"/>
    <n v="28.3"/>
    <n v="0"/>
    <s v="Normal"/>
    <s v="Normal"/>
    <s v="Normal"/>
    <s v="Normal"/>
    <n v="2022"/>
    <x v="1"/>
  </r>
  <r>
    <d v="2022-02-15T00:00:00"/>
    <n v="22.7"/>
    <n v="17.100000000000001"/>
    <n v="28.4"/>
    <n v="0"/>
    <s v="Normal"/>
    <s v="Normal"/>
    <s v="Normal"/>
    <s v="Normal"/>
    <n v="2022"/>
    <x v="1"/>
  </r>
  <r>
    <d v="2022-02-22T00:00:00"/>
    <n v="24.7"/>
    <n v="17.899999999999999"/>
    <n v="31.3"/>
    <n v="0"/>
    <s v="Normal"/>
    <s v="Normal"/>
    <s v="Normal"/>
    <s v="Normal"/>
    <n v="2022"/>
    <x v="1"/>
  </r>
  <r>
    <d v="2022-03-02T00:00:00"/>
    <n v="23.7"/>
    <n v="16.899999999999999"/>
    <n v="30.4"/>
    <n v="0"/>
    <s v="Normal"/>
    <s v="Normal"/>
    <s v="Normal"/>
    <s v="Normal"/>
    <n v="2022"/>
    <x v="2"/>
  </r>
  <r>
    <d v="2022-03-04T00:00:00"/>
    <n v="24"/>
    <n v="17.399999999999999"/>
    <n v="31.6"/>
    <n v="0"/>
    <s v="Normal"/>
    <s v="Normal"/>
    <s v="Normal"/>
    <s v="Normal"/>
    <n v="2022"/>
    <x v="2"/>
  </r>
  <r>
    <d v="2022-03-06T00:00:00"/>
    <n v="23.8"/>
    <n v="17.2"/>
    <n v="30.3"/>
    <n v="0"/>
    <s v="Normal"/>
    <s v="Normal"/>
    <s v="Normal"/>
    <s v="Normal"/>
    <n v="2022"/>
    <x v="2"/>
  </r>
  <r>
    <d v="2022-03-08T00:00:00"/>
    <n v="24.9"/>
    <n v="18"/>
    <n v="30.6"/>
    <n v="0"/>
    <s v="Normal"/>
    <s v="Normal"/>
    <s v="Normal"/>
    <s v="Normal"/>
    <n v="2022"/>
    <x v="2"/>
  </r>
  <r>
    <d v="2022-03-10T00:00:00"/>
    <n v="25.4"/>
    <n v="17.100000000000001"/>
    <n v="32.799999999999997"/>
    <n v="0"/>
    <s v="Normal"/>
    <s v="Normal"/>
    <s v="Normal"/>
    <s v="Normal"/>
    <n v="2022"/>
    <x v="2"/>
  </r>
  <r>
    <d v="2022-03-11T00:00:00"/>
    <n v="25.2"/>
    <n v="17.2"/>
    <n v="32.799999999999997"/>
    <n v="0"/>
    <s v="Normal"/>
    <s v="Normal"/>
    <s v="Normal"/>
    <s v="Normal"/>
    <n v="2022"/>
    <x v="2"/>
  </r>
  <r>
    <d v="2022-03-12T00:00:00"/>
    <n v="25.5"/>
    <n v="18.100000000000001"/>
    <n v="33"/>
    <n v="0"/>
    <s v="Normal"/>
    <s v="Normal"/>
    <s v="Normal"/>
    <s v="Normal"/>
    <n v="2022"/>
    <x v="2"/>
  </r>
  <r>
    <d v="2022-03-13T00:00:00"/>
    <n v="25.6"/>
    <n v="18.5"/>
    <n v="32.799999999999997"/>
    <n v="0"/>
    <s v="Normal"/>
    <s v="Normal"/>
    <s v="Normal"/>
    <s v="Normal"/>
    <n v="2022"/>
    <x v="2"/>
  </r>
  <r>
    <d v="2022-03-14T00:00:00"/>
    <n v="26"/>
    <n v="18.399999999999999"/>
    <n v="32.799999999999997"/>
    <n v="0"/>
    <s v="Normal"/>
    <s v="Normal"/>
    <s v="Normal"/>
    <s v="Normal"/>
    <n v="2022"/>
    <x v="2"/>
  </r>
  <r>
    <d v="2022-03-15T00:00:00"/>
    <n v="25.7"/>
    <n v="17.5"/>
    <n v="33.4"/>
    <n v="0"/>
    <s v="Normal"/>
    <s v="Normal"/>
    <s v="Normal"/>
    <s v="Normal"/>
    <n v="2022"/>
    <x v="2"/>
  </r>
  <r>
    <d v="2022-03-16T00:00:00"/>
    <n v="25.7"/>
    <n v="17.600000000000001"/>
    <n v="34.200000000000003"/>
    <n v="0"/>
    <s v="Normal"/>
    <s v="Normal"/>
    <s v="Normal"/>
    <s v="Normal"/>
    <n v="2022"/>
    <x v="2"/>
  </r>
  <r>
    <d v="2022-03-17T00:00:00"/>
    <n v="26.6"/>
    <n v="19.100000000000001"/>
    <n v="34.200000000000003"/>
    <n v="0"/>
    <s v="Normal"/>
    <s v="Normal"/>
    <s v="Normal"/>
    <s v="Normal"/>
    <n v="2022"/>
    <x v="2"/>
  </r>
  <r>
    <d v="2022-03-18T00:00:00"/>
    <n v="26.6"/>
    <n v="18.7"/>
    <n v="34"/>
    <n v="0"/>
    <s v="Normal"/>
    <s v="Normal"/>
    <s v="Normal"/>
    <s v="Normal"/>
    <n v="2022"/>
    <x v="2"/>
  </r>
  <r>
    <d v="2022-03-19T00:00:00"/>
    <n v="26.2"/>
    <n v="18.899999999999999"/>
    <n v="33.4"/>
    <n v="0.1"/>
    <s v="Normal"/>
    <s v="Normal"/>
    <s v="Normal"/>
    <s v="Normal"/>
    <n v="2022"/>
    <x v="2"/>
  </r>
  <r>
    <d v="2022-03-20T00:00:00"/>
    <n v="24.9"/>
    <n v="22"/>
    <n v="34.1"/>
    <n v="0"/>
    <s v="Normal"/>
    <s v="Normal"/>
    <s v="Normal"/>
    <s v="Normal"/>
    <n v="2022"/>
    <x v="2"/>
  </r>
  <r>
    <d v="2022-03-21T00:00:00"/>
    <n v="24.7"/>
    <n v="21.3"/>
    <n v="33.200000000000003"/>
    <n v="6.1"/>
    <s v="Normal"/>
    <s v="Normal"/>
    <s v="Normal"/>
    <s v="Normal"/>
    <n v="2022"/>
    <x v="2"/>
  </r>
  <r>
    <d v="2022-03-22T00:00:00"/>
    <n v="25.6"/>
    <n v="21.8"/>
    <n v="33.5"/>
    <n v="7.9"/>
    <s v="Normal"/>
    <s v="Normal"/>
    <s v="Normal"/>
    <s v="Normal"/>
    <n v="2022"/>
    <x v="2"/>
  </r>
  <r>
    <d v="2022-03-23T00:00:00"/>
    <n v="27"/>
    <n v="21.4"/>
    <n v="32.799999999999997"/>
    <n v="2"/>
    <s v="Normal"/>
    <s v="Normal"/>
    <s v="Normal"/>
    <s v="Normal"/>
    <n v="2022"/>
    <x v="2"/>
  </r>
  <r>
    <d v="2022-03-25T00:00:00"/>
    <n v="26.4"/>
    <n v="19.399999999999999"/>
    <n v="32.299999999999997"/>
    <n v="0.2"/>
    <s v="Normal"/>
    <s v="Normal"/>
    <s v="Normal"/>
    <s v="Normal"/>
    <n v="2022"/>
    <x v="2"/>
  </r>
  <r>
    <d v="2022-03-26T00:00:00"/>
    <n v="26.7"/>
    <n v="19.899999999999999"/>
    <n v="32.9"/>
    <n v="0"/>
    <s v="Normal"/>
    <s v="Normal"/>
    <s v="Normal"/>
    <s v="Normal"/>
    <n v="2022"/>
    <x v="2"/>
  </r>
  <r>
    <d v="2022-03-27T00:00:00"/>
    <n v="27.1"/>
    <n v="20.399999999999999"/>
    <n v="33.799999999999997"/>
    <n v="0"/>
    <s v="Normal"/>
    <s v="Normal"/>
    <s v="Normal"/>
    <s v="Normal"/>
    <n v="2022"/>
    <x v="2"/>
  </r>
  <r>
    <d v="2022-03-28T00:00:00"/>
    <n v="27.3"/>
    <n v="20.100000000000001"/>
    <n v="33.799999999999997"/>
    <n v="0"/>
    <s v="Normal"/>
    <s v="Normal"/>
    <s v="Normal"/>
    <s v="Normal"/>
    <n v="2022"/>
    <x v="2"/>
  </r>
  <r>
    <d v="2022-03-29T00:00:00"/>
    <n v="27.5"/>
    <n v="20.399999999999999"/>
    <n v="34.200000000000003"/>
    <n v="0.1"/>
    <s v="Normal"/>
    <s v="Normal"/>
    <s v="Normal"/>
    <s v="Normal"/>
    <n v="2022"/>
    <x v="2"/>
  </r>
  <r>
    <d v="2022-03-30T00:00:00"/>
    <n v="27.6"/>
    <n v="21.8"/>
    <n v="33.799999999999997"/>
    <n v="0.1"/>
    <s v="Normal"/>
    <s v="Normal"/>
    <s v="Normal"/>
    <s v="Normal"/>
    <n v="2022"/>
    <x v="2"/>
  </r>
  <r>
    <d v="2022-03-31T00:00:00"/>
    <n v="27.5"/>
    <n v="20.9"/>
    <n v="34"/>
    <n v="0"/>
    <s v="Normal"/>
    <s v="Normal"/>
    <s v="Normal"/>
    <s v="Normal"/>
    <n v="2022"/>
    <x v="2"/>
  </r>
  <r>
    <d v="2022-04-01T00:00:00"/>
    <n v="27.2"/>
    <n v="21.2"/>
    <n v="33"/>
    <n v="0"/>
    <s v="Normal"/>
    <s v="Normal"/>
    <s v="Normal"/>
    <s v="Normal"/>
    <n v="2022"/>
    <x v="3"/>
  </r>
  <r>
    <d v="2022-04-02T00:00:00"/>
    <n v="26.8"/>
    <n v="20"/>
    <n v="33"/>
    <n v="0"/>
    <s v="Normal"/>
    <s v="Normal"/>
    <s v="Normal"/>
    <s v="Normal"/>
    <n v="2022"/>
    <x v="3"/>
  </r>
  <r>
    <d v="2022-04-03T00:00:00"/>
    <n v="26.6"/>
    <n v="18.600000000000001"/>
    <n v="33.6"/>
    <n v="0"/>
    <s v="Normal"/>
    <s v="Normal"/>
    <s v="Normal"/>
    <s v="Normal"/>
    <n v="2022"/>
    <x v="3"/>
  </r>
  <r>
    <d v="2022-04-04T00:00:00"/>
    <n v="26.5"/>
    <n v="19"/>
    <n v="33.799999999999997"/>
    <n v="0"/>
    <s v="Normal"/>
    <s v="Normal"/>
    <s v="Normal"/>
    <s v="Normal"/>
    <n v="2022"/>
    <x v="3"/>
  </r>
  <r>
    <d v="2022-04-05T00:00:00"/>
    <n v="26.3"/>
    <n v="19"/>
    <n v="33.200000000000003"/>
    <n v="0"/>
    <s v="Normal"/>
    <s v="Normal"/>
    <s v="Normal"/>
    <s v="Normal"/>
    <n v="2022"/>
    <x v="3"/>
  </r>
  <r>
    <d v="2022-04-06T00:00:00"/>
    <n v="26.7"/>
    <n v="18.399999999999999"/>
    <n v="35"/>
    <n v="0"/>
    <s v="Normal"/>
    <s v="Normal"/>
    <s v="Normal"/>
    <s v="Normal"/>
    <n v="2022"/>
    <x v="3"/>
  </r>
  <r>
    <d v="2022-04-07T00:00:00"/>
    <n v="27.1"/>
    <n v="19.100000000000001"/>
    <n v="34.799999999999997"/>
    <n v="0"/>
    <s v="Normal"/>
    <s v="Normal"/>
    <s v="Normal"/>
    <s v="Normal"/>
    <n v="2022"/>
    <x v="3"/>
  </r>
  <r>
    <d v="2022-04-08T00:00:00"/>
    <n v="26.7"/>
    <n v="19.3"/>
    <n v="33.200000000000003"/>
    <n v="0"/>
    <s v="Normal"/>
    <s v="Normal"/>
    <s v="Normal"/>
    <s v="Normal"/>
    <n v="2022"/>
    <x v="3"/>
  </r>
  <r>
    <d v="2022-04-09T00:00:00"/>
    <n v="27.1"/>
    <n v="19.899999999999999"/>
    <n v="33.6"/>
    <n v="0"/>
    <s v="Normal"/>
    <s v="Normal"/>
    <s v="Normal"/>
    <s v="Normal"/>
    <n v="2022"/>
    <x v="3"/>
  </r>
  <r>
    <d v="2022-04-10T00:00:00"/>
    <n v="27"/>
    <n v="20.3"/>
    <n v="34"/>
    <n v="0"/>
    <s v="Normal"/>
    <s v="Normal"/>
    <s v="Normal"/>
    <s v="Normal"/>
    <n v="2022"/>
    <x v="3"/>
  </r>
  <r>
    <d v="2022-04-11T00:00:00"/>
    <n v="27.2"/>
    <n v="20.100000000000001"/>
    <n v="34.200000000000003"/>
    <n v="0"/>
    <s v="Normal"/>
    <s v="Normal"/>
    <s v="Normal"/>
    <s v="Normal"/>
    <n v="2022"/>
    <x v="3"/>
  </r>
  <r>
    <d v="2022-04-12T00:00:00"/>
    <n v="26.7"/>
    <n v="20.5"/>
    <n v="34"/>
    <n v="0"/>
    <s v="Normal"/>
    <s v="Normal"/>
    <s v="Normal"/>
    <s v="Normal"/>
    <n v="2022"/>
    <x v="3"/>
  </r>
  <r>
    <d v="2022-04-13T00:00:00"/>
    <n v="25"/>
    <n v="21.5"/>
    <n v="32.799999999999997"/>
    <n v="3.5"/>
    <s v="Normal"/>
    <s v="Normal"/>
    <s v="Normal"/>
    <s v="Normal"/>
    <n v="2022"/>
    <x v="3"/>
  </r>
  <r>
    <d v="2022-04-16T00:00:00"/>
    <n v="26.3"/>
    <n v="19.7"/>
    <n v="34.1"/>
    <n v="0"/>
    <s v="Normal"/>
    <s v="Normal"/>
    <s v="Normal"/>
    <s v="Normal"/>
    <n v="2022"/>
    <x v="3"/>
  </r>
  <r>
    <d v="2022-04-18T00:00:00"/>
    <n v="23.8"/>
    <n v="19.100000000000001"/>
    <n v="32.1"/>
    <n v="1"/>
    <s v="Normal"/>
    <s v="Normal"/>
    <s v="Normal"/>
    <s v="Normal"/>
    <n v="2022"/>
    <x v="3"/>
  </r>
  <r>
    <d v="2022-04-20T00:00:00"/>
    <n v="27.9"/>
    <n v="21.8"/>
    <n v="34.1"/>
    <n v="0"/>
    <s v="Normal"/>
    <s v="Normal"/>
    <s v="Normal"/>
    <s v="Normal"/>
    <n v="2022"/>
    <x v="3"/>
  </r>
  <r>
    <d v="2022-04-21T00:00:00"/>
    <n v="27.3"/>
    <n v="20.8"/>
    <n v="33.4"/>
    <n v="0"/>
    <s v="Normal"/>
    <s v="Normal"/>
    <s v="Normal"/>
    <s v="Normal"/>
    <n v="2022"/>
    <x v="3"/>
  </r>
  <r>
    <d v="2022-04-22T00:00:00"/>
    <n v="26.7"/>
    <n v="20.3"/>
    <n v="33.200000000000003"/>
    <n v="0"/>
    <s v="Normal"/>
    <s v="Normal"/>
    <s v="Normal"/>
    <s v="Normal"/>
    <n v="2022"/>
    <x v="3"/>
  </r>
  <r>
    <d v="2022-04-23T00:00:00"/>
    <n v="26.3"/>
    <n v="20.5"/>
    <n v="32.200000000000003"/>
    <n v="0"/>
    <s v="Normal"/>
    <s v="Normal"/>
    <s v="Normal"/>
    <s v="Normal"/>
    <n v="2022"/>
    <x v="3"/>
  </r>
  <r>
    <d v="2022-04-24T00:00:00"/>
    <n v="27"/>
    <n v="20.399999999999999"/>
    <n v="33.700000000000003"/>
    <n v="0"/>
    <s v="Normal"/>
    <s v="Normal"/>
    <s v="Normal"/>
    <s v="Normal"/>
    <n v="2022"/>
    <x v="3"/>
  </r>
  <r>
    <d v="2022-04-25T00:00:00"/>
    <n v="27.8"/>
    <n v="20.8"/>
    <n v="34.1"/>
    <n v="0"/>
    <s v="Normal"/>
    <s v="Normal"/>
    <s v="Normal"/>
    <s v="Normal"/>
    <n v="2022"/>
    <x v="3"/>
  </r>
  <r>
    <d v="2022-04-26T00:00:00"/>
    <n v="27.9"/>
    <n v="20.6"/>
    <n v="34.5"/>
    <n v="0"/>
    <s v="Normal"/>
    <s v="Normal"/>
    <s v="Normal"/>
    <s v="Normal"/>
    <n v="2022"/>
    <x v="3"/>
  </r>
  <r>
    <d v="2022-04-28T00:00:00"/>
    <n v="28.2"/>
    <n v="21.7"/>
    <n v="34.799999999999997"/>
    <n v="0"/>
    <s v="Normal"/>
    <s v="Normal"/>
    <s v="Normal"/>
    <s v="Normal"/>
    <n v="2022"/>
    <x v="3"/>
  </r>
  <r>
    <d v="2022-05-01T00:00:00"/>
    <n v="24.9"/>
    <n v="20.399999999999999"/>
    <n v="34.799999999999997"/>
    <n v="0"/>
    <s v="Normal"/>
    <s v="Normal"/>
    <s v="Normal"/>
    <s v="Normal"/>
    <n v="2022"/>
    <x v="4"/>
  </r>
  <r>
    <d v="2022-05-03T00:00:00"/>
    <n v="26.3"/>
    <n v="21.8"/>
    <n v="34"/>
    <n v="0"/>
    <s v="Normal"/>
    <s v="Normal"/>
    <s v="Normal"/>
    <s v="Normal"/>
    <n v="2022"/>
    <x v="4"/>
  </r>
  <r>
    <d v="2022-05-04T00:00:00"/>
    <n v="25.5"/>
    <n v="20.9"/>
    <n v="34.200000000000003"/>
    <n v="8.9"/>
    <s v="Normal"/>
    <s v="Normal"/>
    <s v="Normal"/>
    <s v="Normal"/>
    <n v="2022"/>
    <x v="4"/>
  </r>
  <r>
    <d v="2022-05-05T00:00:00"/>
    <n v="23.9"/>
    <n v="20.399999999999999"/>
    <n v="34.200000000000003"/>
    <n v="4.3"/>
    <s v="Normal"/>
    <s v="Normal"/>
    <s v="Normal"/>
    <s v="Normal"/>
    <n v="2022"/>
    <x v="4"/>
  </r>
  <r>
    <d v="2022-05-06T00:00:00"/>
    <n v="25.2"/>
    <n v="21.3"/>
    <n v="31.8"/>
    <n v="0.3"/>
    <s v="Normal"/>
    <s v="Normal"/>
    <s v="Normal"/>
    <s v="Normal"/>
    <n v="2022"/>
    <x v="4"/>
  </r>
  <r>
    <d v="2022-05-07T00:00:00"/>
    <n v="26"/>
    <n v="21.2"/>
    <n v="33.5"/>
    <n v="5.0999999999999996"/>
    <s v="Normal"/>
    <s v="Normal"/>
    <s v="Normal"/>
    <s v="Normal"/>
    <n v="2022"/>
    <x v="4"/>
  </r>
  <r>
    <d v="2022-05-08T00:00:00"/>
    <n v="26.1"/>
    <n v="21"/>
    <n v="33.200000000000003"/>
    <n v="0"/>
    <s v="Normal"/>
    <s v="Normal"/>
    <s v="Normal"/>
    <s v="Normal"/>
    <n v="2022"/>
    <x v="4"/>
  </r>
  <r>
    <d v="2022-05-09T00:00:00"/>
    <n v="25.3"/>
    <n v="21"/>
    <n v="33.200000000000003"/>
    <n v="2"/>
    <s v="Normal"/>
    <s v="Normal"/>
    <s v="Normal"/>
    <s v="Normal"/>
    <n v="2022"/>
    <x v="4"/>
  </r>
  <r>
    <d v="2022-05-11T00:00:00"/>
    <n v="22.1"/>
    <n v="20.399999999999999"/>
    <n v="25"/>
    <n v="5.0999999999999996"/>
    <s v="Normal"/>
    <s v="Normal"/>
    <s v="Normal"/>
    <s v="Normal"/>
    <n v="2022"/>
    <x v="4"/>
  </r>
  <r>
    <d v="2022-05-12T00:00:00"/>
    <n v="21.3"/>
    <n v="19.5"/>
    <n v="25"/>
    <n v="5.3"/>
    <s v="Normal"/>
    <s v="Normal"/>
    <s v="Normal"/>
    <s v="Normal"/>
    <n v="2022"/>
    <x v="4"/>
  </r>
  <r>
    <d v="2022-05-13T00:00:00"/>
    <n v="22.9"/>
    <n v="20"/>
    <n v="26.3"/>
    <n v="2"/>
    <s v="Normal"/>
    <s v="Normal"/>
    <s v="Normal"/>
    <s v="Normal"/>
    <n v="2022"/>
    <x v="4"/>
  </r>
  <r>
    <d v="2022-05-14T00:00:00"/>
    <n v="25.2"/>
    <n v="20.3"/>
    <n v="29.7"/>
    <n v="0"/>
    <s v="Normal"/>
    <s v="Normal"/>
    <s v="Normal"/>
    <s v="Normal"/>
    <n v="2022"/>
    <x v="4"/>
  </r>
  <r>
    <d v="2022-05-16T00:00:00"/>
    <n v="23.9"/>
    <n v="20.8"/>
    <n v="29.5"/>
    <n v="0.3"/>
    <s v="Normal"/>
    <s v="Normal"/>
    <s v="Normal"/>
    <s v="Normal"/>
    <n v="2022"/>
    <x v="4"/>
  </r>
  <r>
    <d v="2022-05-17T00:00:00"/>
    <n v="23.8"/>
    <n v="21.1"/>
    <n v="30.1"/>
    <n v="6.4"/>
    <s v="Normal"/>
    <s v="Normal"/>
    <s v="Normal"/>
    <s v="Normal"/>
    <n v="2022"/>
    <x v="4"/>
  </r>
  <r>
    <d v="2022-05-19T00:00:00"/>
    <n v="20.6"/>
    <n v="19.399999999999999"/>
    <n v="29"/>
    <n v="0.8"/>
    <s v="Normal"/>
    <s v="Normal"/>
    <s v="Normal"/>
    <s v="Normal"/>
    <n v="2022"/>
    <x v="4"/>
  </r>
  <r>
    <d v="2022-05-20T00:00:00"/>
    <n v="21.8"/>
    <n v="17.899999999999999"/>
    <n v="27"/>
    <n v="4.8"/>
    <s v="Normal"/>
    <s v="Normal"/>
    <s v="Normal"/>
    <s v="Normal"/>
    <n v="2022"/>
    <x v="4"/>
  </r>
  <r>
    <d v="2022-05-21T00:00:00"/>
    <n v="22.8"/>
    <n v="18.8"/>
    <n v="27"/>
    <n v="3.8"/>
    <s v="Normal"/>
    <s v="Normal"/>
    <s v="Normal"/>
    <s v="Normal"/>
    <n v="2022"/>
    <x v="4"/>
  </r>
  <r>
    <d v="2022-05-22T00:00:00"/>
    <n v="23.8"/>
    <n v="20.7"/>
    <n v="28.5"/>
    <n v="0"/>
    <s v="Normal"/>
    <s v="Normal"/>
    <s v="Normal"/>
    <s v="Normal"/>
    <n v="2022"/>
    <x v="4"/>
  </r>
  <r>
    <d v="2022-05-23T00:00:00"/>
    <n v="24.5"/>
    <n v="19.899999999999999"/>
    <n v="29.6"/>
    <n v="0"/>
    <s v="Normal"/>
    <s v="Normal"/>
    <s v="Normal"/>
    <s v="Normal"/>
    <n v="2022"/>
    <x v="4"/>
  </r>
  <r>
    <d v="2022-05-24T00:00:00"/>
    <n v="26.2"/>
    <n v="22.1"/>
    <n v="30.7"/>
    <n v="0"/>
    <s v="Normal"/>
    <s v="Normal"/>
    <s v="Normal"/>
    <s v="Normal"/>
    <n v="2022"/>
    <x v="4"/>
  </r>
  <r>
    <d v="2022-05-25T00:00:00"/>
    <n v="24.6"/>
    <n v="20.100000000000001"/>
    <n v="30"/>
    <n v="0"/>
    <s v="Normal"/>
    <s v="Normal"/>
    <s v="Normal"/>
    <s v="Normal"/>
    <n v="2022"/>
    <x v="4"/>
  </r>
  <r>
    <d v="2022-05-26T00:00:00"/>
    <n v="24.9"/>
    <n v="21.8"/>
    <n v="31.7"/>
    <n v="1.1000000000000001"/>
    <s v="Normal"/>
    <s v="Normal"/>
    <s v="Normal"/>
    <s v="Normal"/>
    <n v="2022"/>
    <x v="4"/>
  </r>
  <r>
    <d v="2022-05-27T00:00:00"/>
    <n v="26.1"/>
    <n v="21.6"/>
    <n v="31.9"/>
    <n v="0"/>
    <s v="Normal"/>
    <s v="Normal"/>
    <s v="Normal"/>
    <s v="Normal"/>
    <n v="2022"/>
    <x v="4"/>
  </r>
  <r>
    <d v="2022-05-28T00:00:00"/>
    <n v="24.5"/>
    <n v="19.2"/>
    <n v="30"/>
    <n v="0.3"/>
    <s v="Normal"/>
    <s v="Normal"/>
    <s v="Normal"/>
    <s v="Normal"/>
    <n v="2022"/>
    <x v="4"/>
  </r>
  <r>
    <d v="2022-05-29T00:00:00"/>
    <n v="24.8"/>
    <n v="19.5"/>
    <n v="30"/>
    <n v="0"/>
    <s v="Normal"/>
    <s v="Normal"/>
    <s v="Normal"/>
    <s v="Normal"/>
    <n v="2022"/>
    <x v="4"/>
  </r>
  <r>
    <d v="2022-05-31T00:00:00"/>
    <n v="24.1"/>
    <n v="20.6"/>
    <n v="30.4"/>
    <n v="6.9"/>
    <s v="Normal"/>
    <s v="Normal"/>
    <s v="Normal"/>
    <s v="Normal"/>
    <n v="2022"/>
    <x v="4"/>
  </r>
  <r>
    <d v="2022-06-01T00:00:00"/>
    <n v="25.2"/>
    <n v="21.2"/>
    <n v="30.4"/>
    <n v="3.3"/>
    <s v="Normal"/>
    <s v="Normal"/>
    <s v="Normal"/>
    <s v="Normal"/>
    <n v="2022"/>
    <x v="5"/>
  </r>
  <r>
    <d v="2022-06-02T00:00:00"/>
    <n v="25.7"/>
    <n v="22"/>
    <n v="31"/>
    <n v="0"/>
    <s v="Normal"/>
    <s v="Normal"/>
    <s v="Normal"/>
    <s v="Normal"/>
    <n v="2022"/>
    <x v="5"/>
  </r>
  <r>
    <d v="2022-06-04T00:00:00"/>
    <n v="24.2"/>
    <n v="19.7"/>
    <n v="32.200000000000003"/>
    <n v="7.2"/>
    <s v="Normal"/>
    <s v="Normal"/>
    <s v="Normal"/>
    <s v="Normal"/>
    <n v="2022"/>
    <x v="5"/>
  </r>
  <r>
    <d v="2022-06-07T00:00:00"/>
    <n v="24.9"/>
    <n v="21.1"/>
    <n v="30.6"/>
    <n v="0.8"/>
    <s v="Normal"/>
    <s v="Normal"/>
    <s v="Normal"/>
    <s v="Normal"/>
    <n v="2022"/>
    <x v="5"/>
  </r>
  <r>
    <d v="2022-06-08T00:00:00"/>
    <n v="25.1"/>
    <n v="21.2"/>
    <n v="30.6"/>
    <n v="0"/>
    <s v="Normal"/>
    <s v="Normal"/>
    <s v="Normal"/>
    <s v="Normal"/>
    <n v="2022"/>
    <x v="5"/>
  </r>
  <r>
    <d v="2022-06-09T00:00:00"/>
    <n v="24.3"/>
    <n v="19.8"/>
    <n v="29.4"/>
    <n v="1"/>
    <s v="Normal"/>
    <s v="Normal"/>
    <s v="Normal"/>
    <s v="Normal"/>
    <n v="2022"/>
    <x v="5"/>
  </r>
  <r>
    <d v="2022-06-10T00:00:00"/>
    <n v="24"/>
    <n v="19.5"/>
    <n v="29.2"/>
    <n v="1.6"/>
    <s v="Normal"/>
    <s v="Normal"/>
    <s v="Normal"/>
    <s v="Normal"/>
    <n v="2022"/>
    <x v="5"/>
  </r>
  <r>
    <d v="2022-06-11T00:00:00"/>
    <n v="23.6"/>
    <n v="19.3"/>
    <n v="29.2"/>
    <n v="2"/>
    <s v="Normal"/>
    <s v="Normal"/>
    <s v="Normal"/>
    <s v="Normal"/>
    <n v="2022"/>
    <x v="5"/>
  </r>
  <r>
    <d v="2022-06-12T00:00:00"/>
    <n v="23"/>
    <n v="19.7"/>
    <n v="28.8"/>
    <n v="10"/>
    <s v="Normal"/>
    <s v="Normal"/>
    <s v="Normal"/>
    <s v="Normal"/>
    <n v="2022"/>
    <x v="5"/>
  </r>
  <r>
    <d v="2022-06-13T00:00:00"/>
    <n v="23.6"/>
    <n v="19.2"/>
    <n v="28.9"/>
    <n v="0.1"/>
    <s v="Normal"/>
    <s v="Normal"/>
    <s v="Normal"/>
    <s v="Normal"/>
    <n v="2022"/>
    <x v="5"/>
  </r>
  <r>
    <d v="2022-06-14T00:00:00"/>
    <n v="23.6"/>
    <n v="19.399999999999999"/>
    <n v="29.5"/>
    <n v="0.6"/>
    <s v="Normal"/>
    <s v="Normal"/>
    <s v="Normal"/>
    <s v="Normal"/>
    <n v="2022"/>
    <x v="5"/>
  </r>
  <r>
    <d v="2022-06-16T00:00:00"/>
    <n v="24.5"/>
    <n v="20"/>
    <n v="30.6"/>
    <n v="0"/>
    <s v="Normal"/>
    <s v="Normal"/>
    <s v="Normal"/>
    <s v="Normal"/>
    <n v="2022"/>
    <x v="5"/>
  </r>
  <r>
    <d v="2022-06-19T00:00:00"/>
    <n v="24.2"/>
    <n v="21.1"/>
    <n v="29.5"/>
    <n v="1"/>
    <s v="Normal"/>
    <s v="Normal"/>
    <s v="Normal"/>
    <s v="Normal"/>
    <n v="2022"/>
    <x v="5"/>
  </r>
  <r>
    <d v="2022-06-20T00:00:00"/>
    <n v="24.1"/>
    <n v="20.7"/>
    <n v="29.5"/>
    <n v="2"/>
    <s v="Normal"/>
    <s v="Normal"/>
    <s v="Normal"/>
    <s v="Normal"/>
    <n v="2022"/>
    <x v="5"/>
  </r>
  <r>
    <d v="2022-06-22T00:00:00"/>
    <n v="22.7"/>
    <n v="20.399999999999999"/>
    <n v="27.8"/>
    <n v="0.3"/>
    <s v="Normal"/>
    <s v="Normal"/>
    <s v="Normal"/>
    <s v="Normal"/>
    <n v="2022"/>
    <x v="5"/>
  </r>
  <r>
    <d v="2022-06-23T00:00:00"/>
    <n v="23.1"/>
    <n v="20.399999999999999"/>
    <n v="26.2"/>
    <n v="0"/>
    <s v="Normal"/>
    <s v="Normal"/>
    <s v="Normal"/>
    <s v="Normal"/>
    <n v="2022"/>
    <x v="5"/>
  </r>
  <r>
    <d v="2022-06-24T00:00:00"/>
    <n v="22.8"/>
    <n v="19.5"/>
    <n v="27.6"/>
    <n v="0.3"/>
    <s v="Normal"/>
    <s v="Normal"/>
    <s v="Normal"/>
    <s v="Normal"/>
    <n v="2022"/>
    <x v="5"/>
  </r>
  <r>
    <d v="2022-06-25T00:00:00"/>
    <n v="22.4"/>
    <n v="19.7"/>
    <n v="27.7"/>
    <n v="4.2"/>
    <s v="Normal"/>
    <s v="Normal"/>
    <s v="Normal"/>
    <s v="Normal"/>
    <n v="2022"/>
    <x v="5"/>
  </r>
  <r>
    <d v="2022-06-26T00:00:00"/>
    <n v="23.2"/>
    <n v="20.3"/>
    <n v="27.2"/>
    <n v="0.2"/>
    <s v="Normal"/>
    <s v="Normal"/>
    <s v="Normal"/>
    <s v="Normal"/>
    <n v="2022"/>
    <x v="5"/>
  </r>
  <r>
    <d v="2022-06-27T00:00:00"/>
    <n v="23.7"/>
    <n v="20.100000000000001"/>
    <n v="28.3"/>
    <n v="0"/>
    <s v="Normal"/>
    <s v="Normal"/>
    <s v="Normal"/>
    <s v="Normal"/>
    <n v="2022"/>
    <x v="5"/>
  </r>
  <r>
    <d v="2022-06-28T00:00:00"/>
    <n v="22.5"/>
    <n v="19.600000000000001"/>
    <n v="26.7"/>
    <n v="2.2000000000000002"/>
    <s v="Normal"/>
    <s v="Normal"/>
    <s v="Normal"/>
    <s v="Normal"/>
    <n v="2022"/>
    <x v="5"/>
  </r>
  <r>
    <d v="2022-06-29T00:00:00"/>
    <n v="23.9"/>
    <n v="21.1"/>
    <n v="29.5"/>
    <n v="0"/>
    <s v="Normal"/>
    <s v="Normal"/>
    <s v="Normal"/>
    <s v="Normal"/>
    <n v="2022"/>
    <x v="5"/>
  </r>
  <r>
    <d v="2022-06-30T00:00:00"/>
    <n v="23.2"/>
    <n v="20.5"/>
    <n v="29.5"/>
    <n v="5.8"/>
    <s v="Normal"/>
    <s v="Normal"/>
    <s v="Normal"/>
    <s v="Normal"/>
    <n v="2022"/>
    <x v="5"/>
  </r>
  <r>
    <d v="2022-07-01T00:00:00"/>
    <n v="23.6"/>
    <n v="20.5"/>
    <n v="28.7"/>
    <n v="3.6"/>
    <s v="Normal"/>
    <s v="Normal"/>
    <s v="Normal"/>
    <s v="Normal"/>
    <n v="2022"/>
    <x v="6"/>
  </r>
  <r>
    <d v="2022-07-02T00:00:00"/>
    <n v="24.1"/>
    <n v="20.9"/>
    <n v="28.7"/>
    <n v="0"/>
    <s v="Normal"/>
    <s v="Normal"/>
    <s v="Normal"/>
    <s v="Normal"/>
    <n v="2022"/>
    <x v="6"/>
  </r>
  <r>
    <d v="2022-07-03T00:00:00"/>
    <n v="23.5"/>
    <n v="21.1"/>
    <n v="28.5"/>
    <n v="0"/>
    <s v="Normal"/>
    <s v="Normal"/>
    <s v="Normal"/>
    <s v="Normal"/>
    <n v="2022"/>
    <x v="6"/>
  </r>
  <r>
    <d v="2022-07-04T00:00:00"/>
    <n v="22.5"/>
    <n v="20.2"/>
    <n v="27"/>
    <n v="0"/>
    <s v="Normal"/>
    <s v="Normal"/>
    <s v="Normal"/>
    <s v="Normal"/>
    <n v="2022"/>
    <x v="6"/>
  </r>
  <r>
    <d v="2022-07-05T00:00:00"/>
    <n v="22.9"/>
    <n v="20.100000000000001"/>
    <n v="26.5"/>
    <n v="2"/>
    <s v="Normal"/>
    <s v="Normal"/>
    <s v="Normal"/>
    <s v="Normal"/>
    <n v="2022"/>
    <x v="6"/>
  </r>
  <r>
    <d v="2022-07-06T00:00:00"/>
    <n v="22.1"/>
    <n v="20.6"/>
    <n v="26.5"/>
    <n v="0.3"/>
    <s v="Normal"/>
    <s v="Normal"/>
    <s v="Normal"/>
    <s v="Normal"/>
    <n v="2022"/>
    <x v="6"/>
  </r>
  <r>
    <d v="2022-07-07T00:00:00"/>
    <n v="21.4"/>
    <n v="19.7"/>
    <n v="25"/>
    <n v="1"/>
    <s v="Normal"/>
    <s v="Normal"/>
    <s v="Normal"/>
    <s v="Normal"/>
    <n v="2022"/>
    <x v="6"/>
  </r>
  <r>
    <d v="2022-07-08T00:00:00"/>
    <n v="21.4"/>
    <n v="19.7"/>
    <n v="25.5"/>
    <n v="6.1"/>
    <s v="Normal"/>
    <s v="Normal"/>
    <s v="Normal"/>
    <s v="Normal"/>
    <n v="2022"/>
    <x v="6"/>
  </r>
  <r>
    <d v="2022-07-09T00:00:00"/>
    <n v="21.7"/>
    <n v="19.8"/>
    <n v="25.5"/>
    <n v="7.1"/>
    <s v="Normal"/>
    <s v="Normal"/>
    <s v="Normal"/>
    <s v="Normal"/>
    <n v="2022"/>
    <x v="6"/>
  </r>
  <r>
    <d v="2022-07-11T00:00:00"/>
    <n v="21.7"/>
    <n v="20.2"/>
    <n v="26.2"/>
    <n v="0.8"/>
    <s v="Normal"/>
    <s v="Normal"/>
    <s v="Normal"/>
    <s v="Normal"/>
    <n v="2022"/>
    <x v="6"/>
  </r>
  <r>
    <d v="2022-07-12T00:00:00"/>
    <n v="23.2"/>
    <n v="19.8"/>
    <n v="27.5"/>
    <n v="4.5999999999999996"/>
    <s v="Normal"/>
    <s v="Normal"/>
    <s v="Normal"/>
    <s v="Normal"/>
    <n v="2022"/>
    <x v="6"/>
  </r>
  <r>
    <d v="2022-07-13T00:00:00"/>
    <n v="21.6"/>
    <n v="19.7"/>
    <n v="27.5"/>
    <n v="1"/>
    <s v="Normal"/>
    <s v="Normal"/>
    <s v="Normal"/>
    <s v="Normal"/>
    <n v="2022"/>
    <x v="6"/>
  </r>
  <r>
    <d v="2022-07-14T00:00:00"/>
    <n v="21.2"/>
    <n v="19.5"/>
    <n v="24.3"/>
    <n v="2"/>
    <s v="Normal"/>
    <s v="Normal"/>
    <s v="Normal"/>
    <s v="Normal"/>
    <n v="2022"/>
    <x v="6"/>
  </r>
  <r>
    <d v="2022-07-15T00:00:00"/>
    <n v="22.3"/>
    <n v="19.5"/>
    <n v="25.6"/>
    <n v="2.2999999999999998"/>
    <s v="Normal"/>
    <s v="Normal"/>
    <s v="Normal"/>
    <s v="Normal"/>
    <n v="2022"/>
    <x v="6"/>
  </r>
  <r>
    <d v="2022-07-16T00:00:00"/>
    <n v="22"/>
    <n v="20.100000000000001"/>
    <n v="25.6"/>
    <n v="0.5"/>
    <s v="Normal"/>
    <s v="Normal"/>
    <s v="Normal"/>
    <s v="Normal"/>
    <n v="2022"/>
    <x v="6"/>
  </r>
  <r>
    <d v="2022-07-17T00:00:00"/>
    <n v="23.2"/>
    <n v="20.2"/>
    <n v="25.3"/>
    <n v="0"/>
    <s v="Normal"/>
    <s v="Normal"/>
    <s v="Normal"/>
    <s v="Normal"/>
    <n v="2022"/>
    <x v="6"/>
  </r>
  <r>
    <d v="2022-07-18T00:00:00"/>
    <n v="22.6"/>
    <n v="20.9"/>
    <n v="27.5"/>
    <n v="0.3"/>
    <s v="Normal"/>
    <s v="Normal"/>
    <s v="Normal"/>
    <s v="Normal"/>
    <n v="2022"/>
    <x v="6"/>
  </r>
  <r>
    <d v="2022-07-19T00:00:00"/>
    <n v="24.7"/>
    <n v="20.100000000000001"/>
    <n v="29.6"/>
    <n v="0.3"/>
    <s v="Normal"/>
    <s v="Normal"/>
    <s v="Normal"/>
    <s v="Normal"/>
    <n v="2022"/>
    <x v="6"/>
  </r>
  <r>
    <d v="2022-07-20T00:00:00"/>
    <n v="24.9"/>
    <n v="19.8"/>
    <n v="30.8"/>
    <n v="0"/>
    <s v="Normal"/>
    <s v="Normal"/>
    <s v="Normal"/>
    <s v="Normal"/>
    <n v="2022"/>
    <x v="6"/>
  </r>
  <r>
    <d v="2022-07-22T00:00:00"/>
    <n v="23.2"/>
    <n v="21.1"/>
    <n v="27.9"/>
    <n v="0"/>
    <s v="Normal"/>
    <s v="Normal"/>
    <s v="Normal"/>
    <s v="Normal"/>
    <n v="2022"/>
    <x v="6"/>
  </r>
  <r>
    <d v="2022-07-23T00:00:00"/>
    <n v="23.1"/>
    <n v="20.9"/>
    <n v="26.7"/>
    <n v="0"/>
    <s v="Normal"/>
    <s v="Normal"/>
    <s v="Normal"/>
    <s v="Normal"/>
    <n v="2022"/>
    <x v="6"/>
  </r>
  <r>
    <d v="2022-07-24T00:00:00"/>
    <n v="22.8"/>
    <n v="20"/>
    <n v="26.7"/>
    <n v="0.3"/>
    <s v="Normal"/>
    <s v="Normal"/>
    <s v="Normal"/>
    <s v="Normal"/>
    <n v="2022"/>
    <x v="6"/>
  </r>
  <r>
    <d v="2022-07-25T00:00:00"/>
    <n v="24.1"/>
    <n v="20.2"/>
    <n v="28.5"/>
    <n v="0.5"/>
    <s v="Normal"/>
    <s v="Normal"/>
    <s v="Normal"/>
    <s v="Normal"/>
    <n v="2022"/>
    <x v="6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6">
  <r>
    <d v="2017-01-22T00:00:00"/>
    <x v="0"/>
    <n v="16.8"/>
    <n v="29.1"/>
    <x v="0"/>
    <s v="Normal"/>
    <s v="Outlier"/>
    <s v="Normal"/>
    <s v="Normal"/>
    <n v="2017"/>
    <x v="0"/>
  </r>
  <r>
    <d v="2017-01-26T00:00:00"/>
    <x v="1"/>
    <n v="18.3"/>
    <n v="29.2"/>
    <x v="0"/>
    <s v="Normal"/>
    <s v="Normal"/>
    <s v="Normal"/>
    <s v="Normal"/>
    <n v="2017"/>
    <x v="1"/>
  </r>
  <r>
    <d v="2017-01-27T00:00:00"/>
    <x v="2"/>
    <n v="19.7"/>
    <n v="26"/>
    <x v="1"/>
    <s v="Normal"/>
    <s v="Normal"/>
    <s v="Normal"/>
    <s v="Normal"/>
    <n v="2017"/>
    <x v="1"/>
  </r>
  <r>
    <d v="2017-01-28T00:00:00"/>
    <x v="3"/>
    <n v="20"/>
    <n v="26.7"/>
    <x v="0"/>
    <s v="Normal"/>
    <s v="Normal"/>
    <s v="Normal"/>
    <s v="Normal"/>
    <n v="2017"/>
    <x v="1"/>
  </r>
  <r>
    <d v="2017-01-29T00:00:00"/>
    <x v="4"/>
    <n v="19.2"/>
    <n v="29"/>
    <x v="0"/>
    <s v="Normal"/>
    <s v="Normal"/>
    <s v="Normal"/>
    <s v="Normal"/>
    <n v="2017"/>
    <x v="1"/>
  </r>
  <r>
    <d v="2017-03-07T00:00:00"/>
    <x v="5"/>
    <n v="21.5"/>
    <n v="33.1"/>
    <x v="2"/>
    <s v="Normal"/>
    <s v="Normal"/>
    <s v="Normal"/>
    <s v="Normal"/>
    <n v="2017"/>
    <x v="1"/>
  </r>
  <r>
    <d v="2017-03-08T00:00:00"/>
    <x v="6"/>
    <n v="21.1"/>
    <n v="33.799999999999997"/>
    <x v="3"/>
    <s v="Normal"/>
    <s v="Normal"/>
    <s v="Normal"/>
    <s v="Outlier"/>
    <n v="2017"/>
    <x v="2"/>
  </r>
  <r>
    <d v="2017-03-09T00:00:00"/>
    <x v="7"/>
    <n v="21.2"/>
    <n v="32.1"/>
    <x v="0"/>
    <s v="Normal"/>
    <s v="Normal"/>
    <s v="Normal"/>
    <s v="Normal"/>
    <n v="2017"/>
    <x v="2"/>
  </r>
  <r>
    <d v="2017-03-11T00:00:00"/>
    <x v="8"/>
    <n v="21"/>
    <n v="33.5"/>
    <x v="0"/>
    <s v="Normal"/>
    <s v="Normal"/>
    <s v="Normal"/>
    <s v="Normal"/>
    <n v="2017"/>
    <x v="2"/>
  </r>
  <r>
    <d v="2017-03-14T00:00:00"/>
    <x v="9"/>
    <n v="22"/>
    <n v="34"/>
    <x v="0"/>
    <s v="Normal"/>
    <s v="Normal"/>
    <s v="Normal"/>
    <s v="Normal"/>
    <n v="2017"/>
    <x v="2"/>
  </r>
  <r>
    <d v="2017-03-15T00:00:00"/>
    <x v="10"/>
    <n v="20.8"/>
    <n v="30.4"/>
    <x v="0"/>
    <s v="Normal"/>
    <s v="Normal"/>
    <s v="Normal"/>
    <s v="Normal"/>
    <n v="2017"/>
    <x v="2"/>
  </r>
  <r>
    <d v="2017-04-05T00:00:00"/>
    <x v="11"/>
    <n v="21.2"/>
    <n v="36.1"/>
    <x v="0"/>
    <s v="Normal"/>
    <s v="Normal"/>
    <s v="Normal"/>
    <s v="Normal"/>
    <n v="2017"/>
    <x v="2"/>
  </r>
  <r>
    <d v="2017-04-06T00:00:00"/>
    <x v="12"/>
    <n v="22.4"/>
    <n v="35.5"/>
    <x v="4"/>
    <s v="Normal"/>
    <s v="Normal"/>
    <s v="Normal"/>
    <s v="Normal"/>
    <n v="2017"/>
    <x v="3"/>
  </r>
  <r>
    <d v="2017-04-07T00:00:00"/>
    <x v="13"/>
    <n v="22.5"/>
    <n v="35.5"/>
    <x v="5"/>
    <s v="Outlier"/>
    <s v="Normal"/>
    <s v="Normal"/>
    <s v="Normal"/>
    <n v="2017"/>
    <x v="3"/>
  </r>
  <r>
    <d v="2017-04-17T00:00:00"/>
    <x v="14"/>
    <n v="22.2"/>
    <n v="36.200000000000003"/>
    <x v="5"/>
    <s v="Normal"/>
    <s v="Normal"/>
    <s v="Normal"/>
    <s v="Normal"/>
    <n v="2017"/>
    <x v="3"/>
  </r>
  <r>
    <d v="2017-04-18T00:00:00"/>
    <x v="13"/>
    <n v="20.6"/>
    <n v="35"/>
    <x v="6"/>
    <s v="Outlier"/>
    <s v="Normal"/>
    <s v="Normal"/>
    <s v="Outlier"/>
    <n v="2017"/>
    <x v="3"/>
  </r>
  <r>
    <d v="2017-04-20T00:00:00"/>
    <x v="15"/>
    <n v="22.8"/>
    <n v="35.700000000000003"/>
    <x v="1"/>
    <s v="Normal"/>
    <s v="Normal"/>
    <s v="Normal"/>
    <s v="Normal"/>
    <n v="2017"/>
    <x v="3"/>
  </r>
  <r>
    <d v="2017-04-21T00:00:00"/>
    <x v="16"/>
    <n v="21.7"/>
    <n v="35.200000000000003"/>
    <x v="7"/>
    <s v="Normal"/>
    <s v="Normal"/>
    <s v="Normal"/>
    <s v="Normal"/>
    <n v="2017"/>
    <x v="3"/>
  </r>
  <r>
    <d v="2017-04-22T00:00:00"/>
    <x v="17"/>
    <n v="22.8"/>
    <n v="34.799999999999997"/>
    <x v="0"/>
    <s v="Outlier"/>
    <s v="Normal"/>
    <s v="Normal"/>
    <s v="Normal"/>
    <n v="2017"/>
    <x v="3"/>
  </r>
  <r>
    <d v="2017-04-26T00:00:00"/>
    <x v="18"/>
    <n v="22.5"/>
    <n v="37"/>
    <x v="7"/>
    <s v="Outlier"/>
    <s v="Normal"/>
    <s v="Outlier"/>
    <s v="Normal"/>
    <n v="2017"/>
    <x v="3"/>
  </r>
  <r>
    <d v="2017-04-29T00:00:00"/>
    <x v="6"/>
    <n v="21.8"/>
    <n v="35.299999999999997"/>
    <x v="8"/>
    <s v="Normal"/>
    <s v="Normal"/>
    <s v="Normal"/>
    <s v="Normal"/>
    <n v="2017"/>
    <x v="3"/>
  </r>
  <r>
    <d v="2017-04-30T00:00:00"/>
    <x v="19"/>
    <n v="20.100000000000001"/>
    <n v="35.6"/>
    <x v="9"/>
    <s v="Normal"/>
    <s v="Normal"/>
    <s v="Normal"/>
    <s v="Normal"/>
    <n v="2017"/>
    <x v="3"/>
  </r>
  <r>
    <d v="2017-05-01T00:00:00"/>
    <x v="16"/>
    <n v="20.5"/>
    <n v="35.6"/>
    <x v="7"/>
    <s v="Normal"/>
    <s v="Normal"/>
    <s v="Normal"/>
    <s v="Normal"/>
    <n v="2017"/>
    <x v="3"/>
  </r>
  <r>
    <d v="2017-05-02T00:00:00"/>
    <x v="20"/>
    <n v="22.3"/>
    <n v="35.1"/>
    <x v="0"/>
    <s v="Normal"/>
    <s v="Normal"/>
    <s v="Normal"/>
    <s v="Normal"/>
    <n v="2017"/>
    <x v="4"/>
  </r>
  <r>
    <d v="2017-05-03T00:00:00"/>
    <x v="21"/>
    <n v="23.3"/>
    <n v="34.200000000000003"/>
    <x v="0"/>
    <s v="Normal"/>
    <s v="Normal"/>
    <s v="Normal"/>
    <s v="Normal"/>
    <n v="2017"/>
    <x v="4"/>
  </r>
  <r>
    <d v="2017-05-07T00:00:00"/>
    <x v="11"/>
    <n v="20.9"/>
    <n v="35.799999999999997"/>
    <x v="0"/>
    <s v="Normal"/>
    <s v="Normal"/>
    <s v="Normal"/>
    <s v="Normal"/>
    <n v="2017"/>
    <x v="4"/>
  </r>
  <r>
    <d v="2017-05-08T00:00:00"/>
    <x v="22"/>
    <n v="20.8"/>
    <n v="37"/>
    <x v="7"/>
    <s v="Normal"/>
    <s v="Normal"/>
    <s v="Outlier"/>
    <s v="Normal"/>
    <n v="2017"/>
    <x v="4"/>
  </r>
  <r>
    <d v="2017-05-09T00:00:00"/>
    <x v="23"/>
    <n v="21.9"/>
    <n v="33.200000000000003"/>
    <x v="0"/>
    <s v="Normal"/>
    <s v="Normal"/>
    <s v="Normal"/>
    <s v="Normal"/>
    <n v="2017"/>
    <x v="4"/>
  </r>
  <r>
    <d v="2017-05-10T00:00:00"/>
    <x v="24"/>
    <n v="21.5"/>
    <n v="33.200000000000003"/>
    <x v="0"/>
    <s v="Normal"/>
    <s v="Normal"/>
    <s v="Normal"/>
    <s v="Normal"/>
    <n v="2017"/>
    <x v="4"/>
  </r>
  <r>
    <d v="2017-05-11T00:00:00"/>
    <x v="22"/>
    <n v="22"/>
    <n v="34.4"/>
    <x v="0"/>
    <s v="Normal"/>
    <s v="Normal"/>
    <s v="Normal"/>
    <s v="Normal"/>
    <n v="2017"/>
    <x v="4"/>
  </r>
  <r>
    <d v="2017-05-12T00:00:00"/>
    <x v="20"/>
    <n v="23"/>
    <n v="32.5"/>
    <x v="10"/>
    <s v="Normal"/>
    <s v="Normal"/>
    <s v="Normal"/>
    <s v="Normal"/>
    <n v="2017"/>
    <x v="4"/>
  </r>
  <r>
    <d v="2017-05-13T00:00:00"/>
    <x v="21"/>
    <n v="23.8"/>
    <n v="33"/>
    <x v="0"/>
    <s v="Normal"/>
    <s v="Outlier"/>
    <s v="Normal"/>
    <s v="Normal"/>
    <n v="2017"/>
    <x v="4"/>
  </r>
  <r>
    <d v="2017-05-15T00:00:00"/>
    <x v="25"/>
    <n v="21.8"/>
    <n v="35"/>
    <x v="11"/>
    <s v="Normal"/>
    <s v="Normal"/>
    <s v="Normal"/>
    <s v="Normal"/>
    <n v="2017"/>
    <x v="4"/>
  </r>
  <r>
    <d v="2017-05-18T00:00:00"/>
    <x v="23"/>
    <n v="19.8"/>
    <n v="34.5"/>
    <x v="12"/>
    <s v="Normal"/>
    <s v="Normal"/>
    <s v="Normal"/>
    <s v="Normal"/>
    <n v="2017"/>
    <x v="4"/>
  </r>
  <r>
    <d v="2017-05-19T00:00:00"/>
    <x v="5"/>
    <n v="19.399999999999999"/>
    <n v="35.5"/>
    <x v="13"/>
    <s v="Normal"/>
    <s v="Normal"/>
    <s v="Normal"/>
    <s v="Outlier"/>
    <n v="2017"/>
    <x v="4"/>
  </r>
  <r>
    <d v="2017-05-20T00:00:00"/>
    <x v="16"/>
    <n v="20.9"/>
    <n v="34.4"/>
    <x v="0"/>
    <s v="Normal"/>
    <s v="Normal"/>
    <s v="Normal"/>
    <s v="Normal"/>
    <n v="2017"/>
    <x v="4"/>
  </r>
  <r>
    <d v="2017-05-21T00:00:00"/>
    <x v="26"/>
    <n v="19.899999999999999"/>
    <n v="35.1"/>
    <x v="14"/>
    <s v="Normal"/>
    <s v="Normal"/>
    <s v="Normal"/>
    <s v="Outlier"/>
    <n v="2017"/>
    <x v="4"/>
  </r>
  <r>
    <d v="2017-05-22T00:00:00"/>
    <x v="14"/>
    <n v="23.2"/>
    <n v="32"/>
    <x v="0"/>
    <s v="Normal"/>
    <s v="Normal"/>
    <s v="Normal"/>
    <s v="Normal"/>
    <n v="2017"/>
    <x v="4"/>
  </r>
  <r>
    <d v="2017-05-23T00:00:00"/>
    <x v="7"/>
    <n v="19.399999999999999"/>
    <n v="32.9"/>
    <x v="15"/>
    <s v="Normal"/>
    <s v="Normal"/>
    <s v="Normal"/>
    <s v="Outlier"/>
    <n v="2017"/>
    <x v="4"/>
  </r>
  <r>
    <d v="2017-05-24T00:00:00"/>
    <x v="27"/>
    <n v="20.5"/>
    <n v="33.5"/>
    <x v="16"/>
    <s v="Normal"/>
    <s v="Normal"/>
    <s v="Normal"/>
    <s v="Outlier"/>
    <n v="2017"/>
    <x v="4"/>
  </r>
  <r>
    <d v="2017-05-25T00:00:00"/>
    <x v="20"/>
    <n v="21.9"/>
    <n v="34"/>
    <x v="0"/>
    <s v="Normal"/>
    <s v="Normal"/>
    <s v="Normal"/>
    <s v="Normal"/>
    <n v="2017"/>
    <x v="4"/>
  </r>
  <r>
    <d v="2017-05-26T00:00:00"/>
    <x v="5"/>
    <n v="20.9"/>
    <n v="33.299999999999997"/>
    <x v="0"/>
    <s v="Normal"/>
    <s v="Normal"/>
    <s v="Normal"/>
    <s v="Normal"/>
    <n v="2017"/>
    <x v="4"/>
  </r>
  <r>
    <d v="2017-05-27T00:00:00"/>
    <x v="28"/>
    <n v="20"/>
    <n v="33.1"/>
    <x v="17"/>
    <s v="Normal"/>
    <s v="Normal"/>
    <s v="Normal"/>
    <s v="Outlier"/>
    <n v="2017"/>
    <x v="4"/>
  </r>
  <r>
    <d v="2017-05-28T00:00:00"/>
    <x v="29"/>
    <n v="20"/>
    <n v="30"/>
    <x v="18"/>
    <s v="Normal"/>
    <s v="Normal"/>
    <s v="Normal"/>
    <s v="Outlier"/>
    <n v="2017"/>
    <x v="4"/>
  </r>
  <r>
    <d v="2017-05-29T00:00:00"/>
    <x v="30"/>
    <n v="21.3"/>
    <n v="29.7"/>
    <x v="0"/>
    <s v="Normal"/>
    <s v="Normal"/>
    <s v="Normal"/>
    <s v="Normal"/>
    <n v="2017"/>
    <x v="4"/>
  </r>
  <r>
    <d v="2017-05-31T00:00:00"/>
    <x v="31"/>
    <n v="20.8"/>
    <n v="31.2"/>
    <x v="0"/>
    <s v="Normal"/>
    <s v="Normal"/>
    <s v="Normal"/>
    <s v="Normal"/>
    <n v="2017"/>
    <x v="4"/>
  </r>
  <r>
    <d v="2017-06-06T00:00:00"/>
    <x v="32"/>
    <n v="21.8"/>
    <n v="32"/>
    <x v="0"/>
    <s v="Normal"/>
    <s v="Normal"/>
    <s v="Normal"/>
    <s v="Normal"/>
    <n v="2017"/>
    <x v="4"/>
  </r>
  <r>
    <d v="2017-06-07T00:00:00"/>
    <x v="33"/>
    <n v="21.7"/>
    <n v="31.2"/>
    <x v="0"/>
    <s v="Normal"/>
    <s v="Normal"/>
    <s v="Normal"/>
    <s v="Normal"/>
    <n v="2017"/>
    <x v="5"/>
  </r>
  <r>
    <d v="2017-06-08T00:00:00"/>
    <x v="34"/>
    <n v="21.5"/>
    <n v="28.9"/>
    <x v="19"/>
    <s v="Normal"/>
    <s v="Normal"/>
    <s v="Normal"/>
    <s v="Normal"/>
    <n v="2017"/>
    <x v="5"/>
  </r>
  <r>
    <d v="2017-06-09T00:00:00"/>
    <x v="0"/>
    <n v="21.1"/>
    <n v="29.6"/>
    <x v="0"/>
    <s v="Normal"/>
    <s v="Normal"/>
    <s v="Normal"/>
    <s v="Normal"/>
    <n v="2017"/>
    <x v="5"/>
  </r>
  <r>
    <d v="2017-06-10T00:00:00"/>
    <x v="33"/>
    <n v="20.7"/>
    <n v="28.1"/>
    <x v="20"/>
    <s v="Normal"/>
    <s v="Normal"/>
    <s v="Normal"/>
    <s v="Normal"/>
    <n v="2017"/>
    <x v="5"/>
  </r>
  <r>
    <d v="2017-06-11T00:00:00"/>
    <x v="35"/>
    <n v="20.8"/>
    <n v="27.9"/>
    <x v="0"/>
    <s v="Normal"/>
    <s v="Normal"/>
    <s v="Normal"/>
    <s v="Normal"/>
    <n v="2017"/>
    <x v="5"/>
  </r>
  <r>
    <d v="2017-06-12T00:00:00"/>
    <x v="36"/>
    <n v="20.2"/>
    <n v="28.3"/>
    <x v="10"/>
    <s v="Normal"/>
    <s v="Normal"/>
    <s v="Normal"/>
    <s v="Normal"/>
    <n v="2017"/>
    <x v="5"/>
  </r>
  <r>
    <d v="2017-06-13T00:00:00"/>
    <x v="37"/>
    <n v="20.7"/>
    <n v="29.2"/>
    <x v="7"/>
    <s v="Normal"/>
    <s v="Normal"/>
    <s v="Normal"/>
    <s v="Normal"/>
    <n v="2017"/>
    <x v="5"/>
  </r>
  <r>
    <d v="2017-06-14T00:00:00"/>
    <x v="32"/>
    <n v="22"/>
    <n v="30.9"/>
    <x v="7"/>
    <s v="Normal"/>
    <s v="Normal"/>
    <s v="Normal"/>
    <s v="Normal"/>
    <n v="2017"/>
    <x v="5"/>
  </r>
  <r>
    <d v="2017-06-15T00:00:00"/>
    <x v="9"/>
    <n v="21.5"/>
    <n v="31.2"/>
    <x v="0"/>
    <s v="Normal"/>
    <s v="Normal"/>
    <s v="Normal"/>
    <s v="Normal"/>
    <n v="2017"/>
    <x v="5"/>
  </r>
  <r>
    <d v="2017-06-17T00:00:00"/>
    <x v="28"/>
    <n v="19.399999999999999"/>
    <n v="28.4"/>
    <x v="21"/>
    <s v="Normal"/>
    <s v="Normal"/>
    <s v="Normal"/>
    <s v="Outlier"/>
    <n v="2017"/>
    <x v="5"/>
  </r>
  <r>
    <d v="2017-06-18T00:00:00"/>
    <x v="38"/>
    <n v="20.2"/>
    <n v="29.3"/>
    <x v="0"/>
    <s v="Normal"/>
    <s v="Normal"/>
    <s v="Normal"/>
    <s v="Normal"/>
    <n v="2017"/>
    <x v="5"/>
  </r>
  <r>
    <d v="2017-06-19T00:00:00"/>
    <x v="35"/>
    <n v="20"/>
    <n v="29"/>
    <x v="4"/>
    <s v="Normal"/>
    <s v="Normal"/>
    <s v="Normal"/>
    <s v="Normal"/>
    <n v="2017"/>
    <x v="5"/>
  </r>
  <r>
    <d v="2017-06-20T00:00:00"/>
    <x v="39"/>
    <n v="21"/>
    <n v="28"/>
    <x v="0"/>
    <s v="Normal"/>
    <s v="Normal"/>
    <s v="Normal"/>
    <s v="Normal"/>
    <n v="2017"/>
    <x v="5"/>
  </r>
  <r>
    <d v="2017-06-21T00:00:00"/>
    <x v="40"/>
    <n v="20.8"/>
    <n v="29.8"/>
    <x v="1"/>
    <s v="Normal"/>
    <s v="Normal"/>
    <s v="Normal"/>
    <s v="Normal"/>
    <n v="2017"/>
    <x v="5"/>
  </r>
  <r>
    <d v="2017-06-22T00:00:00"/>
    <x v="41"/>
    <n v="20.5"/>
    <n v="29.5"/>
    <x v="0"/>
    <s v="Normal"/>
    <s v="Normal"/>
    <s v="Normal"/>
    <s v="Normal"/>
    <n v="2017"/>
    <x v="5"/>
  </r>
  <r>
    <d v="2017-06-23T00:00:00"/>
    <x v="31"/>
    <n v="19.399999999999999"/>
    <n v="30.6"/>
    <x v="19"/>
    <s v="Normal"/>
    <s v="Normal"/>
    <s v="Normal"/>
    <s v="Normal"/>
    <n v="2017"/>
    <x v="5"/>
  </r>
  <r>
    <d v="2017-06-24T00:00:00"/>
    <x v="41"/>
    <n v="21"/>
    <n v="30.5"/>
    <x v="0"/>
    <s v="Normal"/>
    <s v="Normal"/>
    <s v="Normal"/>
    <s v="Normal"/>
    <n v="2017"/>
    <x v="5"/>
  </r>
  <r>
    <d v="2017-06-25T00:00:00"/>
    <x v="38"/>
    <n v="20.6"/>
    <n v="29.4"/>
    <x v="0"/>
    <s v="Normal"/>
    <s v="Normal"/>
    <s v="Normal"/>
    <s v="Normal"/>
    <n v="2017"/>
    <x v="5"/>
  </r>
  <r>
    <d v="2017-06-26T00:00:00"/>
    <x v="42"/>
    <n v="20.399999999999999"/>
    <n v="29"/>
    <x v="0"/>
    <s v="Normal"/>
    <s v="Normal"/>
    <s v="Normal"/>
    <s v="Normal"/>
    <n v="2017"/>
    <x v="5"/>
  </r>
  <r>
    <d v="2017-06-27T00:00:00"/>
    <x v="43"/>
    <n v="20.399999999999999"/>
    <n v="30.6"/>
    <x v="0"/>
    <s v="Normal"/>
    <s v="Normal"/>
    <s v="Normal"/>
    <s v="Normal"/>
    <n v="2017"/>
    <x v="5"/>
  </r>
  <r>
    <d v="2017-06-28T00:00:00"/>
    <x v="44"/>
    <n v="20.3"/>
    <n v="29.8"/>
    <x v="0"/>
    <s v="Normal"/>
    <s v="Normal"/>
    <s v="Normal"/>
    <s v="Normal"/>
    <n v="2017"/>
    <x v="5"/>
  </r>
  <r>
    <d v="2017-06-29T00:00:00"/>
    <x v="44"/>
    <n v="20.399999999999999"/>
    <n v="29.1"/>
    <x v="0"/>
    <s v="Normal"/>
    <s v="Normal"/>
    <s v="Normal"/>
    <s v="Normal"/>
    <n v="2017"/>
    <x v="5"/>
  </r>
  <r>
    <d v="2017-07-01T00:00:00"/>
    <x v="40"/>
    <n v="19.3"/>
    <n v="29.2"/>
    <x v="0"/>
    <s v="Normal"/>
    <s v="Normal"/>
    <s v="Normal"/>
    <s v="Normal"/>
    <n v="2017"/>
    <x v="5"/>
  </r>
  <r>
    <d v="2017-07-02T00:00:00"/>
    <x v="45"/>
    <n v="20.5"/>
    <n v="30.3"/>
    <x v="0"/>
    <s v="Normal"/>
    <s v="Normal"/>
    <s v="Normal"/>
    <s v="Normal"/>
    <n v="2017"/>
    <x v="6"/>
  </r>
  <r>
    <d v="2017-07-04T00:00:00"/>
    <x v="4"/>
    <n v="20.399999999999999"/>
    <n v="28.7"/>
    <x v="22"/>
    <s v="Normal"/>
    <s v="Normal"/>
    <s v="Normal"/>
    <s v="Normal"/>
    <n v="2017"/>
    <x v="6"/>
  </r>
  <r>
    <d v="2017-07-05T00:00:00"/>
    <x v="46"/>
    <n v="20"/>
    <n v="29.6"/>
    <x v="23"/>
    <s v="Normal"/>
    <s v="Normal"/>
    <s v="Normal"/>
    <s v="Normal"/>
    <n v="2017"/>
    <x v="6"/>
  </r>
  <r>
    <d v="2017-07-06T00:00:00"/>
    <x v="4"/>
    <n v="20.2"/>
    <n v="29.2"/>
    <x v="24"/>
    <s v="Normal"/>
    <s v="Normal"/>
    <s v="Normal"/>
    <s v="Normal"/>
    <n v="2017"/>
    <x v="6"/>
  </r>
  <r>
    <d v="2017-07-07T00:00:00"/>
    <x v="46"/>
    <n v="20.5"/>
    <n v="29.3"/>
    <x v="25"/>
    <s v="Normal"/>
    <s v="Normal"/>
    <s v="Normal"/>
    <s v="Normal"/>
    <n v="2017"/>
    <x v="6"/>
  </r>
  <r>
    <d v="2017-07-08T00:00:00"/>
    <x v="0"/>
    <n v="20.399999999999999"/>
    <n v="27.4"/>
    <x v="0"/>
    <s v="Normal"/>
    <s v="Normal"/>
    <s v="Normal"/>
    <s v="Normal"/>
    <n v="2017"/>
    <x v="6"/>
  </r>
  <r>
    <d v="2017-07-09T00:00:00"/>
    <x v="47"/>
    <n v="20.2"/>
    <n v="30.3"/>
    <x v="0"/>
    <s v="Normal"/>
    <s v="Normal"/>
    <s v="Normal"/>
    <s v="Normal"/>
    <n v="2017"/>
    <x v="6"/>
  </r>
  <r>
    <d v="2017-07-12T00:00:00"/>
    <x v="4"/>
    <n v="21"/>
    <n v="29.5"/>
    <x v="0"/>
    <s v="Normal"/>
    <s v="Normal"/>
    <s v="Normal"/>
    <s v="Normal"/>
    <n v="2017"/>
    <x v="6"/>
  </r>
  <r>
    <d v="2017-07-13T00:00:00"/>
    <x v="48"/>
    <n v="20"/>
    <n v="28.5"/>
    <x v="26"/>
    <s v="Normal"/>
    <s v="Normal"/>
    <s v="Normal"/>
    <s v="Normal"/>
    <n v="2017"/>
    <x v="6"/>
  </r>
  <r>
    <d v="2017-07-14T00:00:00"/>
    <x v="49"/>
    <n v="20"/>
    <n v="25.9"/>
    <x v="0"/>
    <s v="Normal"/>
    <s v="Normal"/>
    <s v="Normal"/>
    <s v="Normal"/>
    <n v="2017"/>
    <x v="6"/>
  </r>
  <r>
    <d v="2017-07-15T00:00:00"/>
    <x v="50"/>
    <n v="20.2"/>
    <n v="27.2"/>
    <x v="0"/>
    <s v="Normal"/>
    <s v="Normal"/>
    <s v="Normal"/>
    <s v="Normal"/>
    <n v="2017"/>
    <x v="6"/>
  </r>
  <r>
    <d v="2017-07-16T00:00:00"/>
    <x v="46"/>
    <n v="19.7"/>
    <n v="28.4"/>
    <x v="0"/>
    <s v="Normal"/>
    <s v="Normal"/>
    <s v="Normal"/>
    <s v="Normal"/>
    <n v="2017"/>
    <x v="6"/>
  </r>
  <r>
    <d v="2017-07-17T00:00:00"/>
    <x v="38"/>
    <n v="20"/>
    <n v="28.8"/>
    <x v="0"/>
    <s v="Normal"/>
    <s v="Normal"/>
    <s v="Normal"/>
    <s v="Normal"/>
    <n v="2017"/>
    <x v="6"/>
  </r>
  <r>
    <d v="2017-07-18T00:00:00"/>
    <x v="48"/>
    <n v="20.7"/>
    <n v="28.3"/>
    <x v="0"/>
    <s v="Normal"/>
    <s v="Normal"/>
    <s v="Normal"/>
    <s v="Normal"/>
    <n v="2017"/>
    <x v="6"/>
  </r>
  <r>
    <d v="2017-07-19T00:00:00"/>
    <x v="50"/>
    <n v="20.6"/>
    <n v="26.6"/>
    <x v="0"/>
    <s v="Normal"/>
    <s v="Normal"/>
    <s v="Normal"/>
    <s v="Normal"/>
    <n v="2017"/>
    <x v="6"/>
  </r>
  <r>
    <d v="2017-07-20T00:00:00"/>
    <x v="43"/>
    <n v="20.6"/>
    <n v="29.1"/>
    <x v="27"/>
    <s v="Normal"/>
    <s v="Normal"/>
    <s v="Normal"/>
    <s v="Normal"/>
    <n v="2017"/>
    <x v="6"/>
  </r>
  <r>
    <d v="2017-07-21T00:00:00"/>
    <x v="38"/>
    <n v="19.7"/>
    <n v="28.7"/>
    <x v="19"/>
    <s v="Normal"/>
    <s v="Normal"/>
    <s v="Normal"/>
    <s v="Normal"/>
    <n v="2017"/>
    <x v="6"/>
  </r>
  <r>
    <d v="2017-07-22T00:00:00"/>
    <x v="29"/>
    <n v="20"/>
    <n v="30.8"/>
    <x v="0"/>
    <s v="Normal"/>
    <s v="Normal"/>
    <s v="Normal"/>
    <s v="Normal"/>
    <n v="2017"/>
    <x v="6"/>
  </r>
  <r>
    <d v="2017-07-25T00:00:00"/>
    <x v="45"/>
    <n v="20.5"/>
    <n v="30.3"/>
    <x v="0"/>
    <s v="Normal"/>
    <s v="Normal"/>
    <s v="Normal"/>
    <s v="Normal"/>
    <n v="2017"/>
    <x v="6"/>
  </r>
  <r>
    <d v="2017-07-26T00:00:00"/>
    <x v="51"/>
    <n v="20.5"/>
    <n v="30.5"/>
    <x v="0"/>
    <s v="Normal"/>
    <s v="Normal"/>
    <s v="Normal"/>
    <s v="Normal"/>
    <n v="2017"/>
    <x v="6"/>
  </r>
  <r>
    <d v="2017-07-28T00:00:00"/>
    <x v="52"/>
    <n v="21"/>
    <n v="31.1"/>
    <x v="28"/>
    <s v="Normal"/>
    <s v="Normal"/>
    <s v="Normal"/>
    <s v="Outlier"/>
    <n v="2017"/>
    <x v="6"/>
  </r>
  <r>
    <d v="2017-07-29T00:00:00"/>
    <x v="52"/>
    <n v="20.6"/>
    <n v="31.3"/>
    <x v="29"/>
    <s v="Normal"/>
    <s v="Normal"/>
    <s v="Normal"/>
    <s v="Outlier"/>
    <n v="2017"/>
    <x v="6"/>
  </r>
  <r>
    <d v="2017-07-30T00:00:00"/>
    <x v="45"/>
    <n v="21.3"/>
    <n v="30.7"/>
    <x v="0"/>
    <s v="Normal"/>
    <s v="Normal"/>
    <s v="Normal"/>
    <s v="Normal"/>
    <n v="2017"/>
    <x v="6"/>
  </r>
  <r>
    <d v="2017-07-31T00:00:00"/>
    <x v="31"/>
    <n v="22"/>
    <n v="30.7"/>
    <x v="8"/>
    <s v="Normal"/>
    <s v="Normal"/>
    <s v="Normal"/>
    <s v="Normal"/>
    <n v="2017"/>
    <x v="6"/>
  </r>
  <r>
    <d v="2017-08-01T00:00:00"/>
    <x v="45"/>
    <n v="21.4"/>
    <n v="30.5"/>
    <x v="2"/>
    <s v="Normal"/>
    <s v="Normal"/>
    <s v="Normal"/>
    <s v="Normal"/>
    <n v="2017"/>
    <x v="6"/>
  </r>
  <r>
    <d v="2017-08-02T00:00:00"/>
    <x v="9"/>
    <n v="21.6"/>
    <n v="31.5"/>
    <x v="10"/>
    <s v="Normal"/>
    <s v="Normal"/>
    <s v="Normal"/>
    <s v="Normal"/>
    <n v="2017"/>
    <x v="7"/>
  </r>
  <r>
    <d v="2017-08-03T00:00:00"/>
    <x v="44"/>
    <n v="20.3"/>
    <n v="31.2"/>
    <x v="0"/>
    <s v="Normal"/>
    <s v="Normal"/>
    <s v="Normal"/>
    <s v="Normal"/>
    <n v="2017"/>
    <x v="7"/>
  </r>
  <r>
    <d v="2017-08-04T00:00:00"/>
    <x v="38"/>
    <n v="20.3"/>
    <n v="29.5"/>
    <x v="0"/>
    <s v="Normal"/>
    <s v="Normal"/>
    <s v="Normal"/>
    <s v="Normal"/>
    <n v="2017"/>
    <x v="7"/>
  </r>
  <r>
    <d v="2017-08-05T00:00:00"/>
    <x v="41"/>
    <n v="21.3"/>
    <n v="29.5"/>
    <x v="0"/>
    <s v="Normal"/>
    <s v="Normal"/>
    <s v="Normal"/>
    <s v="Normal"/>
    <n v="2017"/>
    <x v="7"/>
  </r>
  <r>
    <d v="2017-08-06T00:00:00"/>
    <x v="29"/>
    <n v="21.3"/>
    <n v="29.5"/>
    <x v="0"/>
    <s v="Normal"/>
    <s v="Normal"/>
    <s v="Normal"/>
    <s v="Normal"/>
    <n v="2017"/>
    <x v="7"/>
  </r>
  <r>
    <d v="2017-08-07T00:00:00"/>
    <x v="14"/>
    <n v="21.2"/>
    <n v="30.2"/>
    <x v="0"/>
    <s v="Normal"/>
    <s v="Normal"/>
    <s v="Normal"/>
    <s v="Normal"/>
    <n v="2017"/>
    <x v="7"/>
  </r>
  <r>
    <d v="2017-08-09T00:00:00"/>
    <x v="4"/>
    <n v="21.9"/>
    <n v="31.3"/>
    <x v="7"/>
    <s v="Normal"/>
    <s v="Normal"/>
    <s v="Normal"/>
    <s v="Normal"/>
    <n v="2017"/>
    <x v="7"/>
  </r>
  <r>
    <d v="2017-08-10T00:00:00"/>
    <x v="33"/>
    <n v="20.7"/>
    <n v="27.5"/>
    <x v="16"/>
    <s v="Normal"/>
    <s v="Normal"/>
    <s v="Normal"/>
    <s v="Outlier"/>
    <n v="2017"/>
    <x v="7"/>
  </r>
  <r>
    <d v="2017-08-11T00:00:00"/>
    <x v="53"/>
    <n v="19.8"/>
    <n v="28"/>
    <x v="30"/>
    <s v="Normal"/>
    <s v="Normal"/>
    <s v="Normal"/>
    <s v="Normal"/>
    <n v="2017"/>
    <x v="7"/>
  </r>
  <r>
    <d v="2017-08-12T00:00:00"/>
    <x v="43"/>
    <n v="20.5"/>
    <n v="28.2"/>
    <x v="31"/>
    <s v="Normal"/>
    <s v="Normal"/>
    <s v="Normal"/>
    <s v="Outlier"/>
    <n v="2017"/>
    <x v="7"/>
  </r>
  <r>
    <d v="2017-08-13T00:00:00"/>
    <x v="0"/>
    <n v="21.2"/>
    <n v="27.6"/>
    <x v="0"/>
    <s v="Normal"/>
    <s v="Normal"/>
    <s v="Normal"/>
    <s v="Normal"/>
    <n v="2017"/>
    <x v="7"/>
  </r>
  <r>
    <d v="2017-08-14T00:00:00"/>
    <x v="52"/>
    <n v="21.6"/>
    <n v="28.8"/>
    <x v="0"/>
    <s v="Normal"/>
    <s v="Normal"/>
    <s v="Normal"/>
    <s v="Normal"/>
    <n v="2017"/>
    <x v="7"/>
  </r>
  <r>
    <d v="2017-08-15T00:00:00"/>
    <x v="54"/>
    <n v="19.2"/>
    <n v="28.3"/>
    <x v="32"/>
    <s v="Normal"/>
    <s v="Normal"/>
    <s v="Normal"/>
    <s v="Outlier"/>
    <n v="2017"/>
    <x v="7"/>
  </r>
  <r>
    <d v="2017-08-16T00:00:00"/>
    <x v="55"/>
    <n v="20"/>
    <n v="27.4"/>
    <x v="33"/>
    <s v="Normal"/>
    <s v="Normal"/>
    <s v="Normal"/>
    <s v="Outlier"/>
    <n v="2017"/>
    <x v="7"/>
  </r>
  <r>
    <d v="2017-08-17T00:00:00"/>
    <x v="46"/>
    <n v="19.8"/>
    <n v="28.5"/>
    <x v="34"/>
    <s v="Normal"/>
    <s v="Normal"/>
    <s v="Normal"/>
    <s v="Outlier"/>
    <n v="2017"/>
    <x v="7"/>
  </r>
  <r>
    <d v="2017-08-18T00:00:00"/>
    <x v="46"/>
    <n v="20.399999999999999"/>
    <n v="29.2"/>
    <x v="35"/>
    <s v="Normal"/>
    <s v="Normal"/>
    <s v="Normal"/>
    <s v="Normal"/>
    <n v="2017"/>
    <x v="7"/>
  </r>
  <r>
    <d v="2017-08-19T00:00:00"/>
    <x v="54"/>
    <n v="20.3"/>
    <n v="28.9"/>
    <x v="36"/>
    <s v="Normal"/>
    <s v="Normal"/>
    <s v="Normal"/>
    <s v="Normal"/>
    <n v="2017"/>
    <x v="7"/>
  </r>
  <r>
    <d v="2017-08-20T00:00:00"/>
    <x v="36"/>
    <n v="20.3"/>
    <n v="28.6"/>
    <x v="37"/>
    <s v="Normal"/>
    <s v="Normal"/>
    <s v="Normal"/>
    <s v="Outlier"/>
    <n v="2017"/>
    <x v="7"/>
  </r>
  <r>
    <d v="2017-08-21T00:00:00"/>
    <x v="43"/>
    <n v="20.3"/>
    <n v="28.8"/>
    <x v="38"/>
    <s v="Normal"/>
    <s v="Normal"/>
    <s v="Normal"/>
    <s v="Normal"/>
    <n v="2017"/>
    <x v="7"/>
  </r>
  <r>
    <d v="2017-08-22T00:00:00"/>
    <x v="35"/>
    <n v="20.2"/>
    <n v="28"/>
    <x v="0"/>
    <s v="Normal"/>
    <s v="Normal"/>
    <s v="Normal"/>
    <s v="Normal"/>
    <n v="2017"/>
    <x v="7"/>
  </r>
  <r>
    <d v="2017-08-23T00:00:00"/>
    <x v="42"/>
    <n v="20.6"/>
    <n v="28"/>
    <x v="39"/>
    <s v="Normal"/>
    <s v="Normal"/>
    <s v="Normal"/>
    <s v="Outlier"/>
    <n v="2017"/>
    <x v="7"/>
  </r>
  <r>
    <d v="2017-08-24T00:00:00"/>
    <x v="55"/>
    <n v="20.6"/>
    <n v="28.6"/>
    <x v="40"/>
    <s v="Normal"/>
    <s v="Normal"/>
    <s v="Normal"/>
    <s v="Outlier"/>
    <n v="2017"/>
    <x v="7"/>
  </r>
  <r>
    <d v="2017-08-25T00:00:00"/>
    <x v="48"/>
    <n v="20.5"/>
    <n v="26.8"/>
    <x v="41"/>
    <s v="Normal"/>
    <s v="Normal"/>
    <s v="Normal"/>
    <s v="Outlier"/>
    <n v="2017"/>
    <x v="7"/>
  </r>
  <r>
    <d v="2017-08-26T00:00:00"/>
    <x v="38"/>
    <n v="20.8"/>
    <n v="29.8"/>
    <x v="1"/>
    <s v="Normal"/>
    <s v="Normal"/>
    <s v="Normal"/>
    <s v="Normal"/>
    <n v="2017"/>
    <x v="7"/>
  </r>
  <r>
    <d v="2017-08-27T00:00:00"/>
    <x v="36"/>
    <n v="21"/>
    <n v="28.5"/>
    <x v="1"/>
    <s v="Normal"/>
    <s v="Normal"/>
    <s v="Normal"/>
    <s v="Normal"/>
    <n v="2017"/>
    <x v="7"/>
  </r>
  <r>
    <d v="2017-08-28T00:00:00"/>
    <x v="48"/>
    <n v="20.5"/>
    <n v="26.5"/>
    <x v="9"/>
    <s v="Normal"/>
    <s v="Normal"/>
    <s v="Normal"/>
    <s v="Normal"/>
    <n v="2017"/>
    <x v="7"/>
  </r>
  <r>
    <d v="2017-08-29T00:00:00"/>
    <x v="56"/>
    <n v="20.5"/>
    <n v="26.2"/>
    <x v="0"/>
    <s v="Normal"/>
    <s v="Normal"/>
    <s v="Normal"/>
    <s v="Normal"/>
    <n v="2017"/>
    <x v="7"/>
  </r>
  <r>
    <d v="2017-08-30T00:00:00"/>
    <x v="47"/>
    <n v="21.1"/>
    <n v="29.7"/>
    <x v="0"/>
    <s v="Normal"/>
    <s v="Normal"/>
    <s v="Normal"/>
    <s v="Normal"/>
    <n v="2017"/>
    <x v="7"/>
  </r>
  <r>
    <d v="2017-08-31T00:00:00"/>
    <x v="29"/>
    <n v="21"/>
    <n v="29.9"/>
    <x v="0"/>
    <s v="Normal"/>
    <s v="Normal"/>
    <s v="Normal"/>
    <s v="Normal"/>
    <n v="2017"/>
    <x v="7"/>
  </r>
  <r>
    <d v="2017-09-01T00:00:00"/>
    <x v="4"/>
    <n v="19.8"/>
    <n v="30.6"/>
    <x v="42"/>
    <s v="Normal"/>
    <s v="Normal"/>
    <s v="Normal"/>
    <s v="Outlier"/>
    <n v="2017"/>
    <x v="7"/>
  </r>
  <r>
    <d v="2017-09-02T00:00:00"/>
    <x v="57"/>
    <n v="20.8"/>
    <n v="27.8"/>
    <x v="43"/>
    <s v="Normal"/>
    <s v="Normal"/>
    <s v="Normal"/>
    <s v="Outlier"/>
    <n v="2017"/>
    <x v="8"/>
  </r>
  <r>
    <d v="2017-09-03T00:00:00"/>
    <x v="46"/>
    <n v="19.899999999999999"/>
    <n v="27.3"/>
    <x v="44"/>
    <s v="Normal"/>
    <s v="Normal"/>
    <s v="Normal"/>
    <s v="Outlier"/>
    <n v="2017"/>
    <x v="8"/>
  </r>
  <r>
    <d v="2017-09-04T00:00:00"/>
    <x v="52"/>
    <n v="18.7"/>
    <n v="29.8"/>
    <x v="45"/>
    <s v="Normal"/>
    <s v="Normal"/>
    <s v="Normal"/>
    <s v="Outlier"/>
    <n v="2017"/>
    <x v="8"/>
  </r>
  <r>
    <d v="2017-09-05T00:00:00"/>
    <x v="29"/>
    <n v="19.899999999999999"/>
    <n v="30.2"/>
    <x v="11"/>
    <s v="Normal"/>
    <s v="Normal"/>
    <s v="Normal"/>
    <s v="Normal"/>
    <n v="2017"/>
    <x v="8"/>
  </r>
  <r>
    <d v="2017-09-06T00:00:00"/>
    <x v="55"/>
    <n v="19.8"/>
    <n v="29.8"/>
    <x v="46"/>
    <s v="Normal"/>
    <s v="Normal"/>
    <s v="Normal"/>
    <s v="Outlier"/>
    <n v="2017"/>
    <x v="8"/>
  </r>
  <r>
    <d v="2017-09-07T00:00:00"/>
    <x v="39"/>
    <n v="21.3"/>
    <n v="28.5"/>
    <x v="47"/>
    <s v="Normal"/>
    <s v="Normal"/>
    <s v="Normal"/>
    <s v="Normal"/>
    <n v="2017"/>
    <x v="8"/>
  </r>
  <r>
    <d v="2017-09-08T00:00:00"/>
    <x v="46"/>
    <n v="19.8"/>
    <n v="29.3"/>
    <x v="8"/>
    <s v="Normal"/>
    <s v="Normal"/>
    <s v="Normal"/>
    <s v="Normal"/>
    <n v="2017"/>
    <x v="8"/>
  </r>
  <r>
    <d v="2017-09-09T00:00:00"/>
    <x v="43"/>
    <n v="20"/>
    <n v="28.2"/>
    <x v="48"/>
    <s v="Normal"/>
    <s v="Normal"/>
    <s v="Normal"/>
    <s v="Outlier"/>
    <n v="2017"/>
    <x v="8"/>
  </r>
  <r>
    <d v="2017-09-10T00:00:00"/>
    <x v="39"/>
    <n v="20.3"/>
    <n v="28"/>
    <x v="49"/>
    <s v="Normal"/>
    <s v="Normal"/>
    <s v="Normal"/>
    <s v="Outlier"/>
    <n v="2017"/>
    <x v="8"/>
  </r>
  <r>
    <d v="2017-09-11T00:00:00"/>
    <x v="29"/>
    <n v="21.9"/>
    <n v="27.8"/>
    <x v="0"/>
    <s v="Normal"/>
    <s v="Normal"/>
    <s v="Normal"/>
    <s v="Normal"/>
    <n v="2017"/>
    <x v="8"/>
  </r>
  <r>
    <d v="2017-09-15T00:00:00"/>
    <x v="4"/>
    <n v="21"/>
    <n v="31.1"/>
    <x v="23"/>
    <s v="Normal"/>
    <s v="Normal"/>
    <s v="Normal"/>
    <s v="Normal"/>
    <n v="2017"/>
    <x v="8"/>
  </r>
  <r>
    <d v="2017-09-16T00:00:00"/>
    <x v="4"/>
    <n v="20.8"/>
    <n v="29.4"/>
    <x v="0"/>
    <s v="Normal"/>
    <s v="Normal"/>
    <s v="Normal"/>
    <s v="Normal"/>
    <n v="2017"/>
    <x v="8"/>
  </r>
  <r>
    <d v="2017-09-17T00:00:00"/>
    <x v="58"/>
    <n v="19.8"/>
    <n v="29.4"/>
    <x v="50"/>
    <s v="Normal"/>
    <s v="Normal"/>
    <s v="Normal"/>
    <s v="Outlier"/>
    <n v="2017"/>
    <x v="8"/>
  </r>
  <r>
    <d v="2017-09-18T00:00:00"/>
    <x v="54"/>
    <n v="19.3"/>
    <n v="27.3"/>
    <x v="5"/>
    <s v="Normal"/>
    <s v="Normal"/>
    <s v="Normal"/>
    <s v="Normal"/>
    <n v="2017"/>
    <x v="8"/>
  </r>
  <r>
    <d v="2017-09-19T00:00:00"/>
    <x v="28"/>
    <n v="20.399999999999999"/>
    <n v="28.3"/>
    <x v="0"/>
    <s v="Normal"/>
    <s v="Normal"/>
    <s v="Normal"/>
    <s v="Normal"/>
    <n v="2017"/>
    <x v="8"/>
  </r>
  <r>
    <d v="2017-09-20T00:00:00"/>
    <x v="46"/>
    <n v="19.399999999999999"/>
    <n v="28.8"/>
    <x v="0"/>
    <s v="Normal"/>
    <s v="Normal"/>
    <s v="Normal"/>
    <s v="Normal"/>
    <n v="2017"/>
    <x v="8"/>
  </r>
  <r>
    <d v="2017-09-22T00:00:00"/>
    <x v="44"/>
    <n v="20.5"/>
    <n v="28.4"/>
    <x v="0"/>
    <s v="Normal"/>
    <s v="Normal"/>
    <s v="Normal"/>
    <s v="Normal"/>
    <n v="2017"/>
    <x v="8"/>
  </r>
  <r>
    <d v="2017-09-23T00:00:00"/>
    <x v="6"/>
    <n v="20.6"/>
    <n v="29.4"/>
    <x v="0"/>
    <s v="Normal"/>
    <s v="Normal"/>
    <s v="Normal"/>
    <s v="Normal"/>
    <n v="2017"/>
    <x v="8"/>
  </r>
  <r>
    <d v="2017-09-24T00:00:00"/>
    <x v="37"/>
    <n v="20.9"/>
    <n v="30.5"/>
    <x v="0"/>
    <s v="Normal"/>
    <s v="Normal"/>
    <s v="Normal"/>
    <s v="Normal"/>
    <n v="2017"/>
    <x v="8"/>
  </r>
  <r>
    <d v="2017-09-25T00:00:00"/>
    <x v="48"/>
    <n v="19.399999999999999"/>
    <n v="29"/>
    <x v="51"/>
    <s v="Normal"/>
    <s v="Normal"/>
    <s v="Normal"/>
    <s v="Outlier"/>
    <n v="2017"/>
    <x v="8"/>
  </r>
  <r>
    <d v="2017-09-26T00:00:00"/>
    <x v="38"/>
    <n v="19.8"/>
    <n v="27.6"/>
    <x v="52"/>
    <s v="Normal"/>
    <s v="Normal"/>
    <s v="Normal"/>
    <s v="Normal"/>
    <n v="2017"/>
    <x v="8"/>
  </r>
  <r>
    <d v="2017-09-27T00:00:00"/>
    <x v="1"/>
    <n v="20"/>
    <n v="28.1"/>
    <x v="53"/>
    <s v="Normal"/>
    <s v="Normal"/>
    <s v="Normal"/>
    <s v="Outlier"/>
    <n v="2017"/>
    <x v="8"/>
  </r>
  <r>
    <d v="2017-09-28T00:00:00"/>
    <x v="57"/>
    <n v="19.399999999999999"/>
    <n v="26.8"/>
    <x v="10"/>
    <s v="Normal"/>
    <s v="Normal"/>
    <s v="Normal"/>
    <s v="Normal"/>
    <n v="2017"/>
    <x v="8"/>
  </r>
  <r>
    <d v="2017-09-29T00:00:00"/>
    <x v="3"/>
    <n v="20.3"/>
    <n v="26.2"/>
    <x v="5"/>
    <s v="Normal"/>
    <s v="Normal"/>
    <s v="Normal"/>
    <s v="Normal"/>
    <n v="2017"/>
    <x v="8"/>
  </r>
  <r>
    <d v="2017-09-30T00:00:00"/>
    <x v="3"/>
    <n v="20.399999999999999"/>
    <n v="27"/>
    <x v="54"/>
    <s v="Normal"/>
    <s v="Normal"/>
    <s v="Normal"/>
    <s v="Outlier"/>
    <n v="2017"/>
    <x v="8"/>
  </r>
  <r>
    <d v="2017-10-01T00:00:00"/>
    <x v="28"/>
    <n v="20.3"/>
    <n v="28.6"/>
    <x v="5"/>
    <s v="Normal"/>
    <s v="Normal"/>
    <s v="Normal"/>
    <s v="Normal"/>
    <n v="2017"/>
    <x v="8"/>
  </r>
  <r>
    <d v="2017-10-02T00:00:00"/>
    <x v="0"/>
    <n v="19.399999999999999"/>
    <n v="28.4"/>
    <x v="55"/>
    <s v="Normal"/>
    <s v="Normal"/>
    <s v="Normal"/>
    <s v="Outlier"/>
    <n v="2017"/>
    <x v="9"/>
  </r>
  <r>
    <d v="2017-10-03T00:00:00"/>
    <x v="31"/>
    <n v="20.6"/>
    <n v="28.8"/>
    <x v="0"/>
    <s v="Normal"/>
    <s v="Normal"/>
    <s v="Normal"/>
    <s v="Normal"/>
    <n v="2017"/>
    <x v="9"/>
  </r>
  <r>
    <d v="2017-10-04T00:00:00"/>
    <x v="44"/>
    <n v="20.5"/>
    <n v="29.3"/>
    <x v="0"/>
    <s v="Normal"/>
    <s v="Normal"/>
    <s v="Normal"/>
    <s v="Normal"/>
    <n v="2017"/>
    <x v="9"/>
  </r>
  <r>
    <d v="2017-10-05T00:00:00"/>
    <x v="59"/>
    <n v="20.100000000000001"/>
    <n v="29.6"/>
    <x v="56"/>
    <s v="Normal"/>
    <s v="Normal"/>
    <s v="Normal"/>
    <s v="Outlier"/>
    <n v="2017"/>
    <x v="9"/>
  </r>
  <r>
    <d v="2017-10-06T00:00:00"/>
    <x v="28"/>
    <n v="20.7"/>
    <n v="28.8"/>
    <x v="57"/>
    <s v="Normal"/>
    <s v="Normal"/>
    <s v="Normal"/>
    <s v="Outlier"/>
    <n v="2017"/>
    <x v="9"/>
  </r>
  <r>
    <d v="2017-10-07T00:00:00"/>
    <x v="4"/>
    <n v="21.2"/>
    <n v="29"/>
    <x v="58"/>
    <s v="Normal"/>
    <s v="Normal"/>
    <s v="Normal"/>
    <s v="Outlier"/>
    <n v="2017"/>
    <x v="9"/>
  </r>
  <r>
    <d v="2017-10-08T00:00:00"/>
    <x v="40"/>
    <n v="21.3"/>
    <n v="28.8"/>
    <x v="59"/>
    <s v="Normal"/>
    <s v="Normal"/>
    <s v="Normal"/>
    <s v="Outlier"/>
    <n v="2017"/>
    <x v="9"/>
  </r>
  <r>
    <d v="2017-10-09T00:00:00"/>
    <x v="29"/>
    <n v="21.5"/>
    <n v="29"/>
    <x v="60"/>
    <s v="Normal"/>
    <s v="Normal"/>
    <s v="Normal"/>
    <s v="Normal"/>
    <n v="2017"/>
    <x v="9"/>
  </r>
  <r>
    <d v="2017-10-10T00:00:00"/>
    <x v="47"/>
    <n v="19.600000000000001"/>
    <n v="29.3"/>
    <x v="52"/>
    <s v="Normal"/>
    <s v="Normal"/>
    <s v="Normal"/>
    <s v="Normal"/>
    <n v="2017"/>
    <x v="9"/>
  </r>
  <r>
    <d v="2017-10-11T00:00:00"/>
    <x v="38"/>
    <n v="20.2"/>
    <n v="29.9"/>
    <x v="36"/>
    <s v="Normal"/>
    <s v="Normal"/>
    <s v="Normal"/>
    <s v="Normal"/>
    <n v="2017"/>
    <x v="9"/>
  </r>
  <r>
    <d v="2017-10-12T00:00:00"/>
    <x v="46"/>
    <n v="20.5"/>
    <n v="30.7"/>
    <x v="61"/>
    <s v="Normal"/>
    <s v="Normal"/>
    <s v="Normal"/>
    <s v="Outlier"/>
    <n v="2017"/>
    <x v="9"/>
  </r>
  <r>
    <d v="2017-10-13T00:00:00"/>
    <x v="49"/>
    <n v="20.5"/>
    <n v="27.5"/>
    <x v="62"/>
    <s v="Normal"/>
    <s v="Normal"/>
    <s v="Normal"/>
    <s v="Outlier"/>
    <n v="2017"/>
    <x v="9"/>
  </r>
  <r>
    <d v="2017-10-14T00:00:00"/>
    <x v="2"/>
    <n v="20.399999999999999"/>
    <n v="27.6"/>
    <x v="63"/>
    <s v="Normal"/>
    <s v="Normal"/>
    <s v="Normal"/>
    <s v="Outlier"/>
    <n v="2017"/>
    <x v="9"/>
  </r>
  <r>
    <d v="2017-10-15T00:00:00"/>
    <x v="36"/>
    <n v="19.600000000000001"/>
    <n v="26.8"/>
    <x v="64"/>
    <s v="Normal"/>
    <s v="Normal"/>
    <s v="Normal"/>
    <s v="Outlier"/>
    <n v="2017"/>
    <x v="9"/>
  </r>
  <r>
    <d v="2017-10-16T00:00:00"/>
    <x v="56"/>
    <n v="19.8"/>
    <n v="26"/>
    <x v="0"/>
    <s v="Normal"/>
    <s v="Normal"/>
    <s v="Normal"/>
    <s v="Normal"/>
    <n v="2017"/>
    <x v="9"/>
  </r>
  <r>
    <d v="2017-10-17T00:00:00"/>
    <x v="28"/>
    <n v="20.9"/>
    <n v="26.8"/>
    <x v="0"/>
    <s v="Normal"/>
    <s v="Normal"/>
    <s v="Normal"/>
    <s v="Normal"/>
    <n v="2017"/>
    <x v="9"/>
  </r>
  <r>
    <d v="2017-10-19T00:00:00"/>
    <x v="4"/>
    <n v="20.100000000000001"/>
    <n v="29.8"/>
    <x v="0"/>
    <s v="Normal"/>
    <s v="Normal"/>
    <s v="Normal"/>
    <s v="Normal"/>
    <n v="2017"/>
    <x v="9"/>
  </r>
  <r>
    <d v="2017-10-27T00:00:00"/>
    <x v="33"/>
    <n v="20.2"/>
    <n v="28.1"/>
    <x v="0"/>
    <s v="Normal"/>
    <s v="Normal"/>
    <s v="Normal"/>
    <s v="Normal"/>
    <n v="2017"/>
    <x v="9"/>
  </r>
  <r>
    <d v="2017-10-28T00:00:00"/>
    <x v="33"/>
    <n v="19.8"/>
    <n v="30"/>
    <x v="0"/>
    <s v="Normal"/>
    <s v="Normal"/>
    <s v="Normal"/>
    <s v="Normal"/>
    <n v="2017"/>
    <x v="9"/>
  </r>
  <r>
    <d v="2017-10-31T00:00:00"/>
    <x v="50"/>
    <n v="19.399999999999999"/>
    <n v="26.7"/>
    <x v="0"/>
    <s v="Normal"/>
    <s v="Normal"/>
    <s v="Normal"/>
    <s v="Normal"/>
    <n v="2017"/>
    <x v="9"/>
  </r>
  <r>
    <d v="2017-11-01T00:00:00"/>
    <x v="60"/>
    <n v="19.899999999999999"/>
    <n v="25"/>
    <x v="0"/>
    <s v="Normal"/>
    <s v="Normal"/>
    <s v="Normal"/>
    <s v="Normal"/>
    <n v="2017"/>
    <x v="9"/>
  </r>
  <r>
    <d v="2017-11-02T00:00:00"/>
    <x v="49"/>
    <n v="18.8"/>
    <n v="26.8"/>
    <x v="1"/>
    <s v="Normal"/>
    <s v="Normal"/>
    <s v="Normal"/>
    <s v="Normal"/>
    <n v="2017"/>
    <x v="10"/>
  </r>
  <r>
    <d v="2017-11-03T00:00:00"/>
    <x v="46"/>
    <n v="19.3"/>
    <n v="27.8"/>
    <x v="0"/>
    <s v="Normal"/>
    <s v="Normal"/>
    <s v="Normal"/>
    <s v="Normal"/>
    <n v="2017"/>
    <x v="10"/>
  </r>
  <r>
    <d v="2017-11-05T00:00:00"/>
    <x v="61"/>
    <n v="19.3"/>
    <n v="25.6"/>
    <x v="60"/>
    <s v="Normal"/>
    <s v="Normal"/>
    <s v="Normal"/>
    <s v="Normal"/>
    <n v="2017"/>
    <x v="10"/>
  </r>
  <r>
    <d v="2017-11-06T00:00:00"/>
    <x v="60"/>
    <n v="19.7"/>
    <n v="25.4"/>
    <x v="38"/>
    <s v="Normal"/>
    <s v="Normal"/>
    <s v="Normal"/>
    <s v="Normal"/>
    <n v="2017"/>
    <x v="10"/>
  </r>
  <r>
    <d v="2017-11-07T00:00:00"/>
    <x v="61"/>
    <n v="18.899999999999999"/>
    <n v="25.6"/>
    <x v="26"/>
    <s v="Normal"/>
    <s v="Normal"/>
    <s v="Normal"/>
    <s v="Normal"/>
    <n v="2017"/>
    <x v="10"/>
  </r>
  <r>
    <d v="2017-11-08T00:00:00"/>
    <x v="59"/>
    <n v="18.3"/>
    <n v="26"/>
    <x v="65"/>
    <s v="Normal"/>
    <s v="Normal"/>
    <s v="Normal"/>
    <s v="Outlier"/>
    <n v="2017"/>
    <x v="10"/>
  </r>
  <r>
    <d v="2017-11-09T00:00:00"/>
    <x v="57"/>
    <n v="18.600000000000001"/>
    <n v="27"/>
    <x v="0"/>
    <s v="Normal"/>
    <s v="Normal"/>
    <s v="Normal"/>
    <s v="Normal"/>
    <n v="2017"/>
    <x v="10"/>
  </r>
  <r>
    <d v="2017-11-17T00:00:00"/>
    <x v="38"/>
    <n v="21.3"/>
    <n v="29.2"/>
    <x v="0"/>
    <s v="Normal"/>
    <s v="Normal"/>
    <s v="Normal"/>
    <s v="Normal"/>
    <n v="2017"/>
    <x v="10"/>
  </r>
  <r>
    <d v="2017-11-30T00:00:00"/>
    <x v="58"/>
    <n v="19.3"/>
    <n v="27.6"/>
    <x v="0"/>
    <s v="Normal"/>
    <s v="Normal"/>
    <s v="Normal"/>
    <s v="Normal"/>
    <n v="2017"/>
    <x v="10"/>
  </r>
  <r>
    <d v="2017-12-01T00:00:00"/>
    <x v="62"/>
    <n v="18.399999999999999"/>
    <n v="24.7"/>
    <x v="29"/>
    <s v="Normal"/>
    <s v="Normal"/>
    <s v="Normal"/>
    <s v="Outlier"/>
    <n v="2017"/>
    <x v="10"/>
  </r>
  <r>
    <d v="2017-12-02T00:00:00"/>
    <x v="62"/>
    <n v="18.2"/>
    <n v="22.2"/>
    <x v="66"/>
    <s v="Normal"/>
    <s v="Normal"/>
    <s v="Outlier"/>
    <s v="Normal"/>
    <n v="2017"/>
    <x v="11"/>
  </r>
  <r>
    <d v="2017-12-03T00:00:00"/>
    <x v="63"/>
    <n v="18.3"/>
    <n v="24.2"/>
    <x v="0"/>
    <s v="Normal"/>
    <s v="Normal"/>
    <s v="Normal"/>
    <s v="Normal"/>
    <n v="2017"/>
    <x v="11"/>
  </r>
  <r>
    <d v="2017-12-13T00:00:00"/>
    <x v="3"/>
    <n v="18.100000000000001"/>
    <n v="28.1"/>
    <x v="0"/>
    <s v="Normal"/>
    <s v="Normal"/>
    <s v="Normal"/>
    <s v="Normal"/>
    <n v="2017"/>
    <x v="11"/>
  </r>
  <r>
    <d v="2018-02-08T00:00:00"/>
    <x v="0"/>
    <n v="19.2"/>
    <n v="30"/>
    <x v="26"/>
    <s v="Normal"/>
    <s v="Normal"/>
    <s v="Normal"/>
    <s v="Normal"/>
    <n v="2018"/>
    <x v="11"/>
  </r>
  <r>
    <d v="2018-02-09T00:00:00"/>
    <x v="41"/>
    <n v="19.7"/>
    <n v="30.6"/>
    <x v="0"/>
    <s v="Normal"/>
    <s v="Normal"/>
    <s v="Normal"/>
    <s v="Normal"/>
    <n v="2018"/>
    <x v="12"/>
  </r>
  <r>
    <d v="2018-02-10T00:00:00"/>
    <x v="37"/>
    <n v="19.7"/>
    <n v="31.6"/>
    <x v="26"/>
    <s v="Normal"/>
    <s v="Normal"/>
    <s v="Normal"/>
    <s v="Normal"/>
    <n v="2018"/>
    <x v="12"/>
  </r>
  <r>
    <d v="2018-02-11T00:00:00"/>
    <x v="42"/>
    <n v="17.7"/>
    <n v="30.7"/>
    <x v="0"/>
    <s v="Normal"/>
    <s v="Normal"/>
    <s v="Normal"/>
    <s v="Normal"/>
    <n v="2018"/>
    <x v="12"/>
  </r>
  <r>
    <d v="2018-03-14T00:00:00"/>
    <x v="64"/>
    <n v="22.4"/>
    <n v="31.6"/>
    <x v="0"/>
    <s v="Normal"/>
    <s v="Normal"/>
    <s v="Normal"/>
    <s v="Normal"/>
    <n v="2018"/>
    <x v="12"/>
  </r>
  <r>
    <d v="2018-03-15T00:00:00"/>
    <x v="32"/>
    <n v="21.9"/>
    <n v="32.1"/>
    <x v="0"/>
    <s v="Normal"/>
    <s v="Normal"/>
    <s v="Normal"/>
    <s v="Normal"/>
    <n v="2018"/>
    <x v="2"/>
  </r>
  <r>
    <d v="2018-03-16T00:00:00"/>
    <x v="39"/>
    <n v="19.8"/>
    <n v="32.5"/>
    <x v="67"/>
    <s v="Normal"/>
    <s v="Normal"/>
    <s v="Normal"/>
    <s v="Outlier"/>
    <n v="2018"/>
    <x v="2"/>
  </r>
  <r>
    <d v="2018-03-17T00:00:00"/>
    <x v="4"/>
    <n v="18.899999999999999"/>
    <n v="32"/>
    <x v="0"/>
    <s v="Normal"/>
    <s v="Normal"/>
    <s v="Normal"/>
    <s v="Normal"/>
    <n v="2018"/>
    <x v="2"/>
  </r>
  <r>
    <d v="2018-03-18T00:00:00"/>
    <x v="52"/>
    <n v="20.3"/>
    <n v="29.1"/>
    <x v="0"/>
    <s v="Normal"/>
    <s v="Normal"/>
    <s v="Normal"/>
    <s v="Normal"/>
    <n v="2018"/>
    <x v="2"/>
  </r>
  <r>
    <d v="2018-03-30T00:00:00"/>
    <x v="14"/>
    <n v="21.4"/>
    <n v="34"/>
    <x v="0"/>
    <s v="Normal"/>
    <s v="Normal"/>
    <s v="Normal"/>
    <s v="Normal"/>
    <n v="2018"/>
    <x v="2"/>
  </r>
  <r>
    <d v="2018-03-31T00:00:00"/>
    <x v="65"/>
    <n v="21.1"/>
    <n v="34.799999999999997"/>
    <x v="38"/>
    <s v="Normal"/>
    <s v="Normal"/>
    <s v="Normal"/>
    <s v="Normal"/>
    <n v="2018"/>
    <x v="2"/>
  </r>
  <r>
    <d v="2018-04-01T00:00:00"/>
    <x v="20"/>
    <n v="21.2"/>
    <n v="33.200000000000003"/>
    <x v="0"/>
    <s v="Normal"/>
    <s v="Normal"/>
    <s v="Normal"/>
    <s v="Normal"/>
    <n v="2018"/>
    <x v="2"/>
  </r>
  <r>
    <d v="2018-04-03T00:00:00"/>
    <x v="26"/>
    <n v="19.8"/>
    <n v="33.1"/>
    <x v="68"/>
    <s v="Normal"/>
    <s v="Normal"/>
    <s v="Normal"/>
    <s v="Outlier"/>
    <n v="2018"/>
    <x v="3"/>
  </r>
  <r>
    <d v="2018-04-04T00:00:00"/>
    <x v="5"/>
    <n v="21.4"/>
    <n v="31.5"/>
    <x v="0"/>
    <s v="Normal"/>
    <s v="Normal"/>
    <s v="Normal"/>
    <s v="Normal"/>
    <n v="2018"/>
    <x v="3"/>
  </r>
  <r>
    <d v="2018-04-17T00:00:00"/>
    <x v="66"/>
    <n v="22.3"/>
    <n v="34.6"/>
    <x v="69"/>
    <s v="Normal"/>
    <s v="Normal"/>
    <s v="Normal"/>
    <s v="Outlier"/>
    <n v="2018"/>
    <x v="3"/>
  </r>
  <r>
    <d v="2018-04-21T00:00:00"/>
    <x v="66"/>
    <n v="22.2"/>
    <n v="34.799999999999997"/>
    <x v="70"/>
    <s v="Normal"/>
    <s v="Normal"/>
    <s v="Normal"/>
    <s v="Outlier"/>
    <n v="2018"/>
    <x v="3"/>
  </r>
  <r>
    <d v="2018-04-22T00:00:00"/>
    <x v="26"/>
    <n v="23.4"/>
    <n v="34.799999999999997"/>
    <x v="0"/>
    <s v="Normal"/>
    <s v="Outlier"/>
    <s v="Normal"/>
    <s v="Normal"/>
    <n v="2018"/>
    <x v="3"/>
  </r>
  <r>
    <d v="2018-04-23T00:00:00"/>
    <x v="8"/>
    <n v="22"/>
    <n v="33.799999999999997"/>
    <x v="71"/>
    <s v="Normal"/>
    <s v="Normal"/>
    <s v="Normal"/>
    <s v="Normal"/>
    <n v="2018"/>
    <x v="3"/>
  </r>
  <r>
    <d v="2018-04-24T00:00:00"/>
    <x v="9"/>
    <n v="22.4"/>
    <n v="34.200000000000003"/>
    <x v="0"/>
    <s v="Normal"/>
    <s v="Normal"/>
    <s v="Normal"/>
    <s v="Normal"/>
    <n v="2018"/>
    <x v="3"/>
  </r>
  <r>
    <d v="2018-04-25T00:00:00"/>
    <x v="15"/>
    <n v="22.2"/>
    <n v="34"/>
    <x v="22"/>
    <s v="Normal"/>
    <s v="Normal"/>
    <s v="Normal"/>
    <s v="Normal"/>
    <n v="2018"/>
    <x v="3"/>
  </r>
  <r>
    <d v="2018-04-26T00:00:00"/>
    <x v="8"/>
    <n v="22.8"/>
    <n v="34.4"/>
    <x v="5"/>
    <s v="Normal"/>
    <s v="Normal"/>
    <s v="Normal"/>
    <s v="Normal"/>
    <n v="2018"/>
    <x v="3"/>
  </r>
  <r>
    <d v="2018-04-27T00:00:00"/>
    <x v="19"/>
    <n v="22"/>
    <n v="34.700000000000003"/>
    <x v="5"/>
    <s v="Normal"/>
    <s v="Normal"/>
    <s v="Normal"/>
    <s v="Normal"/>
    <n v="2018"/>
    <x v="3"/>
  </r>
  <r>
    <d v="2018-04-28T00:00:00"/>
    <x v="67"/>
    <n v="22.5"/>
    <n v="34.200000000000003"/>
    <x v="0"/>
    <s v="Normal"/>
    <s v="Normal"/>
    <s v="Normal"/>
    <s v="Normal"/>
    <n v="2018"/>
    <x v="3"/>
  </r>
  <r>
    <d v="2018-04-30T00:00:00"/>
    <x v="24"/>
    <n v="23.2"/>
    <n v="34.9"/>
    <x v="1"/>
    <s v="Normal"/>
    <s v="Normal"/>
    <s v="Normal"/>
    <s v="Normal"/>
    <n v="2018"/>
    <x v="3"/>
  </r>
  <r>
    <d v="2018-05-01T00:00:00"/>
    <x v="22"/>
    <n v="21.4"/>
    <n v="35.200000000000003"/>
    <x v="72"/>
    <s v="Normal"/>
    <s v="Normal"/>
    <s v="Normal"/>
    <s v="Normal"/>
    <n v="2018"/>
    <x v="3"/>
  </r>
  <r>
    <d v="2018-05-02T00:00:00"/>
    <x v="64"/>
    <n v="23.3"/>
    <n v="33"/>
    <x v="0"/>
    <s v="Normal"/>
    <s v="Normal"/>
    <s v="Normal"/>
    <s v="Normal"/>
    <n v="2018"/>
    <x v="4"/>
  </r>
  <r>
    <d v="2018-05-03T00:00:00"/>
    <x v="65"/>
    <n v="18.899999999999999"/>
    <n v="34"/>
    <x v="19"/>
    <s v="Normal"/>
    <s v="Normal"/>
    <s v="Normal"/>
    <s v="Normal"/>
    <n v="2018"/>
    <x v="4"/>
  </r>
  <r>
    <d v="2018-05-04T00:00:00"/>
    <x v="26"/>
    <n v="19.2"/>
    <n v="33.200000000000003"/>
    <x v="73"/>
    <s v="Normal"/>
    <s v="Normal"/>
    <s v="Normal"/>
    <s v="Outlier"/>
    <n v="2018"/>
    <x v="4"/>
  </r>
  <r>
    <d v="2018-05-05T00:00:00"/>
    <x v="24"/>
    <n v="23.1"/>
    <n v="32"/>
    <x v="0"/>
    <s v="Normal"/>
    <s v="Normal"/>
    <s v="Normal"/>
    <s v="Normal"/>
    <n v="2018"/>
    <x v="4"/>
  </r>
  <r>
    <d v="2018-05-09T00:00:00"/>
    <x v="8"/>
    <n v="21.8"/>
    <n v="32.799999999999997"/>
    <x v="0"/>
    <s v="Normal"/>
    <s v="Normal"/>
    <s v="Normal"/>
    <s v="Normal"/>
    <n v="2018"/>
    <x v="4"/>
  </r>
  <r>
    <d v="2018-05-12T00:00:00"/>
    <x v="14"/>
    <n v="19.8"/>
    <n v="32.200000000000003"/>
    <x v="74"/>
    <s v="Normal"/>
    <s v="Normal"/>
    <s v="Normal"/>
    <s v="Outlier"/>
    <n v="2018"/>
    <x v="4"/>
  </r>
  <r>
    <d v="2018-05-13T00:00:00"/>
    <x v="31"/>
    <n v="20.8"/>
    <n v="32"/>
    <x v="0"/>
    <s v="Normal"/>
    <s v="Normal"/>
    <s v="Normal"/>
    <s v="Normal"/>
    <n v="2018"/>
    <x v="4"/>
  </r>
  <r>
    <d v="2018-05-14T00:00:00"/>
    <x v="38"/>
    <n v="21"/>
    <n v="32"/>
    <x v="75"/>
    <s v="Normal"/>
    <s v="Normal"/>
    <s v="Normal"/>
    <s v="Outlier"/>
    <n v="2018"/>
    <x v="4"/>
  </r>
  <r>
    <d v="2018-05-15T00:00:00"/>
    <x v="29"/>
    <n v="20.6"/>
    <n v="31.4"/>
    <x v="31"/>
    <s v="Normal"/>
    <s v="Normal"/>
    <s v="Normal"/>
    <s v="Outlier"/>
    <n v="2018"/>
    <x v="4"/>
  </r>
  <r>
    <d v="2018-05-16T00:00:00"/>
    <x v="5"/>
    <n v="20.7"/>
    <n v="32.4"/>
    <x v="76"/>
    <s v="Normal"/>
    <s v="Normal"/>
    <s v="Normal"/>
    <s v="Normal"/>
    <n v="2018"/>
    <x v="4"/>
  </r>
  <r>
    <d v="2018-05-17T00:00:00"/>
    <x v="7"/>
    <n v="21.9"/>
    <n v="31"/>
    <x v="0"/>
    <s v="Normal"/>
    <s v="Normal"/>
    <s v="Normal"/>
    <s v="Normal"/>
    <n v="2018"/>
    <x v="4"/>
  </r>
  <r>
    <d v="2018-05-19T00:00:00"/>
    <x v="65"/>
    <n v="21.4"/>
    <n v="32.799999999999997"/>
    <x v="70"/>
    <s v="Normal"/>
    <s v="Normal"/>
    <s v="Normal"/>
    <s v="Outlier"/>
    <n v="2018"/>
    <x v="4"/>
  </r>
  <r>
    <d v="2018-05-20T00:00:00"/>
    <x v="45"/>
    <n v="20.5"/>
    <n v="32.4"/>
    <x v="20"/>
    <s v="Normal"/>
    <s v="Normal"/>
    <s v="Normal"/>
    <s v="Normal"/>
    <n v="2018"/>
    <x v="4"/>
  </r>
  <r>
    <d v="2018-05-21T00:00:00"/>
    <x v="42"/>
    <n v="21.6"/>
    <n v="32.4"/>
    <x v="0"/>
    <s v="Normal"/>
    <s v="Normal"/>
    <s v="Normal"/>
    <s v="Normal"/>
    <n v="2018"/>
    <x v="4"/>
  </r>
  <r>
    <d v="2018-05-22T00:00:00"/>
    <x v="68"/>
    <n v="20.5"/>
    <n v="31.8"/>
    <x v="27"/>
    <s v="Normal"/>
    <s v="Normal"/>
    <s v="Normal"/>
    <s v="Normal"/>
    <n v="2018"/>
    <x v="4"/>
  </r>
  <r>
    <d v="2018-05-24T00:00:00"/>
    <x v="68"/>
    <n v="20.399999999999999"/>
    <n v="31.9"/>
    <x v="77"/>
    <s v="Normal"/>
    <s v="Normal"/>
    <s v="Normal"/>
    <s v="Outlier"/>
    <n v="2018"/>
    <x v="4"/>
  </r>
  <r>
    <d v="2018-05-25T00:00:00"/>
    <x v="53"/>
    <n v="21.9"/>
    <n v="32"/>
    <x v="43"/>
    <s v="Normal"/>
    <s v="Normal"/>
    <s v="Normal"/>
    <s v="Outlier"/>
    <n v="2018"/>
    <x v="4"/>
  </r>
  <r>
    <d v="2018-05-26T00:00:00"/>
    <x v="34"/>
    <n v="21.1"/>
    <n v="29.8"/>
    <x v="78"/>
    <s v="Normal"/>
    <s v="Normal"/>
    <s v="Normal"/>
    <s v="Outlier"/>
    <n v="2018"/>
    <x v="4"/>
  </r>
  <r>
    <d v="2018-05-27T00:00:00"/>
    <x v="23"/>
    <n v="22.2"/>
    <n v="30.8"/>
    <x v="0"/>
    <s v="Normal"/>
    <s v="Normal"/>
    <s v="Normal"/>
    <s v="Normal"/>
    <n v="2018"/>
    <x v="4"/>
  </r>
  <r>
    <d v="2018-05-28T00:00:00"/>
    <x v="68"/>
    <n v="22.3"/>
    <n v="32"/>
    <x v="0"/>
    <s v="Normal"/>
    <s v="Normal"/>
    <s v="Normal"/>
    <s v="Normal"/>
    <n v="2018"/>
    <x v="4"/>
  </r>
  <r>
    <d v="2018-05-30T00:00:00"/>
    <x v="47"/>
    <n v="20.9"/>
    <n v="30.5"/>
    <x v="0"/>
    <s v="Normal"/>
    <s v="Normal"/>
    <s v="Normal"/>
    <s v="Normal"/>
    <n v="2018"/>
    <x v="4"/>
  </r>
  <r>
    <d v="2018-05-31T00:00:00"/>
    <x v="6"/>
    <n v="20.9"/>
    <n v="29.7"/>
    <x v="79"/>
    <s v="Normal"/>
    <s v="Normal"/>
    <s v="Normal"/>
    <s v="Outlier"/>
    <n v="2018"/>
    <x v="4"/>
  </r>
  <r>
    <d v="2018-06-01T00:00:00"/>
    <x v="41"/>
    <n v="21.9"/>
    <n v="30.3"/>
    <x v="0"/>
    <s v="Normal"/>
    <s v="Normal"/>
    <s v="Normal"/>
    <s v="Normal"/>
    <n v="2018"/>
    <x v="4"/>
  </r>
  <r>
    <d v="2018-06-02T00:00:00"/>
    <x v="38"/>
    <n v="20.9"/>
    <n v="31"/>
    <x v="26"/>
    <s v="Normal"/>
    <s v="Normal"/>
    <s v="Normal"/>
    <s v="Normal"/>
    <n v="2018"/>
    <x v="5"/>
  </r>
  <r>
    <d v="2018-06-03T00:00:00"/>
    <x v="4"/>
    <n v="20.8"/>
    <n v="30.3"/>
    <x v="10"/>
    <s v="Normal"/>
    <s v="Normal"/>
    <s v="Normal"/>
    <s v="Normal"/>
    <n v="2018"/>
    <x v="5"/>
  </r>
  <r>
    <d v="2018-06-04T00:00:00"/>
    <x v="38"/>
    <n v="21"/>
    <n v="30.4"/>
    <x v="9"/>
    <s v="Normal"/>
    <s v="Normal"/>
    <s v="Normal"/>
    <s v="Normal"/>
    <n v="2018"/>
    <x v="5"/>
  </r>
  <r>
    <d v="2018-06-05T00:00:00"/>
    <x v="29"/>
    <n v="21.2"/>
    <n v="30"/>
    <x v="0"/>
    <s v="Normal"/>
    <s v="Normal"/>
    <s v="Normal"/>
    <s v="Normal"/>
    <n v="2018"/>
    <x v="5"/>
  </r>
  <r>
    <d v="2018-06-06T00:00:00"/>
    <x v="6"/>
    <n v="21.9"/>
    <n v="29.7"/>
    <x v="0"/>
    <s v="Normal"/>
    <s v="Normal"/>
    <s v="Normal"/>
    <s v="Normal"/>
    <n v="2018"/>
    <x v="5"/>
  </r>
  <r>
    <d v="2018-06-07T00:00:00"/>
    <x v="33"/>
    <n v="21.7"/>
    <n v="30.1"/>
    <x v="0"/>
    <s v="Normal"/>
    <s v="Normal"/>
    <s v="Normal"/>
    <s v="Normal"/>
    <n v="2018"/>
    <x v="5"/>
  </r>
  <r>
    <d v="2018-06-08T00:00:00"/>
    <x v="0"/>
    <n v="21"/>
    <n v="29"/>
    <x v="0"/>
    <s v="Normal"/>
    <s v="Normal"/>
    <s v="Normal"/>
    <s v="Normal"/>
    <n v="2018"/>
    <x v="5"/>
  </r>
  <r>
    <d v="2018-06-09T00:00:00"/>
    <x v="59"/>
    <n v="20.7"/>
    <n v="25.8"/>
    <x v="22"/>
    <s v="Normal"/>
    <s v="Normal"/>
    <s v="Normal"/>
    <s v="Normal"/>
    <n v="2018"/>
    <x v="5"/>
  </r>
  <r>
    <d v="2018-06-10T00:00:00"/>
    <x v="3"/>
    <n v="20.5"/>
    <n v="27"/>
    <x v="8"/>
    <s v="Normal"/>
    <s v="Normal"/>
    <s v="Normal"/>
    <s v="Normal"/>
    <n v="2018"/>
    <x v="5"/>
  </r>
  <r>
    <d v="2018-06-11T00:00:00"/>
    <x v="4"/>
    <n v="21"/>
    <n v="26.9"/>
    <x v="60"/>
    <s v="Normal"/>
    <s v="Normal"/>
    <s v="Normal"/>
    <s v="Normal"/>
    <n v="2018"/>
    <x v="5"/>
  </r>
  <r>
    <d v="2018-06-14T00:00:00"/>
    <x v="46"/>
    <n v="21"/>
    <n v="27.9"/>
    <x v="0"/>
    <s v="Normal"/>
    <s v="Normal"/>
    <s v="Normal"/>
    <s v="Normal"/>
    <n v="2018"/>
    <x v="5"/>
  </r>
  <r>
    <d v="2018-06-15T00:00:00"/>
    <x v="38"/>
    <n v="20.5"/>
    <n v="31.2"/>
    <x v="80"/>
    <s v="Normal"/>
    <s v="Normal"/>
    <s v="Normal"/>
    <s v="Normal"/>
    <n v="2018"/>
    <x v="5"/>
  </r>
  <r>
    <d v="2018-06-16T00:00:00"/>
    <x v="39"/>
    <n v="20.100000000000001"/>
    <n v="31"/>
    <x v="72"/>
    <s v="Normal"/>
    <s v="Normal"/>
    <s v="Normal"/>
    <s v="Normal"/>
    <n v="2018"/>
    <x v="5"/>
  </r>
  <r>
    <d v="2018-06-17T00:00:00"/>
    <x v="43"/>
    <n v="20.9"/>
    <n v="30"/>
    <x v="0"/>
    <s v="Normal"/>
    <s v="Normal"/>
    <s v="Normal"/>
    <s v="Normal"/>
    <n v="2018"/>
    <x v="5"/>
  </r>
  <r>
    <d v="2018-06-19T00:00:00"/>
    <x v="38"/>
    <n v="20.100000000000001"/>
    <n v="28.9"/>
    <x v="81"/>
    <s v="Normal"/>
    <s v="Normal"/>
    <s v="Normal"/>
    <s v="Normal"/>
    <n v="2018"/>
    <x v="5"/>
  </r>
  <r>
    <d v="2018-06-20T00:00:00"/>
    <x v="35"/>
    <n v="20.7"/>
    <n v="29.1"/>
    <x v="0"/>
    <s v="Normal"/>
    <s v="Normal"/>
    <s v="Normal"/>
    <s v="Normal"/>
    <n v="2018"/>
    <x v="5"/>
  </r>
  <r>
    <d v="2018-06-22T00:00:00"/>
    <x v="46"/>
    <n v="19.7"/>
    <n v="28"/>
    <x v="0"/>
    <s v="Normal"/>
    <s v="Normal"/>
    <s v="Normal"/>
    <s v="Normal"/>
    <n v="2018"/>
    <x v="5"/>
  </r>
  <r>
    <d v="2018-06-23T00:00:00"/>
    <x v="57"/>
    <n v="20.3"/>
    <n v="28"/>
    <x v="7"/>
    <s v="Normal"/>
    <s v="Normal"/>
    <s v="Normal"/>
    <s v="Normal"/>
    <n v="2018"/>
    <x v="5"/>
  </r>
  <r>
    <d v="2018-06-24T00:00:00"/>
    <x v="46"/>
    <n v="19.7"/>
    <n v="27.8"/>
    <x v="82"/>
    <s v="Normal"/>
    <s v="Normal"/>
    <s v="Normal"/>
    <s v="Outlier"/>
    <n v="2018"/>
    <x v="5"/>
  </r>
  <r>
    <d v="2018-06-25T00:00:00"/>
    <x v="53"/>
    <n v="20.100000000000001"/>
    <n v="27.8"/>
    <x v="0"/>
    <s v="Normal"/>
    <s v="Normal"/>
    <s v="Normal"/>
    <s v="Normal"/>
    <n v="2018"/>
    <x v="5"/>
  </r>
  <r>
    <d v="2018-06-26T00:00:00"/>
    <x v="28"/>
    <n v="20.2"/>
    <n v="28.1"/>
    <x v="0"/>
    <s v="Normal"/>
    <s v="Normal"/>
    <s v="Normal"/>
    <s v="Normal"/>
    <n v="2018"/>
    <x v="5"/>
  </r>
  <r>
    <d v="2018-06-28T00:00:00"/>
    <x v="56"/>
    <n v="20"/>
    <n v="26.2"/>
    <x v="83"/>
    <s v="Normal"/>
    <s v="Normal"/>
    <s v="Normal"/>
    <s v="Normal"/>
    <n v="2018"/>
    <x v="5"/>
  </r>
  <r>
    <d v="2018-06-29T00:00:00"/>
    <x v="28"/>
    <n v="20.100000000000001"/>
    <n v="28.2"/>
    <x v="0"/>
    <s v="Normal"/>
    <s v="Normal"/>
    <s v="Normal"/>
    <s v="Normal"/>
    <n v="2018"/>
    <x v="5"/>
  </r>
  <r>
    <d v="2018-06-30T00:00:00"/>
    <x v="38"/>
    <n v="19.5"/>
    <n v="29.3"/>
    <x v="0"/>
    <s v="Normal"/>
    <s v="Normal"/>
    <s v="Normal"/>
    <s v="Normal"/>
    <n v="2018"/>
    <x v="5"/>
  </r>
  <r>
    <d v="2018-07-01T00:00:00"/>
    <x v="37"/>
    <n v="20.6"/>
    <n v="29.5"/>
    <x v="5"/>
    <s v="Normal"/>
    <s v="Normal"/>
    <s v="Normal"/>
    <s v="Normal"/>
    <n v="2018"/>
    <x v="5"/>
  </r>
  <r>
    <d v="2018-07-02T00:00:00"/>
    <x v="29"/>
    <n v="20.9"/>
    <n v="30.7"/>
    <x v="0"/>
    <s v="Normal"/>
    <s v="Normal"/>
    <s v="Normal"/>
    <s v="Normal"/>
    <n v="2018"/>
    <x v="6"/>
  </r>
  <r>
    <d v="2018-07-03T00:00:00"/>
    <x v="41"/>
    <n v="20.7"/>
    <n v="30.2"/>
    <x v="5"/>
    <s v="Normal"/>
    <s v="Normal"/>
    <s v="Normal"/>
    <s v="Normal"/>
    <n v="2018"/>
    <x v="6"/>
  </r>
  <r>
    <d v="2018-07-04T00:00:00"/>
    <x v="39"/>
    <n v="20.5"/>
    <n v="29"/>
    <x v="0"/>
    <s v="Normal"/>
    <s v="Normal"/>
    <s v="Normal"/>
    <s v="Normal"/>
    <n v="2018"/>
    <x v="6"/>
  </r>
  <r>
    <d v="2018-07-07T00:00:00"/>
    <x v="49"/>
    <n v="20.5"/>
    <n v="26.3"/>
    <x v="1"/>
    <s v="Normal"/>
    <s v="Normal"/>
    <s v="Normal"/>
    <s v="Normal"/>
    <n v="2018"/>
    <x v="6"/>
  </r>
  <r>
    <d v="2018-07-08T00:00:00"/>
    <x v="56"/>
    <n v="20.3"/>
    <n v="26.4"/>
    <x v="0"/>
    <s v="Normal"/>
    <s v="Normal"/>
    <s v="Normal"/>
    <s v="Normal"/>
    <n v="2018"/>
    <x v="6"/>
  </r>
  <r>
    <d v="2018-07-09T00:00:00"/>
    <x v="48"/>
    <n v="20.7"/>
    <n v="26.4"/>
    <x v="7"/>
    <s v="Normal"/>
    <s v="Normal"/>
    <s v="Normal"/>
    <s v="Normal"/>
    <n v="2018"/>
    <x v="6"/>
  </r>
  <r>
    <d v="2018-07-10T00:00:00"/>
    <x v="3"/>
    <n v="20.6"/>
    <n v="26.9"/>
    <x v="60"/>
    <s v="Normal"/>
    <s v="Normal"/>
    <s v="Normal"/>
    <s v="Normal"/>
    <n v="2018"/>
    <x v="6"/>
  </r>
  <r>
    <d v="2018-07-11T00:00:00"/>
    <x v="57"/>
    <n v="20.3"/>
    <n v="27"/>
    <x v="84"/>
    <s v="Normal"/>
    <s v="Normal"/>
    <s v="Normal"/>
    <s v="Outlier"/>
    <n v="2018"/>
    <x v="6"/>
  </r>
  <r>
    <d v="2018-07-12T00:00:00"/>
    <x v="48"/>
    <n v="20.100000000000001"/>
    <n v="27.3"/>
    <x v="76"/>
    <s v="Normal"/>
    <s v="Normal"/>
    <s v="Normal"/>
    <s v="Normal"/>
    <n v="2018"/>
    <x v="6"/>
  </r>
  <r>
    <d v="2018-07-13T00:00:00"/>
    <x v="50"/>
    <n v="20.5"/>
    <n v="27.4"/>
    <x v="0"/>
    <s v="Normal"/>
    <s v="Normal"/>
    <s v="Normal"/>
    <s v="Normal"/>
    <n v="2018"/>
    <x v="6"/>
  </r>
  <r>
    <d v="2018-07-14T00:00:00"/>
    <x v="56"/>
    <n v="20.3"/>
    <n v="26.5"/>
    <x v="83"/>
    <s v="Normal"/>
    <s v="Normal"/>
    <s v="Normal"/>
    <s v="Normal"/>
    <n v="2018"/>
    <x v="6"/>
  </r>
  <r>
    <d v="2018-07-15T00:00:00"/>
    <x v="43"/>
    <n v="20.399999999999999"/>
    <n v="28.2"/>
    <x v="10"/>
    <s v="Normal"/>
    <s v="Normal"/>
    <s v="Normal"/>
    <s v="Normal"/>
    <n v="2018"/>
    <x v="6"/>
  </r>
  <r>
    <d v="2018-07-16T00:00:00"/>
    <x v="50"/>
    <n v="20.2"/>
    <n v="28.4"/>
    <x v="0"/>
    <s v="Normal"/>
    <s v="Normal"/>
    <s v="Normal"/>
    <s v="Normal"/>
    <n v="2018"/>
    <x v="6"/>
  </r>
  <r>
    <d v="2018-07-17T00:00:00"/>
    <x v="57"/>
    <n v="19.2"/>
    <n v="26.2"/>
    <x v="26"/>
    <s v="Normal"/>
    <s v="Normal"/>
    <s v="Normal"/>
    <s v="Normal"/>
    <n v="2018"/>
    <x v="6"/>
  </r>
  <r>
    <d v="2018-07-18T00:00:00"/>
    <x v="38"/>
    <n v="19.7"/>
    <n v="29.2"/>
    <x v="0"/>
    <s v="Normal"/>
    <s v="Normal"/>
    <s v="Normal"/>
    <s v="Normal"/>
    <n v="2018"/>
    <x v="6"/>
  </r>
  <r>
    <d v="2018-07-20T00:00:00"/>
    <x v="55"/>
    <n v="20.399999999999999"/>
    <n v="27"/>
    <x v="0"/>
    <s v="Normal"/>
    <s v="Normal"/>
    <s v="Normal"/>
    <s v="Normal"/>
    <n v="2018"/>
    <x v="6"/>
  </r>
  <r>
    <d v="2018-07-21T00:00:00"/>
    <x v="3"/>
    <n v="20.3"/>
    <n v="26.9"/>
    <x v="0"/>
    <s v="Normal"/>
    <s v="Normal"/>
    <s v="Normal"/>
    <s v="Normal"/>
    <n v="2018"/>
    <x v="6"/>
  </r>
  <r>
    <d v="2018-07-22T00:00:00"/>
    <x v="43"/>
    <n v="20.3"/>
    <n v="28.9"/>
    <x v="1"/>
    <s v="Normal"/>
    <s v="Normal"/>
    <s v="Normal"/>
    <s v="Normal"/>
    <n v="2018"/>
    <x v="6"/>
  </r>
  <r>
    <d v="2018-07-23T00:00:00"/>
    <x v="3"/>
    <n v="20.2"/>
    <n v="28.3"/>
    <x v="0"/>
    <s v="Normal"/>
    <s v="Normal"/>
    <s v="Normal"/>
    <s v="Normal"/>
    <n v="2018"/>
    <x v="6"/>
  </r>
  <r>
    <d v="2018-07-24T00:00:00"/>
    <x v="28"/>
    <n v="20.3"/>
    <n v="28.6"/>
    <x v="85"/>
    <s v="Normal"/>
    <s v="Normal"/>
    <s v="Normal"/>
    <s v="Outlier"/>
    <n v="2018"/>
    <x v="6"/>
  </r>
  <r>
    <d v="2018-07-25T00:00:00"/>
    <x v="0"/>
    <n v="20.2"/>
    <n v="28.2"/>
    <x v="60"/>
    <s v="Normal"/>
    <s v="Normal"/>
    <s v="Normal"/>
    <s v="Normal"/>
    <n v="2018"/>
    <x v="6"/>
  </r>
  <r>
    <d v="2018-07-26T00:00:00"/>
    <x v="4"/>
    <n v="20.6"/>
    <n v="28.8"/>
    <x v="19"/>
    <s v="Normal"/>
    <s v="Normal"/>
    <s v="Normal"/>
    <s v="Normal"/>
    <n v="2018"/>
    <x v="6"/>
  </r>
  <r>
    <d v="2018-07-27T00:00:00"/>
    <x v="0"/>
    <n v="20.5"/>
    <n v="27.3"/>
    <x v="0"/>
    <s v="Normal"/>
    <s v="Normal"/>
    <s v="Normal"/>
    <s v="Normal"/>
    <n v="2018"/>
    <x v="6"/>
  </r>
  <r>
    <d v="2018-07-28T00:00:00"/>
    <x v="53"/>
    <n v="20"/>
    <n v="27.3"/>
    <x v="1"/>
    <s v="Normal"/>
    <s v="Normal"/>
    <s v="Normal"/>
    <s v="Normal"/>
    <n v="2018"/>
    <x v="6"/>
  </r>
  <r>
    <d v="2018-07-29T00:00:00"/>
    <x v="38"/>
    <n v="20.7"/>
    <n v="27.4"/>
    <x v="28"/>
    <s v="Normal"/>
    <s v="Normal"/>
    <s v="Normal"/>
    <s v="Outlier"/>
    <n v="2018"/>
    <x v="6"/>
  </r>
  <r>
    <d v="2018-07-30T00:00:00"/>
    <x v="38"/>
    <n v="20.5"/>
    <n v="27.8"/>
    <x v="5"/>
    <s v="Normal"/>
    <s v="Normal"/>
    <s v="Normal"/>
    <s v="Normal"/>
    <n v="2018"/>
    <x v="6"/>
  </r>
  <r>
    <d v="2018-07-31T00:00:00"/>
    <x v="28"/>
    <n v="20.3"/>
    <n v="28.3"/>
    <x v="71"/>
    <s v="Normal"/>
    <s v="Normal"/>
    <s v="Normal"/>
    <s v="Normal"/>
    <n v="2018"/>
    <x v="6"/>
  </r>
  <r>
    <d v="2018-08-01T00:00:00"/>
    <x v="1"/>
    <n v="19.399999999999999"/>
    <n v="27.2"/>
    <x v="36"/>
    <s v="Normal"/>
    <s v="Normal"/>
    <s v="Normal"/>
    <s v="Normal"/>
    <n v="2018"/>
    <x v="6"/>
  </r>
  <r>
    <d v="2018-08-02T00:00:00"/>
    <x v="43"/>
    <n v="18.7"/>
    <n v="29.4"/>
    <x v="6"/>
    <s v="Normal"/>
    <s v="Normal"/>
    <s v="Normal"/>
    <s v="Outlier"/>
    <n v="2018"/>
    <x v="7"/>
  </r>
  <r>
    <d v="2018-08-03T00:00:00"/>
    <x v="0"/>
    <n v="20.8"/>
    <n v="28.6"/>
    <x v="0"/>
    <s v="Normal"/>
    <s v="Normal"/>
    <s v="Normal"/>
    <s v="Normal"/>
    <n v="2018"/>
    <x v="7"/>
  </r>
  <r>
    <d v="2018-08-04T00:00:00"/>
    <x v="48"/>
    <n v="20.100000000000001"/>
    <n v="28.8"/>
    <x v="11"/>
    <s v="Normal"/>
    <s v="Normal"/>
    <s v="Normal"/>
    <s v="Normal"/>
    <n v="2018"/>
    <x v="7"/>
  </r>
  <r>
    <d v="2018-08-05T00:00:00"/>
    <x v="38"/>
    <n v="20.3"/>
    <n v="27.8"/>
    <x v="0"/>
    <s v="Normal"/>
    <s v="Normal"/>
    <s v="Normal"/>
    <s v="Normal"/>
    <n v="2018"/>
    <x v="7"/>
  </r>
  <r>
    <d v="2018-08-06T00:00:00"/>
    <x v="3"/>
    <n v="20.2"/>
    <n v="28.1"/>
    <x v="5"/>
    <s v="Normal"/>
    <s v="Normal"/>
    <s v="Normal"/>
    <s v="Normal"/>
    <n v="2018"/>
    <x v="7"/>
  </r>
  <r>
    <d v="2018-08-07T00:00:00"/>
    <x v="1"/>
    <n v="19.7"/>
    <n v="27.7"/>
    <x v="86"/>
    <s v="Normal"/>
    <s v="Normal"/>
    <s v="Normal"/>
    <s v="Outlier"/>
    <n v="2018"/>
    <x v="7"/>
  </r>
  <r>
    <d v="2018-08-08T00:00:00"/>
    <x v="59"/>
    <n v="20"/>
    <n v="25.4"/>
    <x v="4"/>
    <s v="Normal"/>
    <s v="Normal"/>
    <s v="Normal"/>
    <s v="Normal"/>
    <n v="2018"/>
    <x v="7"/>
  </r>
  <r>
    <d v="2018-08-09T00:00:00"/>
    <x v="35"/>
    <n v="20.2"/>
    <n v="28.7"/>
    <x v="66"/>
    <s v="Normal"/>
    <s v="Normal"/>
    <s v="Normal"/>
    <s v="Normal"/>
    <n v="2018"/>
    <x v="7"/>
  </r>
  <r>
    <d v="2018-08-10T00:00:00"/>
    <x v="3"/>
    <n v="20.5"/>
    <n v="28.2"/>
    <x v="0"/>
    <s v="Normal"/>
    <s v="Normal"/>
    <s v="Normal"/>
    <s v="Normal"/>
    <n v="2018"/>
    <x v="7"/>
  </r>
  <r>
    <d v="2018-08-11T00:00:00"/>
    <x v="1"/>
    <n v="20"/>
    <n v="26.5"/>
    <x v="10"/>
    <s v="Normal"/>
    <s v="Normal"/>
    <s v="Normal"/>
    <s v="Normal"/>
    <n v="2018"/>
    <x v="7"/>
  </r>
  <r>
    <d v="2018-08-12T00:00:00"/>
    <x v="61"/>
    <n v="19.899999999999999"/>
    <n v="25.6"/>
    <x v="23"/>
    <s v="Normal"/>
    <s v="Normal"/>
    <s v="Normal"/>
    <s v="Normal"/>
    <n v="2018"/>
    <x v="7"/>
  </r>
  <r>
    <d v="2018-08-13T00:00:00"/>
    <x v="60"/>
    <n v="19.399999999999999"/>
    <n v="24.6"/>
    <x v="38"/>
    <s v="Normal"/>
    <s v="Normal"/>
    <s v="Normal"/>
    <s v="Normal"/>
    <n v="2018"/>
    <x v="7"/>
  </r>
  <r>
    <d v="2018-08-14T00:00:00"/>
    <x v="1"/>
    <n v="19.600000000000001"/>
    <n v="26.9"/>
    <x v="7"/>
    <s v="Normal"/>
    <s v="Normal"/>
    <s v="Normal"/>
    <s v="Normal"/>
    <n v="2018"/>
    <x v="7"/>
  </r>
  <r>
    <d v="2018-08-15T00:00:00"/>
    <x v="50"/>
    <n v="20.100000000000001"/>
    <n v="25.7"/>
    <x v="87"/>
    <s v="Normal"/>
    <s v="Normal"/>
    <s v="Normal"/>
    <s v="Normal"/>
    <n v="2018"/>
    <x v="7"/>
  </r>
  <r>
    <d v="2018-08-16T00:00:00"/>
    <x v="56"/>
    <n v="20.2"/>
    <n v="25.7"/>
    <x v="29"/>
    <s v="Normal"/>
    <s v="Normal"/>
    <s v="Normal"/>
    <s v="Outlier"/>
    <n v="2018"/>
    <x v="7"/>
  </r>
  <r>
    <d v="2018-08-17T00:00:00"/>
    <x v="46"/>
    <n v="20.3"/>
    <n v="28.3"/>
    <x v="5"/>
    <s v="Normal"/>
    <s v="Normal"/>
    <s v="Normal"/>
    <s v="Normal"/>
    <n v="2018"/>
    <x v="7"/>
  </r>
  <r>
    <d v="2018-08-18T00:00:00"/>
    <x v="35"/>
    <n v="20"/>
    <n v="27.5"/>
    <x v="0"/>
    <s v="Normal"/>
    <s v="Normal"/>
    <s v="Normal"/>
    <s v="Normal"/>
    <n v="2018"/>
    <x v="7"/>
  </r>
  <r>
    <d v="2018-08-19T00:00:00"/>
    <x v="0"/>
    <n v="20.7"/>
    <n v="27.4"/>
    <x v="0"/>
    <s v="Normal"/>
    <s v="Normal"/>
    <s v="Normal"/>
    <s v="Normal"/>
    <n v="2018"/>
    <x v="7"/>
  </r>
  <r>
    <d v="2018-08-20T00:00:00"/>
    <x v="48"/>
    <n v="20.2"/>
    <n v="27.3"/>
    <x v="0"/>
    <s v="Normal"/>
    <s v="Normal"/>
    <s v="Normal"/>
    <s v="Normal"/>
    <n v="2018"/>
    <x v="7"/>
  </r>
  <r>
    <d v="2018-08-21T00:00:00"/>
    <x v="0"/>
    <n v="19.7"/>
    <n v="28.9"/>
    <x v="0"/>
    <s v="Normal"/>
    <s v="Normal"/>
    <s v="Normal"/>
    <s v="Normal"/>
    <n v="2018"/>
    <x v="7"/>
  </r>
  <r>
    <d v="2018-08-22T00:00:00"/>
    <x v="4"/>
    <n v="19.7"/>
    <n v="28.2"/>
    <x v="0"/>
    <s v="Normal"/>
    <s v="Normal"/>
    <s v="Normal"/>
    <s v="Normal"/>
    <n v="2018"/>
    <x v="7"/>
  </r>
  <r>
    <d v="2018-08-23T00:00:00"/>
    <x v="0"/>
    <n v="20.5"/>
    <n v="28"/>
    <x v="0"/>
    <s v="Normal"/>
    <s v="Normal"/>
    <s v="Normal"/>
    <s v="Normal"/>
    <n v="2018"/>
    <x v="7"/>
  </r>
  <r>
    <d v="2018-08-24T00:00:00"/>
    <x v="56"/>
    <n v="19.899999999999999"/>
    <n v="28.8"/>
    <x v="38"/>
    <s v="Normal"/>
    <s v="Normal"/>
    <s v="Normal"/>
    <s v="Normal"/>
    <n v="2018"/>
    <x v="7"/>
  </r>
  <r>
    <d v="2018-08-25T00:00:00"/>
    <x v="4"/>
    <n v="19.8"/>
    <n v="29.5"/>
    <x v="88"/>
    <s v="Normal"/>
    <s v="Normal"/>
    <s v="Normal"/>
    <s v="Outlier"/>
    <n v="2018"/>
    <x v="7"/>
  </r>
  <r>
    <d v="2018-08-26T00:00:00"/>
    <x v="56"/>
    <n v="19.899999999999999"/>
    <n v="28.5"/>
    <x v="0"/>
    <s v="Normal"/>
    <s v="Normal"/>
    <s v="Normal"/>
    <s v="Normal"/>
    <n v="2018"/>
    <x v="7"/>
  </r>
  <r>
    <d v="2018-08-27T00:00:00"/>
    <x v="1"/>
    <n v="19.5"/>
    <n v="28.3"/>
    <x v="2"/>
    <s v="Normal"/>
    <s v="Normal"/>
    <s v="Normal"/>
    <s v="Normal"/>
    <n v="2018"/>
    <x v="7"/>
  </r>
  <r>
    <d v="2018-08-28T00:00:00"/>
    <x v="54"/>
    <n v="19.600000000000001"/>
    <n v="27.6"/>
    <x v="5"/>
    <s v="Normal"/>
    <s v="Normal"/>
    <s v="Normal"/>
    <s v="Normal"/>
    <n v="2018"/>
    <x v="7"/>
  </r>
  <r>
    <d v="2018-08-29T00:00:00"/>
    <x v="49"/>
    <n v="20"/>
    <n v="28"/>
    <x v="2"/>
    <s v="Normal"/>
    <s v="Normal"/>
    <s v="Normal"/>
    <s v="Normal"/>
    <n v="2018"/>
    <x v="7"/>
  </r>
  <r>
    <d v="2018-08-30T00:00:00"/>
    <x v="0"/>
    <n v="20.3"/>
    <n v="28.2"/>
    <x v="80"/>
    <s v="Normal"/>
    <s v="Normal"/>
    <s v="Normal"/>
    <s v="Normal"/>
    <n v="2018"/>
    <x v="7"/>
  </r>
  <r>
    <d v="2018-08-31T00:00:00"/>
    <x v="0"/>
    <n v="20.3"/>
    <n v="28.8"/>
    <x v="89"/>
    <s v="Normal"/>
    <s v="Normal"/>
    <s v="Normal"/>
    <s v="Outlier"/>
    <n v="2018"/>
    <x v="7"/>
  </r>
  <r>
    <d v="2018-09-01T00:00:00"/>
    <x v="4"/>
    <n v="20"/>
    <n v="28.3"/>
    <x v="0"/>
    <s v="Normal"/>
    <s v="Normal"/>
    <s v="Normal"/>
    <s v="Normal"/>
    <n v="2018"/>
    <x v="7"/>
  </r>
  <r>
    <d v="2018-09-02T00:00:00"/>
    <x v="4"/>
    <n v="20.3"/>
    <n v="28.2"/>
    <x v="1"/>
    <s v="Normal"/>
    <s v="Normal"/>
    <s v="Normal"/>
    <s v="Normal"/>
    <n v="2018"/>
    <x v="8"/>
  </r>
  <r>
    <d v="2018-09-03T00:00:00"/>
    <x v="52"/>
    <n v="19.7"/>
    <n v="29.3"/>
    <x v="0"/>
    <s v="Normal"/>
    <s v="Normal"/>
    <s v="Normal"/>
    <s v="Normal"/>
    <n v="2018"/>
    <x v="8"/>
  </r>
  <r>
    <d v="2018-09-07T00:00:00"/>
    <x v="41"/>
    <n v="20.3"/>
    <n v="29.2"/>
    <x v="0"/>
    <s v="Normal"/>
    <s v="Normal"/>
    <s v="Normal"/>
    <s v="Normal"/>
    <n v="2018"/>
    <x v="8"/>
  </r>
  <r>
    <d v="2018-09-08T00:00:00"/>
    <x v="44"/>
    <n v="20.100000000000001"/>
    <n v="29.1"/>
    <x v="0"/>
    <s v="Normal"/>
    <s v="Normal"/>
    <s v="Normal"/>
    <s v="Normal"/>
    <n v="2018"/>
    <x v="8"/>
  </r>
  <r>
    <d v="2018-09-09T00:00:00"/>
    <x v="14"/>
    <n v="20.5"/>
    <n v="30.3"/>
    <x v="0"/>
    <s v="Normal"/>
    <s v="Normal"/>
    <s v="Normal"/>
    <s v="Normal"/>
    <n v="2018"/>
    <x v="8"/>
  </r>
  <r>
    <d v="2018-09-11T00:00:00"/>
    <x v="10"/>
    <n v="21.7"/>
    <n v="30.8"/>
    <x v="0"/>
    <s v="Normal"/>
    <s v="Normal"/>
    <s v="Normal"/>
    <s v="Normal"/>
    <n v="2018"/>
    <x v="8"/>
  </r>
  <r>
    <d v="2018-09-12T00:00:00"/>
    <x v="65"/>
    <n v="20.9"/>
    <n v="31.1"/>
    <x v="0"/>
    <s v="Normal"/>
    <s v="Normal"/>
    <s v="Normal"/>
    <s v="Normal"/>
    <n v="2018"/>
    <x v="8"/>
  </r>
  <r>
    <d v="2018-09-14T00:00:00"/>
    <x v="29"/>
    <n v="20.399999999999999"/>
    <n v="30.3"/>
    <x v="60"/>
    <s v="Normal"/>
    <s v="Normal"/>
    <s v="Normal"/>
    <s v="Normal"/>
    <n v="2018"/>
    <x v="8"/>
  </r>
  <r>
    <d v="2018-09-15T00:00:00"/>
    <x v="46"/>
    <n v="20.100000000000001"/>
    <n v="31.7"/>
    <x v="12"/>
    <s v="Normal"/>
    <s v="Normal"/>
    <s v="Normal"/>
    <s v="Normal"/>
    <n v="2018"/>
    <x v="8"/>
  </r>
  <r>
    <d v="2018-09-16T00:00:00"/>
    <x v="0"/>
    <n v="20.5"/>
    <n v="30.3"/>
    <x v="87"/>
    <s v="Normal"/>
    <s v="Normal"/>
    <s v="Normal"/>
    <s v="Normal"/>
    <n v="2018"/>
    <x v="8"/>
  </r>
  <r>
    <d v="2018-09-21T00:00:00"/>
    <x v="53"/>
    <n v="20"/>
    <n v="28.4"/>
    <x v="90"/>
    <s v="Normal"/>
    <s v="Normal"/>
    <s v="Normal"/>
    <s v="Normal"/>
    <n v="2018"/>
    <x v="8"/>
  </r>
  <r>
    <d v="2018-09-22T00:00:00"/>
    <x v="33"/>
    <n v="18.399999999999999"/>
    <n v="28.2"/>
    <x v="0"/>
    <s v="Normal"/>
    <s v="Normal"/>
    <s v="Normal"/>
    <s v="Normal"/>
    <n v="2018"/>
    <x v="8"/>
  </r>
  <r>
    <d v="2018-09-24T00:00:00"/>
    <x v="54"/>
    <n v="18.899999999999999"/>
    <n v="28.9"/>
    <x v="91"/>
    <s v="Normal"/>
    <s v="Normal"/>
    <s v="Normal"/>
    <s v="Outlier"/>
    <n v="2018"/>
    <x v="8"/>
  </r>
  <r>
    <d v="2018-09-25T00:00:00"/>
    <x v="53"/>
    <n v="19.3"/>
    <n v="29.3"/>
    <x v="92"/>
    <s v="Normal"/>
    <s v="Normal"/>
    <s v="Normal"/>
    <s v="Outlier"/>
    <n v="2018"/>
    <x v="8"/>
  </r>
  <r>
    <d v="2018-09-26T00:00:00"/>
    <x v="41"/>
    <n v="20.399999999999999"/>
    <n v="29.7"/>
    <x v="1"/>
    <s v="Normal"/>
    <s v="Normal"/>
    <s v="Normal"/>
    <s v="Normal"/>
    <n v="2018"/>
    <x v="8"/>
  </r>
  <r>
    <d v="2018-09-27T00:00:00"/>
    <x v="4"/>
    <n v="19.899999999999999"/>
    <n v="30.3"/>
    <x v="84"/>
    <s v="Normal"/>
    <s v="Normal"/>
    <s v="Normal"/>
    <s v="Outlier"/>
    <n v="2018"/>
    <x v="8"/>
  </r>
  <r>
    <d v="2018-09-28T00:00:00"/>
    <x v="9"/>
    <n v="21.3"/>
    <n v="29.5"/>
    <x v="8"/>
    <s v="Normal"/>
    <s v="Normal"/>
    <s v="Normal"/>
    <s v="Normal"/>
    <n v="2018"/>
    <x v="8"/>
  </r>
  <r>
    <d v="2018-09-29T00:00:00"/>
    <x v="10"/>
    <n v="21.4"/>
    <n v="29.9"/>
    <x v="76"/>
    <s v="Normal"/>
    <s v="Normal"/>
    <s v="Normal"/>
    <s v="Normal"/>
    <n v="2018"/>
    <x v="8"/>
  </r>
  <r>
    <d v="2018-09-30T00:00:00"/>
    <x v="51"/>
    <n v="21.8"/>
    <n v="30.2"/>
    <x v="0"/>
    <s v="Normal"/>
    <s v="Normal"/>
    <s v="Normal"/>
    <s v="Normal"/>
    <n v="2018"/>
    <x v="8"/>
  </r>
  <r>
    <d v="2018-10-01T00:00:00"/>
    <x v="30"/>
    <n v="21.6"/>
    <n v="30.9"/>
    <x v="1"/>
    <s v="Normal"/>
    <s v="Normal"/>
    <s v="Normal"/>
    <s v="Normal"/>
    <n v="2018"/>
    <x v="8"/>
  </r>
  <r>
    <d v="2018-10-02T00:00:00"/>
    <x v="31"/>
    <n v="21.3"/>
    <n v="30.3"/>
    <x v="0"/>
    <s v="Normal"/>
    <s v="Normal"/>
    <s v="Normal"/>
    <s v="Normal"/>
    <n v="2018"/>
    <x v="9"/>
  </r>
  <r>
    <d v="2018-10-03T00:00:00"/>
    <x v="39"/>
    <n v="21.6"/>
    <n v="30.4"/>
    <x v="1"/>
    <s v="Normal"/>
    <s v="Normal"/>
    <s v="Normal"/>
    <s v="Normal"/>
    <n v="2018"/>
    <x v="9"/>
  </r>
  <r>
    <d v="2018-10-04T00:00:00"/>
    <x v="69"/>
    <n v="20.9"/>
    <n v="30.6"/>
    <x v="93"/>
    <s v="Normal"/>
    <s v="Normal"/>
    <s v="Normal"/>
    <s v="Outlier"/>
    <n v="2018"/>
    <x v="9"/>
  </r>
  <r>
    <d v="2018-10-05T00:00:00"/>
    <x v="55"/>
    <n v="20.6"/>
    <n v="25.9"/>
    <x v="24"/>
    <s v="Normal"/>
    <s v="Normal"/>
    <s v="Normal"/>
    <s v="Normal"/>
    <n v="2018"/>
    <x v="9"/>
  </r>
  <r>
    <d v="2018-10-06T00:00:00"/>
    <x v="57"/>
    <n v="20.399999999999999"/>
    <n v="26.4"/>
    <x v="11"/>
    <s v="Normal"/>
    <s v="Normal"/>
    <s v="Normal"/>
    <s v="Normal"/>
    <n v="2018"/>
    <x v="9"/>
  </r>
  <r>
    <d v="2018-10-07T00:00:00"/>
    <x v="44"/>
    <n v="20.2"/>
    <n v="28.4"/>
    <x v="35"/>
    <s v="Normal"/>
    <s v="Normal"/>
    <s v="Normal"/>
    <s v="Normal"/>
    <n v="2018"/>
    <x v="9"/>
  </r>
  <r>
    <d v="2018-10-08T00:00:00"/>
    <x v="39"/>
    <n v="20.8"/>
    <n v="29.5"/>
    <x v="0"/>
    <s v="Normal"/>
    <s v="Normal"/>
    <s v="Normal"/>
    <s v="Normal"/>
    <n v="2018"/>
    <x v="9"/>
  </r>
  <r>
    <d v="2018-10-09T00:00:00"/>
    <x v="44"/>
    <n v="20.6"/>
    <n v="29.5"/>
    <x v="76"/>
    <s v="Normal"/>
    <s v="Normal"/>
    <s v="Normal"/>
    <s v="Normal"/>
    <n v="2018"/>
    <x v="9"/>
  </r>
  <r>
    <d v="2018-10-10T00:00:00"/>
    <x v="42"/>
    <n v="19.100000000000001"/>
    <n v="30"/>
    <x v="0"/>
    <s v="Normal"/>
    <s v="Normal"/>
    <s v="Normal"/>
    <s v="Normal"/>
    <n v="2018"/>
    <x v="9"/>
  </r>
  <r>
    <d v="2018-10-15T00:00:00"/>
    <x v="35"/>
    <n v="20.100000000000001"/>
    <n v="29.8"/>
    <x v="22"/>
    <s v="Normal"/>
    <s v="Normal"/>
    <s v="Normal"/>
    <s v="Normal"/>
    <n v="2018"/>
    <x v="9"/>
  </r>
  <r>
    <d v="2018-10-16T00:00:00"/>
    <x v="44"/>
    <n v="20.7"/>
    <n v="29"/>
    <x v="25"/>
    <s v="Normal"/>
    <s v="Normal"/>
    <s v="Normal"/>
    <s v="Normal"/>
    <n v="2018"/>
    <x v="9"/>
  </r>
  <r>
    <d v="2018-10-17T00:00:00"/>
    <x v="56"/>
    <n v="19.399999999999999"/>
    <n v="29.3"/>
    <x v="0"/>
    <s v="Normal"/>
    <s v="Normal"/>
    <s v="Normal"/>
    <s v="Normal"/>
    <n v="2018"/>
    <x v="9"/>
  </r>
  <r>
    <d v="2018-10-18T00:00:00"/>
    <x v="28"/>
    <n v="18.899999999999999"/>
    <n v="28.5"/>
    <x v="94"/>
    <s v="Normal"/>
    <s v="Normal"/>
    <s v="Normal"/>
    <s v="Outlier"/>
    <n v="2018"/>
    <x v="9"/>
  </r>
  <r>
    <d v="2018-10-19T00:00:00"/>
    <x v="33"/>
    <n v="20.2"/>
    <n v="28.7"/>
    <x v="7"/>
    <s v="Normal"/>
    <s v="Normal"/>
    <s v="Normal"/>
    <s v="Normal"/>
    <n v="2018"/>
    <x v="9"/>
  </r>
  <r>
    <d v="2018-10-20T00:00:00"/>
    <x v="38"/>
    <n v="19.7"/>
    <n v="29.3"/>
    <x v="0"/>
    <s v="Normal"/>
    <s v="Normal"/>
    <s v="Normal"/>
    <s v="Normal"/>
    <n v="2018"/>
    <x v="9"/>
  </r>
  <r>
    <d v="2018-11-03T00:00:00"/>
    <x v="48"/>
    <n v="19.600000000000001"/>
    <n v="27.7"/>
    <x v="5"/>
    <s v="Normal"/>
    <s v="Normal"/>
    <s v="Normal"/>
    <s v="Normal"/>
    <n v="2018"/>
    <x v="9"/>
  </r>
  <r>
    <d v="2018-11-04T00:00:00"/>
    <x v="53"/>
    <n v="18.8"/>
    <n v="28.1"/>
    <x v="83"/>
    <s v="Normal"/>
    <s v="Normal"/>
    <s v="Normal"/>
    <s v="Normal"/>
    <n v="2018"/>
    <x v="10"/>
  </r>
  <r>
    <d v="2018-11-05T00:00:00"/>
    <x v="43"/>
    <n v="19.7"/>
    <n v="29.2"/>
    <x v="0"/>
    <s v="Normal"/>
    <s v="Normal"/>
    <s v="Normal"/>
    <s v="Normal"/>
    <n v="2018"/>
    <x v="10"/>
  </r>
  <r>
    <d v="2018-11-15T00:00:00"/>
    <x v="0"/>
    <n v="16.5"/>
    <n v="31"/>
    <x v="0"/>
    <s v="Normal"/>
    <s v="Outlier"/>
    <s v="Normal"/>
    <s v="Normal"/>
    <n v="2018"/>
    <x v="10"/>
  </r>
  <r>
    <d v="2018-11-16T00:00:00"/>
    <x v="1"/>
    <n v="19.7"/>
    <n v="28.6"/>
    <x v="0"/>
    <s v="Normal"/>
    <s v="Normal"/>
    <s v="Normal"/>
    <s v="Normal"/>
    <n v="2018"/>
    <x v="10"/>
  </r>
  <r>
    <d v="2018-11-17T00:00:00"/>
    <x v="33"/>
    <n v="19.2"/>
    <n v="29.3"/>
    <x v="1"/>
    <s v="Normal"/>
    <s v="Normal"/>
    <s v="Normal"/>
    <s v="Normal"/>
    <n v="2018"/>
    <x v="10"/>
  </r>
  <r>
    <d v="2018-11-18T00:00:00"/>
    <x v="44"/>
    <n v="20.6"/>
    <n v="30.2"/>
    <x v="0"/>
    <s v="Normal"/>
    <s v="Normal"/>
    <s v="Normal"/>
    <s v="Normal"/>
    <n v="2018"/>
    <x v="10"/>
  </r>
  <r>
    <d v="2018-11-20T00:00:00"/>
    <x v="41"/>
    <n v="19.7"/>
    <n v="29.8"/>
    <x v="0"/>
    <s v="Normal"/>
    <s v="Normal"/>
    <s v="Normal"/>
    <s v="Normal"/>
    <n v="2018"/>
    <x v="10"/>
  </r>
  <r>
    <d v="2018-11-22T00:00:00"/>
    <x v="70"/>
    <n v="19.600000000000001"/>
    <n v="26.6"/>
    <x v="0"/>
    <s v="Normal"/>
    <s v="Normal"/>
    <s v="Normal"/>
    <s v="Normal"/>
    <n v="2018"/>
    <x v="10"/>
  </r>
  <r>
    <d v="2018-11-23T00:00:00"/>
    <x v="71"/>
    <n v="19.600000000000001"/>
    <n v="24.8"/>
    <x v="5"/>
    <s v="Normal"/>
    <s v="Normal"/>
    <s v="Normal"/>
    <s v="Normal"/>
    <n v="2018"/>
    <x v="10"/>
  </r>
  <r>
    <d v="2018-11-24T00:00:00"/>
    <x v="49"/>
    <n v="19"/>
    <n v="27.6"/>
    <x v="16"/>
    <s v="Normal"/>
    <s v="Normal"/>
    <s v="Normal"/>
    <s v="Outlier"/>
    <n v="2018"/>
    <x v="10"/>
  </r>
  <r>
    <d v="2018-11-25T00:00:00"/>
    <x v="54"/>
    <n v="19.2"/>
    <n v="28.5"/>
    <x v="0"/>
    <s v="Normal"/>
    <s v="Normal"/>
    <s v="Normal"/>
    <s v="Normal"/>
    <n v="2018"/>
    <x v="10"/>
  </r>
  <r>
    <d v="2018-12-05T00:00:00"/>
    <x v="46"/>
    <n v="19.5"/>
    <n v="28.1"/>
    <x v="71"/>
    <s v="Normal"/>
    <s v="Normal"/>
    <s v="Normal"/>
    <s v="Normal"/>
    <n v="2018"/>
    <x v="10"/>
  </r>
  <r>
    <d v="2018-12-06T00:00:00"/>
    <x v="53"/>
    <n v="20"/>
    <n v="28.3"/>
    <x v="0"/>
    <s v="Normal"/>
    <s v="Normal"/>
    <s v="Normal"/>
    <s v="Normal"/>
    <n v="2018"/>
    <x v="11"/>
  </r>
  <r>
    <d v="2018-12-20T00:00:00"/>
    <x v="50"/>
    <n v="17.7"/>
    <n v="27.7"/>
    <x v="0"/>
    <s v="Normal"/>
    <s v="Normal"/>
    <s v="Normal"/>
    <s v="Normal"/>
    <n v="2018"/>
    <x v="11"/>
  </r>
  <r>
    <d v="2018-12-29T00:00:00"/>
    <x v="69"/>
    <n v="18.600000000000001"/>
    <n v="27.8"/>
    <x v="39"/>
    <s v="Normal"/>
    <s v="Normal"/>
    <s v="Normal"/>
    <s v="Outlier"/>
    <n v="2018"/>
    <x v="11"/>
  </r>
  <r>
    <d v="2018-12-30T00:00:00"/>
    <x v="72"/>
    <n v="17.2"/>
    <n v="26.6"/>
    <x v="0"/>
    <s v="Normal"/>
    <s v="Normal"/>
    <s v="Normal"/>
    <s v="Normal"/>
    <n v="2018"/>
    <x v="11"/>
  </r>
  <r>
    <d v="2019-01-29T00:00:00"/>
    <x v="1"/>
    <n v="17.7"/>
    <n v="29.6"/>
    <x v="19"/>
    <s v="Normal"/>
    <s v="Normal"/>
    <s v="Normal"/>
    <s v="Normal"/>
    <n v="2019"/>
    <x v="11"/>
  </r>
  <r>
    <d v="2019-01-30T00:00:00"/>
    <x v="2"/>
    <n v="17.2"/>
    <n v="27.4"/>
    <x v="0"/>
    <s v="Normal"/>
    <s v="Normal"/>
    <s v="Normal"/>
    <s v="Normal"/>
    <n v="2019"/>
    <x v="1"/>
  </r>
  <r>
    <d v="2019-03-05T00:00:00"/>
    <x v="12"/>
    <n v="23.1"/>
    <n v="34.299999999999997"/>
    <x v="0"/>
    <s v="Normal"/>
    <s v="Normal"/>
    <s v="Normal"/>
    <s v="Normal"/>
    <n v="2019"/>
    <x v="1"/>
  </r>
  <r>
    <d v="2019-04-09T00:00:00"/>
    <x v="66"/>
    <n v="22.8"/>
    <n v="35.6"/>
    <x v="90"/>
    <s v="Normal"/>
    <s v="Normal"/>
    <s v="Normal"/>
    <s v="Normal"/>
    <n v="2019"/>
    <x v="2"/>
  </r>
  <r>
    <d v="2019-04-18T00:00:00"/>
    <x v="8"/>
    <n v="21.6"/>
    <n v="36"/>
    <x v="95"/>
    <s v="Normal"/>
    <s v="Normal"/>
    <s v="Normal"/>
    <s v="Outlier"/>
    <n v="2019"/>
    <x v="3"/>
  </r>
  <r>
    <d v="2019-04-19T00:00:00"/>
    <x v="20"/>
    <n v="21.4"/>
    <n v="35.6"/>
    <x v="96"/>
    <s v="Normal"/>
    <s v="Normal"/>
    <s v="Normal"/>
    <s v="Outlier"/>
    <n v="2019"/>
    <x v="3"/>
  </r>
  <r>
    <d v="2019-04-20T00:00:00"/>
    <x v="16"/>
    <n v="22.4"/>
    <n v="33.200000000000003"/>
    <x v="1"/>
    <s v="Normal"/>
    <s v="Normal"/>
    <s v="Normal"/>
    <s v="Normal"/>
    <n v="2019"/>
    <x v="3"/>
  </r>
  <r>
    <d v="2019-04-21T00:00:00"/>
    <x v="73"/>
    <n v="21.6"/>
    <n v="34.200000000000003"/>
    <x v="0"/>
    <s v="Normal"/>
    <s v="Normal"/>
    <s v="Normal"/>
    <s v="Normal"/>
    <n v="2019"/>
    <x v="3"/>
  </r>
  <r>
    <d v="2019-04-23T00:00:00"/>
    <x v="74"/>
    <n v="23.2"/>
    <n v="35"/>
    <x v="0"/>
    <s v="Normal"/>
    <s v="Normal"/>
    <s v="Normal"/>
    <s v="Normal"/>
    <n v="2019"/>
    <x v="3"/>
  </r>
  <r>
    <d v="2019-04-30T00:00:00"/>
    <x v="37"/>
    <n v="19.899999999999999"/>
    <n v="35"/>
    <x v="97"/>
    <s v="Normal"/>
    <s v="Normal"/>
    <s v="Normal"/>
    <s v="Outlier"/>
    <n v="2019"/>
    <x v="3"/>
  </r>
  <r>
    <d v="2019-05-01T00:00:00"/>
    <x v="68"/>
    <n v="20.9"/>
    <n v="28.9"/>
    <x v="0"/>
    <s v="Normal"/>
    <s v="Normal"/>
    <s v="Normal"/>
    <s v="Normal"/>
    <n v="2019"/>
    <x v="3"/>
  </r>
  <r>
    <d v="2019-05-07T00:00:00"/>
    <x v="30"/>
    <n v="21.9"/>
    <n v="36.200000000000003"/>
    <x v="0"/>
    <s v="Normal"/>
    <s v="Normal"/>
    <s v="Normal"/>
    <s v="Normal"/>
    <n v="2019"/>
    <x v="4"/>
  </r>
  <r>
    <d v="2019-05-08T00:00:00"/>
    <x v="7"/>
    <n v="20.6"/>
    <n v="33.6"/>
    <x v="6"/>
    <s v="Normal"/>
    <s v="Normal"/>
    <s v="Normal"/>
    <s v="Outlier"/>
    <n v="2019"/>
    <x v="4"/>
  </r>
  <r>
    <d v="2019-05-09T00:00:00"/>
    <x v="74"/>
    <n v="20.8"/>
    <n v="33.1"/>
    <x v="0"/>
    <s v="Normal"/>
    <s v="Normal"/>
    <s v="Normal"/>
    <s v="Normal"/>
    <n v="2019"/>
    <x v="4"/>
  </r>
  <r>
    <d v="2019-05-12T00:00:00"/>
    <x v="12"/>
    <n v="24.4"/>
    <n v="35.200000000000003"/>
    <x v="35"/>
    <s v="Normal"/>
    <s v="Outlier"/>
    <s v="Normal"/>
    <s v="Normal"/>
    <n v="2019"/>
    <x v="4"/>
  </r>
  <r>
    <d v="2019-05-13T00:00:00"/>
    <x v="7"/>
    <n v="21.7"/>
    <n v="35"/>
    <x v="0"/>
    <s v="Normal"/>
    <s v="Normal"/>
    <s v="Normal"/>
    <s v="Normal"/>
    <n v="2019"/>
    <x v="4"/>
  </r>
  <r>
    <d v="2019-05-14T00:00:00"/>
    <x v="74"/>
    <n v="21.8"/>
    <n v="35"/>
    <x v="0"/>
    <s v="Normal"/>
    <s v="Normal"/>
    <s v="Normal"/>
    <s v="Normal"/>
    <n v="2019"/>
    <x v="4"/>
  </r>
  <r>
    <d v="2019-05-15T00:00:00"/>
    <x v="6"/>
    <n v="22.2"/>
    <n v="34.799999999999997"/>
    <x v="0"/>
    <s v="Normal"/>
    <s v="Normal"/>
    <s v="Normal"/>
    <s v="Normal"/>
    <n v="2019"/>
    <x v="4"/>
  </r>
  <r>
    <d v="2019-05-17T00:00:00"/>
    <x v="42"/>
    <n v="21.4"/>
    <n v="33.6"/>
    <x v="12"/>
    <s v="Normal"/>
    <s v="Normal"/>
    <s v="Normal"/>
    <s v="Normal"/>
    <n v="2019"/>
    <x v="4"/>
  </r>
  <r>
    <d v="2019-05-18T00:00:00"/>
    <x v="67"/>
    <n v="21.4"/>
    <n v="33.6"/>
    <x v="98"/>
    <s v="Normal"/>
    <s v="Normal"/>
    <s v="Normal"/>
    <s v="Outlier"/>
    <n v="2019"/>
    <x v="4"/>
  </r>
  <r>
    <d v="2019-05-19T00:00:00"/>
    <x v="66"/>
    <n v="23.8"/>
    <n v="34"/>
    <x v="0"/>
    <s v="Normal"/>
    <s v="Outlier"/>
    <s v="Normal"/>
    <s v="Normal"/>
    <n v="2019"/>
    <x v="4"/>
  </r>
  <r>
    <d v="2019-05-23T00:00:00"/>
    <x v="64"/>
    <n v="22.6"/>
    <n v="34.6"/>
    <x v="6"/>
    <s v="Normal"/>
    <s v="Normal"/>
    <s v="Normal"/>
    <s v="Outlier"/>
    <n v="2019"/>
    <x v="4"/>
  </r>
  <r>
    <d v="2019-05-24T00:00:00"/>
    <x v="26"/>
    <n v="22.4"/>
    <n v="34"/>
    <x v="22"/>
    <s v="Normal"/>
    <s v="Normal"/>
    <s v="Normal"/>
    <s v="Normal"/>
    <n v="2019"/>
    <x v="4"/>
  </r>
  <r>
    <d v="2019-05-25T00:00:00"/>
    <x v="29"/>
    <n v="21"/>
    <n v="33.5"/>
    <x v="0"/>
    <s v="Normal"/>
    <s v="Normal"/>
    <s v="Normal"/>
    <s v="Normal"/>
    <n v="2019"/>
    <x v="4"/>
  </r>
  <r>
    <d v="2019-05-27T00:00:00"/>
    <x v="67"/>
    <n v="20"/>
    <n v="33.799999999999997"/>
    <x v="99"/>
    <s v="Normal"/>
    <s v="Normal"/>
    <s v="Normal"/>
    <s v="Outlier"/>
    <n v="2019"/>
    <x v="4"/>
  </r>
  <r>
    <d v="2019-05-28T00:00:00"/>
    <x v="75"/>
    <n v="24.7"/>
    <n v="34.200000000000003"/>
    <x v="0"/>
    <s v="Normal"/>
    <s v="Outlier"/>
    <s v="Normal"/>
    <s v="Normal"/>
    <n v="2019"/>
    <x v="4"/>
  </r>
  <r>
    <d v="2019-05-29T00:00:00"/>
    <x v="74"/>
    <n v="23"/>
    <n v="33.6"/>
    <x v="1"/>
    <s v="Normal"/>
    <s v="Normal"/>
    <s v="Normal"/>
    <s v="Normal"/>
    <n v="2019"/>
    <x v="4"/>
  </r>
  <r>
    <d v="2019-05-30T00:00:00"/>
    <x v="12"/>
    <n v="23"/>
    <n v="34"/>
    <x v="0"/>
    <s v="Normal"/>
    <s v="Normal"/>
    <s v="Normal"/>
    <s v="Normal"/>
    <n v="2019"/>
    <x v="4"/>
  </r>
  <r>
    <d v="2019-06-01T00:00:00"/>
    <x v="75"/>
    <n v="21"/>
    <n v="33.200000000000003"/>
    <x v="26"/>
    <s v="Normal"/>
    <s v="Normal"/>
    <s v="Normal"/>
    <s v="Normal"/>
    <n v="2019"/>
    <x v="4"/>
  </r>
  <r>
    <d v="2019-06-02T00:00:00"/>
    <x v="5"/>
    <n v="21.8"/>
    <n v="33.200000000000003"/>
    <x v="0"/>
    <s v="Normal"/>
    <s v="Normal"/>
    <s v="Normal"/>
    <s v="Normal"/>
    <n v="2019"/>
    <x v="5"/>
  </r>
  <r>
    <d v="2019-06-03T00:00:00"/>
    <x v="30"/>
    <n v="21.2"/>
    <n v="32.1"/>
    <x v="2"/>
    <s v="Normal"/>
    <s v="Normal"/>
    <s v="Normal"/>
    <s v="Normal"/>
    <n v="2019"/>
    <x v="5"/>
  </r>
  <r>
    <d v="2019-06-04T00:00:00"/>
    <x v="22"/>
    <n v="22.1"/>
    <n v="30.5"/>
    <x v="0"/>
    <s v="Normal"/>
    <s v="Normal"/>
    <s v="Normal"/>
    <s v="Normal"/>
    <n v="2019"/>
    <x v="5"/>
  </r>
  <r>
    <d v="2019-06-06T00:00:00"/>
    <x v="32"/>
    <n v="20.6"/>
    <n v="32.4"/>
    <x v="100"/>
    <s v="Normal"/>
    <s v="Normal"/>
    <s v="Normal"/>
    <s v="Outlier"/>
    <n v="2019"/>
    <x v="5"/>
  </r>
  <r>
    <d v="2019-06-07T00:00:00"/>
    <x v="51"/>
    <n v="20.6"/>
    <n v="32"/>
    <x v="13"/>
    <s v="Normal"/>
    <s v="Normal"/>
    <s v="Normal"/>
    <s v="Outlier"/>
    <n v="2019"/>
    <x v="5"/>
  </r>
  <r>
    <d v="2019-06-08T00:00:00"/>
    <x v="68"/>
    <n v="22.5"/>
    <n v="31.5"/>
    <x v="0"/>
    <s v="Normal"/>
    <s v="Normal"/>
    <s v="Normal"/>
    <s v="Normal"/>
    <n v="2019"/>
    <x v="5"/>
  </r>
  <r>
    <d v="2019-06-13T00:00:00"/>
    <x v="29"/>
    <n v="22"/>
    <n v="29.4"/>
    <x v="0"/>
    <s v="Normal"/>
    <s v="Normal"/>
    <s v="Normal"/>
    <s v="Normal"/>
    <n v="2019"/>
    <x v="5"/>
  </r>
  <r>
    <d v="2019-06-19T00:00:00"/>
    <x v="15"/>
    <n v="21.5"/>
    <n v="31.2"/>
    <x v="0"/>
    <s v="Normal"/>
    <s v="Normal"/>
    <s v="Normal"/>
    <s v="Normal"/>
    <n v="2019"/>
    <x v="5"/>
  </r>
  <r>
    <d v="2019-06-20T00:00:00"/>
    <x v="14"/>
    <n v="22.2"/>
    <n v="32.299999999999997"/>
    <x v="8"/>
    <s v="Normal"/>
    <s v="Normal"/>
    <s v="Normal"/>
    <s v="Normal"/>
    <n v="2019"/>
    <x v="5"/>
  </r>
  <r>
    <d v="2019-06-21T00:00:00"/>
    <x v="40"/>
    <n v="20.7"/>
    <n v="30.6"/>
    <x v="0"/>
    <s v="Normal"/>
    <s v="Normal"/>
    <s v="Normal"/>
    <s v="Normal"/>
    <n v="2019"/>
    <x v="5"/>
  </r>
  <r>
    <d v="2019-06-22T00:00:00"/>
    <x v="9"/>
    <n v="21.6"/>
    <n v="29.4"/>
    <x v="0"/>
    <s v="Normal"/>
    <s v="Normal"/>
    <s v="Normal"/>
    <s v="Normal"/>
    <n v="2019"/>
    <x v="5"/>
  </r>
  <r>
    <d v="2019-06-23T00:00:00"/>
    <x v="38"/>
    <n v="20.8"/>
    <n v="29.4"/>
    <x v="80"/>
    <s v="Normal"/>
    <s v="Normal"/>
    <s v="Normal"/>
    <s v="Normal"/>
    <n v="2019"/>
    <x v="5"/>
  </r>
  <r>
    <d v="2019-06-24T00:00:00"/>
    <x v="47"/>
    <n v="21"/>
    <n v="29.4"/>
    <x v="34"/>
    <s v="Normal"/>
    <s v="Normal"/>
    <s v="Normal"/>
    <s v="Outlier"/>
    <n v="2019"/>
    <x v="5"/>
  </r>
  <r>
    <d v="2019-06-25T00:00:00"/>
    <x v="34"/>
    <n v="21.4"/>
    <n v="29.7"/>
    <x v="0"/>
    <s v="Normal"/>
    <s v="Normal"/>
    <s v="Normal"/>
    <s v="Normal"/>
    <n v="2019"/>
    <x v="5"/>
  </r>
  <r>
    <d v="2019-06-26T00:00:00"/>
    <x v="40"/>
    <n v="21.6"/>
    <n v="29.8"/>
    <x v="0"/>
    <s v="Normal"/>
    <s v="Normal"/>
    <s v="Normal"/>
    <s v="Normal"/>
    <n v="2019"/>
    <x v="5"/>
  </r>
  <r>
    <d v="2019-06-28T00:00:00"/>
    <x v="45"/>
    <n v="21"/>
    <n v="31"/>
    <x v="60"/>
    <s v="Normal"/>
    <s v="Normal"/>
    <s v="Normal"/>
    <s v="Normal"/>
    <n v="2019"/>
    <x v="5"/>
  </r>
  <r>
    <d v="2019-06-29T00:00:00"/>
    <x v="9"/>
    <n v="21"/>
    <n v="31.2"/>
    <x v="0"/>
    <s v="Normal"/>
    <s v="Normal"/>
    <s v="Normal"/>
    <s v="Normal"/>
    <n v="2019"/>
    <x v="5"/>
  </r>
  <r>
    <d v="2019-07-01T00:00:00"/>
    <x v="6"/>
    <n v="21"/>
    <n v="29.8"/>
    <x v="0"/>
    <s v="Normal"/>
    <s v="Normal"/>
    <s v="Normal"/>
    <s v="Normal"/>
    <n v="2019"/>
    <x v="5"/>
  </r>
  <r>
    <d v="2019-07-03T00:00:00"/>
    <x v="51"/>
    <n v="21.4"/>
    <n v="30.8"/>
    <x v="0"/>
    <s v="Normal"/>
    <s v="Normal"/>
    <s v="Normal"/>
    <s v="Normal"/>
    <n v="2019"/>
    <x v="6"/>
  </r>
  <r>
    <d v="2019-07-05T00:00:00"/>
    <x v="4"/>
    <n v="20.8"/>
    <n v="30.3"/>
    <x v="0"/>
    <s v="Normal"/>
    <s v="Normal"/>
    <s v="Normal"/>
    <s v="Normal"/>
    <n v="2019"/>
    <x v="6"/>
  </r>
  <r>
    <d v="2019-07-07T00:00:00"/>
    <x v="47"/>
    <n v="20.7"/>
    <n v="28.6"/>
    <x v="7"/>
    <s v="Normal"/>
    <s v="Normal"/>
    <s v="Normal"/>
    <s v="Normal"/>
    <n v="2019"/>
    <x v="6"/>
  </r>
  <r>
    <d v="2019-07-08T00:00:00"/>
    <x v="41"/>
    <n v="20.6"/>
    <n v="29.2"/>
    <x v="0"/>
    <s v="Normal"/>
    <s v="Normal"/>
    <s v="Normal"/>
    <s v="Normal"/>
    <n v="2019"/>
    <x v="6"/>
  </r>
  <r>
    <d v="2019-07-09T00:00:00"/>
    <x v="38"/>
    <n v="20"/>
    <n v="29.5"/>
    <x v="0"/>
    <s v="Normal"/>
    <s v="Normal"/>
    <s v="Normal"/>
    <s v="Normal"/>
    <n v="2019"/>
    <x v="6"/>
  </r>
  <r>
    <d v="2019-07-10T00:00:00"/>
    <x v="46"/>
    <n v="19.5"/>
    <n v="29.6"/>
    <x v="0"/>
    <s v="Normal"/>
    <s v="Normal"/>
    <s v="Normal"/>
    <s v="Normal"/>
    <n v="2019"/>
    <x v="6"/>
  </r>
  <r>
    <d v="2019-07-11T00:00:00"/>
    <x v="37"/>
    <n v="20.2"/>
    <n v="29.4"/>
    <x v="0"/>
    <s v="Normal"/>
    <s v="Normal"/>
    <s v="Normal"/>
    <s v="Normal"/>
    <n v="2019"/>
    <x v="6"/>
  </r>
  <r>
    <d v="2019-07-12T00:00:00"/>
    <x v="10"/>
    <n v="20.8"/>
    <n v="31.4"/>
    <x v="81"/>
    <s v="Normal"/>
    <s v="Normal"/>
    <s v="Normal"/>
    <s v="Normal"/>
    <n v="2019"/>
    <x v="6"/>
  </r>
  <r>
    <d v="2019-07-13T00:00:00"/>
    <x v="45"/>
    <n v="21"/>
    <n v="31.2"/>
    <x v="11"/>
    <s v="Normal"/>
    <s v="Normal"/>
    <s v="Normal"/>
    <s v="Normal"/>
    <n v="2019"/>
    <x v="6"/>
  </r>
  <r>
    <d v="2019-07-14T00:00:00"/>
    <x v="52"/>
    <n v="21.3"/>
    <n v="30"/>
    <x v="7"/>
    <s v="Normal"/>
    <s v="Normal"/>
    <s v="Normal"/>
    <s v="Normal"/>
    <n v="2019"/>
    <x v="6"/>
  </r>
  <r>
    <d v="2019-07-15T00:00:00"/>
    <x v="37"/>
    <n v="21.4"/>
    <n v="30.8"/>
    <x v="1"/>
    <s v="Normal"/>
    <s v="Normal"/>
    <s v="Normal"/>
    <s v="Normal"/>
    <n v="2019"/>
    <x v="6"/>
  </r>
  <r>
    <d v="2019-07-16T00:00:00"/>
    <x v="29"/>
    <n v="21"/>
    <n v="30.4"/>
    <x v="80"/>
    <s v="Normal"/>
    <s v="Normal"/>
    <s v="Normal"/>
    <s v="Normal"/>
    <n v="2019"/>
    <x v="6"/>
  </r>
  <r>
    <d v="2019-07-17T00:00:00"/>
    <x v="29"/>
    <n v="21"/>
    <n v="30.3"/>
    <x v="80"/>
    <s v="Normal"/>
    <s v="Normal"/>
    <s v="Normal"/>
    <s v="Normal"/>
    <n v="2019"/>
    <x v="6"/>
  </r>
  <r>
    <d v="2019-07-18T00:00:00"/>
    <x v="44"/>
    <n v="21.4"/>
    <n v="29.3"/>
    <x v="64"/>
    <s v="Normal"/>
    <s v="Normal"/>
    <s v="Normal"/>
    <s v="Outlier"/>
    <n v="2019"/>
    <x v="6"/>
  </r>
  <r>
    <d v="2019-07-19T00:00:00"/>
    <x v="43"/>
    <n v="21.6"/>
    <n v="28.4"/>
    <x v="7"/>
    <s v="Normal"/>
    <s v="Normal"/>
    <s v="Normal"/>
    <s v="Normal"/>
    <n v="2019"/>
    <x v="6"/>
  </r>
  <r>
    <d v="2019-07-20T00:00:00"/>
    <x v="35"/>
    <n v="20.6"/>
    <n v="28.4"/>
    <x v="8"/>
    <s v="Normal"/>
    <s v="Normal"/>
    <s v="Normal"/>
    <s v="Normal"/>
    <n v="2019"/>
    <x v="6"/>
  </r>
  <r>
    <d v="2019-07-21T00:00:00"/>
    <x v="55"/>
    <n v="20.6"/>
    <n v="27.7"/>
    <x v="0"/>
    <s v="Normal"/>
    <s v="Normal"/>
    <s v="Normal"/>
    <s v="Normal"/>
    <n v="2019"/>
    <x v="6"/>
  </r>
  <r>
    <d v="2019-07-22T00:00:00"/>
    <x v="50"/>
    <n v="19.899999999999999"/>
    <n v="27.6"/>
    <x v="38"/>
    <s v="Normal"/>
    <s v="Normal"/>
    <s v="Normal"/>
    <s v="Normal"/>
    <n v="2019"/>
    <x v="6"/>
  </r>
  <r>
    <d v="2019-07-23T00:00:00"/>
    <x v="59"/>
    <n v="19.2"/>
    <n v="26"/>
    <x v="78"/>
    <s v="Normal"/>
    <s v="Normal"/>
    <s v="Normal"/>
    <s v="Outlier"/>
    <n v="2019"/>
    <x v="6"/>
  </r>
  <r>
    <d v="2019-07-24T00:00:00"/>
    <x v="44"/>
    <n v="20"/>
    <n v="29.7"/>
    <x v="1"/>
    <s v="Normal"/>
    <s v="Normal"/>
    <s v="Normal"/>
    <s v="Normal"/>
    <n v="2019"/>
    <x v="6"/>
  </r>
  <r>
    <d v="2019-07-25T00:00:00"/>
    <x v="38"/>
    <n v="21.3"/>
    <n v="29.5"/>
    <x v="7"/>
    <s v="Normal"/>
    <s v="Normal"/>
    <s v="Normal"/>
    <s v="Normal"/>
    <n v="2019"/>
    <x v="6"/>
  </r>
  <r>
    <d v="2019-07-26T00:00:00"/>
    <x v="54"/>
    <n v="20.6"/>
    <n v="28.5"/>
    <x v="101"/>
    <s v="Normal"/>
    <s v="Normal"/>
    <s v="Normal"/>
    <s v="Outlier"/>
    <n v="2019"/>
    <x v="6"/>
  </r>
  <r>
    <d v="2019-07-27T00:00:00"/>
    <x v="39"/>
    <n v="20.399999999999999"/>
    <n v="28.3"/>
    <x v="0"/>
    <s v="Normal"/>
    <s v="Normal"/>
    <s v="Normal"/>
    <s v="Normal"/>
    <n v="2019"/>
    <x v="6"/>
  </r>
  <r>
    <d v="2019-07-28T00:00:00"/>
    <x v="35"/>
    <n v="20.6"/>
    <n v="29"/>
    <x v="0"/>
    <s v="Normal"/>
    <s v="Normal"/>
    <s v="Normal"/>
    <s v="Normal"/>
    <n v="2019"/>
    <x v="6"/>
  </r>
  <r>
    <d v="2019-07-29T00:00:00"/>
    <x v="35"/>
    <n v="20.8"/>
    <n v="28.2"/>
    <x v="0"/>
    <s v="Normal"/>
    <s v="Normal"/>
    <s v="Normal"/>
    <s v="Normal"/>
    <n v="2019"/>
    <x v="6"/>
  </r>
  <r>
    <d v="2019-07-30T00:00:00"/>
    <x v="49"/>
    <n v="20.100000000000001"/>
    <n v="27.6"/>
    <x v="0"/>
    <s v="Normal"/>
    <s v="Normal"/>
    <s v="Normal"/>
    <s v="Normal"/>
    <n v="2019"/>
    <x v="6"/>
  </r>
  <r>
    <d v="2019-08-05T00:00:00"/>
    <x v="56"/>
    <n v="20.6"/>
    <n v="27.9"/>
    <x v="60"/>
    <s v="Normal"/>
    <s v="Normal"/>
    <s v="Normal"/>
    <s v="Normal"/>
    <n v="2019"/>
    <x v="6"/>
  </r>
  <r>
    <d v="2019-08-06T00:00:00"/>
    <x v="69"/>
    <n v="20"/>
    <n v="25.6"/>
    <x v="102"/>
    <s v="Normal"/>
    <s v="Normal"/>
    <s v="Normal"/>
    <s v="Normal"/>
    <n v="2019"/>
    <x v="7"/>
  </r>
  <r>
    <d v="2019-08-07T00:00:00"/>
    <x v="2"/>
    <n v="20.3"/>
    <n v="25.4"/>
    <x v="60"/>
    <s v="Normal"/>
    <s v="Normal"/>
    <s v="Normal"/>
    <s v="Normal"/>
    <n v="2019"/>
    <x v="7"/>
  </r>
  <r>
    <d v="2019-08-08T00:00:00"/>
    <x v="59"/>
    <n v="20.8"/>
    <n v="25.2"/>
    <x v="80"/>
    <s v="Normal"/>
    <s v="Normal"/>
    <s v="Normal"/>
    <s v="Normal"/>
    <n v="2019"/>
    <x v="7"/>
  </r>
  <r>
    <d v="2019-08-09T00:00:00"/>
    <x v="69"/>
    <n v="20.3"/>
    <n v="25.7"/>
    <x v="103"/>
    <s v="Normal"/>
    <s v="Normal"/>
    <s v="Normal"/>
    <s v="Outlier"/>
    <n v="2019"/>
    <x v="7"/>
  </r>
  <r>
    <d v="2019-08-10T00:00:00"/>
    <x v="3"/>
    <n v="19.8"/>
    <n v="26.2"/>
    <x v="19"/>
    <s v="Normal"/>
    <s v="Normal"/>
    <s v="Normal"/>
    <s v="Normal"/>
    <n v="2019"/>
    <x v="7"/>
  </r>
  <r>
    <d v="2019-08-11T00:00:00"/>
    <x v="55"/>
    <n v="20"/>
    <n v="28.5"/>
    <x v="0"/>
    <s v="Normal"/>
    <s v="Normal"/>
    <s v="Normal"/>
    <s v="Normal"/>
    <n v="2019"/>
    <x v="7"/>
  </r>
  <r>
    <d v="2019-08-12T00:00:00"/>
    <x v="46"/>
    <n v="20.2"/>
    <n v="27.5"/>
    <x v="9"/>
    <s v="Normal"/>
    <s v="Normal"/>
    <s v="Normal"/>
    <s v="Normal"/>
    <n v="2019"/>
    <x v="7"/>
  </r>
  <r>
    <d v="2019-08-13T00:00:00"/>
    <x v="28"/>
    <n v="20.6"/>
    <n v="27.6"/>
    <x v="70"/>
    <s v="Normal"/>
    <s v="Normal"/>
    <s v="Normal"/>
    <s v="Outlier"/>
    <n v="2019"/>
    <x v="7"/>
  </r>
  <r>
    <d v="2019-08-14T00:00:00"/>
    <x v="48"/>
    <n v="20.7"/>
    <n v="27.4"/>
    <x v="1"/>
    <s v="Normal"/>
    <s v="Normal"/>
    <s v="Normal"/>
    <s v="Normal"/>
    <n v="2019"/>
    <x v="7"/>
  </r>
  <r>
    <d v="2019-08-15T00:00:00"/>
    <x v="46"/>
    <n v="20.5"/>
    <n v="28.4"/>
    <x v="52"/>
    <s v="Normal"/>
    <s v="Normal"/>
    <s v="Normal"/>
    <s v="Normal"/>
    <n v="2019"/>
    <x v="7"/>
  </r>
  <r>
    <d v="2019-08-16T00:00:00"/>
    <x v="28"/>
    <n v="20.8"/>
    <n v="29.2"/>
    <x v="0"/>
    <s v="Normal"/>
    <s v="Normal"/>
    <s v="Normal"/>
    <s v="Normal"/>
    <n v="2019"/>
    <x v="7"/>
  </r>
  <r>
    <d v="2019-08-17T00:00:00"/>
    <x v="50"/>
    <n v="20"/>
    <n v="28.6"/>
    <x v="80"/>
    <s v="Normal"/>
    <s v="Normal"/>
    <s v="Normal"/>
    <s v="Normal"/>
    <n v="2019"/>
    <x v="7"/>
  </r>
  <r>
    <d v="2019-08-18T00:00:00"/>
    <x v="60"/>
    <n v="20.6"/>
    <n v="24.8"/>
    <x v="104"/>
    <s v="Normal"/>
    <s v="Normal"/>
    <s v="Normal"/>
    <s v="Outlier"/>
    <n v="2019"/>
    <x v="7"/>
  </r>
  <r>
    <d v="2019-08-19T00:00:00"/>
    <x v="53"/>
    <n v="20.3"/>
    <n v="28.8"/>
    <x v="69"/>
    <s v="Normal"/>
    <s v="Normal"/>
    <s v="Normal"/>
    <s v="Outlier"/>
    <n v="2019"/>
    <x v="7"/>
  </r>
  <r>
    <d v="2019-08-20T00:00:00"/>
    <x v="48"/>
    <n v="20.100000000000001"/>
    <n v="29"/>
    <x v="105"/>
    <s v="Normal"/>
    <s v="Normal"/>
    <s v="Normal"/>
    <s v="Outlier"/>
    <n v="2019"/>
    <x v="7"/>
  </r>
  <r>
    <d v="2019-08-21T00:00:00"/>
    <x v="46"/>
    <n v="20.8"/>
    <n v="27.4"/>
    <x v="31"/>
    <s v="Normal"/>
    <s v="Normal"/>
    <s v="Normal"/>
    <s v="Outlier"/>
    <n v="2019"/>
    <x v="7"/>
  </r>
  <r>
    <d v="2019-08-22T00:00:00"/>
    <x v="3"/>
    <n v="20.8"/>
    <n v="27.3"/>
    <x v="0"/>
    <s v="Normal"/>
    <s v="Normal"/>
    <s v="Normal"/>
    <s v="Normal"/>
    <n v="2019"/>
    <x v="7"/>
  </r>
  <r>
    <d v="2019-08-23T00:00:00"/>
    <x v="3"/>
    <n v="20.3"/>
    <n v="27.5"/>
    <x v="36"/>
    <s v="Normal"/>
    <s v="Normal"/>
    <s v="Normal"/>
    <s v="Normal"/>
    <n v="2019"/>
    <x v="7"/>
  </r>
  <r>
    <d v="2019-08-24T00:00:00"/>
    <x v="3"/>
    <n v="20"/>
    <n v="27.6"/>
    <x v="26"/>
    <s v="Normal"/>
    <s v="Normal"/>
    <s v="Normal"/>
    <s v="Normal"/>
    <n v="2019"/>
    <x v="7"/>
  </r>
  <r>
    <d v="2019-08-25T00:00:00"/>
    <x v="55"/>
    <n v="20"/>
    <n v="28.4"/>
    <x v="0"/>
    <s v="Normal"/>
    <s v="Normal"/>
    <s v="Normal"/>
    <s v="Normal"/>
    <n v="2019"/>
    <x v="7"/>
  </r>
  <r>
    <d v="2019-08-26T00:00:00"/>
    <x v="55"/>
    <n v="20"/>
    <n v="28.3"/>
    <x v="0"/>
    <s v="Normal"/>
    <s v="Normal"/>
    <s v="Normal"/>
    <s v="Normal"/>
    <n v="2019"/>
    <x v="7"/>
  </r>
  <r>
    <d v="2019-08-27T00:00:00"/>
    <x v="33"/>
    <n v="20.399999999999999"/>
    <n v="29.4"/>
    <x v="1"/>
    <s v="Normal"/>
    <s v="Normal"/>
    <s v="Normal"/>
    <s v="Normal"/>
    <n v="2019"/>
    <x v="7"/>
  </r>
  <r>
    <d v="2019-08-28T00:00:00"/>
    <x v="4"/>
    <n v="20"/>
    <n v="29"/>
    <x v="0"/>
    <s v="Normal"/>
    <s v="Normal"/>
    <s v="Normal"/>
    <s v="Normal"/>
    <n v="2019"/>
    <x v="7"/>
  </r>
  <r>
    <d v="2019-08-29T00:00:00"/>
    <x v="39"/>
    <n v="20.6"/>
    <n v="29.3"/>
    <x v="0"/>
    <s v="Normal"/>
    <s v="Normal"/>
    <s v="Normal"/>
    <s v="Normal"/>
    <n v="2019"/>
    <x v="7"/>
  </r>
  <r>
    <d v="2019-08-30T00:00:00"/>
    <x v="44"/>
    <n v="20.6"/>
    <n v="29"/>
    <x v="0"/>
    <s v="Normal"/>
    <s v="Normal"/>
    <s v="Normal"/>
    <s v="Normal"/>
    <n v="2019"/>
    <x v="7"/>
  </r>
  <r>
    <d v="2019-08-31T00:00:00"/>
    <x v="55"/>
    <n v="20.399999999999999"/>
    <n v="28.7"/>
    <x v="0"/>
    <s v="Normal"/>
    <s v="Normal"/>
    <s v="Normal"/>
    <s v="Normal"/>
    <n v="2019"/>
    <x v="7"/>
  </r>
  <r>
    <d v="2019-09-01T00:00:00"/>
    <x v="55"/>
    <n v="20.100000000000001"/>
    <n v="26.4"/>
    <x v="0"/>
    <s v="Normal"/>
    <s v="Normal"/>
    <s v="Normal"/>
    <s v="Normal"/>
    <n v="2019"/>
    <x v="7"/>
  </r>
  <r>
    <d v="2019-09-02T00:00:00"/>
    <x v="36"/>
    <n v="20.3"/>
    <n v="26.8"/>
    <x v="5"/>
    <s v="Normal"/>
    <s v="Normal"/>
    <s v="Normal"/>
    <s v="Normal"/>
    <n v="2019"/>
    <x v="8"/>
  </r>
  <r>
    <d v="2019-09-03T00:00:00"/>
    <x v="50"/>
    <n v="20.100000000000001"/>
    <n v="26.4"/>
    <x v="16"/>
    <s v="Normal"/>
    <s v="Normal"/>
    <s v="Normal"/>
    <s v="Outlier"/>
    <n v="2019"/>
    <x v="8"/>
  </r>
  <r>
    <d v="2019-09-04T00:00:00"/>
    <x v="50"/>
    <n v="20.3"/>
    <n v="26.4"/>
    <x v="83"/>
    <s v="Normal"/>
    <s v="Normal"/>
    <s v="Normal"/>
    <s v="Normal"/>
    <n v="2019"/>
    <x v="8"/>
  </r>
  <r>
    <d v="2019-09-05T00:00:00"/>
    <x v="54"/>
    <n v="20.399999999999999"/>
    <n v="27.8"/>
    <x v="0"/>
    <s v="Normal"/>
    <s v="Normal"/>
    <s v="Normal"/>
    <s v="Normal"/>
    <n v="2019"/>
    <x v="8"/>
  </r>
  <r>
    <d v="2019-09-06T00:00:00"/>
    <x v="48"/>
    <n v="20.399999999999999"/>
    <n v="27.4"/>
    <x v="5"/>
    <s v="Normal"/>
    <s v="Normal"/>
    <s v="Normal"/>
    <s v="Normal"/>
    <n v="2019"/>
    <x v="8"/>
  </r>
  <r>
    <d v="2019-09-07T00:00:00"/>
    <x v="46"/>
    <n v="20.399999999999999"/>
    <n v="27.3"/>
    <x v="23"/>
    <s v="Normal"/>
    <s v="Normal"/>
    <s v="Normal"/>
    <s v="Normal"/>
    <n v="2019"/>
    <x v="8"/>
  </r>
  <r>
    <d v="2019-09-08T00:00:00"/>
    <x v="43"/>
    <n v="20.8"/>
    <n v="27.8"/>
    <x v="1"/>
    <s v="Normal"/>
    <s v="Normal"/>
    <s v="Normal"/>
    <s v="Normal"/>
    <n v="2019"/>
    <x v="8"/>
  </r>
  <r>
    <d v="2019-09-09T00:00:00"/>
    <x v="39"/>
    <n v="21"/>
    <n v="27.5"/>
    <x v="1"/>
    <s v="Normal"/>
    <s v="Normal"/>
    <s v="Normal"/>
    <s v="Normal"/>
    <n v="2019"/>
    <x v="8"/>
  </r>
  <r>
    <d v="2019-09-10T00:00:00"/>
    <x v="37"/>
    <n v="20.6"/>
    <n v="27.9"/>
    <x v="0"/>
    <s v="Normal"/>
    <s v="Normal"/>
    <s v="Normal"/>
    <s v="Normal"/>
    <n v="2019"/>
    <x v="8"/>
  </r>
  <r>
    <d v="2019-09-12T00:00:00"/>
    <x v="42"/>
    <n v="21"/>
    <n v="29.6"/>
    <x v="0"/>
    <s v="Normal"/>
    <s v="Normal"/>
    <s v="Normal"/>
    <s v="Normal"/>
    <n v="2019"/>
    <x v="8"/>
  </r>
  <r>
    <d v="2019-09-13T00:00:00"/>
    <x v="52"/>
    <n v="21"/>
    <n v="29.8"/>
    <x v="5"/>
    <s v="Normal"/>
    <s v="Normal"/>
    <s v="Normal"/>
    <s v="Normal"/>
    <n v="2019"/>
    <x v="8"/>
  </r>
  <r>
    <d v="2019-09-14T00:00:00"/>
    <x v="9"/>
    <n v="21.2"/>
    <n v="30.2"/>
    <x v="0"/>
    <s v="Normal"/>
    <s v="Normal"/>
    <s v="Normal"/>
    <s v="Normal"/>
    <n v="2019"/>
    <x v="8"/>
  </r>
  <r>
    <d v="2019-09-15T00:00:00"/>
    <x v="29"/>
    <n v="21.3"/>
    <n v="30.7"/>
    <x v="0"/>
    <s v="Normal"/>
    <s v="Normal"/>
    <s v="Normal"/>
    <s v="Normal"/>
    <n v="2019"/>
    <x v="8"/>
  </r>
  <r>
    <d v="2019-09-16T00:00:00"/>
    <x v="46"/>
    <n v="20.2"/>
    <n v="29.5"/>
    <x v="1"/>
    <s v="Normal"/>
    <s v="Normal"/>
    <s v="Normal"/>
    <s v="Normal"/>
    <n v="2019"/>
    <x v="8"/>
  </r>
  <r>
    <d v="2019-09-17T00:00:00"/>
    <x v="46"/>
    <n v="20.2"/>
    <n v="28.8"/>
    <x v="106"/>
    <s v="Normal"/>
    <s v="Normal"/>
    <s v="Normal"/>
    <s v="Outlier"/>
    <n v="2019"/>
    <x v="8"/>
  </r>
  <r>
    <d v="2019-09-18T00:00:00"/>
    <x v="33"/>
    <n v="21.6"/>
    <n v="27.8"/>
    <x v="5"/>
    <s v="Normal"/>
    <s v="Normal"/>
    <s v="Normal"/>
    <s v="Normal"/>
    <n v="2019"/>
    <x v="8"/>
  </r>
  <r>
    <d v="2019-09-19T00:00:00"/>
    <x v="37"/>
    <n v="21.2"/>
    <n v="27.8"/>
    <x v="1"/>
    <s v="Normal"/>
    <s v="Normal"/>
    <s v="Normal"/>
    <s v="Normal"/>
    <n v="2019"/>
    <x v="8"/>
  </r>
  <r>
    <d v="2019-09-20T00:00:00"/>
    <x v="37"/>
    <n v="20.6"/>
    <n v="29"/>
    <x v="10"/>
    <s v="Normal"/>
    <s v="Normal"/>
    <s v="Normal"/>
    <s v="Normal"/>
    <n v="2019"/>
    <x v="8"/>
  </r>
  <r>
    <d v="2019-09-21T00:00:00"/>
    <x v="45"/>
    <n v="21.2"/>
    <n v="29.8"/>
    <x v="0"/>
    <s v="Normal"/>
    <s v="Normal"/>
    <s v="Normal"/>
    <s v="Normal"/>
    <n v="2019"/>
    <x v="8"/>
  </r>
  <r>
    <d v="2019-09-22T00:00:00"/>
    <x v="46"/>
    <n v="21.2"/>
    <n v="30.8"/>
    <x v="35"/>
    <s v="Normal"/>
    <s v="Normal"/>
    <s v="Normal"/>
    <s v="Normal"/>
    <n v="2019"/>
    <x v="8"/>
  </r>
  <r>
    <d v="2019-09-23T00:00:00"/>
    <x v="4"/>
    <n v="20.6"/>
    <n v="28.8"/>
    <x v="16"/>
    <s v="Normal"/>
    <s v="Normal"/>
    <s v="Normal"/>
    <s v="Outlier"/>
    <n v="2019"/>
    <x v="8"/>
  </r>
  <r>
    <d v="2019-09-24T00:00:00"/>
    <x v="53"/>
    <n v="19.7"/>
    <n v="28.7"/>
    <x v="107"/>
    <s v="Normal"/>
    <s v="Normal"/>
    <s v="Normal"/>
    <s v="Outlier"/>
    <n v="2019"/>
    <x v="8"/>
  </r>
  <r>
    <d v="2019-09-25T00:00:00"/>
    <x v="46"/>
    <n v="20.8"/>
    <n v="28.8"/>
    <x v="108"/>
    <s v="Normal"/>
    <s v="Normal"/>
    <s v="Normal"/>
    <s v="Outlier"/>
    <n v="2019"/>
    <x v="8"/>
  </r>
  <r>
    <d v="2019-09-26T00:00:00"/>
    <x v="33"/>
    <n v="20.2"/>
    <n v="28"/>
    <x v="10"/>
    <s v="Normal"/>
    <s v="Normal"/>
    <s v="Normal"/>
    <s v="Normal"/>
    <n v="2019"/>
    <x v="8"/>
  </r>
  <r>
    <d v="2019-09-27T00:00:00"/>
    <x v="33"/>
    <n v="21"/>
    <n v="29.8"/>
    <x v="0"/>
    <s v="Normal"/>
    <s v="Normal"/>
    <s v="Normal"/>
    <s v="Normal"/>
    <n v="2019"/>
    <x v="8"/>
  </r>
  <r>
    <d v="2019-09-28T00:00:00"/>
    <x v="52"/>
    <n v="21.1"/>
    <n v="29.1"/>
    <x v="9"/>
    <s v="Normal"/>
    <s v="Normal"/>
    <s v="Normal"/>
    <s v="Normal"/>
    <n v="2019"/>
    <x v="8"/>
  </r>
  <r>
    <d v="2019-09-29T00:00:00"/>
    <x v="52"/>
    <n v="21.1"/>
    <n v="30"/>
    <x v="0"/>
    <s v="Normal"/>
    <s v="Normal"/>
    <s v="Normal"/>
    <s v="Normal"/>
    <n v="2019"/>
    <x v="8"/>
  </r>
  <r>
    <d v="2019-10-02T00:00:00"/>
    <x v="38"/>
    <n v="18.600000000000001"/>
    <n v="29.1"/>
    <x v="109"/>
    <s v="Normal"/>
    <s v="Normal"/>
    <s v="Normal"/>
    <s v="Outlier"/>
    <n v="2019"/>
    <x v="8"/>
  </r>
  <r>
    <d v="2019-10-03T00:00:00"/>
    <x v="53"/>
    <n v="19.2"/>
    <n v="30.4"/>
    <x v="35"/>
    <s v="Normal"/>
    <s v="Normal"/>
    <s v="Normal"/>
    <s v="Normal"/>
    <n v="2019"/>
    <x v="9"/>
  </r>
  <r>
    <d v="2019-10-04T00:00:00"/>
    <x v="55"/>
    <n v="19.600000000000001"/>
    <n v="28.3"/>
    <x v="23"/>
    <s v="Normal"/>
    <s v="Normal"/>
    <s v="Normal"/>
    <s v="Normal"/>
    <n v="2019"/>
    <x v="9"/>
  </r>
  <r>
    <d v="2019-10-05T00:00:00"/>
    <x v="53"/>
    <n v="19.899999999999999"/>
    <n v="29.4"/>
    <x v="20"/>
    <s v="Normal"/>
    <s v="Normal"/>
    <s v="Normal"/>
    <s v="Normal"/>
    <n v="2019"/>
    <x v="9"/>
  </r>
  <r>
    <d v="2019-10-06T00:00:00"/>
    <x v="44"/>
    <n v="20.6"/>
    <n v="28.7"/>
    <x v="5"/>
    <s v="Normal"/>
    <s v="Normal"/>
    <s v="Normal"/>
    <s v="Normal"/>
    <n v="2019"/>
    <x v="9"/>
  </r>
  <r>
    <d v="2019-10-07T00:00:00"/>
    <x v="39"/>
    <n v="21.3"/>
    <n v="29.6"/>
    <x v="0"/>
    <s v="Normal"/>
    <s v="Normal"/>
    <s v="Normal"/>
    <s v="Normal"/>
    <n v="2019"/>
    <x v="9"/>
  </r>
  <r>
    <d v="2019-10-08T00:00:00"/>
    <x v="0"/>
    <n v="19.2"/>
    <n v="29.2"/>
    <x v="0"/>
    <s v="Normal"/>
    <s v="Normal"/>
    <s v="Normal"/>
    <s v="Normal"/>
    <n v="2019"/>
    <x v="9"/>
  </r>
  <r>
    <d v="2019-10-09T00:00:00"/>
    <x v="44"/>
    <n v="19.3"/>
    <n v="30.1"/>
    <x v="72"/>
    <s v="Normal"/>
    <s v="Normal"/>
    <s v="Normal"/>
    <s v="Normal"/>
    <n v="2019"/>
    <x v="9"/>
  </r>
  <r>
    <d v="2019-10-10T00:00:00"/>
    <x v="52"/>
    <n v="20.7"/>
    <n v="30"/>
    <x v="0"/>
    <s v="Normal"/>
    <s v="Normal"/>
    <s v="Normal"/>
    <s v="Normal"/>
    <n v="2019"/>
    <x v="9"/>
  </r>
  <r>
    <d v="2019-10-11T00:00:00"/>
    <x v="41"/>
    <n v="21.8"/>
    <n v="30"/>
    <x v="0"/>
    <s v="Normal"/>
    <s v="Normal"/>
    <s v="Normal"/>
    <s v="Normal"/>
    <n v="2019"/>
    <x v="9"/>
  </r>
  <r>
    <d v="2019-10-12T00:00:00"/>
    <x v="34"/>
    <n v="21.5"/>
    <n v="29.6"/>
    <x v="5"/>
    <s v="Normal"/>
    <s v="Normal"/>
    <s v="Normal"/>
    <s v="Normal"/>
    <n v="2019"/>
    <x v="9"/>
  </r>
  <r>
    <d v="2019-10-13T00:00:00"/>
    <x v="31"/>
    <n v="21.5"/>
    <n v="29.8"/>
    <x v="0"/>
    <s v="Normal"/>
    <s v="Normal"/>
    <s v="Normal"/>
    <s v="Normal"/>
    <n v="2019"/>
    <x v="9"/>
  </r>
  <r>
    <d v="2019-10-14T00:00:00"/>
    <x v="7"/>
    <n v="21.6"/>
    <n v="29.6"/>
    <x v="0"/>
    <s v="Normal"/>
    <s v="Normal"/>
    <s v="Normal"/>
    <s v="Normal"/>
    <n v="2019"/>
    <x v="9"/>
  </r>
  <r>
    <d v="2019-10-15T00:00:00"/>
    <x v="52"/>
    <n v="21.6"/>
    <n v="30.7"/>
    <x v="0"/>
    <s v="Normal"/>
    <s v="Normal"/>
    <s v="Normal"/>
    <s v="Normal"/>
    <n v="2019"/>
    <x v="9"/>
  </r>
  <r>
    <d v="2019-10-16T00:00:00"/>
    <x v="47"/>
    <n v="21.2"/>
    <n v="30"/>
    <x v="0"/>
    <s v="Normal"/>
    <s v="Normal"/>
    <s v="Normal"/>
    <s v="Normal"/>
    <n v="2019"/>
    <x v="9"/>
  </r>
  <r>
    <d v="2019-10-17T00:00:00"/>
    <x v="56"/>
    <n v="20.8"/>
    <n v="28.4"/>
    <x v="0"/>
    <s v="Normal"/>
    <s v="Normal"/>
    <s v="Normal"/>
    <s v="Normal"/>
    <n v="2019"/>
    <x v="9"/>
  </r>
  <r>
    <d v="2019-10-18T00:00:00"/>
    <x v="55"/>
    <n v="20.2"/>
    <n v="26.8"/>
    <x v="22"/>
    <s v="Normal"/>
    <s v="Normal"/>
    <s v="Normal"/>
    <s v="Normal"/>
    <n v="2019"/>
    <x v="9"/>
  </r>
  <r>
    <d v="2019-10-19T00:00:00"/>
    <x v="35"/>
    <n v="20.2"/>
    <n v="27.6"/>
    <x v="66"/>
    <s v="Normal"/>
    <s v="Normal"/>
    <s v="Normal"/>
    <s v="Normal"/>
    <n v="2019"/>
    <x v="9"/>
  </r>
  <r>
    <d v="2019-10-20T00:00:00"/>
    <x v="0"/>
    <n v="21"/>
    <n v="27.9"/>
    <x v="0"/>
    <s v="Normal"/>
    <s v="Normal"/>
    <s v="Normal"/>
    <s v="Normal"/>
    <n v="2019"/>
    <x v="9"/>
  </r>
  <r>
    <d v="2019-10-21T00:00:00"/>
    <x v="50"/>
    <n v="20.6"/>
    <n v="28.6"/>
    <x v="35"/>
    <s v="Normal"/>
    <s v="Normal"/>
    <s v="Normal"/>
    <s v="Normal"/>
    <n v="2019"/>
    <x v="9"/>
  </r>
  <r>
    <d v="2019-10-22T00:00:00"/>
    <x v="76"/>
    <n v="20.3"/>
    <n v="27.1"/>
    <x v="110"/>
    <s v="Normal"/>
    <s v="Normal"/>
    <s v="Normal"/>
    <s v="Outlier"/>
    <n v="2019"/>
    <x v="9"/>
  </r>
  <r>
    <d v="2019-10-23T00:00:00"/>
    <x v="48"/>
    <n v="19.8"/>
    <n v="28"/>
    <x v="37"/>
    <s v="Normal"/>
    <s v="Normal"/>
    <s v="Normal"/>
    <s v="Outlier"/>
    <n v="2019"/>
    <x v="9"/>
  </r>
  <r>
    <d v="2019-10-24T00:00:00"/>
    <x v="57"/>
    <n v="20"/>
    <n v="27.6"/>
    <x v="0"/>
    <s v="Normal"/>
    <s v="Normal"/>
    <s v="Normal"/>
    <s v="Normal"/>
    <n v="2019"/>
    <x v="9"/>
  </r>
  <r>
    <d v="2019-10-25T00:00:00"/>
    <x v="61"/>
    <n v="19.600000000000001"/>
    <n v="26.7"/>
    <x v="0"/>
    <s v="Normal"/>
    <s v="Normal"/>
    <s v="Normal"/>
    <s v="Normal"/>
    <n v="2019"/>
    <x v="9"/>
  </r>
  <r>
    <d v="2019-10-26T00:00:00"/>
    <x v="56"/>
    <n v="19"/>
    <n v="27"/>
    <x v="9"/>
    <s v="Normal"/>
    <s v="Normal"/>
    <s v="Normal"/>
    <s v="Normal"/>
    <n v="2019"/>
    <x v="9"/>
  </r>
  <r>
    <d v="2019-10-27T00:00:00"/>
    <x v="36"/>
    <n v="19.399999999999999"/>
    <n v="27.8"/>
    <x v="80"/>
    <s v="Normal"/>
    <s v="Normal"/>
    <s v="Normal"/>
    <s v="Normal"/>
    <n v="2019"/>
    <x v="9"/>
  </r>
  <r>
    <d v="2019-10-28T00:00:00"/>
    <x v="28"/>
    <n v="19.399999999999999"/>
    <n v="27.4"/>
    <x v="111"/>
    <s v="Normal"/>
    <s v="Normal"/>
    <s v="Normal"/>
    <s v="Outlier"/>
    <n v="2019"/>
    <x v="9"/>
  </r>
  <r>
    <d v="2019-10-29T00:00:00"/>
    <x v="59"/>
    <n v="20"/>
    <n v="27.6"/>
    <x v="0"/>
    <s v="Normal"/>
    <s v="Normal"/>
    <s v="Normal"/>
    <s v="Normal"/>
    <n v="2019"/>
    <x v="9"/>
  </r>
  <r>
    <d v="2019-10-30T00:00:00"/>
    <x v="76"/>
    <n v="19.7"/>
    <n v="25.3"/>
    <x v="83"/>
    <s v="Normal"/>
    <s v="Normal"/>
    <s v="Normal"/>
    <s v="Normal"/>
    <n v="2019"/>
    <x v="9"/>
  </r>
  <r>
    <d v="2019-10-31T00:00:00"/>
    <x v="57"/>
    <n v="19.7"/>
    <n v="25.6"/>
    <x v="112"/>
    <s v="Normal"/>
    <s v="Normal"/>
    <s v="Normal"/>
    <s v="Normal"/>
    <n v="2019"/>
    <x v="9"/>
  </r>
  <r>
    <d v="2019-11-01T00:00:00"/>
    <x v="38"/>
    <n v="18"/>
    <n v="28.8"/>
    <x v="1"/>
    <s v="Normal"/>
    <s v="Normal"/>
    <s v="Normal"/>
    <s v="Normal"/>
    <n v="2019"/>
    <x v="9"/>
  </r>
  <r>
    <d v="2019-11-02T00:00:00"/>
    <x v="37"/>
    <n v="21"/>
    <n v="29.4"/>
    <x v="0"/>
    <s v="Normal"/>
    <s v="Normal"/>
    <s v="Normal"/>
    <s v="Normal"/>
    <n v="2019"/>
    <x v="10"/>
  </r>
  <r>
    <d v="2019-11-08T00:00:00"/>
    <x v="41"/>
    <n v="18.8"/>
    <n v="29.4"/>
    <x v="80"/>
    <s v="Normal"/>
    <s v="Normal"/>
    <s v="Normal"/>
    <s v="Normal"/>
    <n v="2019"/>
    <x v="10"/>
  </r>
  <r>
    <d v="2019-11-09T00:00:00"/>
    <x v="44"/>
    <n v="20.3"/>
    <n v="29.2"/>
    <x v="0"/>
    <s v="Normal"/>
    <s v="Normal"/>
    <s v="Normal"/>
    <s v="Normal"/>
    <n v="2019"/>
    <x v="10"/>
  </r>
  <r>
    <d v="2019-11-10T00:00:00"/>
    <x v="40"/>
    <n v="20.399999999999999"/>
    <n v="29.9"/>
    <x v="113"/>
    <s v="Normal"/>
    <s v="Normal"/>
    <s v="Normal"/>
    <s v="Outlier"/>
    <n v="2019"/>
    <x v="10"/>
  </r>
  <r>
    <d v="2019-11-11T00:00:00"/>
    <x v="38"/>
    <n v="19.7"/>
    <n v="29.8"/>
    <x v="0"/>
    <s v="Normal"/>
    <s v="Normal"/>
    <s v="Normal"/>
    <s v="Normal"/>
    <n v="2019"/>
    <x v="10"/>
  </r>
  <r>
    <d v="2019-11-15T00:00:00"/>
    <x v="3"/>
    <n v="19.600000000000001"/>
    <n v="26.8"/>
    <x v="102"/>
    <s v="Normal"/>
    <s v="Normal"/>
    <s v="Normal"/>
    <s v="Normal"/>
    <n v="2019"/>
    <x v="10"/>
  </r>
  <r>
    <d v="2019-11-16T00:00:00"/>
    <x v="53"/>
    <n v="20.399999999999999"/>
    <n v="26.2"/>
    <x v="5"/>
    <s v="Normal"/>
    <s v="Normal"/>
    <s v="Normal"/>
    <s v="Normal"/>
    <n v="2019"/>
    <x v="10"/>
  </r>
  <r>
    <d v="2019-11-17T00:00:00"/>
    <x v="42"/>
    <n v="19.5"/>
    <n v="29.2"/>
    <x v="0"/>
    <s v="Normal"/>
    <s v="Normal"/>
    <s v="Normal"/>
    <s v="Normal"/>
    <n v="2019"/>
    <x v="10"/>
  </r>
  <r>
    <d v="2019-11-19T00:00:00"/>
    <x v="43"/>
    <n v="19.8"/>
    <n v="29.4"/>
    <x v="0"/>
    <s v="Normal"/>
    <s v="Normal"/>
    <s v="Normal"/>
    <s v="Normal"/>
    <n v="2019"/>
    <x v="10"/>
  </r>
  <r>
    <d v="2019-11-21T00:00:00"/>
    <x v="56"/>
    <n v="20.399999999999999"/>
    <n v="27.6"/>
    <x v="11"/>
    <s v="Normal"/>
    <s v="Normal"/>
    <s v="Normal"/>
    <s v="Normal"/>
    <n v="2019"/>
    <x v="10"/>
  </r>
  <r>
    <d v="2019-11-22T00:00:00"/>
    <x v="36"/>
    <n v="19.2"/>
    <n v="25.6"/>
    <x v="0"/>
    <s v="Normal"/>
    <s v="Normal"/>
    <s v="Normal"/>
    <s v="Normal"/>
    <n v="2019"/>
    <x v="10"/>
  </r>
  <r>
    <d v="2019-11-23T00:00:00"/>
    <x v="46"/>
    <n v="17.3"/>
    <n v="28"/>
    <x v="0"/>
    <s v="Normal"/>
    <s v="Normal"/>
    <s v="Normal"/>
    <s v="Normal"/>
    <n v="2019"/>
    <x v="10"/>
  </r>
  <r>
    <d v="2019-11-27T00:00:00"/>
    <x v="1"/>
    <n v="20"/>
    <n v="28.3"/>
    <x v="1"/>
    <s v="Normal"/>
    <s v="Normal"/>
    <s v="Normal"/>
    <s v="Normal"/>
    <n v="2019"/>
    <x v="10"/>
  </r>
  <r>
    <d v="2019-11-28T00:00:00"/>
    <x v="54"/>
    <n v="19.2"/>
    <n v="27.8"/>
    <x v="0"/>
    <s v="Normal"/>
    <s v="Normal"/>
    <s v="Normal"/>
    <s v="Normal"/>
    <n v="2019"/>
    <x v="10"/>
  </r>
  <r>
    <d v="2019-11-29T00:00:00"/>
    <x v="57"/>
    <n v="19.399999999999999"/>
    <n v="28.4"/>
    <x v="0"/>
    <s v="Normal"/>
    <s v="Normal"/>
    <s v="Normal"/>
    <s v="Normal"/>
    <n v="2019"/>
    <x v="10"/>
  </r>
  <r>
    <d v="2019-11-30T00:00:00"/>
    <x v="76"/>
    <n v="18.7"/>
    <n v="27"/>
    <x v="26"/>
    <s v="Normal"/>
    <s v="Normal"/>
    <s v="Normal"/>
    <s v="Normal"/>
    <n v="2019"/>
    <x v="10"/>
  </r>
  <r>
    <d v="2019-12-01T00:00:00"/>
    <x v="77"/>
    <n v="19.399999999999999"/>
    <n v="24.6"/>
    <x v="10"/>
    <s v="Normal"/>
    <s v="Normal"/>
    <s v="Normal"/>
    <s v="Normal"/>
    <n v="2019"/>
    <x v="10"/>
  </r>
  <r>
    <d v="2019-12-02T00:00:00"/>
    <x v="58"/>
    <n v="19.2"/>
    <n v="25"/>
    <x v="112"/>
    <s v="Normal"/>
    <s v="Normal"/>
    <s v="Normal"/>
    <s v="Normal"/>
    <n v="2019"/>
    <x v="11"/>
  </r>
  <r>
    <d v="2019-12-03T00:00:00"/>
    <x v="78"/>
    <n v="19.399999999999999"/>
    <n v="24.5"/>
    <x v="5"/>
    <s v="Normal"/>
    <s v="Normal"/>
    <s v="Normal"/>
    <s v="Normal"/>
    <n v="2019"/>
    <x v="11"/>
  </r>
  <r>
    <d v="2019-12-04T00:00:00"/>
    <x v="77"/>
    <n v="18.8"/>
    <n v="26"/>
    <x v="0"/>
    <s v="Normal"/>
    <s v="Normal"/>
    <s v="Normal"/>
    <s v="Normal"/>
    <n v="2019"/>
    <x v="11"/>
  </r>
  <r>
    <d v="2019-12-05T00:00:00"/>
    <x v="63"/>
    <n v="18"/>
    <n v="26"/>
    <x v="0"/>
    <s v="Normal"/>
    <s v="Normal"/>
    <s v="Normal"/>
    <s v="Normal"/>
    <n v="2019"/>
    <x v="11"/>
  </r>
  <r>
    <d v="2019-12-08T00:00:00"/>
    <x v="79"/>
    <n v="17.8"/>
    <n v="24.9"/>
    <x v="5"/>
    <s v="Normal"/>
    <s v="Normal"/>
    <s v="Normal"/>
    <s v="Normal"/>
    <n v="2019"/>
    <x v="11"/>
  </r>
  <r>
    <d v="2019-12-09T00:00:00"/>
    <x v="61"/>
    <n v="17"/>
    <n v="26.8"/>
    <x v="0"/>
    <s v="Normal"/>
    <s v="Normal"/>
    <s v="Normal"/>
    <s v="Normal"/>
    <n v="2019"/>
    <x v="11"/>
  </r>
  <r>
    <d v="2019-12-14T00:00:00"/>
    <x v="78"/>
    <n v="18.8"/>
    <n v="28.8"/>
    <x v="0"/>
    <s v="Normal"/>
    <s v="Normal"/>
    <s v="Normal"/>
    <s v="Normal"/>
    <n v="2019"/>
    <x v="11"/>
  </r>
  <r>
    <d v="2019-12-15T00:00:00"/>
    <x v="60"/>
    <n v="17.600000000000001"/>
    <n v="25.8"/>
    <x v="102"/>
    <s v="Normal"/>
    <s v="Normal"/>
    <s v="Normal"/>
    <s v="Normal"/>
    <n v="2019"/>
    <x v="11"/>
  </r>
  <r>
    <d v="2019-12-16T00:00:00"/>
    <x v="2"/>
    <n v="17.399999999999999"/>
    <n v="26.7"/>
    <x v="0"/>
    <s v="Normal"/>
    <s v="Normal"/>
    <s v="Normal"/>
    <s v="Normal"/>
    <n v="2019"/>
    <x v="11"/>
  </r>
  <r>
    <d v="2019-12-17T00:00:00"/>
    <x v="58"/>
    <n v="18.399999999999999"/>
    <n v="27.6"/>
    <x v="0"/>
    <s v="Normal"/>
    <s v="Normal"/>
    <s v="Normal"/>
    <s v="Normal"/>
    <n v="2019"/>
    <x v="11"/>
  </r>
  <r>
    <d v="2019-12-18T00:00:00"/>
    <x v="70"/>
    <n v="17"/>
    <n v="26.2"/>
    <x v="0"/>
    <s v="Normal"/>
    <s v="Normal"/>
    <s v="Normal"/>
    <s v="Normal"/>
    <n v="2019"/>
    <x v="11"/>
  </r>
  <r>
    <d v="2020-01-04T00:00:00"/>
    <x v="43"/>
    <n v="18.600000000000001"/>
    <n v="30.5"/>
    <x v="0"/>
    <s v="Normal"/>
    <s v="Normal"/>
    <s v="Normal"/>
    <s v="Normal"/>
    <n v="2020"/>
    <x v="11"/>
  </r>
  <r>
    <d v="2020-01-06T00:00:00"/>
    <x v="2"/>
    <n v="20.399999999999999"/>
    <n v="30.8"/>
    <x v="1"/>
    <s v="Normal"/>
    <s v="Normal"/>
    <s v="Normal"/>
    <s v="Normal"/>
    <n v="2020"/>
    <x v="1"/>
  </r>
  <r>
    <d v="2020-01-07T00:00:00"/>
    <x v="50"/>
    <n v="18.8"/>
    <n v="26.2"/>
    <x v="0"/>
    <s v="Normal"/>
    <s v="Normal"/>
    <s v="Normal"/>
    <s v="Normal"/>
    <n v="2020"/>
    <x v="1"/>
  </r>
  <r>
    <d v="2020-03-03T00:00:00"/>
    <x v="32"/>
    <n v="20"/>
    <n v="30.6"/>
    <x v="0"/>
    <s v="Normal"/>
    <s v="Normal"/>
    <s v="Normal"/>
    <s v="Normal"/>
    <n v="2020"/>
    <x v="1"/>
  </r>
  <r>
    <d v="2020-03-04T00:00:00"/>
    <x v="27"/>
    <n v="21.4"/>
    <n v="33"/>
    <x v="7"/>
    <s v="Normal"/>
    <s v="Normal"/>
    <s v="Normal"/>
    <s v="Normal"/>
    <n v="2020"/>
    <x v="2"/>
  </r>
  <r>
    <d v="2020-03-05T00:00:00"/>
    <x v="73"/>
    <n v="21.6"/>
    <n v="32.4"/>
    <x v="0"/>
    <s v="Normal"/>
    <s v="Normal"/>
    <s v="Normal"/>
    <s v="Normal"/>
    <n v="2020"/>
    <x v="2"/>
  </r>
  <r>
    <d v="2020-03-07T00:00:00"/>
    <x v="26"/>
    <n v="22.3"/>
    <n v="33.4"/>
    <x v="7"/>
    <s v="Normal"/>
    <s v="Normal"/>
    <s v="Normal"/>
    <s v="Normal"/>
    <n v="2020"/>
    <x v="2"/>
  </r>
  <r>
    <d v="2020-03-08T00:00:00"/>
    <x v="27"/>
    <n v="21.2"/>
    <n v="32.299999999999997"/>
    <x v="0"/>
    <s v="Normal"/>
    <s v="Normal"/>
    <s v="Normal"/>
    <s v="Normal"/>
    <n v="2020"/>
    <x v="2"/>
  </r>
  <r>
    <d v="2020-03-21T00:00:00"/>
    <x v="73"/>
    <n v="22"/>
    <n v="34.1"/>
    <x v="7"/>
    <s v="Normal"/>
    <s v="Normal"/>
    <s v="Normal"/>
    <s v="Normal"/>
    <n v="2020"/>
    <x v="2"/>
  </r>
  <r>
    <d v="2020-03-22T00:00:00"/>
    <x v="12"/>
    <n v="22.8"/>
    <n v="35.4"/>
    <x v="0"/>
    <s v="Normal"/>
    <s v="Normal"/>
    <s v="Normal"/>
    <s v="Normal"/>
    <n v="2020"/>
    <x v="2"/>
  </r>
  <r>
    <d v="2020-03-23T00:00:00"/>
    <x v="10"/>
    <n v="22.8"/>
    <n v="34.4"/>
    <x v="0"/>
    <s v="Normal"/>
    <s v="Normal"/>
    <s v="Normal"/>
    <s v="Normal"/>
    <n v="2020"/>
    <x v="2"/>
  </r>
  <r>
    <d v="2020-03-24T00:00:00"/>
    <x v="73"/>
    <n v="20.8"/>
    <n v="34.4"/>
    <x v="25"/>
    <s v="Normal"/>
    <s v="Normal"/>
    <s v="Normal"/>
    <s v="Normal"/>
    <n v="2020"/>
    <x v="2"/>
  </r>
  <r>
    <d v="2020-03-25T00:00:00"/>
    <x v="16"/>
    <n v="21"/>
    <n v="34.700000000000003"/>
    <x v="0"/>
    <s v="Normal"/>
    <s v="Normal"/>
    <s v="Normal"/>
    <s v="Normal"/>
    <n v="2020"/>
    <x v="2"/>
  </r>
  <r>
    <d v="2020-04-06T00:00:00"/>
    <x v="67"/>
    <n v="21.8"/>
    <n v="36.4"/>
    <x v="0"/>
    <s v="Normal"/>
    <s v="Normal"/>
    <s v="Outlier"/>
    <s v="Normal"/>
    <n v="2020"/>
    <x v="2"/>
  </r>
  <r>
    <d v="2020-04-07T00:00:00"/>
    <x v="34"/>
    <n v="21"/>
    <n v="35.6"/>
    <x v="114"/>
    <s v="Normal"/>
    <s v="Normal"/>
    <s v="Normal"/>
    <s v="Outlier"/>
    <n v="2020"/>
    <x v="3"/>
  </r>
  <r>
    <d v="2020-04-08T00:00:00"/>
    <x v="16"/>
    <n v="21"/>
    <n v="32.799999999999997"/>
    <x v="0"/>
    <s v="Normal"/>
    <s v="Normal"/>
    <s v="Normal"/>
    <s v="Normal"/>
    <n v="2020"/>
    <x v="3"/>
  </r>
  <r>
    <d v="2020-04-09T00:00:00"/>
    <x v="31"/>
    <n v="19.8"/>
    <n v="33.700000000000003"/>
    <x v="0"/>
    <s v="Normal"/>
    <s v="Normal"/>
    <s v="Normal"/>
    <s v="Normal"/>
    <n v="2020"/>
    <x v="3"/>
  </r>
  <r>
    <d v="2020-04-10T00:00:00"/>
    <x v="52"/>
    <n v="18.600000000000001"/>
    <n v="33.4"/>
    <x v="115"/>
    <s v="Normal"/>
    <s v="Normal"/>
    <s v="Normal"/>
    <s v="Outlier"/>
    <n v="2020"/>
    <x v="3"/>
  </r>
  <r>
    <d v="2020-04-11T00:00:00"/>
    <x v="15"/>
    <n v="21"/>
    <n v="31.8"/>
    <x v="0"/>
    <s v="Normal"/>
    <s v="Normal"/>
    <s v="Normal"/>
    <s v="Normal"/>
    <n v="2020"/>
    <x v="3"/>
  </r>
  <r>
    <d v="2020-04-24T00:00:00"/>
    <x v="14"/>
    <n v="20.5"/>
    <n v="36"/>
    <x v="21"/>
    <s v="Normal"/>
    <s v="Normal"/>
    <s v="Normal"/>
    <s v="Outlier"/>
    <n v="2020"/>
    <x v="3"/>
  </r>
  <r>
    <d v="2020-04-25T00:00:00"/>
    <x v="32"/>
    <n v="22.7"/>
    <n v="30.8"/>
    <x v="0"/>
    <s v="Normal"/>
    <s v="Normal"/>
    <s v="Normal"/>
    <s v="Normal"/>
    <n v="2020"/>
    <x v="3"/>
  </r>
  <r>
    <d v="2020-04-26T00:00:00"/>
    <x v="7"/>
    <n v="22.6"/>
    <n v="32"/>
    <x v="0"/>
    <s v="Normal"/>
    <s v="Normal"/>
    <s v="Normal"/>
    <s v="Normal"/>
    <n v="2020"/>
    <x v="3"/>
  </r>
  <r>
    <d v="2020-04-27T00:00:00"/>
    <x v="7"/>
    <n v="22.4"/>
    <n v="31.6"/>
    <x v="0"/>
    <s v="Normal"/>
    <s v="Normal"/>
    <s v="Normal"/>
    <s v="Normal"/>
    <n v="2020"/>
    <x v="3"/>
  </r>
  <r>
    <d v="2020-04-28T00:00:00"/>
    <x v="8"/>
    <n v="23"/>
    <n v="34.799999999999997"/>
    <x v="80"/>
    <s v="Normal"/>
    <s v="Normal"/>
    <s v="Normal"/>
    <s v="Normal"/>
    <n v="2020"/>
    <x v="3"/>
  </r>
  <r>
    <d v="2020-04-29T00:00:00"/>
    <x v="46"/>
    <n v="19.600000000000001"/>
    <n v="34"/>
    <x v="106"/>
    <s v="Normal"/>
    <s v="Normal"/>
    <s v="Normal"/>
    <s v="Outlier"/>
    <n v="2020"/>
    <x v="3"/>
  </r>
  <r>
    <d v="2020-04-30T00:00:00"/>
    <x v="64"/>
    <n v="21"/>
    <n v="33.799999999999997"/>
    <x v="7"/>
    <s v="Normal"/>
    <s v="Normal"/>
    <s v="Normal"/>
    <s v="Normal"/>
    <n v="2020"/>
    <x v="3"/>
  </r>
  <r>
    <d v="2020-05-18T00:00:00"/>
    <x v="10"/>
    <n v="21.2"/>
    <n v="35.6"/>
    <x v="39"/>
    <s v="Normal"/>
    <s v="Normal"/>
    <s v="Normal"/>
    <s v="Outlier"/>
    <n v="2020"/>
    <x v="3"/>
  </r>
  <r>
    <d v="2020-05-19T00:00:00"/>
    <x v="7"/>
    <n v="22.6"/>
    <n v="31.5"/>
    <x v="0"/>
    <s v="Normal"/>
    <s v="Normal"/>
    <s v="Normal"/>
    <s v="Normal"/>
    <n v="2020"/>
    <x v="4"/>
  </r>
  <r>
    <d v="2020-05-22T00:00:00"/>
    <x v="17"/>
    <n v="22.1"/>
    <n v="34.6"/>
    <x v="0"/>
    <s v="Outlier"/>
    <s v="Normal"/>
    <s v="Normal"/>
    <s v="Normal"/>
    <n v="2020"/>
    <x v="4"/>
  </r>
  <r>
    <d v="2020-05-24T00:00:00"/>
    <x v="6"/>
    <n v="21.8"/>
    <n v="35.6"/>
    <x v="0"/>
    <s v="Normal"/>
    <s v="Normal"/>
    <s v="Normal"/>
    <s v="Normal"/>
    <n v="2020"/>
    <x v="4"/>
  </r>
  <r>
    <d v="2020-05-25T00:00:00"/>
    <x v="7"/>
    <n v="22"/>
    <n v="34.4"/>
    <x v="116"/>
    <s v="Normal"/>
    <s v="Normal"/>
    <s v="Normal"/>
    <s v="Outlier"/>
    <n v="2020"/>
    <x v="4"/>
  </r>
  <r>
    <d v="2020-05-26T00:00:00"/>
    <x v="6"/>
    <n v="20.399999999999999"/>
    <n v="33.4"/>
    <x v="0"/>
    <s v="Normal"/>
    <s v="Normal"/>
    <s v="Normal"/>
    <s v="Normal"/>
    <n v="2020"/>
    <x v="4"/>
  </r>
  <r>
    <d v="2020-05-27T00:00:00"/>
    <x v="39"/>
    <n v="20.9"/>
    <n v="32.9"/>
    <x v="67"/>
    <s v="Normal"/>
    <s v="Normal"/>
    <s v="Normal"/>
    <s v="Outlier"/>
    <n v="2020"/>
    <x v="4"/>
  </r>
  <r>
    <d v="2020-05-28T00:00:00"/>
    <x v="31"/>
    <n v="20.8"/>
    <n v="32.6"/>
    <x v="0"/>
    <s v="Normal"/>
    <s v="Normal"/>
    <s v="Normal"/>
    <s v="Normal"/>
    <n v="2020"/>
    <x v="4"/>
  </r>
  <r>
    <d v="2020-05-29T00:00:00"/>
    <x v="39"/>
    <n v="20.6"/>
    <n v="32.4"/>
    <x v="76"/>
    <s v="Normal"/>
    <s v="Normal"/>
    <s v="Normal"/>
    <s v="Normal"/>
    <n v="2020"/>
    <x v="4"/>
  </r>
  <r>
    <d v="2020-05-30T00:00:00"/>
    <x v="40"/>
    <n v="20.2"/>
    <n v="32.6"/>
    <x v="117"/>
    <s v="Normal"/>
    <s v="Normal"/>
    <s v="Normal"/>
    <s v="Outlier"/>
    <n v="2020"/>
    <x v="4"/>
  </r>
  <r>
    <d v="2020-05-31T00:00:00"/>
    <x v="68"/>
    <n v="22.4"/>
    <n v="31.9"/>
    <x v="1"/>
    <s v="Normal"/>
    <s v="Normal"/>
    <s v="Normal"/>
    <s v="Normal"/>
    <n v="2020"/>
    <x v="4"/>
  </r>
  <r>
    <d v="2020-06-01T00:00:00"/>
    <x v="65"/>
    <n v="22.4"/>
    <n v="32.799999999999997"/>
    <x v="0"/>
    <s v="Normal"/>
    <s v="Normal"/>
    <s v="Normal"/>
    <s v="Normal"/>
    <n v="2020"/>
    <x v="4"/>
  </r>
  <r>
    <d v="2020-06-02T00:00:00"/>
    <x v="41"/>
    <n v="20.3"/>
    <n v="32"/>
    <x v="0"/>
    <s v="Normal"/>
    <s v="Normal"/>
    <s v="Normal"/>
    <s v="Normal"/>
    <n v="2020"/>
    <x v="5"/>
  </r>
  <r>
    <d v="2020-06-03T00:00:00"/>
    <x v="52"/>
    <n v="21.2"/>
    <n v="28.8"/>
    <x v="0"/>
    <s v="Normal"/>
    <s v="Normal"/>
    <s v="Normal"/>
    <s v="Normal"/>
    <n v="2020"/>
    <x v="5"/>
  </r>
  <r>
    <d v="2020-06-04T00:00:00"/>
    <x v="51"/>
    <n v="21.8"/>
    <n v="29.4"/>
    <x v="0"/>
    <s v="Normal"/>
    <s v="Normal"/>
    <s v="Normal"/>
    <s v="Normal"/>
    <n v="2020"/>
    <x v="5"/>
  </r>
  <r>
    <d v="2020-06-05T00:00:00"/>
    <x v="14"/>
    <n v="21.6"/>
    <n v="31.2"/>
    <x v="0"/>
    <s v="Normal"/>
    <s v="Normal"/>
    <s v="Normal"/>
    <s v="Normal"/>
    <n v="2020"/>
    <x v="5"/>
  </r>
  <r>
    <d v="2020-06-06T00:00:00"/>
    <x v="40"/>
    <n v="20.399999999999999"/>
    <n v="31.4"/>
    <x v="0"/>
    <s v="Normal"/>
    <s v="Normal"/>
    <s v="Normal"/>
    <s v="Normal"/>
    <n v="2020"/>
    <x v="5"/>
  </r>
  <r>
    <d v="2020-06-07T00:00:00"/>
    <x v="47"/>
    <n v="20.8"/>
    <n v="30.4"/>
    <x v="100"/>
    <s v="Normal"/>
    <s v="Normal"/>
    <s v="Normal"/>
    <s v="Outlier"/>
    <n v="2020"/>
    <x v="5"/>
  </r>
  <r>
    <d v="2020-06-08T00:00:00"/>
    <x v="5"/>
    <n v="21.2"/>
    <n v="31.8"/>
    <x v="0"/>
    <s v="Normal"/>
    <s v="Normal"/>
    <s v="Normal"/>
    <s v="Normal"/>
    <n v="2020"/>
    <x v="5"/>
  </r>
  <r>
    <d v="2020-06-09T00:00:00"/>
    <x v="51"/>
    <n v="21.6"/>
    <n v="32.5"/>
    <x v="0"/>
    <s v="Normal"/>
    <s v="Normal"/>
    <s v="Normal"/>
    <s v="Normal"/>
    <n v="2020"/>
    <x v="5"/>
  </r>
  <r>
    <d v="2020-06-11T00:00:00"/>
    <x v="28"/>
    <n v="19.8"/>
    <n v="30.5"/>
    <x v="7"/>
    <s v="Normal"/>
    <s v="Normal"/>
    <s v="Normal"/>
    <s v="Normal"/>
    <n v="2020"/>
    <x v="5"/>
  </r>
  <r>
    <d v="2020-06-12T00:00:00"/>
    <x v="55"/>
    <n v="19.8"/>
    <n v="27.6"/>
    <x v="118"/>
    <s v="Normal"/>
    <s v="Normal"/>
    <s v="Normal"/>
    <s v="Outlier"/>
    <n v="2020"/>
    <x v="5"/>
  </r>
  <r>
    <d v="2020-06-13T00:00:00"/>
    <x v="0"/>
    <n v="20"/>
    <n v="28.4"/>
    <x v="0"/>
    <s v="Normal"/>
    <s v="Normal"/>
    <s v="Normal"/>
    <s v="Normal"/>
    <n v="2020"/>
    <x v="5"/>
  </r>
  <r>
    <d v="2020-06-14T00:00:00"/>
    <x v="33"/>
    <n v="21"/>
    <n v="29.8"/>
    <x v="10"/>
    <s v="Normal"/>
    <s v="Normal"/>
    <s v="Normal"/>
    <s v="Normal"/>
    <n v="2020"/>
    <x v="5"/>
  </r>
  <r>
    <d v="2020-06-15T00:00:00"/>
    <x v="34"/>
    <n v="21.2"/>
    <n v="28.9"/>
    <x v="0"/>
    <s v="Normal"/>
    <s v="Normal"/>
    <s v="Normal"/>
    <s v="Normal"/>
    <n v="2020"/>
    <x v="5"/>
  </r>
  <r>
    <d v="2020-06-16T00:00:00"/>
    <x v="29"/>
    <n v="20.6"/>
    <n v="34.299999999999997"/>
    <x v="60"/>
    <s v="Normal"/>
    <s v="Normal"/>
    <s v="Normal"/>
    <s v="Normal"/>
    <n v="2020"/>
    <x v="5"/>
  </r>
  <r>
    <d v="2020-06-17T00:00:00"/>
    <x v="35"/>
    <n v="21.4"/>
    <n v="28"/>
    <x v="0"/>
    <s v="Normal"/>
    <s v="Normal"/>
    <s v="Normal"/>
    <s v="Normal"/>
    <n v="2020"/>
    <x v="5"/>
  </r>
  <r>
    <d v="2020-06-18T00:00:00"/>
    <x v="0"/>
    <n v="20.6"/>
    <n v="27.2"/>
    <x v="0"/>
    <s v="Normal"/>
    <s v="Normal"/>
    <s v="Normal"/>
    <s v="Normal"/>
    <n v="2020"/>
    <x v="5"/>
  </r>
  <r>
    <d v="2020-06-19T00:00:00"/>
    <x v="52"/>
    <n v="20.7"/>
    <n v="30.8"/>
    <x v="0"/>
    <s v="Normal"/>
    <s v="Normal"/>
    <s v="Normal"/>
    <s v="Normal"/>
    <n v="2020"/>
    <x v="5"/>
  </r>
  <r>
    <d v="2020-06-20T00:00:00"/>
    <x v="45"/>
    <n v="21.2"/>
    <n v="29.6"/>
    <x v="0"/>
    <s v="Normal"/>
    <s v="Normal"/>
    <s v="Normal"/>
    <s v="Normal"/>
    <n v="2020"/>
    <x v="5"/>
  </r>
  <r>
    <d v="2020-06-21T00:00:00"/>
    <x v="38"/>
    <n v="21.1"/>
    <n v="30.3"/>
    <x v="0"/>
    <s v="Normal"/>
    <s v="Normal"/>
    <s v="Normal"/>
    <s v="Normal"/>
    <n v="2020"/>
    <x v="5"/>
  </r>
  <r>
    <d v="2020-06-22T00:00:00"/>
    <x v="35"/>
    <n v="21"/>
    <n v="28.8"/>
    <x v="1"/>
    <s v="Normal"/>
    <s v="Normal"/>
    <s v="Normal"/>
    <s v="Normal"/>
    <n v="2020"/>
    <x v="5"/>
  </r>
  <r>
    <d v="2020-06-23T00:00:00"/>
    <x v="10"/>
    <n v="20.6"/>
    <n v="30.8"/>
    <x v="23"/>
    <s v="Normal"/>
    <s v="Normal"/>
    <s v="Normal"/>
    <s v="Normal"/>
    <n v="2020"/>
    <x v="5"/>
  </r>
  <r>
    <d v="2020-06-24T00:00:00"/>
    <x v="37"/>
    <n v="20.2"/>
    <n v="30.4"/>
    <x v="83"/>
    <s v="Normal"/>
    <s v="Normal"/>
    <s v="Normal"/>
    <s v="Normal"/>
    <n v="2020"/>
    <x v="5"/>
  </r>
  <r>
    <d v="2020-06-25T00:00:00"/>
    <x v="4"/>
    <n v="19.3"/>
    <n v="31.4"/>
    <x v="109"/>
    <s v="Normal"/>
    <s v="Normal"/>
    <s v="Normal"/>
    <s v="Outlier"/>
    <n v="2020"/>
    <x v="5"/>
  </r>
  <r>
    <d v="2020-06-26T00:00:00"/>
    <x v="37"/>
    <n v="20.399999999999999"/>
    <n v="30.4"/>
    <x v="119"/>
    <s v="Normal"/>
    <s v="Normal"/>
    <s v="Normal"/>
    <s v="Outlier"/>
    <n v="2020"/>
    <x v="5"/>
  </r>
  <r>
    <d v="2020-06-27T00:00:00"/>
    <x v="41"/>
    <n v="21"/>
    <n v="29.2"/>
    <x v="0"/>
    <s v="Normal"/>
    <s v="Normal"/>
    <s v="Normal"/>
    <s v="Normal"/>
    <n v="2020"/>
    <x v="5"/>
  </r>
  <r>
    <d v="2020-06-28T00:00:00"/>
    <x v="29"/>
    <n v="21.4"/>
    <n v="29"/>
    <x v="23"/>
    <s v="Normal"/>
    <s v="Normal"/>
    <s v="Normal"/>
    <s v="Normal"/>
    <n v="2020"/>
    <x v="5"/>
  </r>
  <r>
    <d v="2020-06-29T00:00:00"/>
    <x v="43"/>
    <n v="21.2"/>
    <n v="30"/>
    <x v="0"/>
    <s v="Normal"/>
    <s v="Normal"/>
    <s v="Normal"/>
    <s v="Normal"/>
    <n v="2020"/>
    <x v="5"/>
  </r>
  <r>
    <d v="2020-06-30T00:00:00"/>
    <x v="40"/>
    <n v="20.2"/>
    <n v="29.8"/>
    <x v="8"/>
    <s v="Normal"/>
    <s v="Normal"/>
    <s v="Normal"/>
    <s v="Normal"/>
    <n v="2020"/>
    <x v="5"/>
  </r>
  <r>
    <d v="2020-07-01T00:00:00"/>
    <x v="52"/>
    <n v="21.2"/>
    <n v="29.4"/>
    <x v="0"/>
    <s v="Normal"/>
    <s v="Normal"/>
    <s v="Normal"/>
    <s v="Normal"/>
    <n v="2020"/>
    <x v="5"/>
  </r>
  <r>
    <d v="2020-07-03T00:00:00"/>
    <x v="54"/>
    <n v="19.7"/>
    <n v="26.5"/>
    <x v="81"/>
    <s v="Normal"/>
    <s v="Normal"/>
    <s v="Normal"/>
    <s v="Normal"/>
    <n v="2020"/>
    <x v="6"/>
  </r>
  <r>
    <d v="2020-07-04T00:00:00"/>
    <x v="48"/>
    <n v="20"/>
    <n v="28.4"/>
    <x v="81"/>
    <s v="Normal"/>
    <s v="Normal"/>
    <s v="Normal"/>
    <s v="Normal"/>
    <n v="2020"/>
    <x v="6"/>
  </r>
  <r>
    <d v="2020-07-05T00:00:00"/>
    <x v="0"/>
    <n v="21"/>
    <n v="27.2"/>
    <x v="0"/>
    <s v="Normal"/>
    <s v="Normal"/>
    <s v="Normal"/>
    <s v="Normal"/>
    <n v="2020"/>
    <x v="6"/>
  </r>
  <r>
    <d v="2020-07-06T00:00:00"/>
    <x v="28"/>
    <n v="20.6"/>
    <n v="27.6"/>
    <x v="5"/>
    <s v="Normal"/>
    <s v="Normal"/>
    <s v="Normal"/>
    <s v="Normal"/>
    <n v="2020"/>
    <x v="6"/>
  </r>
  <r>
    <d v="2020-07-07T00:00:00"/>
    <x v="35"/>
    <n v="20.8"/>
    <n v="30"/>
    <x v="0"/>
    <s v="Normal"/>
    <s v="Normal"/>
    <s v="Normal"/>
    <s v="Normal"/>
    <n v="2020"/>
    <x v="6"/>
  </r>
  <r>
    <d v="2020-07-08T00:00:00"/>
    <x v="49"/>
    <n v="20.6"/>
    <n v="28.6"/>
    <x v="120"/>
    <s v="Normal"/>
    <s v="Normal"/>
    <s v="Normal"/>
    <s v="Normal"/>
    <n v="2020"/>
    <x v="6"/>
  </r>
  <r>
    <d v="2020-07-09T00:00:00"/>
    <x v="4"/>
    <n v="20.2"/>
    <n v="29.4"/>
    <x v="117"/>
    <s v="Normal"/>
    <s v="Normal"/>
    <s v="Normal"/>
    <s v="Outlier"/>
    <n v="2020"/>
    <x v="6"/>
  </r>
  <r>
    <d v="2020-07-10T00:00:00"/>
    <x v="28"/>
    <n v="20.6"/>
    <n v="28.8"/>
    <x v="121"/>
    <s v="Normal"/>
    <s v="Normal"/>
    <s v="Normal"/>
    <s v="Outlier"/>
    <n v="2020"/>
    <x v="6"/>
  </r>
  <r>
    <d v="2020-07-11T00:00:00"/>
    <x v="40"/>
    <n v="21"/>
    <n v="28.8"/>
    <x v="5"/>
    <s v="Normal"/>
    <s v="Normal"/>
    <s v="Normal"/>
    <s v="Normal"/>
    <n v="2020"/>
    <x v="6"/>
  </r>
  <r>
    <d v="2020-07-12T00:00:00"/>
    <x v="9"/>
    <n v="21"/>
    <n v="29.4"/>
    <x v="1"/>
    <s v="Normal"/>
    <s v="Normal"/>
    <s v="Normal"/>
    <s v="Normal"/>
    <n v="2020"/>
    <x v="6"/>
  </r>
  <r>
    <d v="2020-07-13T00:00:00"/>
    <x v="44"/>
    <n v="21.5"/>
    <n v="29.3"/>
    <x v="0"/>
    <s v="Normal"/>
    <s v="Normal"/>
    <s v="Normal"/>
    <s v="Normal"/>
    <n v="2020"/>
    <x v="6"/>
  </r>
  <r>
    <d v="2020-07-14T00:00:00"/>
    <x v="38"/>
    <n v="21.4"/>
    <n v="29.4"/>
    <x v="0"/>
    <s v="Normal"/>
    <s v="Normal"/>
    <s v="Normal"/>
    <s v="Normal"/>
    <n v="2020"/>
    <x v="6"/>
  </r>
  <r>
    <d v="2020-07-15T00:00:00"/>
    <x v="56"/>
    <n v="21.8"/>
    <n v="26.2"/>
    <x v="0"/>
    <s v="Normal"/>
    <s v="Normal"/>
    <s v="Normal"/>
    <s v="Normal"/>
    <n v="2020"/>
    <x v="6"/>
  </r>
  <r>
    <d v="2020-07-16T00:00:00"/>
    <x v="69"/>
    <n v="20.6"/>
    <n v="26"/>
    <x v="47"/>
    <s v="Normal"/>
    <s v="Normal"/>
    <s v="Normal"/>
    <s v="Normal"/>
    <n v="2020"/>
    <x v="6"/>
  </r>
  <r>
    <d v="2020-07-17T00:00:00"/>
    <x v="50"/>
    <n v="20.399999999999999"/>
    <n v="25.2"/>
    <x v="39"/>
    <s v="Normal"/>
    <s v="Normal"/>
    <s v="Normal"/>
    <s v="Outlier"/>
    <n v="2020"/>
    <x v="6"/>
  </r>
  <r>
    <d v="2020-07-18T00:00:00"/>
    <x v="35"/>
    <n v="20.9"/>
    <n v="27.8"/>
    <x v="0"/>
    <s v="Normal"/>
    <s v="Normal"/>
    <s v="Normal"/>
    <s v="Normal"/>
    <n v="2020"/>
    <x v="6"/>
  </r>
  <r>
    <d v="2020-07-19T00:00:00"/>
    <x v="41"/>
    <n v="21.4"/>
    <n v="29.8"/>
    <x v="19"/>
    <s v="Normal"/>
    <s v="Normal"/>
    <s v="Normal"/>
    <s v="Normal"/>
    <n v="2020"/>
    <x v="6"/>
  </r>
  <r>
    <d v="2020-07-20T00:00:00"/>
    <x v="35"/>
    <n v="21.8"/>
    <n v="29.6"/>
    <x v="101"/>
    <s v="Normal"/>
    <s v="Normal"/>
    <s v="Normal"/>
    <s v="Outlier"/>
    <n v="2020"/>
    <x v="6"/>
  </r>
  <r>
    <d v="2020-07-21T00:00:00"/>
    <x v="47"/>
    <n v="19"/>
    <n v="29.6"/>
    <x v="104"/>
    <s v="Normal"/>
    <s v="Normal"/>
    <s v="Normal"/>
    <s v="Outlier"/>
    <n v="2020"/>
    <x v="6"/>
  </r>
  <r>
    <d v="2020-07-22T00:00:00"/>
    <x v="32"/>
    <n v="22"/>
    <n v="30.4"/>
    <x v="0"/>
    <s v="Normal"/>
    <s v="Normal"/>
    <s v="Normal"/>
    <s v="Normal"/>
    <n v="2020"/>
    <x v="6"/>
  </r>
  <r>
    <d v="2020-07-24T00:00:00"/>
    <x v="38"/>
    <n v="21.5"/>
    <n v="30.8"/>
    <x v="76"/>
    <s v="Normal"/>
    <s v="Normal"/>
    <s v="Normal"/>
    <s v="Normal"/>
    <n v="2020"/>
    <x v="6"/>
  </r>
  <r>
    <d v="2020-07-25T00:00:00"/>
    <x v="4"/>
    <n v="20.5"/>
    <n v="29.8"/>
    <x v="0"/>
    <s v="Normal"/>
    <s v="Normal"/>
    <s v="Normal"/>
    <s v="Normal"/>
    <n v="2020"/>
    <x v="6"/>
  </r>
  <r>
    <d v="2020-07-26T00:00:00"/>
    <x v="43"/>
    <n v="20.399999999999999"/>
    <n v="29.4"/>
    <x v="30"/>
    <s v="Normal"/>
    <s v="Normal"/>
    <s v="Normal"/>
    <s v="Normal"/>
    <n v="2020"/>
    <x v="6"/>
  </r>
  <r>
    <d v="2020-07-27T00:00:00"/>
    <x v="39"/>
    <n v="20.399999999999999"/>
    <n v="28.8"/>
    <x v="0"/>
    <s v="Normal"/>
    <s v="Normal"/>
    <s v="Normal"/>
    <s v="Normal"/>
    <n v="2020"/>
    <x v="6"/>
  </r>
  <r>
    <d v="2020-07-28T00:00:00"/>
    <x v="52"/>
    <n v="20.6"/>
    <n v="29"/>
    <x v="23"/>
    <s v="Normal"/>
    <s v="Normal"/>
    <s v="Normal"/>
    <s v="Normal"/>
    <n v="2020"/>
    <x v="6"/>
  </r>
  <r>
    <d v="2020-07-29T00:00:00"/>
    <x v="49"/>
    <n v="21.2"/>
    <n v="29.5"/>
    <x v="35"/>
    <s v="Normal"/>
    <s v="Normal"/>
    <s v="Normal"/>
    <s v="Normal"/>
    <n v="2020"/>
    <x v="6"/>
  </r>
  <r>
    <d v="2020-07-30T00:00:00"/>
    <x v="53"/>
    <n v="20.2"/>
    <n v="28.8"/>
    <x v="8"/>
    <s v="Normal"/>
    <s v="Normal"/>
    <s v="Normal"/>
    <s v="Normal"/>
    <n v="2020"/>
    <x v="6"/>
  </r>
  <r>
    <d v="2020-07-31T00:00:00"/>
    <x v="33"/>
    <n v="21.4"/>
    <n v="28.6"/>
    <x v="30"/>
    <s v="Normal"/>
    <s v="Normal"/>
    <s v="Normal"/>
    <s v="Normal"/>
    <n v="2020"/>
    <x v="6"/>
  </r>
  <r>
    <d v="2020-08-01T00:00:00"/>
    <x v="55"/>
    <n v="20.399999999999999"/>
    <n v="29.6"/>
    <x v="60"/>
    <s v="Normal"/>
    <s v="Normal"/>
    <s v="Normal"/>
    <s v="Normal"/>
    <n v="2020"/>
    <x v="6"/>
  </r>
  <r>
    <d v="2020-08-02T00:00:00"/>
    <x v="48"/>
    <n v="19.600000000000001"/>
    <n v="28"/>
    <x v="38"/>
    <s v="Normal"/>
    <s v="Normal"/>
    <s v="Normal"/>
    <s v="Normal"/>
    <n v="2020"/>
    <x v="7"/>
  </r>
  <r>
    <d v="2020-08-03T00:00:00"/>
    <x v="49"/>
    <n v="20.399999999999999"/>
    <n v="27.8"/>
    <x v="11"/>
    <s v="Normal"/>
    <s v="Normal"/>
    <s v="Normal"/>
    <s v="Normal"/>
    <n v="2020"/>
    <x v="7"/>
  </r>
  <r>
    <d v="2020-08-04T00:00:00"/>
    <x v="1"/>
    <n v="19.8"/>
    <n v="26"/>
    <x v="26"/>
    <s v="Normal"/>
    <s v="Normal"/>
    <s v="Normal"/>
    <s v="Normal"/>
    <n v="2020"/>
    <x v="7"/>
  </r>
  <r>
    <d v="2020-08-05T00:00:00"/>
    <x v="2"/>
    <n v="19.8"/>
    <n v="25.8"/>
    <x v="10"/>
    <s v="Normal"/>
    <s v="Normal"/>
    <s v="Normal"/>
    <s v="Normal"/>
    <n v="2020"/>
    <x v="7"/>
  </r>
  <r>
    <d v="2020-08-06T00:00:00"/>
    <x v="35"/>
    <n v="20.8"/>
    <n v="29.8"/>
    <x v="102"/>
    <s v="Normal"/>
    <s v="Normal"/>
    <s v="Normal"/>
    <s v="Normal"/>
    <n v="2020"/>
    <x v="7"/>
  </r>
  <r>
    <d v="2020-08-07T00:00:00"/>
    <x v="35"/>
    <n v="21.4"/>
    <n v="27.8"/>
    <x v="8"/>
    <s v="Normal"/>
    <s v="Normal"/>
    <s v="Normal"/>
    <s v="Normal"/>
    <n v="2020"/>
    <x v="7"/>
  </r>
  <r>
    <d v="2020-08-08T00:00:00"/>
    <x v="56"/>
    <n v="20.3"/>
    <n v="27.2"/>
    <x v="0"/>
    <s v="Normal"/>
    <s v="Normal"/>
    <s v="Normal"/>
    <s v="Normal"/>
    <n v="2020"/>
    <x v="7"/>
  </r>
  <r>
    <d v="2020-08-09T00:00:00"/>
    <x v="69"/>
    <n v="20.2"/>
    <n v="27.4"/>
    <x v="23"/>
    <s v="Normal"/>
    <s v="Normal"/>
    <s v="Normal"/>
    <s v="Normal"/>
    <n v="2020"/>
    <x v="7"/>
  </r>
  <r>
    <d v="2020-08-10T00:00:00"/>
    <x v="1"/>
    <n v="19.5"/>
    <n v="26"/>
    <x v="82"/>
    <s v="Normal"/>
    <s v="Normal"/>
    <s v="Normal"/>
    <s v="Outlier"/>
    <n v="2020"/>
    <x v="7"/>
  </r>
  <r>
    <d v="2020-08-11T00:00:00"/>
    <x v="48"/>
    <n v="20.6"/>
    <n v="27.8"/>
    <x v="0"/>
    <s v="Normal"/>
    <s v="Normal"/>
    <s v="Normal"/>
    <s v="Normal"/>
    <n v="2020"/>
    <x v="7"/>
  </r>
  <r>
    <d v="2020-08-12T00:00:00"/>
    <x v="35"/>
    <n v="20.5"/>
    <n v="28"/>
    <x v="25"/>
    <s v="Normal"/>
    <s v="Normal"/>
    <s v="Normal"/>
    <s v="Normal"/>
    <n v="2020"/>
    <x v="7"/>
  </r>
  <r>
    <d v="2020-08-13T00:00:00"/>
    <x v="4"/>
    <n v="20.6"/>
    <n v="27.9"/>
    <x v="0"/>
    <s v="Normal"/>
    <s v="Normal"/>
    <s v="Normal"/>
    <s v="Normal"/>
    <n v="2020"/>
    <x v="7"/>
  </r>
  <r>
    <d v="2020-08-14T00:00:00"/>
    <x v="3"/>
    <n v="20.2"/>
    <n v="28"/>
    <x v="0"/>
    <s v="Normal"/>
    <s v="Normal"/>
    <s v="Normal"/>
    <s v="Normal"/>
    <n v="2020"/>
    <x v="7"/>
  </r>
  <r>
    <d v="2020-08-15T00:00:00"/>
    <x v="56"/>
    <n v="20.399999999999999"/>
    <n v="25.6"/>
    <x v="0"/>
    <s v="Normal"/>
    <s v="Normal"/>
    <s v="Normal"/>
    <s v="Normal"/>
    <n v="2020"/>
    <x v="7"/>
  </r>
  <r>
    <d v="2020-08-17T00:00:00"/>
    <x v="50"/>
    <n v="20.100000000000001"/>
    <n v="26.8"/>
    <x v="1"/>
    <s v="Normal"/>
    <s v="Normal"/>
    <s v="Normal"/>
    <s v="Normal"/>
    <n v="2020"/>
    <x v="7"/>
  </r>
  <r>
    <d v="2020-08-18T00:00:00"/>
    <x v="55"/>
    <n v="20.6"/>
    <n v="26.2"/>
    <x v="7"/>
    <s v="Normal"/>
    <s v="Normal"/>
    <s v="Normal"/>
    <s v="Normal"/>
    <n v="2020"/>
    <x v="7"/>
  </r>
  <r>
    <d v="2020-08-19T00:00:00"/>
    <x v="28"/>
    <n v="20.399999999999999"/>
    <n v="26.4"/>
    <x v="0"/>
    <s v="Normal"/>
    <s v="Normal"/>
    <s v="Normal"/>
    <s v="Normal"/>
    <n v="2020"/>
    <x v="7"/>
  </r>
  <r>
    <d v="2020-08-24T00:00:00"/>
    <x v="39"/>
    <n v="20.9"/>
    <n v="27.8"/>
    <x v="60"/>
    <s v="Normal"/>
    <s v="Normal"/>
    <s v="Normal"/>
    <s v="Normal"/>
    <n v="2020"/>
    <x v="7"/>
  </r>
  <r>
    <d v="2020-08-25T00:00:00"/>
    <x v="34"/>
    <n v="20.5"/>
    <n v="29.8"/>
    <x v="0"/>
    <s v="Normal"/>
    <s v="Normal"/>
    <s v="Normal"/>
    <s v="Normal"/>
    <n v="2020"/>
    <x v="7"/>
  </r>
  <r>
    <d v="2020-08-26T00:00:00"/>
    <x v="6"/>
    <n v="22"/>
    <n v="30.2"/>
    <x v="0"/>
    <s v="Normal"/>
    <s v="Normal"/>
    <s v="Normal"/>
    <s v="Normal"/>
    <n v="2020"/>
    <x v="7"/>
  </r>
  <r>
    <d v="2020-08-28T00:00:00"/>
    <x v="10"/>
    <n v="20.399999999999999"/>
    <n v="30.8"/>
    <x v="0"/>
    <s v="Normal"/>
    <s v="Normal"/>
    <s v="Normal"/>
    <s v="Normal"/>
    <n v="2020"/>
    <x v="7"/>
  </r>
  <r>
    <d v="2020-08-31T00:00:00"/>
    <x v="41"/>
    <n v="19.399999999999999"/>
    <n v="31.7"/>
    <x v="21"/>
    <s v="Normal"/>
    <s v="Normal"/>
    <s v="Normal"/>
    <s v="Outlier"/>
    <n v="2020"/>
    <x v="7"/>
  </r>
  <r>
    <d v="2020-09-01T00:00:00"/>
    <x v="42"/>
    <n v="20"/>
    <n v="29.8"/>
    <x v="98"/>
    <s v="Normal"/>
    <s v="Normal"/>
    <s v="Normal"/>
    <s v="Outlier"/>
    <n v="2020"/>
    <x v="7"/>
  </r>
  <r>
    <d v="2020-09-02T00:00:00"/>
    <x v="49"/>
    <n v="20.6"/>
    <n v="28.4"/>
    <x v="60"/>
    <s v="Normal"/>
    <s v="Normal"/>
    <s v="Normal"/>
    <s v="Normal"/>
    <n v="2020"/>
    <x v="8"/>
  </r>
  <r>
    <d v="2020-09-03T00:00:00"/>
    <x v="38"/>
    <n v="20.5"/>
    <n v="27.8"/>
    <x v="107"/>
    <s v="Normal"/>
    <s v="Normal"/>
    <s v="Normal"/>
    <s v="Outlier"/>
    <n v="2020"/>
    <x v="8"/>
  </r>
  <r>
    <d v="2020-09-04T00:00:00"/>
    <x v="31"/>
    <n v="21"/>
    <n v="29.2"/>
    <x v="122"/>
    <s v="Normal"/>
    <s v="Normal"/>
    <s v="Normal"/>
    <s v="Normal"/>
    <n v="2020"/>
    <x v="8"/>
  </r>
  <r>
    <d v="2020-09-05T00:00:00"/>
    <x v="29"/>
    <n v="22.3"/>
    <n v="29.2"/>
    <x v="0"/>
    <s v="Normal"/>
    <s v="Normal"/>
    <s v="Normal"/>
    <s v="Normal"/>
    <n v="2020"/>
    <x v="8"/>
  </r>
  <r>
    <d v="2020-09-06T00:00:00"/>
    <x v="30"/>
    <n v="22.2"/>
    <n v="29.6"/>
    <x v="0"/>
    <s v="Normal"/>
    <s v="Normal"/>
    <s v="Normal"/>
    <s v="Normal"/>
    <n v="2020"/>
    <x v="8"/>
  </r>
  <r>
    <d v="2020-09-07T00:00:00"/>
    <x v="41"/>
    <n v="20.5"/>
    <n v="30.5"/>
    <x v="0"/>
    <s v="Normal"/>
    <s v="Normal"/>
    <s v="Normal"/>
    <s v="Normal"/>
    <n v="2020"/>
    <x v="8"/>
  </r>
  <r>
    <d v="2020-09-08T00:00:00"/>
    <x v="41"/>
    <n v="21.2"/>
    <n v="29.8"/>
    <x v="60"/>
    <s v="Normal"/>
    <s v="Normal"/>
    <s v="Normal"/>
    <s v="Normal"/>
    <n v="2020"/>
    <x v="8"/>
  </r>
  <r>
    <d v="2020-09-09T00:00:00"/>
    <x v="33"/>
    <n v="19.399999999999999"/>
    <n v="30.2"/>
    <x v="123"/>
    <s v="Normal"/>
    <s v="Normal"/>
    <s v="Normal"/>
    <s v="Outlier"/>
    <n v="2020"/>
    <x v="8"/>
  </r>
  <r>
    <d v="2020-09-10T00:00:00"/>
    <x v="3"/>
    <n v="19.2"/>
    <n v="30.6"/>
    <x v="124"/>
    <s v="Normal"/>
    <s v="Normal"/>
    <s v="Normal"/>
    <s v="Outlier"/>
    <n v="2020"/>
    <x v="8"/>
  </r>
  <r>
    <d v="2020-09-11T00:00:00"/>
    <x v="2"/>
    <n v="19.899999999999999"/>
    <n v="27.6"/>
    <x v="0"/>
    <s v="Normal"/>
    <s v="Normal"/>
    <s v="Normal"/>
    <s v="Normal"/>
    <n v="2020"/>
    <x v="8"/>
  </r>
  <r>
    <d v="2020-09-12T00:00:00"/>
    <x v="61"/>
    <n v="18.7"/>
    <n v="25.8"/>
    <x v="8"/>
    <s v="Normal"/>
    <s v="Normal"/>
    <s v="Normal"/>
    <s v="Normal"/>
    <n v="2020"/>
    <x v="8"/>
  </r>
  <r>
    <d v="2020-09-13T00:00:00"/>
    <x v="70"/>
    <n v="19.7"/>
    <n v="25.5"/>
    <x v="105"/>
    <s v="Normal"/>
    <s v="Normal"/>
    <s v="Normal"/>
    <s v="Outlier"/>
    <n v="2020"/>
    <x v="8"/>
  </r>
  <r>
    <d v="2020-09-14T00:00:00"/>
    <x v="57"/>
    <n v="20.399999999999999"/>
    <n v="26.4"/>
    <x v="7"/>
    <s v="Normal"/>
    <s v="Normal"/>
    <s v="Normal"/>
    <s v="Normal"/>
    <n v="2020"/>
    <x v="8"/>
  </r>
  <r>
    <d v="2020-09-15T00:00:00"/>
    <x v="48"/>
    <n v="20.2"/>
    <n v="26.5"/>
    <x v="0"/>
    <s v="Normal"/>
    <s v="Normal"/>
    <s v="Normal"/>
    <s v="Normal"/>
    <n v="2020"/>
    <x v="8"/>
  </r>
  <r>
    <d v="2020-09-16T00:00:00"/>
    <x v="0"/>
    <n v="20.2"/>
    <n v="26.2"/>
    <x v="1"/>
    <s v="Normal"/>
    <s v="Normal"/>
    <s v="Normal"/>
    <s v="Normal"/>
    <n v="2020"/>
    <x v="8"/>
  </r>
  <r>
    <d v="2020-09-17T00:00:00"/>
    <x v="38"/>
    <n v="21"/>
    <n v="27"/>
    <x v="0"/>
    <s v="Normal"/>
    <s v="Normal"/>
    <s v="Normal"/>
    <s v="Normal"/>
    <n v="2020"/>
    <x v="8"/>
  </r>
  <r>
    <d v="2020-09-18T00:00:00"/>
    <x v="42"/>
    <n v="19.8"/>
    <n v="28.2"/>
    <x v="1"/>
    <s v="Normal"/>
    <s v="Normal"/>
    <s v="Normal"/>
    <s v="Normal"/>
    <n v="2020"/>
    <x v="8"/>
  </r>
  <r>
    <d v="2020-09-19T00:00:00"/>
    <x v="2"/>
    <n v="19.3"/>
    <n v="28.4"/>
    <x v="0"/>
    <s v="Normal"/>
    <s v="Normal"/>
    <s v="Normal"/>
    <s v="Normal"/>
    <n v="2020"/>
    <x v="8"/>
  </r>
  <r>
    <d v="2020-09-20T00:00:00"/>
    <x v="80"/>
    <n v="18.600000000000001"/>
    <n v="25.8"/>
    <x v="96"/>
    <s v="Normal"/>
    <s v="Normal"/>
    <s v="Normal"/>
    <s v="Outlier"/>
    <n v="2020"/>
    <x v="8"/>
  </r>
  <r>
    <d v="2020-09-21T00:00:00"/>
    <x v="2"/>
    <n v="19"/>
    <n v="27.8"/>
    <x v="86"/>
    <s v="Normal"/>
    <s v="Normal"/>
    <s v="Normal"/>
    <s v="Outlier"/>
    <n v="2020"/>
    <x v="8"/>
  </r>
  <r>
    <d v="2020-09-22T00:00:00"/>
    <x v="60"/>
    <n v="18.600000000000001"/>
    <n v="26.6"/>
    <x v="0"/>
    <s v="Normal"/>
    <s v="Normal"/>
    <s v="Normal"/>
    <s v="Normal"/>
    <n v="2020"/>
    <x v="8"/>
  </r>
  <r>
    <d v="2020-09-23T00:00:00"/>
    <x v="48"/>
    <n v="18.600000000000001"/>
    <n v="27.8"/>
    <x v="0"/>
    <s v="Normal"/>
    <s v="Normal"/>
    <s v="Normal"/>
    <s v="Normal"/>
    <n v="2020"/>
    <x v="8"/>
  </r>
  <r>
    <d v="2020-09-25T00:00:00"/>
    <x v="44"/>
    <n v="20.9"/>
    <n v="29.8"/>
    <x v="1"/>
    <s v="Normal"/>
    <s v="Normal"/>
    <s v="Normal"/>
    <s v="Normal"/>
    <n v="2020"/>
    <x v="8"/>
  </r>
  <r>
    <d v="2020-09-26T00:00:00"/>
    <x v="48"/>
    <n v="20.6"/>
    <n v="29.6"/>
    <x v="80"/>
    <s v="Normal"/>
    <s v="Normal"/>
    <s v="Normal"/>
    <s v="Normal"/>
    <n v="2020"/>
    <x v="8"/>
  </r>
  <r>
    <d v="2020-09-27T00:00:00"/>
    <x v="0"/>
    <n v="20.5"/>
    <n v="27.8"/>
    <x v="0"/>
    <s v="Normal"/>
    <s v="Normal"/>
    <s v="Normal"/>
    <s v="Normal"/>
    <n v="2020"/>
    <x v="8"/>
  </r>
  <r>
    <d v="2020-09-28T00:00:00"/>
    <x v="39"/>
    <n v="20.6"/>
    <n v="27"/>
    <x v="0"/>
    <s v="Normal"/>
    <s v="Normal"/>
    <s v="Normal"/>
    <s v="Normal"/>
    <n v="2020"/>
    <x v="8"/>
  </r>
  <r>
    <d v="2020-09-29T00:00:00"/>
    <x v="56"/>
    <n v="19.8"/>
    <n v="28.1"/>
    <x v="0"/>
    <s v="Normal"/>
    <s v="Normal"/>
    <s v="Normal"/>
    <s v="Normal"/>
    <n v="2020"/>
    <x v="8"/>
  </r>
  <r>
    <d v="2020-09-30T00:00:00"/>
    <x v="36"/>
    <n v="19"/>
    <n v="27.8"/>
    <x v="51"/>
    <s v="Normal"/>
    <s v="Normal"/>
    <s v="Normal"/>
    <s v="Outlier"/>
    <n v="2020"/>
    <x v="8"/>
  </r>
  <r>
    <d v="2020-10-01T00:00:00"/>
    <x v="53"/>
    <n v="19.5"/>
    <n v="27.1"/>
    <x v="0"/>
    <s v="Normal"/>
    <s v="Normal"/>
    <s v="Normal"/>
    <s v="Normal"/>
    <n v="2020"/>
    <x v="8"/>
  </r>
  <r>
    <d v="2020-10-02T00:00:00"/>
    <x v="52"/>
    <n v="21"/>
    <n v="28.5"/>
    <x v="0"/>
    <s v="Normal"/>
    <s v="Normal"/>
    <s v="Normal"/>
    <s v="Normal"/>
    <n v="2020"/>
    <x v="9"/>
  </r>
  <r>
    <d v="2020-10-03T00:00:00"/>
    <x v="53"/>
    <n v="19.600000000000001"/>
    <n v="29.6"/>
    <x v="5"/>
    <s v="Normal"/>
    <s v="Normal"/>
    <s v="Normal"/>
    <s v="Normal"/>
    <n v="2020"/>
    <x v="9"/>
  </r>
  <r>
    <d v="2020-10-04T00:00:00"/>
    <x v="57"/>
    <n v="20"/>
    <n v="28.4"/>
    <x v="0"/>
    <s v="Normal"/>
    <s v="Normal"/>
    <s v="Normal"/>
    <s v="Normal"/>
    <n v="2020"/>
    <x v="9"/>
  </r>
  <r>
    <d v="2020-10-05T00:00:00"/>
    <x v="43"/>
    <n v="19"/>
    <n v="28.8"/>
    <x v="1"/>
    <s v="Normal"/>
    <s v="Normal"/>
    <s v="Normal"/>
    <s v="Normal"/>
    <n v="2020"/>
    <x v="9"/>
  </r>
  <r>
    <d v="2020-10-06T00:00:00"/>
    <x v="9"/>
    <n v="20.2"/>
    <n v="30.8"/>
    <x v="0"/>
    <s v="Normal"/>
    <s v="Normal"/>
    <s v="Normal"/>
    <s v="Normal"/>
    <n v="2020"/>
    <x v="9"/>
  </r>
  <r>
    <d v="2020-10-09T00:00:00"/>
    <x v="4"/>
    <n v="20.399999999999999"/>
    <n v="31.2"/>
    <x v="0"/>
    <s v="Normal"/>
    <s v="Normal"/>
    <s v="Normal"/>
    <s v="Normal"/>
    <n v="2020"/>
    <x v="9"/>
  </r>
  <r>
    <d v="2020-10-10T00:00:00"/>
    <x v="28"/>
    <n v="18.600000000000001"/>
    <n v="30"/>
    <x v="108"/>
    <s v="Normal"/>
    <s v="Normal"/>
    <s v="Normal"/>
    <s v="Outlier"/>
    <n v="2020"/>
    <x v="9"/>
  </r>
  <r>
    <d v="2020-10-11T00:00:00"/>
    <x v="60"/>
    <n v="19.2"/>
    <n v="28.2"/>
    <x v="125"/>
    <s v="Normal"/>
    <s v="Normal"/>
    <s v="Normal"/>
    <s v="Outlier"/>
    <n v="2020"/>
    <x v="9"/>
  </r>
  <r>
    <d v="2020-10-12T00:00:00"/>
    <x v="69"/>
    <n v="20"/>
    <n v="25.6"/>
    <x v="80"/>
    <s v="Normal"/>
    <s v="Normal"/>
    <s v="Normal"/>
    <s v="Normal"/>
    <n v="2020"/>
    <x v="9"/>
  </r>
  <r>
    <d v="2020-10-13T00:00:00"/>
    <x v="77"/>
    <n v="19.8"/>
    <n v="25.4"/>
    <x v="25"/>
    <s v="Normal"/>
    <s v="Normal"/>
    <s v="Normal"/>
    <s v="Normal"/>
    <n v="2020"/>
    <x v="9"/>
  </r>
  <r>
    <d v="2020-10-14T00:00:00"/>
    <x v="61"/>
    <n v="19.8"/>
    <n v="25.8"/>
    <x v="5"/>
    <s v="Normal"/>
    <s v="Normal"/>
    <s v="Normal"/>
    <s v="Normal"/>
    <n v="2020"/>
    <x v="9"/>
  </r>
  <r>
    <d v="2020-10-15T00:00:00"/>
    <x v="57"/>
    <n v="19.2"/>
    <n v="26.6"/>
    <x v="0"/>
    <s v="Normal"/>
    <s v="Normal"/>
    <s v="Normal"/>
    <s v="Normal"/>
    <n v="2020"/>
    <x v="9"/>
  </r>
  <r>
    <d v="2020-10-16T00:00:00"/>
    <x v="35"/>
    <n v="17.600000000000001"/>
    <n v="28.8"/>
    <x v="0"/>
    <s v="Normal"/>
    <s v="Normal"/>
    <s v="Normal"/>
    <s v="Normal"/>
    <n v="2020"/>
    <x v="9"/>
  </r>
  <r>
    <d v="2020-10-18T00:00:00"/>
    <x v="38"/>
    <n v="20.8"/>
    <n v="28"/>
    <x v="1"/>
    <s v="Normal"/>
    <s v="Normal"/>
    <s v="Normal"/>
    <s v="Normal"/>
    <n v="2020"/>
    <x v="9"/>
  </r>
  <r>
    <d v="2020-10-19T00:00:00"/>
    <x v="0"/>
    <n v="21"/>
    <n v="28"/>
    <x v="10"/>
    <s v="Normal"/>
    <s v="Normal"/>
    <s v="Normal"/>
    <s v="Normal"/>
    <n v="2020"/>
    <x v="9"/>
  </r>
  <r>
    <d v="2020-10-20T00:00:00"/>
    <x v="49"/>
    <n v="20"/>
    <n v="26.6"/>
    <x v="22"/>
    <s v="Normal"/>
    <s v="Normal"/>
    <s v="Normal"/>
    <s v="Normal"/>
    <n v="2020"/>
    <x v="9"/>
  </r>
  <r>
    <d v="2020-10-21T00:00:00"/>
    <x v="3"/>
    <n v="20.399999999999999"/>
    <n v="26.2"/>
    <x v="126"/>
    <s v="Normal"/>
    <s v="Normal"/>
    <s v="Normal"/>
    <s v="Outlier"/>
    <n v="2020"/>
    <x v="9"/>
  </r>
  <r>
    <d v="2020-10-22T00:00:00"/>
    <x v="50"/>
    <n v="19.3"/>
    <n v="26.4"/>
    <x v="36"/>
    <s v="Normal"/>
    <s v="Normal"/>
    <s v="Normal"/>
    <s v="Normal"/>
    <n v="2020"/>
    <x v="9"/>
  </r>
  <r>
    <d v="2020-10-23T00:00:00"/>
    <x v="81"/>
    <n v="17.8"/>
    <n v="27.5"/>
    <x v="105"/>
    <s v="Normal"/>
    <s v="Normal"/>
    <s v="Normal"/>
    <s v="Outlier"/>
    <n v="2020"/>
    <x v="9"/>
  </r>
  <r>
    <d v="2020-10-24T00:00:00"/>
    <x v="59"/>
    <n v="17"/>
    <n v="27"/>
    <x v="50"/>
    <s v="Normal"/>
    <s v="Normal"/>
    <s v="Normal"/>
    <s v="Outlier"/>
    <n v="2020"/>
    <x v="9"/>
  </r>
  <r>
    <d v="2020-10-25T00:00:00"/>
    <x v="53"/>
    <n v="20.2"/>
    <n v="29.8"/>
    <x v="0"/>
    <s v="Normal"/>
    <s v="Normal"/>
    <s v="Normal"/>
    <s v="Normal"/>
    <n v="2020"/>
    <x v="9"/>
  </r>
  <r>
    <d v="2020-10-26T00:00:00"/>
    <x v="43"/>
    <n v="19.399999999999999"/>
    <n v="29.4"/>
    <x v="35"/>
    <s v="Normal"/>
    <s v="Normal"/>
    <s v="Normal"/>
    <s v="Normal"/>
    <n v="2020"/>
    <x v="9"/>
  </r>
  <r>
    <d v="2020-10-27T00:00:00"/>
    <x v="4"/>
    <n v="19"/>
    <n v="30"/>
    <x v="0"/>
    <s v="Normal"/>
    <s v="Normal"/>
    <s v="Normal"/>
    <s v="Normal"/>
    <n v="2020"/>
    <x v="9"/>
  </r>
  <r>
    <d v="2020-10-30T00:00:00"/>
    <x v="49"/>
    <n v="17.8"/>
    <n v="28.3"/>
    <x v="0"/>
    <s v="Normal"/>
    <s v="Normal"/>
    <s v="Normal"/>
    <s v="Normal"/>
    <n v="2020"/>
    <x v="9"/>
  </r>
  <r>
    <d v="2020-11-01T00:00:00"/>
    <x v="29"/>
    <n v="19"/>
    <n v="29.1"/>
    <x v="0"/>
    <s v="Normal"/>
    <s v="Normal"/>
    <s v="Normal"/>
    <s v="Normal"/>
    <n v="2020"/>
    <x v="9"/>
  </r>
  <r>
    <d v="2020-11-02T00:00:00"/>
    <x v="44"/>
    <n v="20.399999999999999"/>
    <n v="31.5"/>
    <x v="1"/>
    <s v="Normal"/>
    <s v="Normal"/>
    <s v="Normal"/>
    <s v="Normal"/>
    <n v="2020"/>
    <x v="10"/>
  </r>
  <r>
    <d v="2020-11-03T00:00:00"/>
    <x v="52"/>
    <n v="19.8"/>
    <n v="29"/>
    <x v="0"/>
    <s v="Normal"/>
    <s v="Normal"/>
    <s v="Normal"/>
    <s v="Normal"/>
    <n v="2020"/>
    <x v="10"/>
  </r>
  <r>
    <d v="2020-11-06T00:00:00"/>
    <x v="38"/>
    <n v="20.8"/>
    <n v="30.4"/>
    <x v="127"/>
    <s v="Normal"/>
    <s v="Normal"/>
    <s v="Normal"/>
    <s v="Outlier"/>
    <n v="2020"/>
    <x v="10"/>
  </r>
  <r>
    <d v="2020-11-07T00:00:00"/>
    <x v="35"/>
    <n v="20.2"/>
    <n v="29.2"/>
    <x v="0"/>
    <s v="Normal"/>
    <s v="Normal"/>
    <s v="Normal"/>
    <s v="Normal"/>
    <n v="2020"/>
    <x v="10"/>
  </r>
  <r>
    <d v="2020-11-08T00:00:00"/>
    <x v="35"/>
    <n v="20.8"/>
    <n v="30.2"/>
    <x v="38"/>
    <s v="Normal"/>
    <s v="Normal"/>
    <s v="Normal"/>
    <s v="Normal"/>
    <n v="2020"/>
    <x v="10"/>
  </r>
  <r>
    <d v="2020-11-09T00:00:00"/>
    <x v="3"/>
    <n v="19.5"/>
    <n v="27.8"/>
    <x v="0"/>
    <s v="Normal"/>
    <s v="Normal"/>
    <s v="Normal"/>
    <s v="Normal"/>
    <n v="2020"/>
    <x v="10"/>
  </r>
  <r>
    <d v="2020-11-13T00:00:00"/>
    <x v="2"/>
    <n v="20.399999999999999"/>
    <n v="28"/>
    <x v="0"/>
    <s v="Normal"/>
    <s v="Normal"/>
    <s v="Normal"/>
    <s v="Normal"/>
    <n v="2020"/>
    <x v="10"/>
  </r>
  <r>
    <d v="2020-11-14T00:00:00"/>
    <x v="48"/>
    <n v="20"/>
    <n v="27.8"/>
    <x v="66"/>
    <s v="Normal"/>
    <s v="Normal"/>
    <s v="Normal"/>
    <s v="Normal"/>
    <n v="2020"/>
    <x v="10"/>
  </r>
  <r>
    <d v="2020-11-15T00:00:00"/>
    <x v="70"/>
    <n v="19.100000000000001"/>
    <n v="28.2"/>
    <x v="0"/>
    <s v="Normal"/>
    <s v="Normal"/>
    <s v="Normal"/>
    <s v="Normal"/>
    <n v="2020"/>
    <x v="10"/>
  </r>
  <r>
    <d v="2020-11-16T00:00:00"/>
    <x v="70"/>
    <n v="19.2"/>
    <n v="25.8"/>
    <x v="12"/>
    <s v="Normal"/>
    <s v="Normal"/>
    <s v="Normal"/>
    <s v="Normal"/>
    <n v="2020"/>
    <x v="10"/>
  </r>
  <r>
    <d v="2020-11-17T00:00:00"/>
    <x v="50"/>
    <n v="19.399999999999999"/>
    <n v="25"/>
    <x v="103"/>
    <s v="Normal"/>
    <s v="Normal"/>
    <s v="Normal"/>
    <s v="Outlier"/>
    <n v="2020"/>
    <x v="10"/>
  </r>
  <r>
    <d v="2020-11-18T00:00:00"/>
    <x v="48"/>
    <n v="19.2"/>
    <n v="28.3"/>
    <x v="0"/>
    <s v="Normal"/>
    <s v="Normal"/>
    <s v="Normal"/>
    <s v="Normal"/>
    <n v="2020"/>
    <x v="10"/>
  </r>
  <r>
    <d v="2020-11-19T00:00:00"/>
    <x v="49"/>
    <n v="20"/>
    <n v="28.3"/>
    <x v="0"/>
    <s v="Normal"/>
    <s v="Normal"/>
    <s v="Normal"/>
    <s v="Normal"/>
    <n v="2020"/>
    <x v="10"/>
  </r>
  <r>
    <d v="2020-11-26T00:00:00"/>
    <x v="82"/>
    <n v="17.8"/>
    <n v="23.8"/>
    <x v="60"/>
    <s v="Normal"/>
    <s v="Normal"/>
    <s v="Normal"/>
    <s v="Normal"/>
    <n v="2020"/>
    <x v="10"/>
  </r>
  <r>
    <d v="2020-11-27T00:00:00"/>
    <x v="83"/>
    <n v="17.8"/>
    <n v="21.8"/>
    <x v="37"/>
    <s v="Normal"/>
    <s v="Normal"/>
    <s v="Outlier"/>
    <s v="Outlier"/>
    <n v="2020"/>
    <x v="10"/>
  </r>
  <r>
    <d v="2020-11-28T00:00:00"/>
    <x v="61"/>
    <n v="17"/>
    <n v="25.9"/>
    <x v="1"/>
    <s v="Normal"/>
    <s v="Normal"/>
    <s v="Normal"/>
    <s v="Normal"/>
    <n v="2020"/>
    <x v="10"/>
  </r>
  <r>
    <d v="2020-11-29T00:00:00"/>
    <x v="70"/>
    <n v="19"/>
    <n v="25.6"/>
    <x v="0"/>
    <s v="Normal"/>
    <s v="Normal"/>
    <s v="Normal"/>
    <s v="Normal"/>
    <n v="2020"/>
    <x v="10"/>
  </r>
  <r>
    <d v="2020-11-30T00:00:00"/>
    <x v="1"/>
    <n v="18"/>
    <n v="26.8"/>
    <x v="0"/>
    <s v="Normal"/>
    <s v="Normal"/>
    <s v="Normal"/>
    <s v="Normal"/>
    <n v="2020"/>
    <x v="10"/>
  </r>
  <r>
    <d v="2020-12-03T00:00:00"/>
    <x v="84"/>
    <n v="18"/>
    <n v="26.4"/>
    <x v="23"/>
    <s v="Normal"/>
    <s v="Normal"/>
    <s v="Normal"/>
    <s v="Normal"/>
    <n v="2020"/>
    <x v="10"/>
  </r>
  <r>
    <d v="2020-12-04T00:00:00"/>
    <x v="63"/>
    <n v="19.2"/>
    <n v="22.8"/>
    <x v="10"/>
    <s v="Normal"/>
    <s v="Normal"/>
    <s v="Normal"/>
    <s v="Normal"/>
    <n v="2020"/>
    <x v="11"/>
  </r>
  <r>
    <d v="2020-12-05T00:00:00"/>
    <x v="81"/>
    <n v="19.399999999999999"/>
    <n v="23.2"/>
    <x v="19"/>
    <s v="Normal"/>
    <s v="Normal"/>
    <s v="Normal"/>
    <s v="Normal"/>
    <n v="2020"/>
    <x v="11"/>
  </r>
  <r>
    <d v="2020-12-06T00:00:00"/>
    <x v="71"/>
    <n v="18.5"/>
    <n v="24"/>
    <x v="8"/>
    <s v="Normal"/>
    <s v="Normal"/>
    <s v="Normal"/>
    <s v="Normal"/>
    <n v="2020"/>
    <x v="11"/>
  </r>
  <r>
    <d v="2020-12-07T00:00:00"/>
    <x v="60"/>
    <n v="19.399999999999999"/>
    <n v="24.8"/>
    <x v="90"/>
    <s v="Normal"/>
    <s v="Normal"/>
    <s v="Normal"/>
    <s v="Normal"/>
    <n v="2020"/>
    <x v="11"/>
  </r>
  <r>
    <d v="2020-12-08T00:00:00"/>
    <x v="58"/>
    <n v="19.5"/>
    <n v="26.2"/>
    <x v="72"/>
    <s v="Normal"/>
    <s v="Normal"/>
    <s v="Normal"/>
    <s v="Normal"/>
    <n v="2020"/>
    <x v="11"/>
  </r>
  <r>
    <d v="2020-12-09T00:00:00"/>
    <x v="60"/>
    <n v="19.399999999999999"/>
    <n v="25"/>
    <x v="19"/>
    <s v="Normal"/>
    <s v="Normal"/>
    <s v="Normal"/>
    <s v="Normal"/>
    <n v="2020"/>
    <x v="11"/>
  </r>
  <r>
    <d v="2020-12-10T00:00:00"/>
    <x v="58"/>
    <n v="16.399999999999999"/>
    <n v="26.8"/>
    <x v="0"/>
    <s v="Normal"/>
    <s v="Outlier"/>
    <s v="Normal"/>
    <s v="Normal"/>
    <n v="2020"/>
    <x v="11"/>
  </r>
  <r>
    <d v="2020-12-11T00:00:00"/>
    <x v="77"/>
    <n v="16.600000000000001"/>
    <n v="28.4"/>
    <x v="0"/>
    <s v="Normal"/>
    <s v="Outlier"/>
    <s v="Normal"/>
    <s v="Normal"/>
    <n v="2020"/>
    <x v="11"/>
  </r>
  <r>
    <d v="2020-12-17T00:00:00"/>
    <x v="60"/>
    <n v="19.5"/>
    <n v="26.8"/>
    <x v="1"/>
    <s v="Normal"/>
    <s v="Normal"/>
    <s v="Normal"/>
    <s v="Normal"/>
    <n v="2020"/>
    <x v="11"/>
  </r>
  <r>
    <d v="2020-12-18T00:00:00"/>
    <x v="2"/>
    <n v="18.399999999999999"/>
    <n v="26.6"/>
    <x v="0"/>
    <s v="Normal"/>
    <s v="Normal"/>
    <s v="Normal"/>
    <s v="Normal"/>
    <n v="2020"/>
    <x v="11"/>
  </r>
  <r>
    <d v="2020-12-31T00:00:00"/>
    <x v="78"/>
    <n v="18.8"/>
    <n v="29.6"/>
    <x v="0"/>
    <s v="Normal"/>
    <s v="Normal"/>
    <s v="Normal"/>
    <s v="Normal"/>
    <n v="2020"/>
    <x v="11"/>
  </r>
  <r>
    <d v="2021-01-01T00:00:00"/>
    <x v="72"/>
    <n v="16.600000000000001"/>
    <n v="25.3"/>
    <x v="5"/>
    <s v="Normal"/>
    <s v="Outlier"/>
    <s v="Normal"/>
    <s v="Normal"/>
    <n v="2021"/>
    <x v="11"/>
  </r>
  <r>
    <d v="2021-01-02T00:00:00"/>
    <x v="71"/>
    <n v="16.600000000000001"/>
    <n v="26"/>
    <x v="128"/>
    <s v="Normal"/>
    <s v="Outlier"/>
    <s v="Normal"/>
    <s v="Normal"/>
    <n v="2021"/>
    <x v="1"/>
  </r>
  <r>
    <d v="2021-01-03T00:00:00"/>
    <x v="1"/>
    <n v="18.8"/>
    <n v="26"/>
    <x v="0"/>
    <s v="Normal"/>
    <s v="Normal"/>
    <s v="Normal"/>
    <s v="Normal"/>
    <n v="2021"/>
    <x v="1"/>
  </r>
  <r>
    <d v="2021-01-04T00:00:00"/>
    <x v="63"/>
    <n v="18.600000000000001"/>
    <n v="27.6"/>
    <x v="0"/>
    <s v="Normal"/>
    <s v="Normal"/>
    <s v="Normal"/>
    <s v="Normal"/>
    <n v="2021"/>
    <x v="1"/>
  </r>
  <r>
    <d v="2021-01-05T00:00:00"/>
    <x v="1"/>
    <n v="18.7"/>
    <n v="26.2"/>
    <x v="0"/>
    <s v="Normal"/>
    <s v="Normal"/>
    <s v="Normal"/>
    <s v="Normal"/>
    <n v="2021"/>
    <x v="1"/>
  </r>
  <r>
    <d v="2021-01-06T00:00:00"/>
    <x v="77"/>
    <n v="20"/>
    <n v="27.3"/>
    <x v="129"/>
    <s v="Normal"/>
    <s v="Normal"/>
    <s v="Normal"/>
    <s v="Normal"/>
    <n v="2021"/>
    <x v="1"/>
  </r>
  <r>
    <d v="2021-01-07T00:00:00"/>
    <x v="70"/>
    <n v="19.100000000000001"/>
    <n v="25.4"/>
    <x v="19"/>
    <s v="Normal"/>
    <s v="Normal"/>
    <s v="Normal"/>
    <s v="Normal"/>
    <n v="2021"/>
    <x v="1"/>
  </r>
  <r>
    <d v="2021-01-08T00:00:00"/>
    <x v="36"/>
    <n v="20"/>
    <n v="27"/>
    <x v="130"/>
    <s v="Normal"/>
    <s v="Normal"/>
    <s v="Normal"/>
    <s v="Normal"/>
    <n v="2021"/>
    <x v="1"/>
  </r>
  <r>
    <d v="2021-01-09T00:00:00"/>
    <x v="76"/>
    <n v="18.8"/>
    <n v="27"/>
    <x v="0"/>
    <s v="Normal"/>
    <s v="Normal"/>
    <s v="Normal"/>
    <s v="Normal"/>
    <n v="2021"/>
    <x v="1"/>
  </r>
  <r>
    <d v="2021-01-10T00:00:00"/>
    <x v="50"/>
    <n v="18.600000000000001"/>
    <n v="26.2"/>
    <x v="0"/>
    <s v="Normal"/>
    <s v="Normal"/>
    <s v="Normal"/>
    <s v="Normal"/>
    <n v="2021"/>
    <x v="1"/>
  </r>
  <r>
    <d v="2021-01-11T00:00:00"/>
    <x v="70"/>
    <n v="18.2"/>
    <n v="26.9"/>
    <x v="0"/>
    <s v="Normal"/>
    <s v="Normal"/>
    <s v="Normal"/>
    <s v="Normal"/>
    <n v="2021"/>
    <x v="1"/>
  </r>
  <r>
    <d v="2021-01-12T00:00:00"/>
    <x v="80"/>
    <n v="18.2"/>
    <n v="25.4"/>
    <x v="0"/>
    <s v="Normal"/>
    <s v="Normal"/>
    <s v="Normal"/>
    <s v="Normal"/>
    <n v="2021"/>
    <x v="1"/>
  </r>
  <r>
    <d v="2021-01-13T00:00:00"/>
    <x v="58"/>
    <n v="16.8"/>
    <n v="26.3"/>
    <x v="0"/>
    <s v="Normal"/>
    <s v="Outlier"/>
    <s v="Normal"/>
    <s v="Normal"/>
    <n v="2021"/>
    <x v="1"/>
  </r>
  <r>
    <d v="2021-01-14T00:00:00"/>
    <x v="63"/>
    <n v="16.399999999999999"/>
    <n v="27.7"/>
    <x v="131"/>
    <s v="Normal"/>
    <s v="Outlier"/>
    <s v="Normal"/>
    <s v="Normal"/>
    <n v="2021"/>
    <x v="1"/>
  </r>
  <r>
    <d v="2021-01-15T00:00:00"/>
    <x v="69"/>
    <n v="17.3"/>
    <n v="26.3"/>
    <x v="0"/>
    <s v="Normal"/>
    <s v="Normal"/>
    <s v="Normal"/>
    <s v="Normal"/>
    <n v="2021"/>
    <x v="1"/>
  </r>
  <r>
    <d v="2021-01-16T00:00:00"/>
    <x v="50"/>
    <n v="18.100000000000001"/>
    <n v="27.4"/>
    <x v="0"/>
    <s v="Normal"/>
    <s v="Normal"/>
    <s v="Normal"/>
    <s v="Normal"/>
    <n v="2021"/>
    <x v="1"/>
  </r>
  <r>
    <d v="2021-01-17T00:00:00"/>
    <x v="50"/>
    <n v="17"/>
    <n v="29.2"/>
    <x v="0"/>
    <s v="Normal"/>
    <s v="Normal"/>
    <s v="Normal"/>
    <s v="Normal"/>
    <n v="2021"/>
    <x v="1"/>
  </r>
  <r>
    <d v="2021-01-18T00:00:00"/>
    <x v="69"/>
    <n v="15.5"/>
    <n v="29.6"/>
    <x v="0"/>
    <s v="Normal"/>
    <s v="Outlier"/>
    <s v="Normal"/>
    <s v="Normal"/>
    <n v="2021"/>
    <x v="1"/>
  </r>
  <r>
    <d v="2021-01-19T00:00:00"/>
    <x v="69"/>
    <n v="16.100000000000001"/>
    <n v="28.8"/>
    <x v="0"/>
    <s v="Normal"/>
    <s v="Outlier"/>
    <s v="Normal"/>
    <s v="Normal"/>
    <n v="2021"/>
    <x v="1"/>
  </r>
  <r>
    <d v="2021-01-20T00:00:00"/>
    <x v="3"/>
    <n v="16"/>
    <n v="28.4"/>
    <x v="0"/>
    <s v="Normal"/>
    <s v="Outlier"/>
    <s v="Normal"/>
    <s v="Normal"/>
    <n v="2021"/>
    <x v="1"/>
  </r>
  <r>
    <d v="2021-01-21T00:00:00"/>
    <x v="38"/>
    <n v="17"/>
    <n v="31.1"/>
    <x v="0"/>
    <s v="Normal"/>
    <s v="Normal"/>
    <s v="Normal"/>
    <s v="Normal"/>
    <n v="2021"/>
    <x v="1"/>
  </r>
  <r>
    <d v="2021-01-22T00:00:00"/>
    <x v="38"/>
    <n v="18.399999999999999"/>
    <n v="31.1"/>
    <x v="132"/>
    <s v="Normal"/>
    <s v="Normal"/>
    <s v="Normal"/>
    <s v="Normal"/>
    <n v="2021"/>
    <x v="1"/>
  </r>
  <r>
    <d v="2021-01-23T00:00:00"/>
    <x v="57"/>
    <n v="18"/>
    <n v="30.3"/>
    <x v="0"/>
    <s v="Normal"/>
    <s v="Normal"/>
    <s v="Normal"/>
    <s v="Normal"/>
    <n v="2021"/>
    <x v="1"/>
  </r>
  <r>
    <d v="2021-01-24T00:00:00"/>
    <x v="1"/>
    <n v="17"/>
    <n v="29.2"/>
    <x v="0"/>
    <s v="Normal"/>
    <s v="Normal"/>
    <s v="Normal"/>
    <s v="Normal"/>
    <n v="2021"/>
    <x v="1"/>
  </r>
  <r>
    <d v="2021-01-25T00:00:00"/>
    <x v="70"/>
    <n v="16.3"/>
    <n v="29.5"/>
    <x v="0"/>
    <s v="Normal"/>
    <s v="Outlier"/>
    <s v="Normal"/>
    <s v="Normal"/>
    <n v="2021"/>
    <x v="1"/>
  </r>
  <r>
    <d v="2021-01-26T00:00:00"/>
    <x v="1"/>
    <n v="15.4"/>
    <n v="29.4"/>
    <x v="0"/>
    <s v="Normal"/>
    <s v="Outlier"/>
    <s v="Normal"/>
    <s v="Normal"/>
    <n v="2021"/>
    <x v="1"/>
  </r>
  <r>
    <d v="2021-01-27T00:00:00"/>
    <x v="60"/>
    <n v="15.4"/>
    <n v="30.8"/>
    <x v="0"/>
    <s v="Normal"/>
    <s v="Outlier"/>
    <s v="Normal"/>
    <s v="Normal"/>
    <n v="2021"/>
    <x v="1"/>
  </r>
  <r>
    <d v="2021-01-28T00:00:00"/>
    <x v="70"/>
    <n v="16"/>
    <n v="30.2"/>
    <x v="0"/>
    <s v="Normal"/>
    <s v="Outlier"/>
    <s v="Normal"/>
    <s v="Normal"/>
    <n v="2021"/>
    <x v="1"/>
  </r>
  <r>
    <d v="2021-01-29T00:00:00"/>
    <x v="56"/>
    <n v="18"/>
    <n v="28.4"/>
    <x v="0"/>
    <s v="Normal"/>
    <s v="Normal"/>
    <s v="Normal"/>
    <s v="Normal"/>
    <n v="2021"/>
    <x v="1"/>
  </r>
  <r>
    <d v="2021-01-30T00:00:00"/>
    <x v="48"/>
    <n v="17.399999999999999"/>
    <n v="29.3"/>
    <x v="0"/>
    <s v="Normal"/>
    <s v="Normal"/>
    <s v="Normal"/>
    <s v="Normal"/>
    <n v="2021"/>
    <x v="1"/>
  </r>
  <r>
    <d v="2021-01-31T00:00:00"/>
    <x v="3"/>
    <n v="17.2"/>
    <n v="29.8"/>
    <x v="0"/>
    <s v="Normal"/>
    <s v="Normal"/>
    <s v="Normal"/>
    <s v="Normal"/>
    <n v="2021"/>
    <x v="1"/>
  </r>
  <r>
    <d v="2021-02-01T00:00:00"/>
    <x v="48"/>
    <n v="16.8"/>
    <n v="30.1"/>
    <x v="0"/>
    <s v="Normal"/>
    <s v="Outlier"/>
    <s v="Normal"/>
    <s v="Normal"/>
    <n v="2021"/>
    <x v="1"/>
  </r>
  <r>
    <d v="2021-02-02T00:00:00"/>
    <x v="2"/>
    <n v="16.8"/>
    <n v="29.6"/>
    <x v="0"/>
    <s v="Normal"/>
    <s v="Outlier"/>
    <s v="Normal"/>
    <s v="Normal"/>
    <n v="2021"/>
    <x v="12"/>
  </r>
  <r>
    <d v="2021-02-03T00:00:00"/>
    <x v="69"/>
    <n v="17.899999999999999"/>
    <n v="28.6"/>
    <x v="0"/>
    <s v="Normal"/>
    <s v="Normal"/>
    <s v="Normal"/>
    <s v="Normal"/>
    <n v="2021"/>
    <x v="12"/>
  </r>
  <r>
    <d v="2021-02-04T00:00:00"/>
    <x v="2"/>
    <n v="16.100000000000001"/>
    <n v="28.5"/>
    <x v="0"/>
    <s v="Normal"/>
    <s v="Outlier"/>
    <s v="Normal"/>
    <s v="Normal"/>
    <n v="2021"/>
    <x v="12"/>
  </r>
  <r>
    <d v="2021-02-05T00:00:00"/>
    <x v="50"/>
    <n v="15.4"/>
    <n v="29.4"/>
    <x v="0"/>
    <s v="Normal"/>
    <s v="Outlier"/>
    <s v="Normal"/>
    <s v="Normal"/>
    <n v="2021"/>
    <x v="12"/>
  </r>
  <r>
    <d v="2021-02-06T00:00:00"/>
    <x v="56"/>
    <n v="15.6"/>
    <n v="30.4"/>
    <x v="0"/>
    <s v="Normal"/>
    <s v="Outlier"/>
    <s v="Normal"/>
    <s v="Normal"/>
    <n v="2021"/>
    <x v="12"/>
  </r>
  <r>
    <d v="2021-02-07T00:00:00"/>
    <x v="36"/>
    <n v="15"/>
    <n v="30.4"/>
    <x v="0"/>
    <s v="Normal"/>
    <s v="Outlier"/>
    <s v="Normal"/>
    <s v="Normal"/>
    <n v="2021"/>
    <x v="12"/>
  </r>
  <r>
    <d v="2021-02-08T00:00:00"/>
    <x v="2"/>
    <n v="16.100000000000001"/>
    <n v="30.1"/>
    <x v="0"/>
    <s v="Normal"/>
    <s v="Outlier"/>
    <s v="Normal"/>
    <s v="Normal"/>
    <n v="2021"/>
    <x v="12"/>
  </r>
  <r>
    <d v="2021-02-09T00:00:00"/>
    <x v="72"/>
    <n v="14.9"/>
    <n v="29.8"/>
    <x v="0"/>
    <s v="Normal"/>
    <s v="Outlier"/>
    <s v="Normal"/>
    <s v="Normal"/>
    <n v="2021"/>
    <x v="12"/>
  </r>
  <r>
    <d v="2021-02-10T00:00:00"/>
    <x v="60"/>
    <n v="14.4"/>
    <n v="28.6"/>
    <x v="0"/>
    <s v="Normal"/>
    <s v="Outlier"/>
    <s v="Normal"/>
    <s v="Normal"/>
    <n v="2021"/>
    <x v="12"/>
  </r>
  <r>
    <d v="2021-02-11T00:00:00"/>
    <x v="85"/>
    <n v="13.5"/>
    <n v="28.1"/>
    <x v="0"/>
    <s v="Normal"/>
    <s v="Outlier"/>
    <s v="Normal"/>
    <s v="Normal"/>
    <n v="2021"/>
    <x v="12"/>
  </r>
  <r>
    <d v="2021-02-12T00:00:00"/>
    <x v="86"/>
    <n v="12.2"/>
    <n v="28.9"/>
    <x v="0"/>
    <s v="Normal"/>
    <s v="Outlier"/>
    <s v="Normal"/>
    <s v="Normal"/>
    <n v="2021"/>
    <x v="12"/>
  </r>
  <r>
    <d v="2021-02-13T00:00:00"/>
    <x v="72"/>
    <n v="13"/>
    <n v="29.8"/>
    <x v="0"/>
    <s v="Normal"/>
    <s v="Outlier"/>
    <s v="Normal"/>
    <s v="Normal"/>
    <n v="2021"/>
    <x v="12"/>
  </r>
  <r>
    <d v="2021-02-14T00:00:00"/>
    <x v="55"/>
    <n v="16.2"/>
    <n v="31"/>
    <x v="0"/>
    <s v="Normal"/>
    <s v="Outlier"/>
    <s v="Normal"/>
    <s v="Normal"/>
    <n v="2021"/>
    <x v="12"/>
  </r>
  <r>
    <d v="2021-02-15T00:00:00"/>
    <x v="42"/>
    <n v="17.899999999999999"/>
    <n v="31.5"/>
    <x v="0"/>
    <s v="Normal"/>
    <s v="Normal"/>
    <s v="Normal"/>
    <s v="Normal"/>
    <n v="2021"/>
    <x v="12"/>
  </r>
  <r>
    <d v="2021-02-16T00:00:00"/>
    <x v="33"/>
    <n v="18.399999999999999"/>
    <n v="32"/>
    <x v="0"/>
    <s v="Normal"/>
    <s v="Normal"/>
    <s v="Normal"/>
    <s v="Normal"/>
    <n v="2021"/>
    <x v="12"/>
  </r>
  <r>
    <d v="2021-02-17T00:00:00"/>
    <x v="38"/>
    <n v="18.399999999999999"/>
    <n v="31.4"/>
    <x v="0"/>
    <s v="Normal"/>
    <s v="Normal"/>
    <s v="Normal"/>
    <s v="Normal"/>
    <n v="2021"/>
    <x v="12"/>
  </r>
  <r>
    <d v="2021-02-18T00:00:00"/>
    <x v="48"/>
    <n v="18"/>
    <n v="31.2"/>
    <x v="132"/>
    <s v="Normal"/>
    <s v="Normal"/>
    <s v="Normal"/>
    <s v="Normal"/>
    <n v="2021"/>
    <x v="12"/>
  </r>
  <r>
    <d v="2021-02-19T00:00:00"/>
    <x v="48"/>
    <n v="18.2"/>
    <n v="29.3"/>
    <x v="133"/>
    <s v="Normal"/>
    <s v="Normal"/>
    <s v="Normal"/>
    <s v="Normal"/>
    <n v="2021"/>
    <x v="12"/>
  </r>
  <r>
    <d v="2021-02-20T00:00:00"/>
    <x v="62"/>
    <n v="16.8"/>
    <n v="24.5"/>
    <x v="134"/>
    <s v="Normal"/>
    <s v="Outlier"/>
    <s v="Normal"/>
    <s v="Normal"/>
    <n v="2021"/>
    <x v="12"/>
  </r>
  <r>
    <d v="2021-02-21T00:00:00"/>
    <x v="72"/>
    <n v="17.100000000000001"/>
    <n v="24.2"/>
    <x v="135"/>
    <s v="Normal"/>
    <s v="Normal"/>
    <s v="Normal"/>
    <s v="Normal"/>
    <n v="2021"/>
    <x v="12"/>
  </r>
  <r>
    <d v="2021-02-22T00:00:00"/>
    <x v="48"/>
    <n v="18.100000000000001"/>
    <n v="28"/>
    <x v="128"/>
    <s v="Normal"/>
    <s v="Normal"/>
    <s v="Normal"/>
    <s v="Normal"/>
    <n v="2021"/>
    <x v="12"/>
  </r>
  <r>
    <d v="2021-02-23T00:00:00"/>
    <x v="47"/>
    <n v="18.2"/>
    <n v="30.4"/>
    <x v="0"/>
    <s v="Normal"/>
    <s v="Normal"/>
    <s v="Normal"/>
    <s v="Normal"/>
    <n v="2021"/>
    <x v="12"/>
  </r>
  <r>
    <d v="2021-02-24T00:00:00"/>
    <x v="41"/>
    <n v="18"/>
    <n v="31.1"/>
    <x v="0"/>
    <s v="Normal"/>
    <s v="Normal"/>
    <s v="Normal"/>
    <s v="Normal"/>
    <n v="2021"/>
    <x v="12"/>
  </r>
  <r>
    <d v="2021-02-25T00:00:00"/>
    <x v="10"/>
    <n v="17.399999999999999"/>
    <n v="32"/>
    <x v="0"/>
    <s v="Normal"/>
    <s v="Normal"/>
    <s v="Normal"/>
    <s v="Normal"/>
    <n v="2021"/>
    <x v="12"/>
  </r>
  <r>
    <d v="2021-02-26T00:00:00"/>
    <x v="32"/>
    <n v="18.399999999999999"/>
    <n v="33"/>
    <x v="0"/>
    <s v="Normal"/>
    <s v="Normal"/>
    <s v="Normal"/>
    <s v="Normal"/>
    <n v="2021"/>
    <x v="12"/>
  </r>
  <r>
    <d v="2021-02-27T00:00:00"/>
    <x v="5"/>
    <n v="19"/>
    <n v="34.1"/>
    <x v="0"/>
    <s v="Normal"/>
    <s v="Normal"/>
    <s v="Normal"/>
    <s v="Normal"/>
    <n v="2021"/>
    <x v="12"/>
  </r>
  <r>
    <d v="2021-02-28T00:00:00"/>
    <x v="23"/>
    <n v="20"/>
    <n v="33.799999999999997"/>
    <x v="0"/>
    <s v="Normal"/>
    <s v="Normal"/>
    <s v="Normal"/>
    <s v="Normal"/>
    <n v="2021"/>
    <x v="12"/>
  </r>
  <r>
    <d v="2021-03-01T00:00:00"/>
    <x v="51"/>
    <n v="17.399999999999999"/>
    <n v="33.799999999999997"/>
    <x v="0"/>
    <s v="Normal"/>
    <s v="Normal"/>
    <s v="Normal"/>
    <s v="Normal"/>
    <n v="2021"/>
    <x v="12"/>
  </r>
  <r>
    <d v="2021-03-02T00:00:00"/>
    <x v="10"/>
    <n v="18.399999999999999"/>
    <n v="33.6"/>
    <x v="0"/>
    <s v="Normal"/>
    <s v="Normal"/>
    <s v="Normal"/>
    <s v="Normal"/>
    <n v="2021"/>
    <x v="2"/>
  </r>
  <r>
    <d v="2021-03-03T00:00:00"/>
    <x v="34"/>
    <n v="18.2"/>
    <n v="32.5"/>
    <x v="0"/>
    <s v="Normal"/>
    <s v="Normal"/>
    <s v="Normal"/>
    <s v="Normal"/>
    <n v="2021"/>
    <x v="2"/>
  </r>
  <r>
    <d v="2021-03-04T00:00:00"/>
    <x v="40"/>
    <n v="16.5"/>
    <n v="32.299999999999997"/>
    <x v="0"/>
    <s v="Normal"/>
    <s v="Outlier"/>
    <s v="Normal"/>
    <s v="Normal"/>
    <n v="2021"/>
    <x v="2"/>
  </r>
  <r>
    <d v="2021-03-05T00:00:00"/>
    <x v="31"/>
    <n v="16.7"/>
    <n v="32"/>
    <x v="0"/>
    <s v="Normal"/>
    <s v="Outlier"/>
    <s v="Normal"/>
    <s v="Normal"/>
    <n v="2021"/>
    <x v="2"/>
  </r>
  <r>
    <d v="2021-03-06T00:00:00"/>
    <x v="7"/>
    <n v="18.399999999999999"/>
    <n v="34.4"/>
    <x v="0"/>
    <s v="Normal"/>
    <s v="Normal"/>
    <s v="Normal"/>
    <s v="Normal"/>
    <n v="2021"/>
    <x v="2"/>
  </r>
  <r>
    <d v="2021-03-07T00:00:00"/>
    <x v="64"/>
    <n v="17.5"/>
    <n v="35.9"/>
    <x v="0"/>
    <s v="Normal"/>
    <s v="Normal"/>
    <s v="Normal"/>
    <s v="Normal"/>
    <n v="2021"/>
    <x v="2"/>
  </r>
  <r>
    <d v="2021-03-08T00:00:00"/>
    <x v="23"/>
    <n v="19"/>
    <n v="33.799999999999997"/>
    <x v="0"/>
    <s v="Normal"/>
    <s v="Normal"/>
    <s v="Normal"/>
    <s v="Normal"/>
    <n v="2021"/>
    <x v="2"/>
  </r>
  <r>
    <d v="2021-03-09T00:00:00"/>
    <x v="6"/>
    <n v="18.7"/>
    <n v="33.5"/>
    <x v="0"/>
    <s v="Normal"/>
    <s v="Normal"/>
    <s v="Normal"/>
    <s v="Normal"/>
    <n v="2021"/>
    <x v="2"/>
  </r>
  <r>
    <d v="2021-03-10T00:00:00"/>
    <x v="24"/>
    <n v="19.5"/>
    <n v="33.6"/>
    <x v="0"/>
    <s v="Normal"/>
    <s v="Normal"/>
    <s v="Normal"/>
    <s v="Normal"/>
    <n v="2021"/>
    <x v="2"/>
  </r>
  <r>
    <d v="2021-03-11T00:00:00"/>
    <x v="34"/>
    <n v="18.8"/>
    <n v="32"/>
    <x v="0"/>
    <s v="Normal"/>
    <s v="Normal"/>
    <s v="Normal"/>
    <s v="Normal"/>
    <n v="2021"/>
    <x v="2"/>
  </r>
  <r>
    <d v="2021-03-12T00:00:00"/>
    <x v="40"/>
    <n v="17.3"/>
    <n v="32.200000000000003"/>
    <x v="0"/>
    <s v="Normal"/>
    <s v="Normal"/>
    <s v="Normal"/>
    <s v="Normal"/>
    <n v="2021"/>
    <x v="2"/>
  </r>
  <r>
    <d v="2021-03-13T00:00:00"/>
    <x v="39"/>
    <n v="15.3"/>
    <n v="31"/>
    <x v="0"/>
    <s v="Normal"/>
    <s v="Outlier"/>
    <s v="Normal"/>
    <s v="Normal"/>
    <n v="2021"/>
    <x v="2"/>
  </r>
  <r>
    <d v="2021-03-14T00:00:00"/>
    <x v="52"/>
    <n v="15.6"/>
    <n v="32.4"/>
    <x v="0"/>
    <s v="Normal"/>
    <s v="Outlier"/>
    <s v="Normal"/>
    <s v="Normal"/>
    <n v="2021"/>
    <x v="2"/>
  </r>
  <r>
    <d v="2021-03-15T00:00:00"/>
    <x v="9"/>
    <n v="16.2"/>
    <n v="32.4"/>
    <x v="0"/>
    <s v="Normal"/>
    <s v="Outlier"/>
    <s v="Normal"/>
    <s v="Normal"/>
    <n v="2021"/>
    <x v="2"/>
  </r>
  <r>
    <d v="2021-03-16T00:00:00"/>
    <x v="65"/>
    <n v="17.899999999999999"/>
    <n v="32.799999999999997"/>
    <x v="0"/>
    <s v="Normal"/>
    <s v="Normal"/>
    <s v="Normal"/>
    <s v="Normal"/>
    <n v="2021"/>
    <x v="2"/>
  </r>
  <r>
    <d v="2021-03-17T00:00:00"/>
    <x v="30"/>
    <n v="16.399999999999999"/>
    <n v="32.4"/>
    <x v="0"/>
    <s v="Normal"/>
    <s v="Outlier"/>
    <s v="Normal"/>
    <s v="Normal"/>
    <n v="2021"/>
    <x v="2"/>
  </r>
  <r>
    <d v="2021-03-18T00:00:00"/>
    <x v="30"/>
    <n v="17"/>
    <n v="32.799999999999997"/>
    <x v="0"/>
    <s v="Normal"/>
    <s v="Normal"/>
    <s v="Normal"/>
    <s v="Normal"/>
    <n v="2021"/>
    <x v="2"/>
  </r>
  <r>
    <d v="2021-03-19T00:00:00"/>
    <x v="10"/>
    <n v="17.8"/>
    <n v="32.799999999999997"/>
    <x v="0"/>
    <s v="Normal"/>
    <s v="Normal"/>
    <s v="Normal"/>
    <s v="Normal"/>
    <n v="2021"/>
    <x v="2"/>
  </r>
  <r>
    <d v="2021-03-20T00:00:00"/>
    <x v="10"/>
    <n v="16.899999999999999"/>
    <n v="32.200000000000003"/>
    <x v="0"/>
    <s v="Normal"/>
    <s v="Normal"/>
    <s v="Normal"/>
    <s v="Normal"/>
    <n v="2021"/>
    <x v="2"/>
  </r>
  <r>
    <d v="2021-03-21T00:00:00"/>
    <x v="65"/>
    <n v="18.399999999999999"/>
    <n v="33"/>
    <x v="0"/>
    <s v="Normal"/>
    <s v="Normal"/>
    <s v="Normal"/>
    <s v="Normal"/>
    <n v="2021"/>
    <x v="2"/>
  </r>
  <r>
    <d v="2021-03-22T00:00:00"/>
    <x v="5"/>
    <n v="17.5"/>
    <n v="33.799999999999997"/>
    <x v="0"/>
    <s v="Normal"/>
    <s v="Normal"/>
    <s v="Normal"/>
    <s v="Normal"/>
    <n v="2021"/>
    <x v="2"/>
  </r>
  <r>
    <d v="2021-03-23T00:00:00"/>
    <x v="15"/>
    <n v="18.2"/>
    <n v="34.200000000000003"/>
    <x v="0"/>
    <s v="Normal"/>
    <s v="Normal"/>
    <s v="Normal"/>
    <s v="Normal"/>
    <n v="2021"/>
    <x v="2"/>
  </r>
  <r>
    <d v="2021-03-24T00:00:00"/>
    <x v="7"/>
    <n v="18.3"/>
    <n v="33.799999999999997"/>
    <x v="0"/>
    <s v="Normal"/>
    <s v="Normal"/>
    <s v="Normal"/>
    <s v="Normal"/>
    <n v="2021"/>
    <x v="2"/>
  </r>
  <r>
    <d v="2021-03-25T00:00:00"/>
    <x v="8"/>
    <n v="18.7"/>
    <n v="33.6"/>
    <x v="0"/>
    <s v="Normal"/>
    <s v="Normal"/>
    <s v="Normal"/>
    <s v="Normal"/>
    <n v="2021"/>
    <x v="2"/>
  </r>
  <r>
    <d v="2021-03-26T00:00:00"/>
    <x v="8"/>
    <n v="19.3"/>
    <n v="35"/>
    <x v="0"/>
    <s v="Normal"/>
    <s v="Normal"/>
    <s v="Normal"/>
    <s v="Normal"/>
    <n v="2021"/>
    <x v="2"/>
  </r>
  <r>
    <d v="2021-03-27T00:00:00"/>
    <x v="8"/>
    <n v="19.100000000000001"/>
    <n v="34.4"/>
    <x v="0"/>
    <s v="Normal"/>
    <s v="Normal"/>
    <s v="Normal"/>
    <s v="Normal"/>
    <n v="2021"/>
    <x v="2"/>
  </r>
  <r>
    <d v="2021-03-28T00:00:00"/>
    <x v="8"/>
    <n v="19.8"/>
    <n v="34.1"/>
    <x v="0"/>
    <s v="Normal"/>
    <s v="Normal"/>
    <s v="Normal"/>
    <s v="Normal"/>
    <n v="2021"/>
    <x v="2"/>
  </r>
  <r>
    <d v="2021-03-29T00:00:00"/>
    <x v="75"/>
    <n v="20"/>
    <n v="34.5"/>
    <x v="0"/>
    <s v="Normal"/>
    <s v="Normal"/>
    <s v="Normal"/>
    <s v="Normal"/>
    <n v="2021"/>
    <x v="2"/>
  </r>
  <r>
    <d v="2021-03-30T00:00:00"/>
    <x v="67"/>
    <n v="21.4"/>
    <n v="34.1"/>
    <x v="0"/>
    <s v="Normal"/>
    <s v="Normal"/>
    <s v="Normal"/>
    <s v="Normal"/>
    <n v="2021"/>
    <x v="2"/>
  </r>
  <r>
    <d v="2021-04-01T00:00:00"/>
    <x v="21"/>
    <n v="21"/>
    <n v="35.6"/>
    <x v="0"/>
    <s v="Normal"/>
    <s v="Normal"/>
    <s v="Normal"/>
    <s v="Normal"/>
    <n v="2021"/>
    <x v="2"/>
  </r>
  <r>
    <d v="2021-04-02T00:00:00"/>
    <x v="67"/>
    <n v="19.3"/>
    <n v="35.6"/>
    <x v="0"/>
    <s v="Normal"/>
    <s v="Normal"/>
    <s v="Normal"/>
    <s v="Normal"/>
    <n v="2021"/>
    <x v="3"/>
  </r>
  <r>
    <d v="2021-04-03T00:00:00"/>
    <x v="67"/>
    <n v="20.6"/>
    <n v="34.4"/>
    <x v="0"/>
    <s v="Normal"/>
    <s v="Normal"/>
    <s v="Normal"/>
    <s v="Normal"/>
    <n v="2021"/>
    <x v="3"/>
  </r>
  <r>
    <d v="2021-04-05T00:00:00"/>
    <x v="67"/>
    <n v="21.4"/>
    <n v="33.299999999999997"/>
    <x v="0"/>
    <s v="Normal"/>
    <s v="Normal"/>
    <s v="Normal"/>
    <s v="Normal"/>
    <n v="2021"/>
    <x v="3"/>
  </r>
  <r>
    <d v="2021-04-06T00:00:00"/>
    <x v="11"/>
    <n v="20.2"/>
    <n v="34.4"/>
    <x v="0"/>
    <s v="Normal"/>
    <s v="Normal"/>
    <s v="Normal"/>
    <s v="Normal"/>
    <n v="2021"/>
    <x v="3"/>
  </r>
  <r>
    <d v="2021-04-07T00:00:00"/>
    <x v="20"/>
    <n v="19.399999999999999"/>
    <n v="35"/>
    <x v="0"/>
    <s v="Normal"/>
    <s v="Normal"/>
    <s v="Normal"/>
    <s v="Normal"/>
    <n v="2021"/>
    <x v="3"/>
  </r>
  <r>
    <d v="2021-04-08T00:00:00"/>
    <x v="11"/>
    <n v="20.100000000000001"/>
    <n v="34.200000000000003"/>
    <x v="0"/>
    <s v="Normal"/>
    <s v="Normal"/>
    <s v="Normal"/>
    <s v="Normal"/>
    <n v="2021"/>
    <x v="3"/>
  </r>
  <r>
    <d v="2021-04-09T00:00:00"/>
    <x v="25"/>
    <n v="19.5"/>
    <n v="34"/>
    <x v="0"/>
    <s v="Normal"/>
    <s v="Normal"/>
    <s v="Normal"/>
    <s v="Normal"/>
    <n v="2021"/>
    <x v="3"/>
  </r>
  <r>
    <d v="2021-04-10T00:00:00"/>
    <x v="64"/>
    <n v="19.3"/>
    <n v="33.299999999999997"/>
    <x v="0"/>
    <s v="Normal"/>
    <s v="Normal"/>
    <s v="Normal"/>
    <s v="Normal"/>
    <n v="2021"/>
    <x v="3"/>
  </r>
  <r>
    <d v="2021-04-11T00:00:00"/>
    <x v="64"/>
    <n v="19.399999999999999"/>
    <n v="33.200000000000003"/>
    <x v="0"/>
    <s v="Normal"/>
    <s v="Normal"/>
    <s v="Normal"/>
    <s v="Normal"/>
    <n v="2021"/>
    <x v="3"/>
  </r>
  <r>
    <d v="2021-04-12T00:00:00"/>
    <x v="15"/>
    <n v="20.7"/>
    <n v="33.5"/>
    <x v="0"/>
    <s v="Normal"/>
    <s v="Normal"/>
    <s v="Normal"/>
    <s v="Normal"/>
    <n v="2021"/>
    <x v="3"/>
  </r>
  <r>
    <d v="2021-04-13T00:00:00"/>
    <x v="15"/>
    <n v="20.8"/>
    <n v="32.9"/>
    <x v="0"/>
    <s v="Normal"/>
    <s v="Normal"/>
    <s v="Normal"/>
    <s v="Normal"/>
    <n v="2021"/>
    <x v="3"/>
  </r>
  <r>
    <d v="2021-04-14T00:00:00"/>
    <x v="9"/>
    <n v="21.8"/>
    <n v="31.8"/>
    <x v="136"/>
    <s v="Normal"/>
    <s v="Normal"/>
    <s v="Normal"/>
    <s v="Normal"/>
    <n v="2021"/>
    <x v="3"/>
  </r>
  <r>
    <d v="2021-04-15T00:00:00"/>
    <x v="10"/>
    <n v="19.8"/>
    <n v="33.200000000000003"/>
    <x v="10"/>
    <s v="Normal"/>
    <s v="Normal"/>
    <s v="Normal"/>
    <s v="Normal"/>
    <n v="2021"/>
    <x v="3"/>
  </r>
  <r>
    <d v="2021-04-16T00:00:00"/>
    <x v="8"/>
    <n v="20.8"/>
    <n v="32.6"/>
    <x v="1"/>
    <s v="Normal"/>
    <s v="Normal"/>
    <s v="Normal"/>
    <s v="Normal"/>
    <n v="2021"/>
    <x v="3"/>
  </r>
  <r>
    <d v="2021-04-17T00:00:00"/>
    <x v="67"/>
    <n v="22.4"/>
    <n v="33.4"/>
    <x v="0"/>
    <s v="Normal"/>
    <s v="Normal"/>
    <s v="Normal"/>
    <s v="Normal"/>
    <n v="2021"/>
    <x v="3"/>
  </r>
  <r>
    <d v="2021-04-18T00:00:00"/>
    <x v="16"/>
    <n v="20.9"/>
    <n v="33"/>
    <x v="132"/>
    <s v="Normal"/>
    <s v="Normal"/>
    <s v="Normal"/>
    <s v="Normal"/>
    <n v="2021"/>
    <x v="3"/>
  </r>
  <r>
    <d v="2021-04-19T00:00:00"/>
    <x v="25"/>
    <n v="20.6"/>
    <n v="34"/>
    <x v="132"/>
    <s v="Normal"/>
    <s v="Normal"/>
    <s v="Normal"/>
    <s v="Normal"/>
    <n v="2021"/>
    <x v="3"/>
  </r>
  <r>
    <d v="2021-04-20T00:00:00"/>
    <x v="23"/>
    <n v="21.8"/>
    <n v="34"/>
    <x v="137"/>
    <s v="Normal"/>
    <s v="Normal"/>
    <s v="Normal"/>
    <s v="Normal"/>
    <n v="2021"/>
    <x v="3"/>
  </r>
  <r>
    <d v="2021-04-21T00:00:00"/>
    <x v="15"/>
    <n v="20.8"/>
    <n v="34.4"/>
    <x v="0"/>
    <s v="Normal"/>
    <s v="Normal"/>
    <s v="Normal"/>
    <s v="Normal"/>
    <n v="2021"/>
    <x v="3"/>
  </r>
  <r>
    <d v="2021-04-22T00:00:00"/>
    <x v="44"/>
    <n v="20.5"/>
    <n v="34.6"/>
    <x v="15"/>
    <s v="Normal"/>
    <s v="Normal"/>
    <s v="Normal"/>
    <s v="Outlier"/>
    <n v="2021"/>
    <x v="3"/>
  </r>
  <r>
    <d v="2021-04-23T00:00:00"/>
    <x v="41"/>
    <n v="20.7"/>
    <n v="32.200000000000003"/>
    <x v="138"/>
    <s v="Normal"/>
    <s v="Normal"/>
    <s v="Normal"/>
    <s v="Outlier"/>
    <n v="2021"/>
    <x v="3"/>
  </r>
  <r>
    <d v="2021-04-24T00:00:00"/>
    <x v="40"/>
    <n v="20"/>
    <n v="31.7"/>
    <x v="139"/>
    <s v="Normal"/>
    <s v="Normal"/>
    <s v="Normal"/>
    <s v="Outlier"/>
    <n v="2021"/>
    <x v="3"/>
  </r>
  <r>
    <d v="2021-04-25T00:00:00"/>
    <x v="64"/>
    <n v="21.8"/>
    <n v="31.9"/>
    <x v="0"/>
    <s v="Normal"/>
    <s v="Normal"/>
    <s v="Normal"/>
    <s v="Normal"/>
    <n v="2021"/>
    <x v="3"/>
  </r>
  <r>
    <d v="2021-04-26T00:00:00"/>
    <x v="64"/>
    <n v="21.2"/>
    <n v="33"/>
    <x v="0"/>
    <s v="Normal"/>
    <s v="Normal"/>
    <s v="Normal"/>
    <s v="Normal"/>
    <n v="2021"/>
    <x v="3"/>
  </r>
  <r>
    <d v="2021-04-27T00:00:00"/>
    <x v="15"/>
    <n v="20.9"/>
    <n v="32.5"/>
    <x v="0"/>
    <s v="Normal"/>
    <s v="Normal"/>
    <s v="Normal"/>
    <s v="Normal"/>
    <n v="2021"/>
    <x v="3"/>
  </r>
  <r>
    <d v="2021-04-28T00:00:00"/>
    <x v="24"/>
    <n v="20.9"/>
    <n v="33.4"/>
    <x v="132"/>
    <s v="Normal"/>
    <s v="Normal"/>
    <s v="Normal"/>
    <s v="Normal"/>
    <n v="2021"/>
    <x v="3"/>
  </r>
  <r>
    <d v="2021-04-29T00:00:00"/>
    <x v="64"/>
    <n v="22.2"/>
    <n v="31.8"/>
    <x v="140"/>
    <s v="Normal"/>
    <s v="Normal"/>
    <s v="Normal"/>
    <s v="Normal"/>
    <n v="2021"/>
    <x v="3"/>
  </r>
  <r>
    <d v="2021-04-30T00:00:00"/>
    <x v="27"/>
    <n v="20.7"/>
    <n v="33.1"/>
    <x v="0"/>
    <s v="Normal"/>
    <s v="Normal"/>
    <s v="Normal"/>
    <s v="Normal"/>
    <n v="2021"/>
    <x v="3"/>
  </r>
  <r>
    <d v="2021-05-01T00:00:00"/>
    <x v="25"/>
    <n v="22.5"/>
    <n v="33.4"/>
    <x v="0"/>
    <s v="Normal"/>
    <s v="Normal"/>
    <s v="Normal"/>
    <s v="Normal"/>
    <n v="2021"/>
    <x v="3"/>
  </r>
  <r>
    <d v="2021-05-02T00:00:00"/>
    <x v="7"/>
    <n v="21.5"/>
    <n v="32.4"/>
    <x v="0"/>
    <s v="Normal"/>
    <s v="Normal"/>
    <s v="Normal"/>
    <s v="Normal"/>
    <n v="2021"/>
    <x v="4"/>
  </r>
  <r>
    <d v="2021-05-03T00:00:00"/>
    <x v="27"/>
    <n v="21.9"/>
    <n v="32"/>
    <x v="1"/>
    <s v="Normal"/>
    <s v="Normal"/>
    <s v="Normal"/>
    <s v="Normal"/>
    <n v="2021"/>
    <x v="4"/>
  </r>
  <r>
    <d v="2021-05-04T00:00:00"/>
    <x v="9"/>
    <n v="21.1"/>
    <n v="30.4"/>
    <x v="66"/>
    <s v="Normal"/>
    <s v="Normal"/>
    <s v="Normal"/>
    <s v="Normal"/>
    <n v="2021"/>
    <x v="4"/>
  </r>
  <r>
    <d v="2021-05-05T00:00:00"/>
    <x v="22"/>
    <n v="20.6"/>
    <n v="33.299999999999997"/>
    <x v="0"/>
    <s v="Normal"/>
    <s v="Normal"/>
    <s v="Normal"/>
    <s v="Normal"/>
    <n v="2021"/>
    <x v="4"/>
  </r>
  <r>
    <d v="2021-05-06T00:00:00"/>
    <x v="24"/>
    <n v="21.7"/>
    <n v="32.4"/>
    <x v="0"/>
    <s v="Normal"/>
    <s v="Normal"/>
    <s v="Normal"/>
    <s v="Normal"/>
    <n v="2021"/>
    <x v="4"/>
  </r>
  <r>
    <d v="2021-05-07T00:00:00"/>
    <x v="64"/>
    <n v="22.2"/>
    <n v="32"/>
    <x v="140"/>
    <s v="Normal"/>
    <s v="Normal"/>
    <s v="Normal"/>
    <s v="Normal"/>
    <n v="2021"/>
    <x v="4"/>
  </r>
  <r>
    <d v="2021-05-08T00:00:00"/>
    <x v="16"/>
    <n v="21.5"/>
    <n v="33.6"/>
    <x v="131"/>
    <s v="Normal"/>
    <s v="Normal"/>
    <s v="Normal"/>
    <s v="Normal"/>
    <n v="2021"/>
    <x v="4"/>
  </r>
  <r>
    <d v="2021-05-09T00:00:00"/>
    <x v="8"/>
    <n v="21.3"/>
    <n v="33.4"/>
    <x v="1"/>
    <s v="Normal"/>
    <s v="Normal"/>
    <s v="Normal"/>
    <s v="Normal"/>
    <n v="2021"/>
    <x v="4"/>
  </r>
  <r>
    <d v="2021-05-10T00:00:00"/>
    <x v="7"/>
    <n v="22.1"/>
    <n v="32.799999999999997"/>
    <x v="7"/>
    <s v="Normal"/>
    <s v="Normal"/>
    <s v="Normal"/>
    <s v="Normal"/>
    <n v="2021"/>
    <x v="4"/>
  </r>
  <r>
    <d v="2021-05-11T00:00:00"/>
    <x v="26"/>
    <n v="21.5"/>
    <n v="33.200000000000003"/>
    <x v="72"/>
    <s v="Normal"/>
    <s v="Normal"/>
    <s v="Normal"/>
    <s v="Normal"/>
    <n v="2021"/>
    <x v="4"/>
  </r>
  <r>
    <d v="2021-05-12T00:00:00"/>
    <x v="30"/>
    <n v="21.4"/>
    <n v="33.9"/>
    <x v="0"/>
    <s v="Normal"/>
    <s v="Normal"/>
    <s v="Normal"/>
    <s v="Normal"/>
    <n v="2021"/>
    <x v="4"/>
  </r>
  <r>
    <d v="2021-05-13T00:00:00"/>
    <x v="51"/>
    <n v="20.7"/>
    <n v="31.9"/>
    <x v="97"/>
    <s v="Normal"/>
    <s v="Normal"/>
    <s v="Normal"/>
    <s v="Outlier"/>
    <n v="2021"/>
    <x v="4"/>
  </r>
  <r>
    <d v="2021-05-14T00:00:00"/>
    <x v="7"/>
    <n v="21.4"/>
    <n v="31.9"/>
    <x v="141"/>
    <s v="Normal"/>
    <s v="Normal"/>
    <s v="Normal"/>
    <s v="Outlier"/>
    <n v="2021"/>
    <x v="4"/>
  </r>
  <r>
    <d v="2021-05-15T00:00:00"/>
    <x v="38"/>
    <n v="22.2"/>
    <n v="32.6"/>
    <x v="0"/>
    <s v="Normal"/>
    <s v="Normal"/>
    <s v="Normal"/>
    <s v="Normal"/>
    <n v="2021"/>
    <x v="4"/>
  </r>
  <r>
    <d v="2021-05-16T00:00:00"/>
    <x v="42"/>
    <n v="21.4"/>
    <n v="28"/>
    <x v="0"/>
    <s v="Normal"/>
    <s v="Normal"/>
    <s v="Normal"/>
    <s v="Normal"/>
    <n v="2021"/>
    <x v="4"/>
  </r>
  <r>
    <d v="2021-05-17T00:00:00"/>
    <x v="14"/>
    <n v="21"/>
    <n v="31.6"/>
    <x v="0"/>
    <s v="Normal"/>
    <s v="Normal"/>
    <s v="Normal"/>
    <s v="Normal"/>
    <n v="2021"/>
    <x v="4"/>
  </r>
  <r>
    <d v="2021-05-18T00:00:00"/>
    <x v="14"/>
    <n v="21.6"/>
    <n v="32.6"/>
    <x v="0"/>
    <s v="Normal"/>
    <s v="Normal"/>
    <s v="Normal"/>
    <s v="Normal"/>
    <n v="2021"/>
    <x v="4"/>
  </r>
  <r>
    <d v="2021-05-19T00:00:00"/>
    <x v="9"/>
    <n v="20.2"/>
    <n v="32.6"/>
    <x v="142"/>
    <s v="Normal"/>
    <s v="Normal"/>
    <s v="Normal"/>
    <s v="Normal"/>
    <n v="2021"/>
    <x v="4"/>
  </r>
  <r>
    <d v="2021-05-20T00:00:00"/>
    <x v="37"/>
    <n v="21.1"/>
    <n v="29.6"/>
    <x v="143"/>
    <s v="Normal"/>
    <s v="Normal"/>
    <s v="Normal"/>
    <s v="Normal"/>
    <n v="2021"/>
    <x v="4"/>
  </r>
  <r>
    <d v="2021-05-21T00:00:00"/>
    <x v="0"/>
    <n v="20.9"/>
    <n v="30.8"/>
    <x v="102"/>
    <s v="Normal"/>
    <s v="Normal"/>
    <s v="Normal"/>
    <s v="Normal"/>
    <n v="2021"/>
    <x v="4"/>
  </r>
  <r>
    <d v="2021-05-22T00:00:00"/>
    <x v="38"/>
    <n v="21"/>
    <n v="28.8"/>
    <x v="92"/>
    <s v="Normal"/>
    <s v="Normal"/>
    <s v="Normal"/>
    <s v="Outlier"/>
    <n v="2021"/>
    <x v="4"/>
  </r>
  <r>
    <d v="2021-05-23T00:00:00"/>
    <x v="32"/>
    <n v="20.8"/>
    <n v="29.4"/>
    <x v="120"/>
    <s v="Normal"/>
    <s v="Normal"/>
    <s v="Normal"/>
    <s v="Normal"/>
    <n v="2021"/>
    <x v="4"/>
  </r>
  <r>
    <d v="2021-05-24T00:00:00"/>
    <x v="26"/>
    <n v="22"/>
    <n v="31"/>
    <x v="0"/>
    <s v="Normal"/>
    <s v="Normal"/>
    <s v="Normal"/>
    <s v="Normal"/>
    <n v="2021"/>
    <x v="4"/>
  </r>
  <r>
    <d v="2021-05-25T00:00:00"/>
    <x v="44"/>
    <n v="20.2"/>
    <n v="31.7"/>
    <x v="1"/>
    <s v="Normal"/>
    <s v="Normal"/>
    <s v="Normal"/>
    <s v="Normal"/>
    <n v="2021"/>
    <x v="4"/>
  </r>
  <r>
    <d v="2021-05-26T00:00:00"/>
    <x v="31"/>
    <n v="20.399999999999999"/>
    <n v="30.2"/>
    <x v="67"/>
    <s v="Normal"/>
    <s v="Normal"/>
    <s v="Normal"/>
    <s v="Outlier"/>
    <n v="2021"/>
    <x v="4"/>
  </r>
  <r>
    <d v="2021-05-27T00:00:00"/>
    <x v="10"/>
    <n v="21.2"/>
    <n v="30.1"/>
    <x v="0"/>
    <s v="Normal"/>
    <s v="Normal"/>
    <s v="Normal"/>
    <s v="Normal"/>
    <n v="2021"/>
    <x v="4"/>
  </r>
  <r>
    <d v="2021-05-28T00:00:00"/>
    <x v="52"/>
    <n v="18.8"/>
    <n v="30.3"/>
    <x v="0"/>
    <s v="Normal"/>
    <s v="Normal"/>
    <s v="Normal"/>
    <s v="Normal"/>
    <n v="2021"/>
    <x v="4"/>
  </r>
  <r>
    <d v="2021-05-29T00:00:00"/>
    <x v="29"/>
    <n v="19.399999999999999"/>
    <n v="30.8"/>
    <x v="5"/>
    <s v="Normal"/>
    <s v="Normal"/>
    <s v="Normal"/>
    <s v="Normal"/>
    <n v="2021"/>
    <x v="4"/>
  </r>
  <r>
    <d v="2021-05-30T00:00:00"/>
    <x v="45"/>
    <n v="20.100000000000001"/>
    <n v="31.3"/>
    <x v="132"/>
    <s v="Normal"/>
    <s v="Normal"/>
    <s v="Normal"/>
    <s v="Normal"/>
    <n v="2021"/>
    <x v="4"/>
  </r>
  <r>
    <d v="2021-05-31T00:00:00"/>
    <x v="10"/>
    <n v="20.3"/>
    <n v="31.6"/>
    <x v="23"/>
    <s v="Normal"/>
    <s v="Normal"/>
    <s v="Normal"/>
    <s v="Normal"/>
    <n v="2021"/>
    <x v="4"/>
  </r>
  <r>
    <d v="2021-06-01T00:00:00"/>
    <x v="30"/>
    <n v="20.8"/>
    <n v="31.6"/>
    <x v="72"/>
    <s v="Normal"/>
    <s v="Normal"/>
    <s v="Normal"/>
    <s v="Normal"/>
    <n v="2021"/>
    <x v="4"/>
  </r>
  <r>
    <d v="2021-06-02T00:00:00"/>
    <x v="65"/>
    <n v="22.2"/>
    <n v="33.700000000000003"/>
    <x v="7"/>
    <s v="Normal"/>
    <s v="Normal"/>
    <s v="Normal"/>
    <s v="Normal"/>
    <n v="2021"/>
    <x v="5"/>
  </r>
  <r>
    <d v="2021-06-03T00:00:00"/>
    <x v="40"/>
    <n v="21.9"/>
    <n v="33.700000000000003"/>
    <x v="5"/>
    <s v="Normal"/>
    <s v="Normal"/>
    <s v="Normal"/>
    <s v="Normal"/>
    <n v="2021"/>
    <x v="5"/>
  </r>
  <r>
    <d v="2021-06-04T00:00:00"/>
    <x v="38"/>
    <n v="21.1"/>
    <n v="31"/>
    <x v="144"/>
    <s v="Normal"/>
    <s v="Normal"/>
    <s v="Normal"/>
    <s v="Outlier"/>
    <n v="2021"/>
    <x v="5"/>
  </r>
  <r>
    <d v="2021-06-05T00:00:00"/>
    <x v="43"/>
    <n v="21.2"/>
    <n v="31.5"/>
    <x v="145"/>
    <s v="Normal"/>
    <s v="Normal"/>
    <s v="Normal"/>
    <s v="Outlier"/>
    <n v="2021"/>
    <x v="5"/>
  </r>
  <r>
    <d v="2021-06-06T00:00:00"/>
    <x v="29"/>
    <n v="20.7"/>
    <n v="29.2"/>
    <x v="83"/>
    <s v="Normal"/>
    <s v="Normal"/>
    <s v="Normal"/>
    <s v="Normal"/>
    <n v="2021"/>
    <x v="5"/>
  </r>
  <r>
    <d v="2021-06-07T00:00:00"/>
    <x v="51"/>
    <n v="22.1"/>
    <n v="29.7"/>
    <x v="5"/>
    <s v="Normal"/>
    <s v="Normal"/>
    <s v="Normal"/>
    <s v="Normal"/>
    <n v="2021"/>
    <x v="5"/>
  </r>
  <r>
    <d v="2021-06-08T00:00:00"/>
    <x v="6"/>
    <n v="19.7"/>
    <n v="31"/>
    <x v="0"/>
    <s v="Normal"/>
    <s v="Normal"/>
    <s v="Normal"/>
    <s v="Normal"/>
    <n v="2021"/>
    <x v="5"/>
  </r>
  <r>
    <d v="2021-06-09T00:00:00"/>
    <x v="35"/>
    <n v="19.2"/>
    <n v="29.2"/>
    <x v="83"/>
    <s v="Normal"/>
    <s v="Normal"/>
    <s v="Normal"/>
    <s v="Normal"/>
    <n v="2021"/>
    <x v="5"/>
  </r>
  <r>
    <d v="2021-06-10T00:00:00"/>
    <x v="43"/>
    <n v="19.8"/>
    <n v="28.5"/>
    <x v="23"/>
    <s v="Normal"/>
    <s v="Normal"/>
    <s v="Normal"/>
    <s v="Normal"/>
    <n v="2021"/>
    <x v="5"/>
  </r>
  <r>
    <d v="2021-06-11T00:00:00"/>
    <x v="37"/>
    <n v="20.399999999999999"/>
    <n v="29"/>
    <x v="0"/>
    <s v="Normal"/>
    <s v="Normal"/>
    <s v="Normal"/>
    <s v="Normal"/>
    <n v="2021"/>
    <x v="5"/>
  </r>
  <r>
    <d v="2021-06-12T00:00:00"/>
    <x v="46"/>
    <n v="20.399999999999999"/>
    <n v="27"/>
    <x v="102"/>
    <s v="Normal"/>
    <s v="Normal"/>
    <s v="Normal"/>
    <s v="Normal"/>
    <n v="2021"/>
    <x v="5"/>
  </r>
  <r>
    <d v="2021-06-13T00:00:00"/>
    <x v="54"/>
    <n v="20.2"/>
    <n v="25.2"/>
    <x v="4"/>
    <s v="Normal"/>
    <s v="Normal"/>
    <s v="Normal"/>
    <s v="Normal"/>
    <n v="2021"/>
    <x v="5"/>
  </r>
  <r>
    <d v="2021-06-14T00:00:00"/>
    <x v="36"/>
    <n v="20.100000000000001"/>
    <n v="27.6"/>
    <x v="0"/>
    <s v="Normal"/>
    <s v="Normal"/>
    <s v="Normal"/>
    <s v="Normal"/>
    <n v="2021"/>
    <x v="5"/>
  </r>
  <r>
    <d v="2021-06-15T00:00:00"/>
    <x v="3"/>
    <n v="20.2"/>
    <n v="26.5"/>
    <x v="76"/>
    <s v="Normal"/>
    <s v="Normal"/>
    <s v="Normal"/>
    <s v="Normal"/>
    <n v="2021"/>
    <x v="5"/>
  </r>
  <r>
    <d v="2021-06-16T00:00:00"/>
    <x v="3"/>
    <n v="20.8"/>
    <n v="26.7"/>
    <x v="5"/>
    <s v="Normal"/>
    <s v="Normal"/>
    <s v="Normal"/>
    <s v="Normal"/>
    <n v="2021"/>
    <x v="5"/>
  </r>
  <r>
    <d v="2021-06-17T00:00:00"/>
    <x v="35"/>
    <n v="20.8"/>
    <n v="28"/>
    <x v="25"/>
    <s v="Normal"/>
    <s v="Normal"/>
    <s v="Normal"/>
    <s v="Normal"/>
    <n v="2021"/>
    <x v="5"/>
  </r>
  <r>
    <d v="2021-06-18T00:00:00"/>
    <x v="35"/>
    <n v="20.399999999999999"/>
    <n v="28.4"/>
    <x v="8"/>
    <s v="Normal"/>
    <s v="Normal"/>
    <s v="Normal"/>
    <s v="Normal"/>
    <n v="2021"/>
    <x v="5"/>
  </r>
  <r>
    <d v="2021-06-19T00:00:00"/>
    <x v="35"/>
    <n v="20.8"/>
    <n v="28"/>
    <x v="0"/>
    <s v="Normal"/>
    <s v="Normal"/>
    <s v="Normal"/>
    <s v="Normal"/>
    <n v="2021"/>
    <x v="5"/>
  </r>
  <r>
    <d v="2021-06-20T00:00:00"/>
    <x v="44"/>
    <n v="20.5"/>
    <n v="28.8"/>
    <x v="0"/>
    <s v="Normal"/>
    <s v="Normal"/>
    <s v="Normal"/>
    <s v="Normal"/>
    <n v="2021"/>
    <x v="5"/>
  </r>
  <r>
    <d v="2021-06-21T00:00:00"/>
    <x v="33"/>
    <n v="19.3"/>
    <n v="29.1"/>
    <x v="146"/>
    <s v="Normal"/>
    <s v="Normal"/>
    <s v="Normal"/>
    <s v="Normal"/>
    <n v="2021"/>
    <x v="5"/>
  </r>
  <r>
    <d v="2021-06-22T00:00:00"/>
    <x v="39"/>
    <n v="19.3"/>
    <n v="28.9"/>
    <x v="128"/>
    <s v="Normal"/>
    <s v="Normal"/>
    <s v="Normal"/>
    <s v="Normal"/>
    <n v="2021"/>
    <x v="5"/>
  </r>
  <r>
    <d v="2021-06-23T00:00:00"/>
    <x v="31"/>
    <n v="19.899999999999999"/>
    <n v="29.9"/>
    <x v="0"/>
    <s v="Normal"/>
    <s v="Normal"/>
    <s v="Normal"/>
    <s v="Normal"/>
    <n v="2021"/>
    <x v="5"/>
  </r>
  <r>
    <d v="2021-06-24T00:00:00"/>
    <x v="47"/>
    <n v="19.899999999999999"/>
    <n v="28.8"/>
    <x v="147"/>
    <s v="Normal"/>
    <s v="Normal"/>
    <s v="Normal"/>
    <s v="Normal"/>
    <n v="2021"/>
    <x v="5"/>
  </r>
  <r>
    <d v="2021-06-25T00:00:00"/>
    <x v="40"/>
    <n v="19.399999999999999"/>
    <n v="29.7"/>
    <x v="131"/>
    <s v="Normal"/>
    <s v="Normal"/>
    <s v="Normal"/>
    <s v="Normal"/>
    <n v="2021"/>
    <x v="5"/>
  </r>
  <r>
    <d v="2021-06-26T00:00:00"/>
    <x v="48"/>
    <n v="20.100000000000001"/>
    <n v="29.7"/>
    <x v="0"/>
    <s v="Normal"/>
    <s v="Normal"/>
    <s v="Normal"/>
    <s v="Normal"/>
    <n v="2021"/>
    <x v="5"/>
  </r>
  <r>
    <d v="2021-06-27T00:00:00"/>
    <x v="54"/>
    <n v="20.2"/>
    <n v="27.2"/>
    <x v="23"/>
    <s v="Normal"/>
    <s v="Normal"/>
    <s v="Normal"/>
    <s v="Normal"/>
    <n v="2021"/>
    <x v="5"/>
  </r>
  <r>
    <d v="2021-06-28T00:00:00"/>
    <x v="4"/>
    <n v="20.8"/>
    <n v="28.5"/>
    <x v="5"/>
    <s v="Normal"/>
    <s v="Normal"/>
    <s v="Normal"/>
    <s v="Normal"/>
    <n v="2021"/>
    <x v="5"/>
  </r>
  <r>
    <d v="2021-06-29T00:00:00"/>
    <x v="5"/>
    <n v="20.9"/>
    <n v="31.6"/>
    <x v="0"/>
    <s v="Normal"/>
    <s v="Normal"/>
    <s v="Normal"/>
    <s v="Normal"/>
    <n v="2021"/>
    <x v="5"/>
  </r>
  <r>
    <d v="2021-06-30T00:00:00"/>
    <x v="23"/>
    <n v="20.7"/>
    <n v="30.9"/>
    <x v="26"/>
    <s v="Normal"/>
    <s v="Normal"/>
    <s v="Normal"/>
    <s v="Normal"/>
    <n v="2021"/>
    <x v="5"/>
  </r>
  <r>
    <d v="2021-07-01T00:00:00"/>
    <x v="14"/>
    <n v="23"/>
    <n v="32.700000000000003"/>
    <x v="11"/>
    <s v="Normal"/>
    <s v="Normal"/>
    <s v="Normal"/>
    <s v="Normal"/>
    <n v="2021"/>
    <x v="5"/>
  </r>
  <r>
    <d v="2021-07-02T00:00:00"/>
    <x v="23"/>
    <n v="22"/>
    <n v="30.6"/>
    <x v="0"/>
    <s v="Normal"/>
    <s v="Normal"/>
    <s v="Normal"/>
    <s v="Normal"/>
    <n v="2021"/>
    <x v="6"/>
  </r>
  <r>
    <d v="2021-07-03T00:00:00"/>
    <x v="41"/>
    <n v="19.7"/>
    <n v="29.5"/>
    <x v="6"/>
    <s v="Normal"/>
    <s v="Normal"/>
    <s v="Normal"/>
    <s v="Outlier"/>
    <n v="2021"/>
    <x v="6"/>
  </r>
  <r>
    <d v="2021-07-04T00:00:00"/>
    <x v="43"/>
    <n v="20.399999999999999"/>
    <n v="29.4"/>
    <x v="129"/>
    <s v="Normal"/>
    <s v="Normal"/>
    <s v="Normal"/>
    <s v="Normal"/>
    <n v="2021"/>
    <x v="6"/>
  </r>
  <r>
    <d v="2021-07-05T00:00:00"/>
    <x v="0"/>
    <n v="20.399999999999999"/>
    <n v="28.4"/>
    <x v="143"/>
    <s v="Normal"/>
    <s v="Normal"/>
    <s v="Normal"/>
    <s v="Normal"/>
    <n v="2021"/>
    <x v="6"/>
  </r>
  <r>
    <d v="2021-07-06T00:00:00"/>
    <x v="31"/>
    <n v="20.2"/>
    <n v="29.4"/>
    <x v="8"/>
    <s v="Normal"/>
    <s v="Normal"/>
    <s v="Normal"/>
    <s v="Normal"/>
    <n v="2021"/>
    <x v="6"/>
  </r>
  <r>
    <d v="2021-07-07T00:00:00"/>
    <x v="40"/>
    <n v="22.3"/>
    <n v="30"/>
    <x v="0"/>
    <s v="Normal"/>
    <s v="Normal"/>
    <s v="Normal"/>
    <s v="Normal"/>
    <n v="2021"/>
    <x v="6"/>
  </r>
  <r>
    <d v="2021-07-08T00:00:00"/>
    <x v="10"/>
    <n v="21.8"/>
    <n v="29.4"/>
    <x v="0"/>
    <s v="Normal"/>
    <s v="Normal"/>
    <s v="Normal"/>
    <s v="Normal"/>
    <n v="2021"/>
    <x v="6"/>
  </r>
  <r>
    <d v="2021-07-09T00:00:00"/>
    <x v="37"/>
    <n v="20.3"/>
    <n v="30.1"/>
    <x v="0"/>
    <s v="Normal"/>
    <s v="Normal"/>
    <s v="Normal"/>
    <s v="Normal"/>
    <n v="2021"/>
    <x v="6"/>
  </r>
  <r>
    <d v="2021-07-10T00:00:00"/>
    <x v="48"/>
    <n v="20.100000000000001"/>
    <n v="29"/>
    <x v="1"/>
    <s v="Normal"/>
    <s v="Normal"/>
    <s v="Normal"/>
    <s v="Normal"/>
    <n v="2021"/>
    <x v="6"/>
  </r>
  <r>
    <d v="2021-07-11T00:00:00"/>
    <x v="48"/>
    <n v="20.100000000000001"/>
    <n v="26.8"/>
    <x v="5"/>
    <s v="Normal"/>
    <s v="Normal"/>
    <s v="Normal"/>
    <s v="Normal"/>
    <n v="2021"/>
    <x v="6"/>
  </r>
  <r>
    <d v="2021-07-12T00:00:00"/>
    <x v="46"/>
    <n v="20.2"/>
    <n v="26.8"/>
    <x v="0"/>
    <s v="Normal"/>
    <s v="Normal"/>
    <s v="Normal"/>
    <s v="Normal"/>
    <n v="2021"/>
    <x v="6"/>
  </r>
  <r>
    <d v="2021-07-13T00:00:00"/>
    <x v="69"/>
    <n v="20.5"/>
    <n v="24"/>
    <x v="83"/>
    <s v="Normal"/>
    <s v="Normal"/>
    <s v="Normal"/>
    <s v="Normal"/>
    <n v="2021"/>
    <x v="6"/>
  </r>
  <r>
    <d v="2021-07-14T00:00:00"/>
    <x v="78"/>
    <n v="19.8"/>
    <n v="23.4"/>
    <x v="86"/>
    <s v="Normal"/>
    <s v="Normal"/>
    <s v="Normal"/>
    <s v="Outlier"/>
    <n v="2021"/>
    <x v="6"/>
  </r>
  <r>
    <d v="2021-07-15T00:00:00"/>
    <x v="60"/>
    <n v="19.899999999999999"/>
    <n v="25.4"/>
    <x v="98"/>
    <s v="Normal"/>
    <s v="Normal"/>
    <s v="Normal"/>
    <s v="Outlier"/>
    <n v="2021"/>
    <x v="6"/>
  </r>
  <r>
    <d v="2021-07-16T00:00:00"/>
    <x v="3"/>
    <n v="20.8"/>
    <n v="25.6"/>
    <x v="102"/>
    <s v="Normal"/>
    <s v="Normal"/>
    <s v="Normal"/>
    <s v="Normal"/>
    <n v="2021"/>
    <x v="6"/>
  </r>
  <r>
    <d v="2021-07-17T00:00:00"/>
    <x v="2"/>
    <n v="20.7"/>
    <n v="27"/>
    <x v="8"/>
    <s v="Normal"/>
    <s v="Normal"/>
    <s v="Normal"/>
    <s v="Normal"/>
    <n v="2021"/>
    <x v="6"/>
  </r>
  <r>
    <d v="2021-07-18T00:00:00"/>
    <x v="70"/>
    <n v="20"/>
    <n v="28.2"/>
    <x v="75"/>
    <s v="Normal"/>
    <s v="Normal"/>
    <s v="Normal"/>
    <s v="Outlier"/>
    <n v="2021"/>
    <x v="6"/>
  </r>
  <r>
    <d v="2021-07-19T00:00:00"/>
    <x v="54"/>
    <n v="19.5"/>
    <n v="26.8"/>
    <x v="76"/>
    <s v="Normal"/>
    <s v="Normal"/>
    <s v="Normal"/>
    <s v="Normal"/>
    <n v="2021"/>
    <x v="6"/>
  </r>
  <r>
    <d v="2021-07-20T00:00:00"/>
    <x v="28"/>
    <n v="19.7"/>
    <n v="27.6"/>
    <x v="81"/>
    <s v="Normal"/>
    <s v="Normal"/>
    <s v="Normal"/>
    <s v="Normal"/>
    <n v="2021"/>
    <x v="6"/>
  </r>
  <r>
    <d v="2021-07-21T00:00:00"/>
    <x v="69"/>
    <n v="20.399999999999999"/>
    <n v="27.8"/>
    <x v="0"/>
    <s v="Normal"/>
    <s v="Normal"/>
    <s v="Normal"/>
    <s v="Normal"/>
    <n v="2021"/>
    <x v="6"/>
  </r>
  <r>
    <d v="2021-07-22T00:00:00"/>
    <x v="77"/>
    <n v="20"/>
    <n v="24.2"/>
    <x v="38"/>
    <s v="Normal"/>
    <s v="Normal"/>
    <s v="Normal"/>
    <s v="Normal"/>
    <n v="2021"/>
    <x v="6"/>
  </r>
  <r>
    <d v="2021-07-23T00:00:00"/>
    <x v="76"/>
    <n v="19.7"/>
    <n v="24.7"/>
    <x v="80"/>
    <s v="Normal"/>
    <s v="Normal"/>
    <s v="Normal"/>
    <s v="Normal"/>
    <n v="2021"/>
    <x v="6"/>
  </r>
  <r>
    <d v="2021-07-24T00:00:00"/>
    <x v="54"/>
    <n v="20"/>
    <n v="27.1"/>
    <x v="5"/>
    <s v="Normal"/>
    <s v="Normal"/>
    <s v="Normal"/>
    <s v="Normal"/>
    <n v="2021"/>
    <x v="6"/>
  </r>
  <r>
    <d v="2021-07-25T00:00:00"/>
    <x v="46"/>
    <n v="20.6"/>
    <n v="28"/>
    <x v="117"/>
    <s v="Normal"/>
    <s v="Normal"/>
    <s v="Normal"/>
    <s v="Outlier"/>
    <n v="2021"/>
    <x v="6"/>
  </r>
  <r>
    <d v="2021-07-26T00:00:00"/>
    <x v="35"/>
    <n v="20.5"/>
    <n v="28.4"/>
    <x v="148"/>
    <s v="Normal"/>
    <s v="Normal"/>
    <s v="Normal"/>
    <s v="Outlier"/>
    <n v="2021"/>
    <x v="6"/>
  </r>
  <r>
    <d v="2021-07-27T00:00:00"/>
    <x v="35"/>
    <n v="20.100000000000001"/>
    <n v="28.3"/>
    <x v="0"/>
    <s v="Normal"/>
    <s v="Normal"/>
    <s v="Normal"/>
    <s v="Normal"/>
    <n v="2021"/>
    <x v="6"/>
  </r>
  <r>
    <d v="2021-07-28T00:00:00"/>
    <x v="28"/>
    <n v="19.8"/>
    <n v="27.6"/>
    <x v="7"/>
    <s v="Normal"/>
    <s v="Normal"/>
    <s v="Normal"/>
    <s v="Normal"/>
    <n v="2021"/>
    <x v="6"/>
  </r>
  <r>
    <d v="2021-07-29T00:00:00"/>
    <x v="3"/>
    <n v="19.5"/>
    <n v="26.4"/>
    <x v="147"/>
    <s v="Normal"/>
    <s v="Normal"/>
    <s v="Normal"/>
    <s v="Normal"/>
    <n v="2021"/>
    <x v="6"/>
  </r>
  <r>
    <d v="2021-07-30T00:00:00"/>
    <x v="53"/>
    <n v="19.600000000000001"/>
    <n v="28.4"/>
    <x v="0"/>
    <s v="Normal"/>
    <s v="Normal"/>
    <s v="Normal"/>
    <s v="Normal"/>
    <n v="2021"/>
    <x v="6"/>
  </r>
  <r>
    <d v="2021-07-31T00:00:00"/>
    <x v="28"/>
    <n v="19"/>
    <n v="28.1"/>
    <x v="140"/>
    <s v="Normal"/>
    <s v="Normal"/>
    <s v="Normal"/>
    <s v="Normal"/>
    <n v="2021"/>
    <x v="6"/>
  </r>
  <r>
    <d v="2021-08-01T00:00:00"/>
    <x v="46"/>
    <n v="20"/>
    <n v="28"/>
    <x v="0"/>
    <s v="Normal"/>
    <s v="Normal"/>
    <s v="Normal"/>
    <s v="Normal"/>
    <n v="2021"/>
    <x v="6"/>
  </r>
  <r>
    <d v="2021-08-02T00:00:00"/>
    <x v="43"/>
    <n v="19.600000000000001"/>
    <n v="27.5"/>
    <x v="0"/>
    <s v="Normal"/>
    <s v="Normal"/>
    <s v="Normal"/>
    <s v="Normal"/>
    <n v="2021"/>
    <x v="7"/>
  </r>
  <r>
    <d v="2021-08-03T00:00:00"/>
    <x v="46"/>
    <n v="19.5"/>
    <n v="28.2"/>
    <x v="140"/>
    <s v="Normal"/>
    <s v="Normal"/>
    <s v="Normal"/>
    <s v="Normal"/>
    <n v="2021"/>
    <x v="7"/>
  </r>
  <r>
    <d v="2021-08-04T00:00:00"/>
    <x v="0"/>
    <n v="19.8"/>
    <n v="27.8"/>
    <x v="102"/>
    <s v="Normal"/>
    <s v="Normal"/>
    <s v="Normal"/>
    <s v="Normal"/>
    <n v="2021"/>
    <x v="7"/>
  </r>
  <r>
    <d v="2021-08-05T00:00:00"/>
    <x v="3"/>
    <n v="19.2"/>
    <n v="27.6"/>
    <x v="143"/>
    <s v="Normal"/>
    <s v="Normal"/>
    <s v="Normal"/>
    <s v="Normal"/>
    <n v="2021"/>
    <x v="7"/>
  </r>
  <r>
    <d v="2021-08-06T00:00:00"/>
    <x v="53"/>
    <n v="19.899999999999999"/>
    <n v="28.8"/>
    <x v="149"/>
    <s v="Normal"/>
    <s v="Normal"/>
    <s v="Normal"/>
    <s v="Normal"/>
    <n v="2021"/>
    <x v="7"/>
  </r>
  <r>
    <d v="2021-08-07T00:00:00"/>
    <x v="44"/>
    <n v="20.9"/>
    <n v="29.4"/>
    <x v="76"/>
    <s v="Normal"/>
    <s v="Normal"/>
    <s v="Normal"/>
    <s v="Normal"/>
    <n v="2021"/>
    <x v="7"/>
  </r>
  <r>
    <d v="2021-08-08T00:00:00"/>
    <x v="31"/>
    <n v="20.8"/>
    <n v="30.3"/>
    <x v="8"/>
    <s v="Normal"/>
    <s v="Normal"/>
    <s v="Normal"/>
    <s v="Normal"/>
    <n v="2021"/>
    <x v="7"/>
  </r>
  <r>
    <d v="2021-08-09T00:00:00"/>
    <x v="30"/>
    <n v="21.7"/>
    <n v="30.7"/>
    <x v="5"/>
    <s v="Normal"/>
    <s v="Normal"/>
    <s v="Normal"/>
    <s v="Normal"/>
    <n v="2021"/>
    <x v="7"/>
  </r>
  <r>
    <d v="2021-08-10T00:00:00"/>
    <x v="33"/>
    <n v="21.8"/>
    <n v="30.7"/>
    <x v="0"/>
    <s v="Normal"/>
    <s v="Normal"/>
    <s v="Normal"/>
    <s v="Normal"/>
    <n v="2021"/>
    <x v="7"/>
  </r>
  <r>
    <d v="2021-08-11T00:00:00"/>
    <x v="42"/>
    <n v="20.8"/>
    <n v="28.2"/>
    <x v="0"/>
    <s v="Normal"/>
    <s v="Normal"/>
    <s v="Normal"/>
    <s v="Normal"/>
    <n v="2021"/>
    <x v="7"/>
  </r>
  <r>
    <d v="2021-08-12T00:00:00"/>
    <x v="48"/>
    <n v="19.7"/>
    <n v="28.2"/>
    <x v="26"/>
    <s v="Normal"/>
    <s v="Normal"/>
    <s v="Normal"/>
    <s v="Normal"/>
    <n v="2021"/>
    <x v="7"/>
  </r>
  <r>
    <d v="2021-08-13T00:00:00"/>
    <x v="46"/>
    <n v="20"/>
    <n v="27"/>
    <x v="22"/>
    <s v="Normal"/>
    <s v="Normal"/>
    <s v="Normal"/>
    <s v="Normal"/>
    <n v="2021"/>
    <x v="7"/>
  </r>
  <r>
    <d v="2021-08-14T00:00:00"/>
    <x v="43"/>
    <n v="20.3"/>
    <n v="27.4"/>
    <x v="0"/>
    <s v="Normal"/>
    <s v="Normal"/>
    <s v="Normal"/>
    <s v="Normal"/>
    <n v="2021"/>
    <x v="7"/>
  </r>
  <r>
    <d v="2021-08-15T00:00:00"/>
    <x v="3"/>
    <n v="19"/>
    <n v="27"/>
    <x v="5"/>
    <s v="Normal"/>
    <s v="Normal"/>
    <s v="Normal"/>
    <s v="Normal"/>
    <n v="2021"/>
    <x v="7"/>
  </r>
  <r>
    <d v="2021-08-16T00:00:00"/>
    <x v="48"/>
    <n v="20.7"/>
    <n v="28"/>
    <x v="0"/>
    <s v="Normal"/>
    <s v="Normal"/>
    <s v="Normal"/>
    <s v="Normal"/>
    <n v="2021"/>
    <x v="7"/>
  </r>
  <r>
    <d v="2021-08-17T00:00:00"/>
    <x v="49"/>
    <n v="20.3"/>
    <n v="26.5"/>
    <x v="68"/>
    <s v="Normal"/>
    <s v="Normal"/>
    <s v="Normal"/>
    <s v="Outlier"/>
    <n v="2021"/>
    <x v="7"/>
  </r>
  <r>
    <d v="2021-08-18T00:00:00"/>
    <x v="43"/>
    <n v="20.7"/>
    <n v="27.5"/>
    <x v="0"/>
    <s v="Normal"/>
    <s v="Normal"/>
    <s v="Normal"/>
    <s v="Normal"/>
    <n v="2021"/>
    <x v="7"/>
  </r>
  <r>
    <d v="2021-08-19T00:00:00"/>
    <x v="43"/>
    <n v="20.399999999999999"/>
    <n v="28.4"/>
    <x v="1"/>
    <s v="Normal"/>
    <s v="Normal"/>
    <s v="Normal"/>
    <s v="Normal"/>
    <n v="2021"/>
    <x v="7"/>
  </r>
  <r>
    <d v="2021-08-20T00:00:00"/>
    <x v="39"/>
    <n v="20.5"/>
    <n v="28.8"/>
    <x v="81"/>
    <s v="Normal"/>
    <s v="Normal"/>
    <s v="Normal"/>
    <s v="Normal"/>
    <n v="2021"/>
    <x v="7"/>
  </r>
  <r>
    <d v="2021-08-21T00:00:00"/>
    <x v="56"/>
    <n v="20.2"/>
    <n v="28.6"/>
    <x v="1"/>
    <s v="Normal"/>
    <s v="Normal"/>
    <s v="Normal"/>
    <s v="Normal"/>
    <n v="2021"/>
    <x v="7"/>
  </r>
  <r>
    <d v="2021-08-22T00:00:00"/>
    <x v="48"/>
    <n v="19.2"/>
    <n v="27.7"/>
    <x v="72"/>
    <s v="Normal"/>
    <s v="Normal"/>
    <s v="Normal"/>
    <s v="Normal"/>
    <n v="2021"/>
    <x v="7"/>
  </r>
  <r>
    <d v="2021-08-23T00:00:00"/>
    <x v="43"/>
    <n v="20.5"/>
    <n v="27.1"/>
    <x v="80"/>
    <s v="Normal"/>
    <s v="Normal"/>
    <s v="Normal"/>
    <s v="Normal"/>
    <n v="2021"/>
    <x v="7"/>
  </r>
  <r>
    <d v="2021-08-24T00:00:00"/>
    <x v="47"/>
    <n v="20.3"/>
    <n v="29"/>
    <x v="22"/>
    <s v="Normal"/>
    <s v="Normal"/>
    <s v="Normal"/>
    <s v="Normal"/>
    <n v="2021"/>
    <x v="7"/>
  </r>
  <r>
    <d v="2021-08-25T00:00:00"/>
    <x v="39"/>
    <n v="20.7"/>
    <n v="29.1"/>
    <x v="7"/>
    <s v="Normal"/>
    <s v="Normal"/>
    <s v="Normal"/>
    <s v="Normal"/>
    <n v="2021"/>
    <x v="7"/>
  </r>
  <r>
    <d v="2021-08-26T00:00:00"/>
    <x v="39"/>
    <n v="21"/>
    <n v="29.6"/>
    <x v="0"/>
    <s v="Normal"/>
    <s v="Normal"/>
    <s v="Normal"/>
    <s v="Normal"/>
    <n v="2021"/>
    <x v="7"/>
  </r>
  <r>
    <d v="2021-08-27T00:00:00"/>
    <x v="3"/>
    <n v="20.5"/>
    <n v="30.4"/>
    <x v="77"/>
    <s v="Normal"/>
    <s v="Normal"/>
    <s v="Normal"/>
    <s v="Outlier"/>
    <n v="2021"/>
    <x v="7"/>
  </r>
  <r>
    <d v="2021-08-28T00:00:00"/>
    <x v="56"/>
    <n v="20.100000000000001"/>
    <n v="28.4"/>
    <x v="69"/>
    <s v="Normal"/>
    <s v="Normal"/>
    <s v="Normal"/>
    <s v="Outlier"/>
    <n v="2021"/>
    <x v="7"/>
  </r>
  <r>
    <d v="2021-08-29T00:00:00"/>
    <x v="60"/>
    <n v="19.2"/>
    <n v="25.8"/>
    <x v="30"/>
    <s v="Normal"/>
    <s v="Normal"/>
    <s v="Normal"/>
    <s v="Normal"/>
    <n v="2021"/>
    <x v="7"/>
  </r>
  <r>
    <d v="2021-08-30T00:00:00"/>
    <x v="56"/>
    <n v="19.7"/>
    <n v="26.2"/>
    <x v="22"/>
    <s v="Normal"/>
    <s v="Normal"/>
    <s v="Normal"/>
    <s v="Normal"/>
    <n v="2021"/>
    <x v="7"/>
  </r>
  <r>
    <d v="2021-08-31T00:00:00"/>
    <x v="33"/>
    <n v="19.7"/>
    <n v="27.6"/>
    <x v="5"/>
    <s v="Normal"/>
    <s v="Normal"/>
    <s v="Normal"/>
    <s v="Normal"/>
    <n v="2021"/>
    <x v="7"/>
  </r>
  <r>
    <d v="2021-09-01T00:00:00"/>
    <x v="43"/>
    <n v="20.9"/>
    <n v="29.3"/>
    <x v="0"/>
    <s v="Normal"/>
    <s v="Normal"/>
    <s v="Normal"/>
    <s v="Normal"/>
    <n v="2021"/>
    <x v="7"/>
  </r>
  <r>
    <d v="2021-09-02T00:00:00"/>
    <x v="54"/>
    <n v="19.5"/>
    <n v="29.4"/>
    <x v="102"/>
    <s v="Normal"/>
    <s v="Normal"/>
    <s v="Normal"/>
    <s v="Normal"/>
    <n v="2021"/>
    <x v="8"/>
  </r>
  <r>
    <d v="2021-09-03T00:00:00"/>
    <x v="57"/>
    <n v="19.5"/>
    <n v="26.7"/>
    <x v="150"/>
    <s v="Normal"/>
    <s v="Normal"/>
    <s v="Normal"/>
    <s v="Outlier"/>
    <n v="2021"/>
    <x v="8"/>
  </r>
  <r>
    <d v="2021-09-04T00:00:00"/>
    <x v="36"/>
    <n v="20.399999999999999"/>
    <n v="26.2"/>
    <x v="0"/>
    <s v="Normal"/>
    <s v="Normal"/>
    <s v="Normal"/>
    <s v="Normal"/>
    <n v="2021"/>
    <x v="8"/>
  </r>
  <r>
    <d v="2021-09-05T00:00:00"/>
    <x v="2"/>
    <n v="20.2"/>
    <n v="26.6"/>
    <x v="7"/>
    <s v="Normal"/>
    <s v="Normal"/>
    <s v="Normal"/>
    <s v="Normal"/>
    <n v="2021"/>
    <x v="8"/>
  </r>
  <r>
    <d v="2021-09-06T00:00:00"/>
    <x v="54"/>
    <n v="20.2"/>
    <n v="27.2"/>
    <x v="35"/>
    <s v="Normal"/>
    <s v="Normal"/>
    <s v="Normal"/>
    <s v="Normal"/>
    <n v="2021"/>
    <x v="8"/>
  </r>
  <r>
    <d v="2021-09-07T00:00:00"/>
    <x v="50"/>
    <n v="20"/>
    <n v="27"/>
    <x v="60"/>
    <s v="Normal"/>
    <s v="Normal"/>
    <s v="Normal"/>
    <s v="Normal"/>
    <n v="2021"/>
    <x v="8"/>
  </r>
  <r>
    <d v="2021-09-08T00:00:00"/>
    <x v="28"/>
    <n v="20.5"/>
    <n v="27"/>
    <x v="5"/>
    <s v="Normal"/>
    <s v="Normal"/>
    <s v="Normal"/>
    <s v="Normal"/>
    <n v="2021"/>
    <x v="8"/>
  </r>
  <r>
    <d v="2021-09-09T00:00:00"/>
    <x v="42"/>
    <n v="20"/>
    <n v="27.8"/>
    <x v="5"/>
    <s v="Normal"/>
    <s v="Normal"/>
    <s v="Normal"/>
    <s v="Normal"/>
    <n v="2021"/>
    <x v="8"/>
  </r>
  <r>
    <d v="2021-09-10T00:00:00"/>
    <x v="39"/>
    <n v="20.2"/>
    <n v="29.1"/>
    <x v="0"/>
    <s v="Normal"/>
    <s v="Normal"/>
    <s v="Normal"/>
    <s v="Normal"/>
    <n v="2021"/>
    <x v="8"/>
  </r>
  <r>
    <d v="2021-09-11T00:00:00"/>
    <x v="48"/>
    <n v="19.399999999999999"/>
    <n v="28"/>
    <x v="8"/>
    <s v="Normal"/>
    <s v="Normal"/>
    <s v="Normal"/>
    <s v="Normal"/>
    <n v="2021"/>
    <x v="8"/>
  </r>
  <r>
    <d v="2021-09-12T00:00:00"/>
    <x v="43"/>
    <n v="20.7"/>
    <n v="28.5"/>
    <x v="0"/>
    <s v="Normal"/>
    <s v="Normal"/>
    <s v="Normal"/>
    <s v="Normal"/>
    <n v="2021"/>
    <x v="8"/>
  </r>
  <r>
    <d v="2021-09-13T00:00:00"/>
    <x v="4"/>
    <n v="20.9"/>
    <n v="28"/>
    <x v="0"/>
    <s v="Normal"/>
    <s v="Normal"/>
    <s v="Normal"/>
    <s v="Normal"/>
    <n v="2021"/>
    <x v="8"/>
  </r>
  <r>
    <d v="2021-09-14T00:00:00"/>
    <x v="39"/>
    <n v="19.899999999999999"/>
    <n v="28.2"/>
    <x v="0"/>
    <s v="Normal"/>
    <s v="Normal"/>
    <s v="Normal"/>
    <s v="Normal"/>
    <n v="2021"/>
    <x v="8"/>
  </r>
  <r>
    <d v="2021-09-15T00:00:00"/>
    <x v="46"/>
    <n v="19.2"/>
    <n v="27.7"/>
    <x v="151"/>
    <s v="Normal"/>
    <s v="Normal"/>
    <s v="Normal"/>
    <s v="Normal"/>
    <n v="2021"/>
    <x v="8"/>
  </r>
  <r>
    <d v="2021-09-16T00:00:00"/>
    <x v="4"/>
    <n v="19"/>
    <n v="29"/>
    <x v="1"/>
    <s v="Normal"/>
    <s v="Normal"/>
    <s v="Normal"/>
    <s v="Normal"/>
    <n v="2021"/>
    <x v="8"/>
  </r>
  <r>
    <d v="2021-09-17T00:00:00"/>
    <x v="42"/>
    <n v="19.3"/>
    <n v="30"/>
    <x v="128"/>
    <s v="Normal"/>
    <s v="Normal"/>
    <s v="Normal"/>
    <s v="Normal"/>
    <n v="2021"/>
    <x v="8"/>
  </r>
  <r>
    <d v="2021-09-18T00:00:00"/>
    <x v="44"/>
    <n v="18.8"/>
    <n v="30.4"/>
    <x v="132"/>
    <s v="Normal"/>
    <s v="Normal"/>
    <s v="Normal"/>
    <s v="Normal"/>
    <n v="2021"/>
    <x v="8"/>
  </r>
  <r>
    <d v="2021-09-19T00:00:00"/>
    <x v="41"/>
    <n v="19.5"/>
    <n v="30"/>
    <x v="22"/>
    <s v="Normal"/>
    <s v="Normal"/>
    <s v="Normal"/>
    <s v="Normal"/>
    <n v="2021"/>
    <x v="8"/>
  </r>
  <r>
    <d v="2021-09-20T00:00:00"/>
    <x v="56"/>
    <n v="19.8"/>
    <n v="31.3"/>
    <x v="141"/>
    <s v="Normal"/>
    <s v="Normal"/>
    <s v="Normal"/>
    <s v="Outlier"/>
    <n v="2021"/>
    <x v="8"/>
  </r>
  <r>
    <d v="2021-09-21T00:00:00"/>
    <x v="53"/>
    <n v="20.3"/>
    <n v="29"/>
    <x v="152"/>
    <s v="Normal"/>
    <s v="Normal"/>
    <s v="Normal"/>
    <s v="Outlier"/>
    <n v="2021"/>
    <x v="8"/>
  </r>
  <r>
    <d v="2021-09-22T00:00:00"/>
    <x v="33"/>
    <n v="20.6"/>
    <n v="29.7"/>
    <x v="101"/>
    <s v="Normal"/>
    <s v="Normal"/>
    <s v="Normal"/>
    <s v="Outlier"/>
    <n v="2021"/>
    <x v="8"/>
  </r>
  <r>
    <d v="2021-09-23T00:00:00"/>
    <x v="38"/>
    <n v="20.6"/>
    <n v="28"/>
    <x v="0"/>
    <s v="Normal"/>
    <s v="Normal"/>
    <s v="Normal"/>
    <s v="Normal"/>
    <n v="2021"/>
    <x v="8"/>
  </r>
  <r>
    <d v="2021-09-24T00:00:00"/>
    <x v="42"/>
    <n v="20.7"/>
    <n v="28.2"/>
    <x v="1"/>
    <s v="Normal"/>
    <s v="Normal"/>
    <s v="Normal"/>
    <s v="Normal"/>
    <n v="2021"/>
    <x v="8"/>
  </r>
  <r>
    <d v="2021-09-25T00:00:00"/>
    <x v="37"/>
    <n v="20.8"/>
    <n v="28.8"/>
    <x v="5"/>
    <s v="Normal"/>
    <s v="Normal"/>
    <s v="Normal"/>
    <s v="Normal"/>
    <n v="2021"/>
    <x v="8"/>
  </r>
  <r>
    <d v="2021-09-26T00:00:00"/>
    <x v="28"/>
    <n v="20.100000000000001"/>
    <n v="29.2"/>
    <x v="82"/>
    <s v="Normal"/>
    <s v="Normal"/>
    <s v="Normal"/>
    <s v="Outlier"/>
    <n v="2021"/>
    <x v="8"/>
  </r>
  <r>
    <d v="2021-09-27T00:00:00"/>
    <x v="3"/>
    <n v="20.2"/>
    <n v="27"/>
    <x v="5"/>
    <s v="Normal"/>
    <s v="Normal"/>
    <s v="Normal"/>
    <s v="Normal"/>
    <n v="2021"/>
    <x v="8"/>
  </r>
  <r>
    <d v="2021-09-28T00:00:00"/>
    <x v="36"/>
    <n v="18.8"/>
    <n v="27"/>
    <x v="24"/>
    <s v="Normal"/>
    <s v="Normal"/>
    <s v="Normal"/>
    <s v="Normal"/>
    <n v="2021"/>
    <x v="8"/>
  </r>
  <r>
    <d v="2021-09-29T00:00:00"/>
    <x v="35"/>
    <n v="19.399999999999999"/>
    <n v="27.4"/>
    <x v="52"/>
    <s v="Normal"/>
    <s v="Normal"/>
    <s v="Normal"/>
    <s v="Normal"/>
    <n v="2021"/>
    <x v="8"/>
  </r>
  <r>
    <d v="2021-09-30T00:00:00"/>
    <x v="42"/>
    <n v="20.399999999999999"/>
    <n v="28"/>
    <x v="0"/>
    <s v="Normal"/>
    <s v="Normal"/>
    <s v="Normal"/>
    <s v="Normal"/>
    <n v="2021"/>
    <x v="8"/>
  </r>
  <r>
    <d v="2021-10-01T00:00:00"/>
    <x v="55"/>
    <n v="19.899999999999999"/>
    <n v="29.8"/>
    <x v="153"/>
    <s v="Normal"/>
    <s v="Normal"/>
    <s v="Normal"/>
    <s v="Normal"/>
    <n v="2021"/>
    <x v="8"/>
  </r>
  <r>
    <d v="2021-10-02T00:00:00"/>
    <x v="28"/>
    <n v="19.2"/>
    <n v="29"/>
    <x v="154"/>
    <s v="Normal"/>
    <s v="Normal"/>
    <s v="Normal"/>
    <s v="Normal"/>
    <n v="2021"/>
    <x v="9"/>
  </r>
  <r>
    <d v="2021-10-03T00:00:00"/>
    <x v="4"/>
    <n v="20"/>
    <n v="30"/>
    <x v="0"/>
    <s v="Normal"/>
    <s v="Normal"/>
    <s v="Normal"/>
    <s v="Normal"/>
    <n v="2021"/>
    <x v="9"/>
  </r>
  <r>
    <d v="2021-10-04T00:00:00"/>
    <x v="29"/>
    <n v="20.2"/>
    <n v="29.7"/>
    <x v="155"/>
    <s v="Normal"/>
    <s v="Normal"/>
    <s v="Normal"/>
    <s v="Outlier"/>
    <n v="2021"/>
    <x v="9"/>
  </r>
  <r>
    <d v="2021-10-05T00:00:00"/>
    <x v="0"/>
    <n v="19.100000000000001"/>
    <n v="30.6"/>
    <x v="0"/>
    <s v="Normal"/>
    <s v="Normal"/>
    <s v="Normal"/>
    <s v="Normal"/>
    <n v="2021"/>
    <x v="9"/>
  </r>
  <r>
    <d v="2021-10-06T00:00:00"/>
    <x v="54"/>
    <n v="20.100000000000001"/>
    <n v="28"/>
    <x v="156"/>
    <s v="Normal"/>
    <s v="Normal"/>
    <s v="Normal"/>
    <s v="Outlier"/>
    <n v="2021"/>
    <x v="9"/>
  </r>
  <r>
    <d v="2021-10-07T00:00:00"/>
    <x v="31"/>
    <n v="21"/>
    <n v="29.6"/>
    <x v="5"/>
    <s v="Normal"/>
    <s v="Normal"/>
    <s v="Normal"/>
    <s v="Normal"/>
    <n v="2021"/>
    <x v="9"/>
  </r>
  <r>
    <d v="2021-10-08T00:00:00"/>
    <x v="48"/>
    <n v="21.8"/>
    <n v="30.6"/>
    <x v="9"/>
    <s v="Normal"/>
    <s v="Normal"/>
    <s v="Normal"/>
    <s v="Normal"/>
    <n v="2021"/>
    <x v="9"/>
  </r>
  <r>
    <d v="2021-10-09T00:00:00"/>
    <x v="2"/>
    <n v="20.8"/>
    <n v="27.1"/>
    <x v="35"/>
    <s v="Normal"/>
    <s v="Normal"/>
    <s v="Normal"/>
    <s v="Normal"/>
    <n v="2021"/>
    <x v="9"/>
  </r>
  <r>
    <d v="2021-10-10T00:00:00"/>
    <x v="57"/>
    <n v="21.1"/>
    <n v="26.3"/>
    <x v="58"/>
    <s v="Normal"/>
    <s v="Normal"/>
    <s v="Normal"/>
    <s v="Outlier"/>
    <n v="2021"/>
    <x v="9"/>
  </r>
  <r>
    <d v="2021-10-11T00:00:00"/>
    <x v="48"/>
    <n v="19.600000000000001"/>
    <n v="27"/>
    <x v="16"/>
    <s v="Normal"/>
    <s v="Normal"/>
    <s v="Normal"/>
    <s v="Outlier"/>
    <n v="2021"/>
    <x v="9"/>
  </r>
  <r>
    <d v="2021-10-12T00:00:00"/>
    <x v="59"/>
    <n v="19.399999999999999"/>
    <n v="27.5"/>
    <x v="157"/>
    <s v="Normal"/>
    <s v="Normal"/>
    <s v="Normal"/>
    <s v="Outlier"/>
    <n v="2021"/>
    <x v="9"/>
  </r>
  <r>
    <d v="2021-10-13T00:00:00"/>
    <x v="48"/>
    <n v="19.7"/>
    <n v="27.8"/>
    <x v="158"/>
    <s v="Normal"/>
    <s v="Normal"/>
    <s v="Normal"/>
    <s v="Outlier"/>
    <n v="2021"/>
    <x v="9"/>
  </r>
  <r>
    <d v="2021-10-14T00:00:00"/>
    <x v="37"/>
    <n v="20.399999999999999"/>
    <n v="28"/>
    <x v="159"/>
    <s v="Normal"/>
    <s v="Normal"/>
    <s v="Normal"/>
    <s v="Outlier"/>
    <n v="2021"/>
    <x v="9"/>
  </r>
  <r>
    <d v="2021-10-15T00:00:00"/>
    <x v="43"/>
    <n v="21.5"/>
    <n v="29"/>
    <x v="119"/>
    <s v="Normal"/>
    <s v="Normal"/>
    <s v="Normal"/>
    <s v="Outlier"/>
    <n v="2021"/>
    <x v="9"/>
  </r>
  <r>
    <d v="2021-10-16T00:00:00"/>
    <x v="38"/>
    <n v="19.399999999999999"/>
    <n v="28.3"/>
    <x v="6"/>
    <s v="Normal"/>
    <s v="Normal"/>
    <s v="Normal"/>
    <s v="Outlier"/>
    <n v="2021"/>
    <x v="9"/>
  </r>
  <r>
    <d v="2021-10-17T00:00:00"/>
    <x v="3"/>
    <n v="20.6"/>
    <n v="28.9"/>
    <x v="81"/>
    <s v="Normal"/>
    <s v="Normal"/>
    <s v="Normal"/>
    <s v="Normal"/>
    <n v="2021"/>
    <x v="9"/>
  </r>
  <r>
    <d v="2021-10-18T00:00:00"/>
    <x v="49"/>
    <n v="20.8"/>
    <n v="26.7"/>
    <x v="19"/>
    <s v="Normal"/>
    <s v="Normal"/>
    <s v="Normal"/>
    <s v="Normal"/>
    <n v="2021"/>
    <x v="9"/>
  </r>
  <r>
    <d v="2021-10-19T00:00:00"/>
    <x v="38"/>
    <n v="20.5"/>
    <n v="27.6"/>
    <x v="54"/>
    <s v="Normal"/>
    <s v="Normal"/>
    <s v="Normal"/>
    <s v="Outlier"/>
    <n v="2021"/>
    <x v="9"/>
  </r>
  <r>
    <d v="2021-10-20T00:00:00"/>
    <x v="52"/>
    <n v="20"/>
    <n v="28.8"/>
    <x v="0"/>
    <s v="Normal"/>
    <s v="Normal"/>
    <s v="Normal"/>
    <s v="Normal"/>
    <n v="2021"/>
    <x v="9"/>
  </r>
  <r>
    <d v="2021-10-21T00:00:00"/>
    <x v="30"/>
    <n v="20.9"/>
    <n v="29.3"/>
    <x v="5"/>
    <s v="Normal"/>
    <s v="Normal"/>
    <s v="Normal"/>
    <s v="Normal"/>
    <n v="2021"/>
    <x v="9"/>
  </r>
  <r>
    <d v="2021-10-22T00:00:00"/>
    <x v="9"/>
    <n v="18.5"/>
    <n v="30.7"/>
    <x v="1"/>
    <s v="Normal"/>
    <s v="Normal"/>
    <s v="Normal"/>
    <s v="Normal"/>
    <n v="2021"/>
    <x v="9"/>
  </r>
  <r>
    <d v="2021-10-23T00:00:00"/>
    <x v="39"/>
    <n v="20.399999999999999"/>
    <n v="31.6"/>
    <x v="50"/>
    <s v="Normal"/>
    <s v="Normal"/>
    <s v="Normal"/>
    <s v="Outlier"/>
    <n v="2021"/>
    <x v="9"/>
  </r>
  <r>
    <d v="2021-10-24T00:00:00"/>
    <x v="44"/>
    <n v="19.2"/>
    <n v="30.1"/>
    <x v="160"/>
    <s v="Normal"/>
    <s v="Normal"/>
    <s v="Normal"/>
    <s v="Outlier"/>
    <n v="2021"/>
    <x v="9"/>
  </r>
  <r>
    <d v="2021-10-25T00:00:00"/>
    <x v="33"/>
    <n v="20.9"/>
    <n v="29.4"/>
    <x v="0"/>
    <s v="Normal"/>
    <s v="Normal"/>
    <s v="Normal"/>
    <s v="Normal"/>
    <n v="2021"/>
    <x v="9"/>
  </r>
  <r>
    <d v="2021-10-26T00:00:00"/>
    <x v="57"/>
    <n v="17.8"/>
    <n v="27"/>
    <x v="19"/>
    <s v="Normal"/>
    <s v="Normal"/>
    <s v="Normal"/>
    <s v="Normal"/>
    <n v="2021"/>
    <x v="9"/>
  </r>
  <r>
    <d v="2021-10-27T00:00:00"/>
    <x v="36"/>
    <n v="18.3"/>
    <n v="26.6"/>
    <x v="0"/>
    <s v="Normal"/>
    <s v="Normal"/>
    <s v="Normal"/>
    <s v="Normal"/>
    <n v="2021"/>
    <x v="9"/>
  </r>
  <r>
    <d v="2021-10-28T00:00:00"/>
    <x v="59"/>
    <n v="17.2"/>
    <n v="27.4"/>
    <x v="132"/>
    <s v="Normal"/>
    <s v="Normal"/>
    <s v="Normal"/>
    <s v="Normal"/>
    <n v="2021"/>
    <x v="9"/>
  </r>
  <r>
    <d v="2021-10-29T00:00:00"/>
    <x v="70"/>
    <n v="18.899999999999999"/>
    <n v="25.7"/>
    <x v="161"/>
    <s v="Normal"/>
    <s v="Normal"/>
    <s v="Normal"/>
    <s v="Outlier"/>
    <n v="2021"/>
    <x v="9"/>
  </r>
  <r>
    <d v="2021-10-30T00:00:00"/>
    <x v="57"/>
    <n v="19.899999999999999"/>
    <n v="26.8"/>
    <x v="162"/>
    <s v="Normal"/>
    <s v="Normal"/>
    <s v="Normal"/>
    <s v="Normal"/>
    <n v="2021"/>
    <x v="9"/>
  </r>
  <r>
    <d v="2021-10-31T00:00:00"/>
    <x v="36"/>
    <n v="19.7"/>
    <n v="26.8"/>
    <x v="20"/>
    <s v="Normal"/>
    <s v="Normal"/>
    <s v="Normal"/>
    <s v="Normal"/>
    <n v="2021"/>
    <x v="9"/>
  </r>
  <r>
    <d v="2021-11-01T00:00:00"/>
    <x v="60"/>
    <n v="19.600000000000001"/>
    <n v="26.8"/>
    <x v="163"/>
    <s v="Normal"/>
    <s v="Normal"/>
    <s v="Normal"/>
    <s v="Normal"/>
    <n v="2021"/>
    <x v="9"/>
  </r>
  <r>
    <d v="2021-11-02T00:00:00"/>
    <x v="1"/>
    <n v="19.5"/>
    <n v="25.9"/>
    <x v="36"/>
    <s v="Normal"/>
    <s v="Normal"/>
    <s v="Normal"/>
    <s v="Normal"/>
    <n v="2021"/>
    <x v="10"/>
  </r>
  <r>
    <d v="2021-11-03T00:00:00"/>
    <x v="36"/>
    <n v="20.2"/>
    <n v="26.8"/>
    <x v="0"/>
    <s v="Normal"/>
    <s v="Normal"/>
    <s v="Normal"/>
    <s v="Normal"/>
    <n v="2021"/>
    <x v="10"/>
  </r>
  <r>
    <d v="2021-11-04T00:00:00"/>
    <x v="2"/>
    <n v="19.399999999999999"/>
    <n v="27"/>
    <x v="29"/>
    <s v="Normal"/>
    <s v="Normal"/>
    <s v="Normal"/>
    <s v="Outlier"/>
    <n v="2021"/>
    <x v="10"/>
  </r>
  <r>
    <d v="2021-11-05T00:00:00"/>
    <x v="60"/>
    <n v="19.2"/>
    <n v="28.4"/>
    <x v="53"/>
    <s v="Normal"/>
    <s v="Normal"/>
    <s v="Normal"/>
    <s v="Outlier"/>
    <n v="2021"/>
    <x v="10"/>
  </r>
  <r>
    <d v="2021-11-06T00:00:00"/>
    <x v="48"/>
    <n v="18.3"/>
    <n v="26.6"/>
    <x v="0"/>
    <s v="Normal"/>
    <s v="Normal"/>
    <s v="Normal"/>
    <s v="Normal"/>
    <n v="2021"/>
    <x v="10"/>
  </r>
  <r>
    <d v="2021-11-07T00:00:00"/>
    <x v="81"/>
    <n v="19.2"/>
    <n v="23.6"/>
    <x v="164"/>
    <s v="Normal"/>
    <s v="Normal"/>
    <s v="Normal"/>
    <s v="Normal"/>
    <n v="2021"/>
    <x v="10"/>
  </r>
  <r>
    <d v="2021-11-08T00:00:00"/>
    <x v="87"/>
    <n v="19.5"/>
    <n v="24.5"/>
    <x v="60"/>
    <s v="Normal"/>
    <s v="Normal"/>
    <s v="Normal"/>
    <s v="Normal"/>
    <n v="2021"/>
    <x v="10"/>
  </r>
  <r>
    <d v="2021-11-09T00:00:00"/>
    <x v="76"/>
    <n v="18.2"/>
    <n v="25.6"/>
    <x v="7"/>
    <s v="Normal"/>
    <s v="Normal"/>
    <s v="Normal"/>
    <s v="Normal"/>
    <n v="2021"/>
    <x v="10"/>
  </r>
  <r>
    <d v="2021-11-10T00:00:00"/>
    <x v="86"/>
    <n v="17.399999999999999"/>
    <n v="26.6"/>
    <x v="0"/>
    <s v="Normal"/>
    <s v="Normal"/>
    <s v="Normal"/>
    <s v="Normal"/>
    <n v="2021"/>
    <x v="10"/>
  </r>
  <r>
    <d v="2021-11-12T00:00:00"/>
    <x v="80"/>
    <n v="16.8"/>
    <n v="22.5"/>
    <x v="70"/>
    <s v="Normal"/>
    <s v="Outlier"/>
    <s v="Normal"/>
    <s v="Outlier"/>
    <n v="2021"/>
    <x v="10"/>
  </r>
  <r>
    <d v="2021-11-13T00:00:00"/>
    <x v="69"/>
    <n v="20.100000000000001"/>
    <n v="24.7"/>
    <x v="47"/>
    <s v="Normal"/>
    <s v="Normal"/>
    <s v="Normal"/>
    <s v="Normal"/>
    <n v="2021"/>
    <x v="10"/>
  </r>
  <r>
    <d v="2021-11-14T00:00:00"/>
    <x v="56"/>
    <n v="19.100000000000001"/>
    <n v="26"/>
    <x v="0"/>
    <s v="Normal"/>
    <s v="Normal"/>
    <s v="Normal"/>
    <s v="Normal"/>
    <n v="2021"/>
    <x v="10"/>
  </r>
  <r>
    <d v="2021-11-15T00:00:00"/>
    <x v="48"/>
    <n v="20.7"/>
    <n v="26.2"/>
    <x v="7"/>
    <s v="Normal"/>
    <s v="Normal"/>
    <s v="Normal"/>
    <s v="Normal"/>
    <n v="2021"/>
    <x v="10"/>
  </r>
  <r>
    <d v="2021-11-16T00:00:00"/>
    <x v="48"/>
    <n v="18.899999999999999"/>
    <n v="26.4"/>
    <x v="165"/>
    <s v="Normal"/>
    <s v="Normal"/>
    <s v="Normal"/>
    <s v="Outlier"/>
    <n v="2021"/>
    <x v="10"/>
  </r>
  <r>
    <d v="2021-11-17T00:00:00"/>
    <x v="57"/>
    <n v="19.8"/>
    <n v="27.6"/>
    <x v="19"/>
    <s v="Normal"/>
    <s v="Normal"/>
    <s v="Normal"/>
    <s v="Normal"/>
    <n v="2021"/>
    <x v="10"/>
  </r>
  <r>
    <d v="2021-11-18T00:00:00"/>
    <x v="72"/>
    <n v="20"/>
    <n v="27.2"/>
    <x v="4"/>
    <s v="Normal"/>
    <s v="Normal"/>
    <s v="Normal"/>
    <s v="Normal"/>
    <n v="2021"/>
    <x v="10"/>
  </r>
  <r>
    <d v="2021-11-19T00:00:00"/>
    <x v="78"/>
    <n v="19.8"/>
    <n v="23.2"/>
    <x v="166"/>
    <s v="Normal"/>
    <s v="Normal"/>
    <s v="Normal"/>
    <s v="Outlier"/>
    <n v="2021"/>
    <x v="10"/>
  </r>
  <r>
    <d v="2021-11-20T00:00:00"/>
    <x v="78"/>
    <n v="20.100000000000001"/>
    <n v="22.6"/>
    <x v="22"/>
    <s v="Normal"/>
    <s v="Normal"/>
    <s v="Normal"/>
    <s v="Normal"/>
    <n v="2021"/>
    <x v="10"/>
  </r>
  <r>
    <d v="2021-11-21T00:00:00"/>
    <x v="57"/>
    <n v="19.3"/>
    <n v="26.2"/>
    <x v="23"/>
    <s v="Normal"/>
    <s v="Normal"/>
    <s v="Normal"/>
    <s v="Normal"/>
    <n v="2021"/>
    <x v="10"/>
  </r>
  <r>
    <d v="2021-11-22T00:00:00"/>
    <x v="48"/>
    <n v="20.5"/>
    <n v="26.5"/>
    <x v="25"/>
    <s v="Normal"/>
    <s v="Normal"/>
    <s v="Normal"/>
    <s v="Normal"/>
    <n v="2021"/>
    <x v="10"/>
  </r>
  <r>
    <d v="2021-11-23T00:00:00"/>
    <x v="37"/>
    <n v="20.100000000000001"/>
    <n v="28.4"/>
    <x v="0"/>
    <s v="Normal"/>
    <s v="Normal"/>
    <s v="Normal"/>
    <s v="Normal"/>
    <n v="2021"/>
    <x v="10"/>
  </r>
  <r>
    <d v="2021-11-24T00:00:00"/>
    <x v="48"/>
    <n v="20.100000000000001"/>
    <n v="29.8"/>
    <x v="0"/>
    <s v="Normal"/>
    <s v="Normal"/>
    <s v="Normal"/>
    <s v="Normal"/>
    <n v="2021"/>
    <x v="10"/>
  </r>
  <r>
    <d v="2021-11-25T00:00:00"/>
    <x v="55"/>
    <n v="19.399999999999999"/>
    <n v="27"/>
    <x v="86"/>
    <s v="Normal"/>
    <s v="Normal"/>
    <s v="Normal"/>
    <s v="Outlier"/>
    <n v="2021"/>
    <x v="10"/>
  </r>
  <r>
    <d v="2021-11-26T00:00:00"/>
    <x v="69"/>
    <n v="19.100000000000001"/>
    <n v="27"/>
    <x v="0"/>
    <s v="Normal"/>
    <s v="Normal"/>
    <s v="Normal"/>
    <s v="Normal"/>
    <n v="2021"/>
    <x v="10"/>
  </r>
  <r>
    <d v="2021-11-27T00:00:00"/>
    <x v="80"/>
    <n v="18.399999999999999"/>
    <n v="23"/>
    <x v="162"/>
    <s v="Normal"/>
    <s v="Normal"/>
    <s v="Normal"/>
    <s v="Normal"/>
    <n v="2021"/>
    <x v="10"/>
  </r>
  <r>
    <d v="2021-11-28T00:00:00"/>
    <x v="81"/>
    <n v="19.8"/>
    <n v="23.4"/>
    <x v="0"/>
    <s v="Normal"/>
    <s v="Normal"/>
    <s v="Normal"/>
    <s v="Normal"/>
    <n v="2021"/>
    <x v="10"/>
  </r>
  <r>
    <d v="2021-11-29T00:00:00"/>
    <x v="78"/>
    <n v="19.5"/>
    <n v="22.6"/>
    <x v="0"/>
    <s v="Normal"/>
    <s v="Normal"/>
    <s v="Normal"/>
    <s v="Normal"/>
    <n v="2021"/>
    <x v="10"/>
  </r>
  <r>
    <d v="2021-11-30T00:00:00"/>
    <x v="56"/>
    <n v="18.899999999999999"/>
    <n v="25.8"/>
    <x v="5"/>
    <s v="Normal"/>
    <s v="Normal"/>
    <s v="Normal"/>
    <s v="Normal"/>
    <n v="2021"/>
    <x v="10"/>
  </r>
  <r>
    <d v="2021-12-01T00:00:00"/>
    <x v="60"/>
    <n v="20"/>
    <n v="26.4"/>
    <x v="0"/>
    <s v="Normal"/>
    <s v="Normal"/>
    <s v="Normal"/>
    <s v="Normal"/>
    <n v="2021"/>
    <x v="10"/>
  </r>
  <r>
    <d v="2021-12-02T00:00:00"/>
    <x v="70"/>
    <n v="19.2"/>
    <n v="25.9"/>
    <x v="112"/>
    <s v="Normal"/>
    <s v="Normal"/>
    <s v="Normal"/>
    <s v="Normal"/>
    <n v="2021"/>
    <x v="11"/>
  </r>
  <r>
    <d v="2021-12-03T00:00:00"/>
    <x v="1"/>
    <n v="17.899999999999999"/>
    <n v="27.4"/>
    <x v="80"/>
    <s v="Normal"/>
    <s v="Normal"/>
    <s v="Normal"/>
    <s v="Normal"/>
    <n v="2021"/>
    <x v="11"/>
  </r>
  <r>
    <d v="2021-12-04T00:00:00"/>
    <x v="33"/>
    <n v="21"/>
    <n v="28.2"/>
    <x v="0"/>
    <s v="Normal"/>
    <s v="Normal"/>
    <s v="Normal"/>
    <s v="Normal"/>
    <n v="2021"/>
    <x v="11"/>
  </r>
  <r>
    <d v="2021-12-05T00:00:00"/>
    <x v="46"/>
    <n v="19.8"/>
    <n v="28.4"/>
    <x v="7"/>
    <s v="Normal"/>
    <s v="Normal"/>
    <s v="Normal"/>
    <s v="Normal"/>
    <n v="2021"/>
    <x v="11"/>
  </r>
  <r>
    <d v="2021-12-06T00:00:00"/>
    <x v="46"/>
    <n v="19.3"/>
    <n v="29.2"/>
    <x v="0"/>
    <s v="Normal"/>
    <s v="Normal"/>
    <s v="Normal"/>
    <s v="Normal"/>
    <n v="2021"/>
    <x v="11"/>
  </r>
  <r>
    <d v="2021-12-07T00:00:00"/>
    <x v="2"/>
    <n v="17.7"/>
    <n v="26.4"/>
    <x v="0"/>
    <s v="Normal"/>
    <s v="Normal"/>
    <s v="Normal"/>
    <s v="Normal"/>
    <n v="2021"/>
    <x v="11"/>
  </r>
  <r>
    <d v="2021-12-08T00:00:00"/>
    <x v="60"/>
    <n v="16.899999999999999"/>
    <n v="27.4"/>
    <x v="0"/>
    <s v="Normal"/>
    <s v="Normal"/>
    <s v="Normal"/>
    <s v="Normal"/>
    <n v="2021"/>
    <x v="11"/>
  </r>
  <r>
    <d v="2021-12-09T00:00:00"/>
    <x v="2"/>
    <n v="18.8"/>
    <n v="26.2"/>
    <x v="147"/>
    <s v="Normal"/>
    <s v="Normal"/>
    <s v="Normal"/>
    <s v="Normal"/>
    <n v="2021"/>
    <x v="11"/>
  </r>
  <r>
    <d v="2021-12-10T00:00:00"/>
    <x v="3"/>
    <n v="18.600000000000001"/>
    <n v="27.2"/>
    <x v="7"/>
    <s v="Normal"/>
    <s v="Normal"/>
    <s v="Normal"/>
    <s v="Normal"/>
    <n v="2021"/>
    <x v="11"/>
  </r>
  <r>
    <d v="2021-12-11T00:00:00"/>
    <x v="70"/>
    <n v="18"/>
    <n v="28.4"/>
    <x v="0"/>
    <s v="Normal"/>
    <s v="Normal"/>
    <s v="Normal"/>
    <s v="Normal"/>
    <n v="2021"/>
    <x v="11"/>
  </r>
  <r>
    <d v="2021-12-12T00:00:00"/>
    <x v="71"/>
    <n v="17.5"/>
    <n v="24.7"/>
    <x v="131"/>
    <s v="Normal"/>
    <s v="Normal"/>
    <s v="Normal"/>
    <s v="Normal"/>
    <n v="2021"/>
    <x v="11"/>
  </r>
  <r>
    <d v="2021-12-13T00:00:00"/>
    <x v="72"/>
    <n v="18"/>
    <n v="24.9"/>
    <x v="167"/>
    <s v="Normal"/>
    <s v="Normal"/>
    <s v="Normal"/>
    <s v="Normal"/>
    <n v="2021"/>
    <x v="11"/>
  </r>
  <r>
    <d v="2021-12-14T00:00:00"/>
    <x v="77"/>
    <n v="18.3"/>
    <n v="24.4"/>
    <x v="102"/>
    <s v="Normal"/>
    <s v="Normal"/>
    <s v="Normal"/>
    <s v="Normal"/>
    <n v="2021"/>
    <x v="11"/>
  </r>
  <r>
    <d v="2021-12-15T00:00:00"/>
    <x v="72"/>
    <n v="17.399999999999999"/>
    <n v="24.4"/>
    <x v="1"/>
    <s v="Normal"/>
    <s v="Normal"/>
    <s v="Normal"/>
    <s v="Normal"/>
    <n v="2021"/>
    <x v="11"/>
  </r>
  <r>
    <d v="2021-12-16T00:00:00"/>
    <x v="61"/>
    <n v="17.2"/>
    <n v="26.4"/>
    <x v="0"/>
    <s v="Normal"/>
    <s v="Normal"/>
    <s v="Normal"/>
    <s v="Normal"/>
    <n v="2021"/>
    <x v="11"/>
  </r>
  <r>
    <d v="2021-12-17T00:00:00"/>
    <x v="72"/>
    <n v="16.3"/>
    <n v="27.6"/>
    <x v="0"/>
    <s v="Normal"/>
    <s v="Outlier"/>
    <s v="Normal"/>
    <s v="Normal"/>
    <n v="2021"/>
    <x v="11"/>
  </r>
  <r>
    <d v="2021-12-18T00:00:00"/>
    <x v="79"/>
    <n v="15.3"/>
    <n v="26"/>
    <x v="0"/>
    <s v="Normal"/>
    <s v="Outlier"/>
    <s v="Normal"/>
    <s v="Normal"/>
    <n v="2021"/>
    <x v="11"/>
  </r>
  <r>
    <d v="2021-12-21T00:00:00"/>
    <x v="88"/>
    <n v="13.9"/>
    <n v="26"/>
    <x v="0"/>
    <s v="Outlier"/>
    <s v="Outlier"/>
    <s v="Normal"/>
    <s v="Normal"/>
    <n v="2021"/>
    <x v="11"/>
  </r>
  <r>
    <d v="2021-12-22T00:00:00"/>
    <x v="82"/>
    <n v="12.8"/>
    <n v="27.4"/>
    <x v="0"/>
    <s v="Normal"/>
    <s v="Outlier"/>
    <s v="Normal"/>
    <s v="Normal"/>
    <n v="2021"/>
    <x v="11"/>
  </r>
  <r>
    <d v="2021-12-23T00:00:00"/>
    <x v="89"/>
    <n v="13.2"/>
    <n v="27.4"/>
    <x v="0"/>
    <s v="Normal"/>
    <s v="Outlier"/>
    <s v="Normal"/>
    <s v="Normal"/>
    <n v="2021"/>
    <x v="11"/>
  </r>
  <r>
    <d v="2021-12-24T00:00:00"/>
    <x v="84"/>
    <n v="12.5"/>
    <n v="27.2"/>
    <x v="0"/>
    <s v="Normal"/>
    <s v="Outlier"/>
    <s v="Normal"/>
    <s v="Normal"/>
    <n v="2021"/>
    <x v="11"/>
  </r>
  <r>
    <d v="2021-12-25T00:00:00"/>
    <x v="85"/>
    <n v="12.6"/>
    <n v="29"/>
    <x v="0"/>
    <s v="Normal"/>
    <s v="Outlier"/>
    <s v="Normal"/>
    <s v="Normal"/>
    <n v="2021"/>
    <x v="11"/>
  </r>
  <r>
    <d v="2021-12-26T00:00:00"/>
    <x v="86"/>
    <n v="13.5"/>
    <n v="29.2"/>
    <x v="0"/>
    <s v="Normal"/>
    <s v="Outlier"/>
    <s v="Normal"/>
    <s v="Normal"/>
    <n v="2021"/>
    <x v="11"/>
  </r>
  <r>
    <d v="2021-12-27T00:00:00"/>
    <x v="79"/>
    <n v="15.2"/>
    <n v="26.6"/>
    <x v="0"/>
    <s v="Normal"/>
    <s v="Outlier"/>
    <s v="Normal"/>
    <s v="Normal"/>
    <n v="2021"/>
    <x v="11"/>
  </r>
  <r>
    <d v="2021-12-28T00:00:00"/>
    <x v="85"/>
    <n v="15.4"/>
    <n v="26.4"/>
    <x v="0"/>
    <s v="Normal"/>
    <s v="Outlier"/>
    <s v="Normal"/>
    <s v="Normal"/>
    <n v="2021"/>
    <x v="11"/>
  </r>
  <r>
    <d v="2021-12-29T00:00:00"/>
    <x v="81"/>
    <n v="17"/>
    <n v="26"/>
    <x v="0"/>
    <s v="Normal"/>
    <s v="Normal"/>
    <s v="Normal"/>
    <s v="Normal"/>
    <n v="2021"/>
    <x v="11"/>
  </r>
  <r>
    <d v="2021-12-30T00:00:00"/>
    <x v="79"/>
    <n v="15.4"/>
    <n v="26.4"/>
    <x v="140"/>
    <s v="Normal"/>
    <s v="Outlier"/>
    <s v="Normal"/>
    <s v="Normal"/>
    <n v="2021"/>
    <x v="11"/>
  </r>
  <r>
    <d v="2021-12-31T00:00:00"/>
    <x v="85"/>
    <n v="17.600000000000001"/>
    <n v="26.5"/>
    <x v="0"/>
    <s v="Normal"/>
    <s v="Normal"/>
    <s v="Normal"/>
    <s v="Normal"/>
    <n v="2021"/>
    <x v="11"/>
  </r>
  <r>
    <d v="2022-01-01T00:00:00"/>
    <x v="76"/>
    <n v="18.5"/>
    <n v="24.6"/>
    <x v="38"/>
    <s v="Normal"/>
    <s v="Normal"/>
    <s v="Normal"/>
    <s v="Normal"/>
    <n v="2022"/>
    <x v="11"/>
  </r>
  <r>
    <d v="2022-01-02T00:00:00"/>
    <x v="59"/>
    <n v="17.5"/>
    <n v="26.4"/>
    <x v="0"/>
    <s v="Normal"/>
    <s v="Normal"/>
    <s v="Normal"/>
    <s v="Normal"/>
    <n v="2022"/>
    <x v="1"/>
  </r>
  <r>
    <d v="2022-01-03T00:00:00"/>
    <x v="72"/>
    <n v="15.1"/>
    <n v="26.6"/>
    <x v="0"/>
    <s v="Normal"/>
    <s v="Outlier"/>
    <s v="Normal"/>
    <s v="Normal"/>
    <n v="2022"/>
    <x v="1"/>
  </r>
  <r>
    <d v="2022-01-04T00:00:00"/>
    <x v="87"/>
    <n v="16.399999999999999"/>
    <n v="26.3"/>
    <x v="0"/>
    <s v="Normal"/>
    <s v="Outlier"/>
    <s v="Normal"/>
    <s v="Normal"/>
    <n v="2022"/>
    <x v="1"/>
  </r>
  <r>
    <d v="2022-01-05T00:00:00"/>
    <x v="87"/>
    <n v="14.8"/>
    <n v="27.4"/>
    <x v="0"/>
    <s v="Normal"/>
    <s v="Outlier"/>
    <s v="Normal"/>
    <s v="Normal"/>
    <n v="2022"/>
    <x v="1"/>
  </r>
  <r>
    <d v="2022-01-06T00:00:00"/>
    <x v="78"/>
    <n v="15.9"/>
    <n v="27"/>
    <x v="0"/>
    <s v="Normal"/>
    <s v="Outlier"/>
    <s v="Normal"/>
    <s v="Normal"/>
    <n v="2022"/>
    <x v="1"/>
  </r>
  <r>
    <d v="2022-01-07T00:00:00"/>
    <x v="76"/>
    <n v="16.600000000000001"/>
    <n v="27"/>
    <x v="0"/>
    <s v="Normal"/>
    <s v="Outlier"/>
    <s v="Normal"/>
    <s v="Normal"/>
    <n v="2022"/>
    <x v="1"/>
  </r>
  <r>
    <d v="2022-01-08T00:00:00"/>
    <x v="70"/>
    <n v="17.2"/>
    <n v="27.2"/>
    <x v="0"/>
    <s v="Normal"/>
    <s v="Normal"/>
    <s v="Normal"/>
    <s v="Normal"/>
    <n v="2022"/>
    <x v="1"/>
  </r>
  <r>
    <d v="2022-01-09T00:00:00"/>
    <x v="60"/>
    <n v="17.3"/>
    <n v="27.2"/>
    <x v="0"/>
    <s v="Normal"/>
    <s v="Normal"/>
    <s v="Normal"/>
    <s v="Normal"/>
    <n v="2022"/>
    <x v="1"/>
  </r>
  <r>
    <d v="2022-01-10T00:00:00"/>
    <x v="61"/>
    <n v="16.7"/>
    <n v="27.3"/>
    <x v="132"/>
    <s v="Normal"/>
    <s v="Outlier"/>
    <s v="Normal"/>
    <s v="Normal"/>
    <n v="2022"/>
    <x v="1"/>
  </r>
  <r>
    <d v="2022-01-11T00:00:00"/>
    <x v="69"/>
    <n v="16.7"/>
    <n v="28.6"/>
    <x v="132"/>
    <s v="Normal"/>
    <s v="Outlier"/>
    <s v="Normal"/>
    <s v="Normal"/>
    <n v="2022"/>
    <x v="1"/>
  </r>
  <r>
    <d v="2022-01-12T00:00:00"/>
    <x v="56"/>
    <n v="18.3"/>
    <n v="28.6"/>
    <x v="128"/>
    <s v="Normal"/>
    <s v="Normal"/>
    <s v="Normal"/>
    <s v="Normal"/>
    <n v="2022"/>
    <x v="1"/>
  </r>
  <r>
    <d v="2022-01-13T00:00:00"/>
    <x v="2"/>
    <n v="17.5"/>
    <n v="27.4"/>
    <x v="5"/>
    <s v="Normal"/>
    <s v="Normal"/>
    <s v="Normal"/>
    <s v="Normal"/>
    <n v="2022"/>
    <x v="1"/>
  </r>
  <r>
    <d v="2022-01-14T00:00:00"/>
    <x v="69"/>
    <n v="17.8"/>
    <n v="27.4"/>
    <x v="131"/>
    <s v="Normal"/>
    <s v="Normal"/>
    <s v="Normal"/>
    <s v="Normal"/>
    <n v="2022"/>
    <x v="1"/>
  </r>
  <r>
    <d v="2022-01-15T00:00:00"/>
    <x v="59"/>
    <n v="16.2"/>
    <n v="28.6"/>
    <x v="0"/>
    <s v="Normal"/>
    <s v="Outlier"/>
    <s v="Normal"/>
    <s v="Normal"/>
    <n v="2022"/>
    <x v="1"/>
  </r>
  <r>
    <d v="2022-01-16T00:00:00"/>
    <x v="1"/>
    <n v="17.399999999999999"/>
    <n v="27.6"/>
    <x v="131"/>
    <s v="Normal"/>
    <s v="Normal"/>
    <s v="Normal"/>
    <s v="Normal"/>
    <n v="2022"/>
    <x v="1"/>
  </r>
  <r>
    <d v="2022-01-17T00:00:00"/>
    <x v="58"/>
    <n v="16.8"/>
    <n v="27"/>
    <x v="0"/>
    <s v="Normal"/>
    <s v="Outlier"/>
    <s v="Normal"/>
    <s v="Normal"/>
    <n v="2022"/>
    <x v="1"/>
  </r>
  <r>
    <d v="2022-01-18T00:00:00"/>
    <x v="78"/>
    <n v="15.3"/>
    <n v="27.1"/>
    <x v="0"/>
    <s v="Normal"/>
    <s v="Outlier"/>
    <s v="Normal"/>
    <s v="Normal"/>
    <n v="2022"/>
    <x v="1"/>
  </r>
  <r>
    <d v="2022-01-19T00:00:00"/>
    <x v="81"/>
    <n v="16"/>
    <n v="27"/>
    <x v="0"/>
    <s v="Normal"/>
    <s v="Outlier"/>
    <s v="Normal"/>
    <s v="Normal"/>
    <n v="2022"/>
    <x v="1"/>
  </r>
  <r>
    <d v="2022-01-20T00:00:00"/>
    <x v="81"/>
    <n v="13"/>
    <n v="29"/>
    <x v="0"/>
    <s v="Normal"/>
    <s v="Outlier"/>
    <s v="Normal"/>
    <s v="Normal"/>
    <n v="2022"/>
    <x v="1"/>
  </r>
  <r>
    <d v="2022-01-21T00:00:00"/>
    <x v="2"/>
    <n v="14.5"/>
    <n v="31.4"/>
    <x v="0"/>
    <s v="Normal"/>
    <s v="Outlier"/>
    <s v="Normal"/>
    <s v="Normal"/>
    <n v="2022"/>
    <x v="1"/>
  </r>
  <r>
    <d v="2022-01-22T00:00:00"/>
    <x v="2"/>
    <n v="14.6"/>
    <n v="30"/>
    <x v="0"/>
    <s v="Normal"/>
    <s v="Outlier"/>
    <s v="Normal"/>
    <s v="Normal"/>
    <n v="2022"/>
    <x v="1"/>
  </r>
  <r>
    <d v="2022-01-23T00:00:00"/>
    <x v="1"/>
    <n v="14.9"/>
    <n v="30.4"/>
    <x v="0"/>
    <s v="Normal"/>
    <s v="Outlier"/>
    <s v="Normal"/>
    <s v="Normal"/>
    <n v="2022"/>
    <x v="1"/>
  </r>
  <r>
    <d v="2022-01-24T00:00:00"/>
    <x v="77"/>
    <n v="13.4"/>
    <n v="28.8"/>
    <x v="0"/>
    <s v="Normal"/>
    <s v="Outlier"/>
    <s v="Normal"/>
    <s v="Normal"/>
    <n v="2022"/>
    <x v="1"/>
  </r>
  <r>
    <d v="2022-01-25T00:00:00"/>
    <x v="63"/>
    <n v="13.1"/>
    <n v="27.4"/>
    <x v="0"/>
    <s v="Normal"/>
    <s v="Outlier"/>
    <s v="Normal"/>
    <s v="Normal"/>
    <n v="2022"/>
    <x v="1"/>
  </r>
  <r>
    <d v="2022-01-26T00:00:00"/>
    <x v="50"/>
    <n v="17.3"/>
    <n v="28"/>
    <x v="132"/>
    <s v="Normal"/>
    <s v="Normal"/>
    <s v="Normal"/>
    <s v="Normal"/>
    <n v="2022"/>
    <x v="1"/>
  </r>
  <r>
    <d v="2022-01-27T00:00:00"/>
    <x v="61"/>
    <n v="17.899999999999999"/>
    <n v="25.4"/>
    <x v="10"/>
    <s v="Normal"/>
    <s v="Normal"/>
    <s v="Normal"/>
    <s v="Normal"/>
    <n v="2022"/>
    <x v="1"/>
  </r>
  <r>
    <d v="2022-01-28T00:00:00"/>
    <x v="78"/>
    <n v="17"/>
    <n v="26.3"/>
    <x v="0"/>
    <s v="Normal"/>
    <s v="Normal"/>
    <s v="Normal"/>
    <s v="Normal"/>
    <n v="2022"/>
    <x v="1"/>
  </r>
  <r>
    <d v="2022-01-29T00:00:00"/>
    <x v="77"/>
    <n v="15.3"/>
    <n v="27.2"/>
    <x v="0"/>
    <s v="Normal"/>
    <s v="Outlier"/>
    <s v="Normal"/>
    <s v="Normal"/>
    <n v="2022"/>
    <x v="1"/>
  </r>
  <r>
    <d v="2022-01-30T00:00:00"/>
    <x v="55"/>
    <n v="18.100000000000001"/>
    <n v="29.4"/>
    <x v="0"/>
    <s v="Normal"/>
    <s v="Normal"/>
    <s v="Normal"/>
    <s v="Normal"/>
    <n v="2022"/>
    <x v="1"/>
  </r>
  <r>
    <d v="2022-01-31T00:00:00"/>
    <x v="35"/>
    <n v="18.3"/>
    <n v="29.6"/>
    <x v="0"/>
    <s v="Normal"/>
    <s v="Normal"/>
    <s v="Normal"/>
    <s v="Normal"/>
    <n v="2022"/>
    <x v="1"/>
  </r>
  <r>
    <d v="2022-02-01T00:00:00"/>
    <x v="46"/>
    <n v="17.399999999999999"/>
    <n v="29.8"/>
    <x v="0"/>
    <s v="Normal"/>
    <s v="Normal"/>
    <s v="Normal"/>
    <s v="Normal"/>
    <n v="2022"/>
    <x v="1"/>
  </r>
  <r>
    <d v="2022-02-02T00:00:00"/>
    <x v="55"/>
    <n v="16.3"/>
    <n v="29.6"/>
    <x v="0"/>
    <s v="Normal"/>
    <s v="Outlier"/>
    <s v="Normal"/>
    <s v="Normal"/>
    <n v="2022"/>
    <x v="12"/>
  </r>
  <r>
    <d v="2022-02-03T00:00:00"/>
    <x v="3"/>
    <n v="16.3"/>
    <n v="28.7"/>
    <x v="0"/>
    <s v="Normal"/>
    <s v="Outlier"/>
    <s v="Normal"/>
    <s v="Normal"/>
    <n v="2022"/>
    <x v="12"/>
  </r>
  <r>
    <d v="2022-02-04T00:00:00"/>
    <x v="49"/>
    <n v="16.5"/>
    <n v="30.6"/>
    <x v="0"/>
    <s v="Normal"/>
    <s v="Outlier"/>
    <s v="Normal"/>
    <s v="Normal"/>
    <n v="2022"/>
    <x v="12"/>
  </r>
  <r>
    <d v="2022-02-05T00:00:00"/>
    <x v="48"/>
    <n v="15.9"/>
    <n v="30.8"/>
    <x v="0"/>
    <s v="Normal"/>
    <s v="Outlier"/>
    <s v="Normal"/>
    <s v="Normal"/>
    <n v="2022"/>
    <x v="12"/>
  </r>
  <r>
    <d v="2022-02-06T00:00:00"/>
    <x v="3"/>
    <n v="18.2"/>
    <n v="28"/>
    <x v="0"/>
    <s v="Normal"/>
    <s v="Normal"/>
    <s v="Normal"/>
    <s v="Normal"/>
    <n v="2022"/>
    <x v="12"/>
  </r>
  <r>
    <d v="2022-02-07T00:00:00"/>
    <x v="54"/>
    <n v="17.3"/>
    <n v="28.3"/>
    <x v="0"/>
    <s v="Normal"/>
    <s v="Normal"/>
    <s v="Normal"/>
    <s v="Normal"/>
    <n v="2022"/>
    <x v="12"/>
  </r>
  <r>
    <d v="2022-02-08T00:00:00"/>
    <x v="36"/>
    <n v="15.7"/>
    <n v="29.4"/>
    <x v="0"/>
    <s v="Normal"/>
    <s v="Outlier"/>
    <s v="Normal"/>
    <s v="Normal"/>
    <n v="2022"/>
    <x v="12"/>
  </r>
  <r>
    <d v="2022-02-09T00:00:00"/>
    <x v="1"/>
    <n v="15.3"/>
    <n v="28.8"/>
    <x v="0"/>
    <s v="Normal"/>
    <s v="Outlier"/>
    <s v="Normal"/>
    <s v="Normal"/>
    <n v="2022"/>
    <x v="12"/>
  </r>
  <r>
    <d v="2022-02-10T00:00:00"/>
    <x v="1"/>
    <n v="14.4"/>
    <n v="30"/>
    <x v="0"/>
    <s v="Normal"/>
    <s v="Outlier"/>
    <s v="Normal"/>
    <s v="Normal"/>
    <n v="2022"/>
    <x v="12"/>
  </r>
  <r>
    <d v="2022-02-11T00:00:00"/>
    <x v="50"/>
    <n v="16.100000000000001"/>
    <n v="29.4"/>
    <x v="0"/>
    <s v="Normal"/>
    <s v="Outlier"/>
    <s v="Normal"/>
    <s v="Normal"/>
    <n v="2022"/>
    <x v="12"/>
  </r>
  <r>
    <d v="2022-02-12T00:00:00"/>
    <x v="36"/>
    <n v="16"/>
    <n v="29"/>
    <x v="0"/>
    <s v="Normal"/>
    <s v="Outlier"/>
    <s v="Normal"/>
    <s v="Normal"/>
    <n v="2022"/>
    <x v="12"/>
  </r>
  <r>
    <d v="2022-02-13T00:00:00"/>
    <x v="50"/>
    <n v="15.8"/>
    <n v="28.2"/>
    <x v="0"/>
    <s v="Normal"/>
    <s v="Outlier"/>
    <s v="Normal"/>
    <s v="Normal"/>
    <n v="2022"/>
    <x v="12"/>
  </r>
  <r>
    <d v="2022-02-14T00:00:00"/>
    <x v="50"/>
    <n v="15.2"/>
    <n v="28.2"/>
    <x v="0"/>
    <s v="Normal"/>
    <s v="Outlier"/>
    <s v="Normal"/>
    <s v="Normal"/>
    <n v="2022"/>
    <x v="12"/>
  </r>
  <r>
    <d v="2022-02-15T00:00:00"/>
    <x v="3"/>
    <n v="17.100000000000001"/>
    <n v="28.4"/>
    <x v="0"/>
    <s v="Normal"/>
    <s v="Normal"/>
    <s v="Normal"/>
    <s v="Normal"/>
    <n v="2022"/>
    <x v="12"/>
  </r>
  <r>
    <d v="2022-02-16T00:00:00"/>
    <x v="54"/>
    <n v="15.3"/>
    <n v="28.8"/>
    <x v="0"/>
    <s v="Normal"/>
    <s v="Outlier"/>
    <s v="Normal"/>
    <s v="Normal"/>
    <n v="2022"/>
    <x v="12"/>
  </r>
  <r>
    <d v="2022-02-17T00:00:00"/>
    <x v="55"/>
    <n v="16.100000000000001"/>
    <n v="30"/>
    <x v="0"/>
    <s v="Normal"/>
    <s v="Outlier"/>
    <s v="Normal"/>
    <s v="Normal"/>
    <n v="2022"/>
    <x v="12"/>
  </r>
  <r>
    <d v="2022-02-18T00:00:00"/>
    <x v="57"/>
    <n v="14.9"/>
    <n v="29.4"/>
    <x v="0"/>
    <s v="Normal"/>
    <s v="Outlier"/>
    <s v="Normal"/>
    <s v="Normal"/>
    <n v="2022"/>
    <x v="12"/>
  </r>
  <r>
    <d v="2022-02-19T00:00:00"/>
    <x v="3"/>
    <n v="15.8"/>
    <n v="29.8"/>
    <x v="0"/>
    <s v="Normal"/>
    <s v="Outlier"/>
    <s v="Normal"/>
    <s v="Normal"/>
    <n v="2022"/>
    <x v="12"/>
  </r>
  <r>
    <d v="2022-02-20T00:00:00"/>
    <x v="53"/>
    <n v="15.8"/>
    <n v="32"/>
    <x v="0"/>
    <s v="Normal"/>
    <s v="Outlier"/>
    <s v="Normal"/>
    <s v="Normal"/>
    <n v="2022"/>
    <x v="12"/>
  </r>
  <r>
    <d v="2022-02-21T00:00:00"/>
    <x v="44"/>
    <n v="16.3"/>
    <n v="32.4"/>
    <x v="0"/>
    <s v="Normal"/>
    <s v="Outlier"/>
    <s v="Normal"/>
    <s v="Normal"/>
    <n v="2022"/>
    <x v="12"/>
  </r>
  <r>
    <d v="2022-02-22T00:00:00"/>
    <x v="52"/>
    <n v="17.899999999999999"/>
    <n v="31.3"/>
    <x v="0"/>
    <s v="Normal"/>
    <s v="Normal"/>
    <s v="Normal"/>
    <s v="Normal"/>
    <n v="2022"/>
    <x v="12"/>
  </r>
  <r>
    <d v="2022-02-23T00:00:00"/>
    <x v="46"/>
    <n v="16.399999999999999"/>
    <n v="30.4"/>
    <x v="0"/>
    <s v="Normal"/>
    <s v="Outlier"/>
    <s v="Normal"/>
    <s v="Normal"/>
    <n v="2022"/>
    <x v="12"/>
  </r>
  <r>
    <d v="2022-02-24T00:00:00"/>
    <x v="57"/>
    <n v="15.5"/>
    <n v="29.4"/>
    <x v="0"/>
    <s v="Normal"/>
    <s v="Outlier"/>
    <s v="Normal"/>
    <s v="Normal"/>
    <n v="2022"/>
    <x v="12"/>
  </r>
  <r>
    <d v="2022-02-25T00:00:00"/>
    <x v="49"/>
    <n v="14.4"/>
    <n v="31.2"/>
    <x v="0"/>
    <s v="Normal"/>
    <s v="Outlier"/>
    <s v="Normal"/>
    <s v="Normal"/>
    <n v="2022"/>
    <x v="12"/>
  </r>
  <r>
    <d v="2022-02-26T00:00:00"/>
    <x v="57"/>
    <n v="14.9"/>
    <n v="30.2"/>
    <x v="0"/>
    <s v="Normal"/>
    <s v="Outlier"/>
    <s v="Normal"/>
    <s v="Normal"/>
    <n v="2022"/>
    <x v="12"/>
  </r>
  <r>
    <d v="2022-02-27T00:00:00"/>
    <x v="0"/>
    <n v="16.8"/>
    <n v="30"/>
    <x v="0"/>
    <s v="Normal"/>
    <s v="Outlier"/>
    <s v="Normal"/>
    <s v="Normal"/>
    <n v="2022"/>
    <x v="12"/>
  </r>
  <r>
    <d v="2022-02-28T00:00:00"/>
    <x v="0"/>
    <n v="16.100000000000001"/>
    <n v="30.6"/>
    <x v="0"/>
    <s v="Normal"/>
    <s v="Outlier"/>
    <s v="Normal"/>
    <s v="Normal"/>
    <n v="2022"/>
    <x v="12"/>
  </r>
  <r>
    <d v="2022-03-01T00:00:00"/>
    <x v="42"/>
    <n v="16.600000000000001"/>
    <n v="32"/>
    <x v="0"/>
    <s v="Normal"/>
    <s v="Outlier"/>
    <s v="Normal"/>
    <s v="Normal"/>
    <n v="2022"/>
    <x v="12"/>
  </r>
  <r>
    <d v="2022-03-02T00:00:00"/>
    <x v="4"/>
    <n v="16.899999999999999"/>
    <n v="30.4"/>
    <x v="0"/>
    <s v="Normal"/>
    <s v="Normal"/>
    <s v="Normal"/>
    <s v="Normal"/>
    <n v="2022"/>
    <x v="2"/>
  </r>
  <r>
    <d v="2022-03-03T00:00:00"/>
    <x v="53"/>
    <n v="16.5"/>
    <n v="30.8"/>
    <x v="0"/>
    <s v="Normal"/>
    <s v="Outlier"/>
    <s v="Normal"/>
    <s v="Normal"/>
    <n v="2022"/>
    <x v="2"/>
  </r>
  <r>
    <d v="2022-03-04T00:00:00"/>
    <x v="42"/>
    <n v="17.399999999999999"/>
    <n v="31.6"/>
    <x v="0"/>
    <s v="Normal"/>
    <s v="Normal"/>
    <s v="Normal"/>
    <s v="Normal"/>
    <n v="2022"/>
    <x v="2"/>
  </r>
  <r>
    <d v="2022-03-05T00:00:00"/>
    <x v="42"/>
    <n v="16.2"/>
    <n v="30.6"/>
    <x v="0"/>
    <s v="Normal"/>
    <s v="Outlier"/>
    <s v="Normal"/>
    <s v="Normal"/>
    <n v="2022"/>
    <x v="2"/>
  </r>
  <r>
    <d v="2022-03-06T00:00:00"/>
    <x v="38"/>
    <n v="17.2"/>
    <n v="30.3"/>
    <x v="0"/>
    <s v="Normal"/>
    <s v="Normal"/>
    <s v="Normal"/>
    <s v="Normal"/>
    <n v="2022"/>
    <x v="2"/>
  </r>
  <r>
    <d v="2022-03-07T00:00:00"/>
    <x v="1"/>
    <n v="16.3"/>
    <n v="27.9"/>
    <x v="167"/>
    <s v="Normal"/>
    <s v="Outlier"/>
    <s v="Normal"/>
    <s v="Normal"/>
    <n v="2022"/>
    <x v="2"/>
  </r>
  <r>
    <d v="2022-03-08T00:00:00"/>
    <x v="31"/>
    <n v="18"/>
    <n v="30.6"/>
    <x v="0"/>
    <s v="Normal"/>
    <s v="Normal"/>
    <s v="Normal"/>
    <s v="Normal"/>
    <n v="2022"/>
    <x v="2"/>
  </r>
  <r>
    <d v="2022-03-09T00:00:00"/>
    <x v="31"/>
    <n v="16.7"/>
    <n v="32.799999999999997"/>
    <x v="0"/>
    <s v="Normal"/>
    <s v="Outlier"/>
    <s v="Normal"/>
    <s v="Normal"/>
    <n v="2022"/>
    <x v="2"/>
  </r>
  <r>
    <d v="2022-03-10T00:00:00"/>
    <x v="51"/>
    <n v="17.100000000000001"/>
    <n v="32.799999999999997"/>
    <x v="0"/>
    <s v="Normal"/>
    <s v="Normal"/>
    <s v="Normal"/>
    <s v="Normal"/>
    <n v="2022"/>
    <x v="2"/>
  </r>
  <r>
    <d v="2022-03-11T00:00:00"/>
    <x v="45"/>
    <n v="17.2"/>
    <n v="32.799999999999997"/>
    <x v="0"/>
    <s v="Normal"/>
    <s v="Normal"/>
    <s v="Normal"/>
    <s v="Normal"/>
    <n v="2022"/>
    <x v="2"/>
  </r>
  <r>
    <d v="2022-03-12T00:00:00"/>
    <x v="30"/>
    <n v="18.100000000000001"/>
    <n v="33"/>
    <x v="0"/>
    <s v="Normal"/>
    <s v="Normal"/>
    <s v="Normal"/>
    <s v="Normal"/>
    <n v="2022"/>
    <x v="2"/>
  </r>
  <r>
    <d v="2022-03-13T00:00:00"/>
    <x v="6"/>
    <n v="18.5"/>
    <n v="32.799999999999997"/>
    <x v="0"/>
    <s v="Normal"/>
    <s v="Normal"/>
    <s v="Normal"/>
    <s v="Normal"/>
    <n v="2022"/>
    <x v="2"/>
  </r>
  <r>
    <d v="2022-03-14T00:00:00"/>
    <x v="23"/>
    <n v="18.399999999999999"/>
    <n v="32.799999999999997"/>
    <x v="0"/>
    <s v="Normal"/>
    <s v="Normal"/>
    <s v="Normal"/>
    <s v="Normal"/>
    <n v="2022"/>
    <x v="2"/>
  </r>
  <r>
    <d v="2022-03-15T00:00:00"/>
    <x v="14"/>
    <n v="17.5"/>
    <n v="33.4"/>
    <x v="0"/>
    <s v="Normal"/>
    <s v="Normal"/>
    <s v="Normal"/>
    <s v="Normal"/>
    <n v="2022"/>
    <x v="2"/>
  </r>
  <r>
    <d v="2022-03-16T00:00:00"/>
    <x v="14"/>
    <n v="17.600000000000001"/>
    <n v="34.200000000000003"/>
    <x v="0"/>
    <s v="Normal"/>
    <s v="Normal"/>
    <s v="Normal"/>
    <s v="Normal"/>
    <n v="2022"/>
    <x v="2"/>
  </r>
  <r>
    <d v="2022-03-17T00:00:00"/>
    <x v="15"/>
    <n v="19.100000000000001"/>
    <n v="34.200000000000003"/>
    <x v="0"/>
    <s v="Normal"/>
    <s v="Normal"/>
    <s v="Normal"/>
    <s v="Normal"/>
    <n v="2022"/>
    <x v="2"/>
  </r>
  <r>
    <d v="2022-03-18T00:00:00"/>
    <x v="15"/>
    <n v="18.7"/>
    <n v="34"/>
    <x v="0"/>
    <s v="Normal"/>
    <s v="Normal"/>
    <s v="Normal"/>
    <s v="Normal"/>
    <n v="2022"/>
    <x v="2"/>
  </r>
  <r>
    <d v="2022-03-19T00:00:00"/>
    <x v="5"/>
    <n v="18.899999999999999"/>
    <n v="33.4"/>
    <x v="132"/>
    <s v="Normal"/>
    <s v="Normal"/>
    <s v="Normal"/>
    <s v="Normal"/>
    <n v="2022"/>
    <x v="2"/>
  </r>
  <r>
    <d v="2022-03-20T00:00:00"/>
    <x v="31"/>
    <n v="22"/>
    <n v="34.1"/>
    <x v="0"/>
    <s v="Normal"/>
    <s v="Normal"/>
    <s v="Normal"/>
    <s v="Normal"/>
    <n v="2022"/>
    <x v="2"/>
  </r>
  <r>
    <d v="2022-03-21T00:00:00"/>
    <x v="52"/>
    <n v="21.3"/>
    <n v="33.200000000000003"/>
    <x v="9"/>
    <s v="Normal"/>
    <s v="Normal"/>
    <s v="Normal"/>
    <s v="Normal"/>
    <n v="2022"/>
    <x v="2"/>
  </r>
  <r>
    <d v="2022-03-22T00:00:00"/>
    <x v="6"/>
    <n v="21.8"/>
    <n v="33.5"/>
    <x v="35"/>
    <s v="Normal"/>
    <s v="Normal"/>
    <s v="Normal"/>
    <s v="Normal"/>
    <n v="2022"/>
    <x v="2"/>
  </r>
  <r>
    <d v="2022-03-23T00:00:00"/>
    <x v="24"/>
    <n v="21.4"/>
    <n v="32.799999999999997"/>
    <x v="60"/>
    <s v="Normal"/>
    <s v="Normal"/>
    <s v="Normal"/>
    <s v="Normal"/>
    <n v="2022"/>
    <x v="2"/>
  </r>
  <r>
    <d v="2022-03-24T00:00:00"/>
    <x v="25"/>
    <n v="23.4"/>
    <n v="33.6"/>
    <x v="0"/>
    <s v="Normal"/>
    <s v="Outlier"/>
    <s v="Normal"/>
    <s v="Normal"/>
    <n v="2022"/>
    <x v="2"/>
  </r>
  <r>
    <d v="2022-03-25T00:00:00"/>
    <x v="27"/>
    <n v="19.399999999999999"/>
    <n v="32.299999999999997"/>
    <x v="131"/>
    <s v="Normal"/>
    <s v="Normal"/>
    <s v="Normal"/>
    <s v="Normal"/>
    <n v="2022"/>
    <x v="2"/>
  </r>
  <r>
    <d v="2022-03-26T00:00:00"/>
    <x v="7"/>
    <n v="19.899999999999999"/>
    <n v="32.9"/>
    <x v="0"/>
    <s v="Normal"/>
    <s v="Normal"/>
    <s v="Normal"/>
    <s v="Normal"/>
    <n v="2022"/>
    <x v="2"/>
  </r>
  <r>
    <d v="2022-03-27T00:00:00"/>
    <x v="25"/>
    <n v="20.399999999999999"/>
    <n v="33.799999999999997"/>
    <x v="0"/>
    <s v="Normal"/>
    <s v="Normal"/>
    <s v="Normal"/>
    <s v="Normal"/>
    <n v="2022"/>
    <x v="2"/>
  </r>
  <r>
    <d v="2022-03-28T00:00:00"/>
    <x v="11"/>
    <n v="20.100000000000001"/>
    <n v="33.799999999999997"/>
    <x v="0"/>
    <s v="Normal"/>
    <s v="Normal"/>
    <s v="Normal"/>
    <s v="Normal"/>
    <n v="2022"/>
    <x v="2"/>
  </r>
  <r>
    <d v="2022-03-29T00:00:00"/>
    <x v="75"/>
    <n v="20.399999999999999"/>
    <n v="34.200000000000003"/>
    <x v="132"/>
    <s v="Normal"/>
    <s v="Normal"/>
    <s v="Normal"/>
    <s v="Normal"/>
    <n v="2022"/>
    <x v="2"/>
  </r>
  <r>
    <d v="2022-03-30T00:00:00"/>
    <x v="20"/>
    <n v="21.8"/>
    <n v="33.799999999999997"/>
    <x v="132"/>
    <s v="Normal"/>
    <s v="Normal"/>
    <s v="Normal"/>
    <s v="Normal"/>
    <n v="2022"/>
    <x v="2"/>
  </r>
  <r>
    <d v="2022-03-31T00:00:00"/>
    <x v="75"/>
    <n v="20.9"/>
    <n v="34"/>
    <x v="0"/>
    <s v="Normal"/>
    <s v="Normal"/>
    <s v="Normal"/>
    <s v="Normal"/>
    <n v="2022"/>
    <x v="2"/>
  </r>
  <r>
    <d v="2022-04-01T00:00:00"/>
    <x v="8"/>
    <n v="21.2"/>
    <n v="33"/>
    <x v="0"/>
    <s v="Normal"/>
    <s v="Normal"/>
    <s v="Normal"/>
    <s v="Normal"/>
    <n v="2022"/>
    <x v="2"/>
  </r>
  <r>
    <d v="2022-04-02T00:00:00"/>
    <x v="16"/>
    <n v="20"/>
    <n v="33"/>
    <x v="0"/>
    <s v="Normal"/>
    <s v="Normal"/>
    <s v="Normal"/>
    <s v="Normal"/>
    <n v="2022"/>
    <x v="3"/>
  </r>
  <r>
    <d v="2022-04-03T00:00:00"/>
    <x v="15"/>
    <n v="18.600000000000001"/>
    <n v="33.6"/>
    <x v="0"/>
    <s v="Normal"/>
    <s v="Normal"/>
    <s v="Normal"/>
    <s v="Normal"/>
    <n v="2022"/>
    <x v="3"/>
  </r>
  <r>
    <d v="2022-04-04T00:00:00"/>
    <x v="64"/>
    <n v="19"/>
    <n v="33.799999999999997"/>
    <x v="0"/>
    <s v="Normal"/>
    <s v="Normal"/>
    <s v="Normal"/>
    <s v="Normal"/>
    <n v="2022"/>
    <x v="3"/>
  </r>
  <r>
    <d v="2022-04-05T00:00:00"/>
    <x v="68"/>
    <n v="19"/>
    <n v="33.200000000000003"/>
    <x v="0"/>
    <s v="Normal"/>
    <s v="Normal"/>
    <s v="Normal"/>
    <s v="Normal"/>
    <n v="2022"/>
    <x v="3"/>
  </r>
  <r>
    <d v="2022-04-06T00:00:00"/>
    <x v="7"/>
    <n v="18.399999999999999"/>
    <n v="35"/>
    <x v="0"/>
    <s v="Normal"/>
    <s v="Normal"/>
    <s v="Normal"/>
    <s v="Normal"/>
    <n v="2022"/>
    <x v="3"/>
  </r>
  <r>
    <d v="2022-04-07T00:00:00"/>
    <x v="25"/>
    <n v="19.100000000000001"/>
    <n v="34.799999999999997"/>
    <x v="0"/>
    <s v="Normal"/>
    <s v="Normal"/>
    <s v="Normal"/>
    <s v="Normal"/>
    <n v="2022"/>
    <x v="3"/>
  </r>
  <r>
    <d v="2022-04-08T00:00:00"/>
    <x v="7"/>
    <n v="19.3"/>
    <n v="33.200000000000003"/>
    <x v="0"/>
    <s v="Normal"/>
    <s v="Normal"/>
    <s v="Normal"/>
    <s v="Normal"/>
    <n v="2022"/>
    <x v="3"/>
  </r>
  <r>
    <d v="2022-04-09T00:00:00"/>
    <x v="25"/>
    <n v="19.899999999999999"/>
    <n v="33.6"/>
    <x v="0"/>
    <s v="Normal"/>
    <s v="Normal"/>
    <s v="Normal"/>
    <s v="Normal"/>
    <n v="2022"/>
    <x v="3"/>
  </r>
  <r>
    <d v="2022-04-10T00:00:00"/>
    <x v="24"/>
    <n v="20.3"/>
    <n v="34"/>
    <x v="0"/>
    <s v="Normal"/>
    <s v="Normal"/>
    <s v="Normal"/>
    <s v="Normal"/>
    <n v="2022"/>
    <x v="3"/>
  </r>
  <r>
    <d v="2022-04-11T00:00:00"/>
    <x v="8"/>
    <n v="20.100000000000001"/>
    <n v="34.200000000000003"/>
    <x v="0"/>
    <s v="Normal"/>
    <s v="Normal"/>
    <s v="Normal"/>
    <s v="Normal"/>
    <n v="2022"/>
    <x v="3"/>
  </r>
  <r>
    <d v="2022-04-12T00:00:00"/>
    <x v="7"/>
    <n v="20.5"/>
    <n v="34"/>
    <x v="0"/>
    <s v="Normal"/>
    <s v="Normal"/>
    <s v="Normal"/>
    <s v="Normal"/>
    <n v="2022"/>
    <x v="3"/>
  </r>
  <r>
    <d v="2022-04-13T00:00:00"/>
    <x v="34"/>
    <n v="21.5"/>
    <n v="32.799999999999997"/>
    <x v="168"/>
    <s v="Normal"/>
    <s v="Normal"/>
    <s v="Normal"/>
    <s v="Normal"/>
    <n v="2022"/>
    <x v="3"/>
  </r>
  <r>
    <d v="2022-04-14T00:00:00"/>
    <x v="29"/>
    <n v="20.7"/>
    <n v="32.1"/>
    <x v="169"/>
    <s v="Normal"/>
    <s v="Normal"/>
    <s v="Normal"/>
    <s v="Outlier"/>
    <n v="2022"/>
    <x v="3"/>
  </r>
  <r>
    <d v="2022-04-15T00:00:00"/>
    <x v="51"/>
    <n v="19.100000000000001"/>
    <n v="33"/>
    <x v="170"/>
    <s v="Normal"/>
    <s v="Normal"/>
    <s v="Normal"/>
    <s v="Outlier"/>
    <n v="2022"/>
    <x v="3"/>
  </r>
  <r>
    <d v="2022-04-16T00:00:00"/>
    <x v="68"/>
    <n v="19.7"/>
    <n v="34.1"/>
    <x v="0"/>
    <s v="Normal"/>
    <s v="Normal"/>
    <s v="Normal"/>
    <s v="Normal"/>
    <n v="2022"/>
    <x v="3"/>
  </r>
  <r>
    <d v="2022-04-17T00:00:00"/>
    <x v="6"/>
    <n v="20"/>
    <n v="34.1"/>
    <x v="125"/>
    <s v="Normal"/>
    <s v="Normal"/>
    <s v="Normal"/>
    <s v="Outlier"/>
    <n v="2022"/>
    <x v="3"/>
  </r>
  <r>
    <d v="2022-04-18T00:00:00"/>
    <x v="38"/>
    <n v="19.100000000000001"/>
    <n v="32.1"/>
    <x v="7"/>
    <s v="Normal"/>
    <s v="Normal"/>
    <s v="Normal"/>
    <s v="Normal"/>
    <n v="2022"/>
    <x v="3"/>
  </r>
  <r>
    <d v="2022-04-19T00:00:00"/>
    <x v="23"/>
    <n v="20"/>
    <n v="32.4"/>
    <x v="171"/>
    <s v="Normal"/>
    <s v="Normal"/>
    <s v="Normal"/>
    <s v="Outlier"/>
    <n v="2022"/>
    <x v="3"/>
  </r>
  <r>
    <d v="2022-04-20T00:00:00"/>
    <x v="74"/>
    <n v="21.8"/>
    <n v="34.1"/>
    <x v="0"/>
    <s v="Normal"/>
    <s v="Normal"/>
    <s v="Normal"/>
    <s v="Normal"/>
    <n v="2022"/>
    <x v="3"/>
  </r>
  <r>
    <d v="2022-04-21T00:00:00"/>
    <x v="11"/>
    <n v="20.8"/>
    <n v="33.4"/>
    <x v="0"/>
    <s v="Normal"/>
    <s v="Normal"/>
    <s v="Normal"/>
    <s v="Normal"/>
    <n v="2022"/>
    <x v="3"/>
  </r>
  <r>
    <d v="2022-04-22T00:00:00"/>
    <x v="7"/>
    <n v="20.3"/>
    <n v="33.200000000000003"/>
    <x v="0"/>
    <s v="Normal"/>
    <s v="Normal"/>
    <s v="Normal"/>
    <s v="Normal"/>
    <n v="2022"/>
    <x v="3"/>
  </r>
  <r>
    <d v="2022-04-23T00:00:00"/>
    <x v="68"/>
    <n v="20.5"/>
    <n v="32.200000000000003"/>
    <x v="0"/>
    <s v="Normal"/>
    <s v="Normal"/>
    <s v="Normal"/>
    <s v="Normal"/>
    <n v="2022"/>
    <x v="3"/>
  </r>
  <r>
    <d v="2022-04-24T00:00:00"/>
    <x v="24"/>
    <n v="20.399999999999999"/>
    <n v="33.700000000000003"/>
    <x v="0"/>
    <s v="Normal"/>
    <s v="Normal"/>
    <s v="Normal"/>
    <s v="Normal"/>
    <n v="2022"/>
    <x v="3"/>
  </r>
  <r>
    <d v="2022-04-25T00:00:00"/>
    <x v="12"/>
    <n v="20.8"/>
    <n v="34.1"/>
    <x v="0"/>
    <s v="Normal"/>
    <s v="Normal"/>
    <s v="Normal"/>
    <s v="Normal"/>
    <n v="2022"/>
    <x v="3"/>
  </r>
  <r>
    <d v="2022-04-26T00:00:00"/>
    <x v="74"/>
    <n v="20.6"/>
    <n v="34.5"/>
    <x v="0"/>
    <s v="Normal"/>
    <s v="Normal"/>
    <s v="Normal"/>
    <s v="Normal"/>
    <n v="2022"/>
    <x v="3"/>
  </r>
  <r>
    <d v="2022-04-27T00:00:00"/>
    <x v="13"/>
    <n v="21.5"/>
    <n v="35.1"/>
    <x v="0"/>
    <s v="Outlier"/>
    <s v="Normal"/>
    <s v="Normal"/>
    <s v="Normal"/>
    <n v="2022"/>
    <x v="3"/>
  </r>
  <r>
    <d v="2022-04-28T00:00:00"/>
    <x v="66"/>
    <n v="21.7"/>
    <n v="34.799999999999997"/>
    <x v="0"/>
    <s v="Normal"/>
    <s v="Normal"/>
    <s v="Normal"/>
    <s v="Normal"/>
    <n v="2022"/>
    <x v="3"/>
  </r>
  <r>
    <d v="2022-04-29T00:00:00"/>
    <x v="90"/>
    <n v="21.2"/>
    <n v="36.9"/>
    <x v="0"/>
    <s v="Outlier"/>
    <s v="Normal"/>
    <s v="Outlier"/>
    <s v="Normal"/>
    <n v="2022"/>
    <x v="3"/>
  </r>
  <r>
    <d v="2022-04-30T00:00:00"/>
    <x v="21"/>
    <n v="22.7"/>
    <n v="36.700000000000003"/>
    <x v="0"/>
    <s v="Normal"/>
    <s v="Normal"/>
    <s v="Outlier"/>
    <s v="Normal"/>
    <n v="2022"/>
    <x v="3"/>
  </r>
  <r>
    <d v="2022-05-01T00:00:00"/>
    <x v="31"/>
    <n v="20.399999999999999"/>
    <n v="34.799999999999997"/>
    <x v="0"/>
    <s v="Normal"/>
    <s v="Normal"/>
    <s v="Normal"/>
    <s v="Normal"/>
    <n v="2022"/>
    <x v="3"/>
  </r>
  <r>
    <d v="2022-05-02T00:00:00"/>
    <x v="68"/>
    <n v="20.2"/>
    <n v="33.9"/>
    <x v="172"/>
    <s v="Normal"/>
    <s v="Normal"/>
    <s v="Normal"/>
    <s v="Outlier"/>
    <n v="2022"/>
    <x v="4"/>
  </r>
  <r>
    <d v="2022-05-03T00:00:00"/>
    <x v="68"/>
    <n v="21.8"/>
    <n v="34"/>
    <x v="0"/>
    <s v="Normal"/>
    <s v="Normal"/>
    <s v="Normal"/>
    <s v="Normal"/>
    <n v="2022"/>
    <x v="4"/>
  </r>
  <r>
    <d v="2022-05-04T00:00:00"/>
    <x v="30"/>
    <n v="20.9"/>
    <n v="34.200000000000003"/>
    <x v="66"/>
    <s v="Normal"/>
    <s v="Normal"/>
    <s v="Normal"/>
    <s v="Normal"/>
    <n v="2022"/>
    <x v="4"/>
  </r>
  <r>
    <d v="2022-05-05T00:00:00"/>
    <x v="33"/>
    <n v="20.399999999999999"/>
    <n v="34.200000000000003"/>
    <x v="76"/>
    <s v="Normal"/>
    <s v="Normal"/>
    <s v="Normal"/>
    <s v="Normal"/>
    <n v="2022"/>
    <x v="4"/>
  </r>
  <r>
    <d v="2022-05-06T00:00:00"/>
    <x v="45"/>
    <n v="21.3"/>
    <n v="31.8"/>
    <x v="1"/>
    <s v="Normal"/>
    <s v="Normal"/>
    <s v="Normal"/>
    <s v="Normal"/>
    <n v="2022"/>
    <x v="4"/>
  </r>
  <r>
    <d v="2022-05-07T00:00:00"/>
    <x v="23"/>
    <n v="21.2"/>
    <n v="33.5"/>
    <x v="25"/>
    <s v="Normal"/>
    <s v="Normal"/>
    <s v="Normal"/>
    <s v="Normal"/>
    <n v="2022"/>
    <x v="4"/>
  </r>
  <r>
    <d v="2022-05-08T00:00:00"/>
    <x v="26"/>
    <n v="21"/>
    <n v="33.200000000000003"/>
    <x v="0"/>
    <s v="Normal"/>
    <s v="Normal"/>
    <s v="Normal"/>
    <s v="Normal"/>
    <n v="2022"/>
    <x v="4"/>
  </r>
  <r>
    <d v="2022-05-09T00:00:00"/>
    <x v="10"/>
    <n v="21"/>
    <n v="33.200000000000003"/>
    <x v="60"/>
    <s v="Normal"/>
    <s v="Normal"/>
    <s v="Normal"/>
    <s v="Normal"/>
    <n v="2022"/>
    <x v="4"/>
  </r>
  <r>
    <d v="2022-05-10T00:00:00"/>
    <x v="54"/>
    <n v="20.2"/>
    <n v="31.5"/>
    <x v="127"/>
    <s v="Normal"/>
    <s v="Normal"/>
    <s v="Normal"/>
    <s v="Outlier"/>
    <n v="2022"/>
    <x v="4"/>
  </r>
  <r>
    <d v="2022-05-11T00:00:00"/>
    <x v="2"/>
    <n v="20.399999999999999"/>
    <n v="25"/>
    <x v="25"/>
    <s v="Normal"/>
    <s v="Normal"/>
    <s v="Normal"/>
    <s v="Normal"/>
    <n v="2022"/>
    <x v="4"/>
  </r>
  <r>
    <d v="2022-05-12T00:00:00"/>
    <x v="58"/>
    <n v="19.5"/>
    <n v="25"/>
    <x v="36"/>
    <s v="Normal"/>
    <s v="Normal"/>
    <s v="Normal"/>
    <s v="Normal"/>
    <n v="2022"/>
    <x v="4"/>
  </r>
  <r>
    <d v="2022-05-13T00:00:00"/>
    <x v="49"/>
    <n v="20"/>
    <n v="26.3"/>
    <x v="60"/>
    <s v="Normal"/>
    <s v="Normal"/>
    <s v="Normal"/>
    <s v="Normal"/>
    <n v="2022"/>
    <x v="4"/>
  </r>
  <r>
    <d v="2022-05-14T00:00:00"/>
    <x v="45"/>
    <n v="20.3"/>
    <n v="29.7"/>
    <x v="0"/>
    <s v="Normal"/>
    <s v="Normal"/>
    <s v="Normal"/>
    <s v="Normal"/>
    <n v="2022"/>
    <x v="4"/>
  </r>
  <r>
    <d v="2022-05-15T00:00:00"/>
    <x v="45"/>
    <n v="20.9"/>
    <n v="29.7"/>
    <x v="103"/>
    <s v="Normal"/>
    <s v="Normal"/>
    <s v="Normal"/>
    <s v="Outlier"/>
    <n v="2022"/>
    <x v="4"/>
  </r>
  <r>
    <d v="2022-05-16T00:00:00"/>
    <x v="33"/>
    <n v="20.8"/>
    <n v="29.5"/>
    <x v="1"/>
    <s v="Normal"/>
    <s v="Normal"/>
    <s v="Normal"/>
    <s v="Normal"/>
    <n v="2022"/>
    <x v="4"/>
  </r>
  <r>
    <d v="2022-05-17T00:00:00"/>
    <x v="38"/>
    <n v="21.1"/>
    <n v="30.1"/>
    <x v="87"/>
    <s v="Normal"/>
    <s v="Normal"/>
    <s v="Normal"/>
    <s v="Normal"/>
    <n v="2022"/>
    <x v="4"/>
  </r>
  <r>
    <d v="2022-05-18T00:00:00"/>
    <x v="44"/>
    <n v="20.2"/>
    <n v="29"/>
    <x v="173"/>
    <s v="Normal"/>
    <s v="Normal"/>
    <s v="Normal"/>
    <s v="Outlier"/>
    <n v="2022"/>
    <x v="4"/>
  </r>
  <r>
    <d v="2022-05-19T00:00:00"/>
    <x v="72"/>
    <n v="19.399999999999999"/>
    <n v="29"/>
    <x v="19"/>
    <s v="Normal"/>
    <s v="Normal"/>
    <s v="Normal"/>
    <s v="Normal"/>
    <n v="2022"/>
    <x v="4"/>
  </r>
  <r>
    <d v="2022-05-20T00:00:00"/>
    <x v="69"/>
    <n v="17.899999999999999"/>
    <n v="27"/>
    <x v="71"/>
    <s v="Normal"/>
    <s v="Normal"/>
    <s v="Normal"/>
    <s v="Normal"/>
    <n v="2022"/>
    <x v="4"/>
  </r>
  <r>
    <d v="2022-05-21T00:00:00"/>
    <x v="48"/>
    <n v="18.8"/>
    <n v="27"/>
    <x v="22"/>
    <s v="Normal"/>
    <s v="Normal"/>
    <s v="Normal"/>
    <s v="Normal"/>
    <n v="2022"/>
    <x v="4"/>
  </r>
  <r>
    <d v="2022-05-22T00:00:00"/>
    <x v="38"/>
    <n v="20.7"/>
    <n v="28.5"/>
    <x v="0"/>
    <s v="Normal"/>
    <s v="Normal"/>
    <s v="Normal"/>
    <s v="Normal"/>
    <n v="2022"/>
    <x v="4"/>
  </r>
  <r>
    <d v="2022-05-23T00:00:00"/>
    <x v="47"/>
    <n v="19.899999999999999"/>
    <n v="29.6"/>
    <x v="0"/>
    <s v="Normal"/>
    <s v="Normal"/>
    <s v="Normal"/>
    <s v="Normal"/>
    <n v="2022"/>
    <x v="4"/>
  </r>
  <r>
    <d v="2022-05-24T00:00:00"/>
    <x v="5"/>
    <n v="22.1"/>
    <n v="30.7"/>
    <x v="0"/>
    <s v="Normal"/>
    <s v="Normal"/>
    <s v="Normal"/>
    <s v="Normal"/>
    <n v="2022"/>
    <x v="4"/>
  </r>
  <r>
    <d v="2022-05-25T00:00:00"/>
    <x v="40"/>
    <n v="20.100000000000001"/>
    <n v="30"/>
    <x v="0"/>
    <s v="Normal"/>
    <s v="Normal"/>
    <s v="Normal"/>
    <s v="Normal"/>
    <n v="2022"/>
    <x v="4"/>
  </r>
  <r>
    <d v="2022-05-26T00:00:00"/>
    <x v="31"/>
    <n v="21.8"/>
    <n v="31.7"/>
    <x v="174"/>
    <s v="Normal"/>
    <s v="Normal"/>
    <s v="Normal"/>
    <s v="Normal"/>
    <n v="2022"/>
    <x v="4"/>
  </r>
  <r>
    <d v="2022-05-27T00:00:00"/>
    <x v="26"/>
    <n v="21.6"/>
    <n v="31.9"/>
    <x v="0"/>
    <s v="Normal"/>
    <s v="Normal"/>
    <s v="Normal"/>
    <s v="Normal"/>
    <n v="2022"/>
    <x v="4"/>
  </r>
  <r>
    <d v="2022-05-28T00:00:00"/>
    <x v="47"/>
    <n v="19.2"/>
    <n v="30"/>
    <x v="1"/>
    <s v="Normal"/>
    <s v="Normal"/>
    <s v="Normal"/>
    <s v="Normal"/>
    <n v="2022"/>
    <x v="4"/>
  </r>
  <r>
    <d v="2022-05-29T00:00:00"/>
    <x v="29"/>
    <n v="19.5"/>
    <n v="30"/>
    <x v="0"/>
    <s v="Normal"/>
    <s v="Normal"/>
    <s v="Normal"/>
    <s v="Normal"/>
    <n v="2022"/>
    <x v="4"/>
  </r>
  <r>
    <d v="2022-05-30T00:00:00"/>
    <x v="33"/>
    <n v="19.600000000000001"/>
    <n v="29.6"/>
    <x v="175"/>
    <s v="Normal"/>
    <s v="Normal"/>
    <s v="Normal"/>
    <s v="Outlier"/>
    <n v="2022"/>
    <x v="4"/>
  </r>
  <r>
    <d v="2022-05-31T00:00:00"/>
    <x v="39"/>
    <n v="20.6"/>
    <n v="30.4"/>
    <x v="112"/>
    <s v="Normal"/>
    <s v="Normal"/>
    <s v="Normal"/>
    <s v="Normal"/>
    <n v="2022"/>
    <x v="4"/>
  </r>
  <r>
    <d v="2022-06-01T00:00:00"/>
    <x v="45"/>
    <n v="21.2"/>
    <n v="30.4"/>
    <x v="38"/>
    <s v="Normal"/>
    <s v="Normal"/>
    <s v="Normal"/>
    <s v="Normal"/>
    <n v="2022"/>
    <x v="4"/>
  </r>
  <r>
    <d v="2022-06-02T00:00:00"/>
    <x v="14"/>
    <n v="22"/>
    <n v="31"/>
    <x v="0"/>
    <s v="Normal"/>
    <s v="Normal"/>
    <s v="Normal"/>
    <s v="Normal"/>
    <n v="2022"/>
    <x v="5"/>
  </r>
  <r>
    <d v="2022-06-03T00:00:00"/>
    <x v="39"/>
    <n v="20.2"/>
    <n v="31.2"/>
    <x v="29"/>
    <s v="Normal"/>
    <s v="Normal"/>
    <s v="Normal"/>
    <s v="Outlier"/>
    <n v="2022"/>
    <x v="5"/>
  </r>
  <r>
    <d v="2022-06-04T00:00:00"/>
    <x v="37"/>
    <n v="19.7"/>
    <n v="32.200000000000003"/>
    <x v="176"/>
    <s v="Normal"/>
    <s v="Normal"/>
    <s v="Normal"/>
    <s v="Normal"/>
    <n v="2022"/>
    <x v="5"/>
  </r>
  <r>
    <d v="2022-06-05T00:00:00"/>
    <x v="41"/>
    <n v="20.399999999999999"/>
    <n v="31.6"/>
    <x v="50"/>
    <s v="Normal"/>
    <s v="Normal"/>
    <s v="Normal"/>
    <s v="Outlier"/>
    <n v="2022"/>
    <x v="5"/>
  </r>
  <r>
    <d v="2022-06-06T00:00:00"/>
    <x v="29"/>
    <n v="19.100000000000001"/>
    <n v="32.5"/>
    <x v="177"/>
    <s v="Normal"/>
    <s v="Normal"/>
    <s v="Normal"/>
    <s v="Outlier"/>
    <n v="2022"/>
    <x v="5"/>
  </r>
  <r>
    <d v="2022-06-07T00:00:00"/>
    <x v="31"/>
    <n v="21.1"/>
    <n v="30.6"/>
    <x v="19"/>
    <s v="Normal"/>
    <s v="Normal"/>
    <s v="Normal"/>
    <s v="Normal"/>
    <n v="2022"/>
    <x v="5"/>
  </r>
  <r>
    <d v="2022-06-08T00:00:00"/>
    <x v="9"/>
    <n v="21.2"/>
    <n v="30.6"/>
    <x v="0"/>
    <s v="Normal"/>
    <s v="Normal"/>
    <s v="Normal"/>
    <s v="Normal"/>
    <n v="2022"/>
    <x v="5"/>
  </r>
  <r>
    <d v="2022-06-09T00:00:00"/>
    <x v="44"/>
    <n v="19.8"/>
    <n v="29.4"/>
    <x v="7"/>
    <s v="Normal"/>
    <s v="Normal"/>
    <s v="Normal"/>
    <s v="Normal"/>
    <n v="2022"/>
    <x v="5"/>
  </r>
  <r>
    <d v="2022-06-10T00:00:00"/>
    <x v="42"/>
    <n v="19.5"/>
    <n v="29.2"/>
    <x v="149"/>
    <s v="Normal"/>
    <s v="Normal"/>
    <s v="Normal"/>
    <s v="Normal"/>
    <n v="2022"/>
    <x v="5"/>
  </r>
  <r>
    <d v="2022-06-11T00:00:00"/>
    <x v="43"/>
    <n v="19.3"/>
    <n v="29.2"/>
    <x v="60"/>
    <s v="Normal"/>
    <s v="Normal"/>
    <s v="Normal"/>
    <s v="Normal"/>
    <n v="2022"/>
    <x v="5"/>
  </r>
  <r>
    <d v="2022-06-12T00:00:00"/>
    <x v="55"/>
    <n v="19.7"/>
    <n v="28.8"/>
    <x v="178"/>
    <s v="Normal"/>
    <s v="Normal"/>
    <s v="Normal"/>
    <s v="Normal"/>
    <n v="2022"/>
    <x v="5"/>
  </r>
  <r>
    <d v="2022-06-13T00:00:00"/>
    <x v="43"/>
    <n v="19.2"/>
    <n v="28.9"/>
    <x v="132"/>
    <s v="Normal"/>
    <s v="Normal"/>
    <s v="Normal"/>
    <s v="Normal"/>
    <n v="2022"/>
    <x v="5"/>
  </r>
  <r>
    <d v="2022-06-14T00:00:00"/>
    <x v="43"/>
    <n v="19.399999999999999"/>
    <n v="29.5"/>
    <x v="146"/>
    <s v="Normal"/>
    <s v="Normal"/>
    <s v="Normal"/>
    <s v="Normal"/>
    <n v="2022"/>
    <x v="5"/>
  </r>
  <r>
    <d v="2022-06-15T00:00:00"/>
    <x v="4"/>
    <n v="20.2"/>
    <n v="31.9"/>
    <x v="67"/>
    <s v="Normal"/>
    <s v="Normal"/>
    <s v="Normal"/>
    <s v="Outlier"/>
    <n v="2022"/>
    <x v="5"/>
  </r>
  <r>
    <d v="2022-06-16T00:00:00"/>
    <x v="47"/>
    <n v="20"/>
    <n v="30.6"/>
    <x v="0"/>
    <s v="Normal"/>
    <s v="Normal"/>
    <s v="Normal"/>
    <s v="Normal"/>
    <n v="2022"/>
    <x v="5"/>
  </r>
  <r>
    <d v="2022-06-17T00:00:00"/>
    <x v="40"/>
    <n v="19.7"/>
    <n v="30.6"/>
    <x v="110"/>
    <s v="Normal"/>
    <s v="Normal"/>
    <s v="Normal"/>
    <s v="Outlier"/>
    <n v="2022"/>
    <x v="5"/>
  </r>
  <r>
    <d v="2022-06-18T00:00:00"/>
    <x v="38"/>
    <n v="21.2"/>
    <n v="30.5"/>
    <x v="179"/>
    <s v="Normal"/>
    <s v="Normal"/>
    <s v="Normal"/>
    <s v="Outlier"/>
    <n v="2022"/>
    <x v="5"/>
  </r>
  <r>
    <d v="2022-06-19T00:00:00"/>
    <x v="37"/>
    <n v="21.1"/>
    <n v="29.5"/>
    <x v="7"/>
    <s v="Normal"/>
    <s v="Normal"/>
    <s v="Normal"/>
    <s v="Normal"/>
    <n v="2022"/>
    <x v="5"/>
  </r>
  <r>
    <d v="2022-06-20T00:00:00"/>
    <x v="39"/>
    <n v="20.7"/>
    <n v="29.5"/>
    <x v="60"/>
    <s v="Normal"/>
    <s v="Normal"/>
    <s v="Normal"/>
    <s v="Normal"/>
    <n v="2022"/>
    <x v="5"/>
  </r>
  <r>
    <d v="2022-06-21T00:00:00"/>
    <x v="46"/>
    <n v="19.8"/>
    <n v="27.8"/>
    <x v="6"/>
    <s v="Normal"/>
    <s v="Normal"/>
    <s v="Normal"/>
    <s v="Outlier"/>
    <n v="2022"/>
    <x v="5"/>
  </r>
  <r>
    <d v="2022-06-22T00:00:00"/>
    <x v="3"/>
    <n v="20.399999999999999"/>
    <n v="27.8"/>
    <x v="1"/>
    <s v="Normal"/>
    <s v="Normal"/>
    <s v="Normal"/>
    <s v="Normal"/>
    <n v="2022"/>
    <x v="5"/>
  </r>
  <r>
    <d v="2022-06-23T00:00:00"/>
    <x v="28"/>
    <n v="20.399999999999999"/>
    <n v="26.2"/>
    <x v="0"/>
    <s v="Normal"/>
    <s v="Normal"/>
    <s v="Normal"/>
    <s v="Normal"/>
    <n v="2022"/>
    <x v="5"/>
  </r>
  <r>
    <d v="2022-06-24T00:00:00"/>
    <x v="48"/>
    <n v="19.5"/>
    <n v="27.6"/>
    <x v="1"/>
    <s v="Normal"/>
    <s v="Normal"/>
    <s v="Normal"/>
    <s v="Normal"/>
    <n v="2022"/>
    <x v="5"/>
  </r>
  <r>
    <d v="2022-06-25T00:00:00"/>
    <x v="56"/>
    <n v="19.7"/>
    <n v="27.7"/>
    <x v="134"/>
    <s v="Normal"/>
    <s v="Normal"/>
    <s v="Normal"/>
    <s v="Normal"/>
    <n v="2022"/>
    <x v="5"/>
  </r>
  <r>
    <d v="2022-06-26T00:00:00"/>
    <x v="46"/>
    <n v="20.3"/>
    <n v="27.2"/>
    <x v="131"/>
    <s v="Normal"/>
    <s v="Normal"/>
    <s v="Normal"/>
    <s v="Normal"/>
    <n v="2022"/>
    <x v="5"/>
  </r>
  <r>
    <d v="2022-06-27T00:00:00"/>
    <x v="4"/>
    <n v="20.100000000000001"/>
    <n v="28.3"/>
    <x v="0"/>
    <s v="Normal"/>
    <s v="Normal"/>
    <s v="Normal"/>
    <s v="Normal"/>
    <n v="2022"/>
    <x v="5"/>
  </r>
  <r>
    <d v="2022-06-28T00:00:00"/>
    <x v="57"/>
    <n v="19.600000000000001"/>
    <n v="26.7"/>
    <x v="180"/>
    <s v="Normal"/>
    <s v="Normal"/>
    <s v="Normal"/>
    <s v="Normal"/>
    <n v="2022"/>
    <x v="5"/>
  </r>
  <r>
    <d v="2022-06-29T00:00:00"/>
    <x v="33"/>
    <n v="21.1"/>
    <n v="29.5"/>
    <x v="0"/>
    <s v="Normal"/>
    <s v="Normal"/>
    <s v="Normal"/>
    <s v="Normal"/>
    <n v="2022"/>
    <x v="5"/>
  </r>
  <r>
    <d v="2022-06-30T00:00:00"/>
    <x v="46"/>
    <n v="20.5"/>
    <n v="29.5"/>
    <x v="154"/>
    <s v="Normal"/>
    <s v="Normal"/>
    <s v="Normal"/>
    <s v="Normal"/>
    <n v="2022"/>
    <x v="5"/>
  </r>
  <r>
    <d v="2022-07-01T00:00:00"/>
    <x v="43"/>
    <n v="20.5"/>
    <n v="28.7"/>
    <x v="4"/>
    <s v="Normal"/>
    <s v="Normal"/>
    <s v="Normal"/>
    <s v="Normal"/>
    <n v="2022"/>
    <x v="5"/>
  </r>
  <r>
    <d v="2022-07-02T00:00:00"/>
    <x v="39"/>
    <n v="20.9"/>
    <n v="28.7"/>
    <x v="0"/>
    <s v="Normal"/>
    <s v="Normal"/>
    <s v="Normal"/>
    <s v="Normal"/>
    <n v="2022"/>
    <x v="6"/>
  </r>
  <r>
    <d v="2022-07-03T00:00:00"/>
    <x v="53"/>
    <n v="21.1"/>
    <n v="28.5"/>
    <x v="0"/>
    <s v="Normal"/>
    <s v="Normal"/>
    <s v="Normal"/>
    <s v="Normal"/>
    <n v="2022"/>
    <x v="6"/>
  </r>
  <r>
    <d v="2022-07-04T00:00:00"/>
    <x v="57"/>
    <n v="20.2"/>
    <n v="27"/>
    <x v="0"/>
    <s v="Normal"/>
    <s v="Normal"/>
    <s v="Normal"/>
    <s v="Normal"/>
    <n v="2022"/>
    <x v="6"/>
  </r>
  <r>
    <d v="2022-07-05T00:00:00"/>
    <x v="49"/>
    <n v="20.100000000000001"/>
    <n v="26.5"/>
    <x v="60"/>
    <s v="Normal"/>
    <s v="Normal"/>
    <s v="Normal"/>
    <s v="Normal"/>
    <n v="2022"/>
    <x v="6"/>
  </r>
  <r>
    <d v="2022-07-06T00:00:00"/>
    <x v="2"/>
    <n v="20.6"/>
    <n v="26.5"/>
    <x v="1"/>
    <s v="Normal"/>
    <s v="Normal"/>
    <s v="Normal"/>
    <s v="Normal"/>
    <n v="2022"/>
    <x v="6"/>
  </r>
  <r>
    <d v="2022-07-07T00:00:00"/>
    <x v="76"/>
    <n v="19.7"/>
    <n v="25"/>
    <x v="7"/>
    <s v="Normal"/>
    <s v="Normal"/>
    <s v="Normal"/>
    <s v="Normal"/>
    <n v="2022"/>
    <x v="6"/>
  </r>
  <r>
    <d v="2022-07-08T00:00:00"/>
    <x v="76"/>
    <n v="19.7"/>
    <n v="25.5"/>
    <x v="9"/>
    <s v="Normal"/>
    <s v="Normal"/>
    <s v="Normal"/>
    <s v="Normal"/>
    <n v="2022"/>
    <x v="6"/>
  </r>
  <r>
    <d v="2022-07-09T00:00:00"/>
    <x v="60"/>
    <n v="19.8"/>
    <n v="25.5"/>
    <x v="81"/>
    <s v="Normal"/>
    <s v="Normal"/>
    <s v="Normal"/>
    <s v="Normal"/>
    <n v="2022"/>
    <x v="6"/>
  </r>
  <r>
    <d v="2022-07-10T00:00:00"/>
    <x v="56"/>
    <n v="20"/>
    <n v="26.2"/>
    <x v="6"/>
    <s v="Normal"/>
    <s v="Normal"/>
    <s v="Normal"/>
    <s v="Outlier"/>
    <n v="2022"/>
    <x v="6"/>
  </r>
  <r>
    <d v="2022-07-11T00:00:00"/>
    <x v="60"/>
    <n v="20.2"/>
    <n v="26.2"/>
    <x v="19"/>
    <s v="Normal"/>
    <s v="Normal"/>
    <s v="Normal"/>
    <s v="Normal"/>
    <n v="2022"/>
    <x v="6"/>
  </r>
  <r>
    <d v="2022-07-12T00:00:00"/>
    <x v="46"/>
    <n v="19.8"/>
    <n v="27.5"/>
    <x v="83"/>
    <s v="Normal"/>
    <s v="Normal"/>
    <s v="Normal"/>
    <s v="Normal"/>
    <n v="2022"/>
    <x v="6"/>
  </r>
  <r>
    <d v="2022-07-13T00:00:00"/>
    <x v="70"/>
    <n v="19.7"/>
    <n v="27.5"/>
    <x v="7"/>
    <s v="Normal"/>
    <s v="Normal"/>
    <s v="Normal"/>
    <s v="Normal"/>
    <n v="2022"/>
    <x v="6"/>
  </r>
  <r>
    <d v="2022-07-14T00:00:00"/>
    <x v="77"/>
    <n v="19.5"/>
    <n v="24.3"/>
    <x v="60"/>
    <s v="Normal"/>
    <s v="Normal"/>
    <s v="Normal"/>
    <s v="Normal"/>
    <n v="2022"/>
    <x v="6"/>
  </r>
  <r>
    <d v="2022-07-15T00:00:00"/>
    <x v="36"/>
    <n v="19.5"/>
    <n v="25.6"/>
    <x v="23"/>
    <s v="Normal"/>
    <s v="Normal"/>
    <s v="Normal"/>
    <s v="Normal"/>
    <n v="2022"/>
    <x v="6"/>
  </r>
  <r>
    <d v="2022-07-16T00:00:00"/>
    <x v="59"/>
    <n v="20.100000000000001"/>
    <n v="25.6"/>
    <x v="5"/>
    <s v="Normal"/>
    <s v="Normal"/>
    <s v="Normal"/>
    <s v="Normal"/>
    <n v="2022"/>
    <x v="6"/>
  </r>
  <r>
    <d v="2022-07-17T00:00:00"/>
    <x v="46"/>
    <n v="20.2"/>
    <n v="25.3"/>
    <x v="0"/>
    <s v="Normal"/>
    <s v="Normal"/>
    <s v="Normal"/>
    <s v="Normal"/>
    <n v="2022"/>
    <x v="6"/>
  </r>
  <r>
    <d v="2022-07-18T00:00:00"/>
    <x v="54"/>
    <n v="20.9"/>
    <n v="27.5"/>
    <x v="1"/>
    <s v="Normal"/>
    <s v="Normal"/>
    <s v="Normal"/>
    <s v="Normal"/>
    <n v="2022"/>
    <x v="6"/>
  </r>
  <r>
    <d v="2022-07-19T00:00:00"/>
    <x v="52"/>
    <n v="20.100000000000001"/>
    <n v="29.6"/>
    <x v="1"/>
    <s v="Normal"/>
    <s v="Normal"/>
    <s v="Normal"/>
    <s v="Normal"/>
    <n v="2022"/>
    <x v="6"/>
  </r>
  <r>
    <d v="2022-07-20T00:00:00"/>
    <x v="31"/>
    <n v="19.8"/>
    <n v="30.8"/>
    <x v="0"/>
    <s v="Normal"/>
    <s v="Normal"/>
    <s v="Normal"/>
    <s v="Normal"/>
    <n v="2022"/>
    <x v="6"/>
  </r>
  <r>
    <d v="2022-07-21T00:00:00"/>
    <x v="4"/>
    <n v="20.5"/>
    <n v="30.8"/>
    <x v="181"/>
    <s v="Normal"/>
    <s v="Normal"/>
    <s v="Normal"/>
    <s v="Outlier"/>
    <n v="2022"/>
    <x v="6"/>
  </r>
  <r>
    <d v="2022-07-22T00:00:00"/>
    <x v="46"/>
    <n v="21.1"/>
    <n v="27.9"/>
    <x v="0"/>
    <s v="Normal"/>
    <s v="Normal"/>
    <s v="Normal"/>
    <s v="Normal"/>
    <n v="2022"/>
    <x v="6"/>
  </r>
  <r>
    <d v="2022-07-23T00:00:00"/>
    <x v="28"/>
    <n v="20.9"/>
    <n v="26.7"/>
    <x v="0"/>
    <s v="Normal"/>
    <s v="Normal"/>
    <s v="Normal"/>
    <s v="Normal"/>
    <n v="2022"/>
    <x v="6"/>
  </r>
  <r>
    <d v="2022-07-24T00:00:00"/>
    <x v="48"/>
    <n v="20"/>
    <n v="26.7"/>
    <x v="1"/>
    <s v="Normal"/>
    <s v="Normal"/>
    <s v="Normal"/>
    <s v="Normal"/>
    <n v="2022"/>
    <x v="6"/>
  </r>
  <r>
    <d v="2022-07-25T00:00:00"/>
    <x v="39"/>
    <n v="20.2"/>
    <n v="28.5"/>
    <x v="5"/>
    <s v="Normal"/>
    <s v="Normal"/>
    <s v="Normal"/>
    <s v="Normal"/>
    <n v="2022"/>
    <x v="6"/>
  </r>
  <r>
    <m/>
    <x v="91"/>
    <m/>
    <m/>
    <x v="182"/>
    <m/>
    <m/>
    <m/>
    <m/>
    <m/>
    <x v="13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5">
  <r>
    <d v="2017-01-22T00:00:00"/>
    <n v="23.3"/>
    <n v="16.8"/>
    <n v="29.1"/>
    <n v="0"/>
    <s v="Normal"/>
    <s v="Outlier"/>
    <s v="Normal"/>
    <s v="Normal"/>
    <x v="0"/>
    <s v="time"/>
  </r>
  <r>
    <d v="2017-01-26T00:00:00"/>
    <n v="21.9"/>
    <n v="18.3"/>
    <n v="29.2"/>
    <n v="0"/>
    <s v="Normal"/>
    <s v="Normal"/>
    <s v="Normal"/>
    <s v="Normal"/>
    <x v="0"/>
    <s v="January"/>
  </r>
  <r>
    <d v="2017-01-27T00:00:00"/>
    <n v="22.1"/>
    <n v="19.7"/>
    <n v="26"/>
    <n v="0.3"/>
    <s v="Normal"/>
    <s v="Normal"/>
    <s v="Normal"/>
    <s v="Normal"/>
    <x v="0"/>
    <s v="January"/>
  </r>
  <r>
    <d v="2017-01-28T00:00:00"/>
    <n v="22.7"/>
    <n v="20"/>
    <n v="26.7"/>
    <n v="0"/>
    <s v="Normal"/>
    <s v="Normal"/>
    <s v="Normal"/>
    <s v="Normal"/>
    <x v="0"/>
    <s v="January"/>
  </r>
  <r>
    <d v="2017-01-29T00:00:00"/>
    <n v="23.7"/>
    <n v="19.2"/>
    <n v="29"/>
    <n v="0"/>
    <s v="Normal"/>
    <s v="Normal"/>
    <s v="Normal"/>
    <s v="Normal"/>
    <x v="0"/>
    <s v="January"/>
  </r>
  <r>
    <d v="2017-03-07T00:00:00"/>
    <n v="26.2"/>
    <n v="21.5"/>
    <n v="33.1"/>
    <n v="8.4"/>
    <s v="Normal"/>
    <s v="Normal"/>
    <s v="Normal"/>
    <s v="Normal"/>
    <x v="0"/>
    <s v="January"/>
  </r>
  <r>
    <d v="2017-03-08T00:00:00"/>
    <n v="25.6"/>
    <n v="21.1"/>
    <n v="33.799999999999997"/>
    <n v="36.799999999999997"/>
    <s v="Normal"/>
    <s v="Normal"/>
    <s v="Normal"/>
    <s v="Outlier"/>
    <x v="0"/>
    <s v="March"/>
  </r>
  <r>
    <d v="2017-03-09T00:00:00"/>
    <n v="26.7"/>
    <n v="21.2"/>
    <n v="32.1"/>
    <n v="0"/>
    <s v="Normal"/>
    <s v="Normal"/>
    <s v="Normal"/>
    <s v="Normal"/>
    <x v="0"/>
    <s v="March"/>
  </r>
  <r>
    <d v="2017-03-11T00:00:00"/>
    <n v="27.2"/>
    <n v="21"/>
    <n v="33.5"/>
    <n v="0"/>
    <s v="Normal"/>
    <s v="Normal"/>
    <s v="Normal"/>
    <s v="Normal"/>
    <x v="0"/>
    <s v="March"/>
  </r>
  <r>
    <d v="2017-03-14T00:00:00"/>
    <n v="25.1"/>
    <n v="22"/>
    <n v="34"/>
    <n v="0"/>
    <s v="Normal"/>
    <s v="Normal"/>
    <s v="Normal"/>
    <s v="Normal"/>
    <x v="0"/>
    <s v="March"/>
  </r>
  <r>
    <d v="2017-03-15T00:00:00"/>
    <n v="25.3"/>
    <n v="20.8"/>
    <n v="30.4"/>
    <n v="0"/>
    <s v="Normal"/>
    <s v="Normal"/>
    <s v="Normal"/>
    <s v="Normal"/>
    <x v="0"/>
    <s v="March"/>
  </r>
  <r>
    <d v="2017-04-05T00:00:00"/>
    <n v="27.3"/>
    <n v="21.2"/>
    <n v="36.1"/>
    <n v="0"/>
    <s v="Normal"/>
    <s v="Normal"/>
    <s v="Normal"/>
    <s v="Normal"/>
    <x v="0"/>
    <s v="March"/>
  </r>
  <r>
    <d v="2017-04-06T00:00:00"/>
    <n v="27.8"/>
    <n v="22.4"/>
    <n v="35.5"/>
    <n v="3.6"/>
    <s v="Normal"/>
    <s v="Normal"/>
    <s v="Normal"/>
    <s v="Normal"/>
    <x v="0"/>
    <s v="April"/>
  </r>
  <r>
    <d v="2017-04-07T00:00:00"/>
    <n v="28.5"/>
    <n v="22.5"/>
    <n v="35.5"/>
    <n v="0.5"/>
    <s v="Outlier"/>
    <s v="Normal"/>
    <s v="Normal"/>
    <s v="Normal"/>
    <x v="0"/>
    <s v="April"/>
  </r>
  <r>
    <d v="2017-04-17T00:00:00"/>
    <n v="25.7"/>
    <n v="22.2"/>
    <n v="36.200000000000003"/>
    <n v="0.5"/>
    <s v="Normal"/>
    <s v="Normal"/>
    <s v="Normal"/>
    <s v="Normal"/>
    <x v="0"/>
    <s v="April"/>
  </r>
  <r>
    <d v="2017-04-18T00:00:00"/>
    <n v="28.5"/>
    <n v="20.6"/>
    <n v="35"/>
    <n v="15"/>
    <s v="Outlier"/>
    <s v="Normal"/>
    <s v="Normal"/>
    <s v="Outlier"/>
    <x v="0"/>
    <s v="April"/>
  </r>
  <r>
    <d v="2017-04-20T00:00:00"/>
    <n v="26.6"/>
    <n v="22.8"/>
    <n v="35.700000000000003"/>
    <n v="0.3"/>
    <s v="Normal"/>
    <s v="Normal"/>
    <s v="Normal"/>
    <s v="Normal"/>
    <x v="0"/>
    <s v="April"/>
  </r>
  <r>
    <d v="2017-04-21T00:00:00"/>
    <n v="26.8"/>
    <n v="21.7"/>
    <n v="35.200000000000003"/>
    <n v="1"/>
    <s v="Normal"/>
    <s v="Normal"/>
    <s v="Normal"/>
    <s v="Normal"/>
    <x v="0"/>
    <s v="April"/>
  </r>
  <r>
    <d v="2017-04-22T00:00:00"/>
    <n v="28.6"/>
    <n v="22.8"/>
    <n v="34.799999999999997"/>
    <n v="0"/>
    <s v="Outlier"/>
    <s v="Normal"/>
    <s v="Normal"/>
    <s v="Normal"/>
    <x v="0"/>
    <s v="April"/>
  </r>
  <r>
    <d v="2017-04-26T00:00:00"/>
    <n v="28.7"/>
    <n v="22.5"/>
    <n v="37"/>
    <n v="1"/>
    <s v="Outlier"/>
    <s v="Normal"/>
    <s v="Outlier"/>
    <s v="Normal"/>
    <x v="0"/>
    <s v="April"/>
  </r>
  <r>
    <d v="2017-04-29T00:00:00"/>
    <n v="25.6"/>
    <n v="21.8"/>
    <n v="35.299999999999997"/>
    <n v="1.3"/>
    <s v="Normal"/>
    <s v="Normal"/>
    <s v="Normal"/>
    <s v="Normal"/>
    <x v="0"/>
    <s v="April"/>
  </r>
  <r>
    <d v="2017-04-30T00:00:00"/>
    <n v="28.3"/>
    <n v="20.100000000000001"/>
    <n v="35.6"/>
    <n v="6.1"/>
    <s v="Normal"/>
    <s v="Normal"/>
    <s v="Normal"/>
    <s v="Normal"/>
    <x v="0"/>
    <s v="April"/>
  </r>
  <r>
    <d v="2017-05-01T00:00:00"/>
    <n v="26.8"/>
    <n v="20.5"/>
    <n v="35.6"/>
    <n v="1"/>
    <s v="Normal"/>
    <s v="Normal"/>
    <s v="Normal"/>
    <s v="Normal"/>
    <x v="0"/>
    <s v="April"/>
  </r>
  <r>
    <d v="2017-05-02T00:00:00"/>
    <n v="27.6"/>
    <n v="22.3"/>
    <n v="35.1"/>
    <n v="0"/>
    <s v="Normal"/>
    <s v="Normal"/>
    <s v="Normal"/>
    <s v="Normal"/>
    <x v="0"/>
    <s v="May"/>
  </r>
  <r>
    <d v="2017-05-03T00:00:00"/>
    <n v="28.1"/>
    <n v="23.3"/>
    <n v="34.200000000000003"/>
    <n v="0"/>
    <s v="Normal"/>
    <s v="Normal"/>
    <s v="Normal"/>
    <s v="Normal"/>
    <x v="0"/>
    <s v="May"/>
  </r>
  <r>
    <d v="2017-05-07T00:00:00"/>
    <n v="27.3"/>
    <n v="20.9"/>
    <n v="35.799999999999997"/>
    <n v="0"/>
    <s v="Normal"/>
    <s v="Normal"/>
    <s v="Normal"/>
    <s v="Normal"/>
    <x v="0"/>
    <s v="May"/>
  </r>
  <r>
    <d v="2017-05-08T00:00:00"/>
    <n v="26.9"/>
    <n v="20.8"/>
    <n v="37"/>
    <n v="1"/>
    <s v="Normal"/>
    <s v="Normal"/>
    <s v="Outlier"/>
    <s v="Normal"/>
    <x v="0"/>
    <s v="May"/>
  </r>
  <r>
    <d v="2017-05-09T00:00:00"/>
    <n v="26"/>
    <n v="21.9"/>
    <n v="33.200000000000003"/>
    <n v="0"/>
    <s v="Normal"/>
    <s v="Normal"/>
    <s v="Normal"/>
    <s v="Normal"/>
    <x v="0"/>
    <s v="May"/>
  </r>
  <r>
    <d v="2017-05-10T00:00:00"/>
    <n v="27"/>
    <n v="21.5"/>
    <n v="33.200000000000003"/>
    <n v="0"/>
    <s v="Normal"/>
    <s v="Normal"/>
    <s v="Normal"/>
    <s v="Normal"/>
    <x v="0"/>
    <s v="May"/>
  </r>
  <r>
    <d v="2017-05-11T00:00:00"/>
    <n v="26.9"/>
    <n v="22"/>
    <n v="34.4"/>
    <n v="0"/>
    <s v="Normal"/>
    <s v="Normal"/>
    <s v="Normal"/>
    <s v="Normal"/>
    <x v="0"/>
    <s v="May"/>
  </r>
  <r>
    <d v="2017-05-12T00:00:00"/>
    <n v="27.6"/>
    <n v="23"/>
    <n v="32.5"/>
    <n v="1.8"/>
    <s v="Normal"/>
    <s v="Normal"/>
    <s v="Normal"/>
    <s v="Normal"/>
    <x v="0"/>
    <s v="May"/>
  </r>
  <r>
    <d v="2017-05-13T00:00:00"/>
    <n v="28.1"/>
    <n v="23.8"/>
    <n v="33"/>
    <n v="0"/>
    <s v="Normal"/>
    <s v="Outlier"/>
    <s v="Normal"/>
    <s v="Normal"/>
    <x v="0"/>
    <s v="May"/>
  </r>
  <r>
    <d v="2017-05-15T00:00:00"/>
    <n v="27.1"/>
    <n v="21.8"/>
    <n v="35"/>
    <n v="2.5"/>
    <s v="Normal"/>
    <s v="Normal"/>
    <s v="Normal"/>
    <s v="Normal"/>
    <x v="0"/>
    <s v="May"/>
  </r>
  <r>
    <d v="2017-05-18T00:00:00"/>
    <n v="26"/>
    <n v="19.8"/>
    <n v="34.5"/>
    <n v="9.9"/>
    <s v="Normal"/>
    <s v="Normal"/>
    <s v="Normal"/>
    <s v="Normal"/>
    <x v="0"/>
    <s v="May"/>
  </r>
  <r>
    <d v="2017-05-19T00:00:00"/>
    <n v="26.2"/>
    <n v="19.399999999999999"/>
    <n v="35.5"/>
    <n v="20.100000000000001"/>
    <s v="Normal"/>
    <s v="Normal"/>
    <s v="Normal"/>
    <s v="Outlier"/>
    <x v="0"/>
    <s v="May"/>
  </r>
  <r>
    <d v="2017-05-20T00:00:00"/>
    <n v="26.8"/>
    <n v="20.9"/>
    <n v="34.4"/>
    <n v="0"/>
    <s v="Normal"/>
    <s v="Normal"/>
    <s v="Normal"/>
    <s v="Normal"/>
    <x v="0"/>
    <s v="May"/>
  </r>
  <r>
    <d v="2017-05-21T00:00:00"/>
    <n v="26.1"/>
    <n v="19.899999999999999"/>
    <n v="35.1"/>
    <n v="40.9"/>
    <s v="Normal"/>
    <s v="Normal"/>
    <s v="Normal"/>
    <s v="Outlier"/>
    <x v="0"/>
    <s v="May"/>
  </r>
  <r>
    <d v="2017-05-22T00:00:00"/>
    <n v="25.7"/>
    <n v="23.2"/>
    <n v="32"/>
    <n v="0"/>
    <s v="Normal"/>
    <s v="Normal"/>
    <s v="Normal"/>
    <s v="Normal"/>
    <x v="0"/>
    <s v="May"/>
  </r>
  <r>
    <d v="2017-05-23T00:00:00"/>
    <n v="26.7"/>
    <n v="19.399999999999999"/>
    <n v="32.9"/>
    <n v="28.7"/>
    <s v="Normal"/>
    <s v="Normal"/>
    <s v="Normal"/>
    <s v="Outlier"/>
    <x v="0"/>
    <s v="May"/>
  </r>
  <r>
    <d v="2017-05-24T00:00:00"/>
    <n v="26.4"/>
    <n v="20.5"/>
    <n v="33.5"/>
    <n v="13"/>
    <s v="Normal"/>
    <s v="Normal"/>
    <s v="Normal"/>
    <s v="Outlier"/>
    <x v="0"/>
    <s v="May"/>
  </r>
  <r>
    <d v="2017-05-25T00:00:00"/>
    <n v="27.6"/>
    <n v="21.9"/>
    <n v="34"/>
    <n v="0"/>
    <s v="Normal"/>
    <s v="Normal"/>
    <s v="Normal"/>
    <s v="Normal"/>
    <x v="0"/>
    <s v="May"/>
  </r>
  <r>
    <d v="2017-05-26T00:00:00"/>
    <n v="26.2"/>
    <n v="20.9"/>
    <n v="33.299999999999997"/>
    <n v="0"/>
    <s v="Normal"/>
    <s v="Normal"/>
    <s v="Normal"/>
    <s v="Normal"/>
    <x v="0"/>
    <s v="May"/>
  </r>
  <r>
    <d v="2017-05-27T00:00:00"/>
    <n v="23.1"/>
    <n v="20"/>
    <n v="33.1"/>
    <n v="83.3"/>
    <s v="Normal"/>
    <s v="Normal"/>
    <s v="Normal"/>
    <s v="Outlier"/>
    <x v="0"/>
    <s v="May"/>
  </r>
  <r>
    <d v="2017-05-28T00:00:00"/>
    <n v="24.8"/>
    <n v="20"/>
    <n v="30"/>
    <n v="39.9"/>
    <s v="Normal"/>
    <s v="Normal"/>
    <s v="Normal"/>
    <s v="Outlier"/>
    <x v="0"/>
    <s v="May"/>
  </r>
  <r>
    <d v="2017-05-29T00:00:00"/>
    <n v="25.5"/>
    <n v="21.3"/>
    <n v="29.7"/>
    <n v="0"/>
    <s v="Normal"/>
    <s v="Normal"/>
    <s v="Normal"/>
    <s v="Normal"/>
    <x v="0"/>
    <s v="May"/>
  </r>
  <r>
    <d v="2017-05-31T00:00:00"/>
    <n v="24.9"/>
    <n v="20.8"/>
    <n v="31.2"/>
    <n v="0"/>
    <s v="Normal"/>
    <s v="Normal"/>
    <s v="Normal"/>
    <s v="Normal"/>
    <x v="0"/>
    <s v="May"/>
  </r>
  <r>
    <d v="2017-06-06T00:00:00"/>
    <n v="25.8"/>
    <n v="21.8"/>
    <n v="32"/>
    <n v="0"/>
    <s v="Normal"/>
    <s v="Normal"/>
    <s v="Normal"/>
    <s v="Normal"/>
    <x v="0"/>
    <s v="May"/>
  </r>
  <r>
    <d v="2017-06-07T00:00:00"/>
    <n v="23.9"/>
    <n v="21.7"/>
    <n v="31.2"/>
    <n v="0"/>
    <s v="Normal"/>
    <s v="Normal"/>
    <s v="Normal"/>
    <s v="Normal"/>
    <x v="0"/>
    <s v="June"/>
  </r>
  <r>
    <d v="2017-06-08T00:00:00"/>
    <n v="25"/>
    <n v="21.5"/>
    <n v="28.9"/>
    <n v="0.8"/>
    <s v="Normal"/>
    <s v="Normal"/>
    <s v="Normal"/>
    <s v="Normal"/>
    <x v="0"/>
    <s v="June"/>
  </r>
  <r>
    <d v="2017-06-09T00:00:00"/>
    <n v="23.3"/>
    <n v="21.1"/>
    <n v="29.6"/>
    <n v="0"/>
    <s v="Normal"/>
    <s v="Normal"/>
    <s v="Normal"/>
    <s v="Normal"/>
    <x v="0"/>
    <s v="June"/>
  </r>
  <r>
    <d v="2017-06-10T00:00:00"/>
    <n v="23.9"/>
    <n v="20.7"/>
    <n v="28.1"/>
    <n v="8.6"/>
    <s v="Normal"/>
    <s v="Normal"/>
    <s v="Normal"/>
    <s v="Normal"/>
    <x v="0"/>
    <s v="June"/>
  </r>
  <r>
    <d v="2017-06-11T00:00:00"/>
    <n v="23.4"/>
    <n v="20.8"/>
    <n v="27.9"/>
    <n v="0"/>
    <s v="Normal"/>
    <s v="Normal"/>
    <s v="Normal"/>
    <s v="Normal"/>
    <x v="0"/>
    <s v="June"/>
  </r>
  <r>
    <d v="2017-06-12T00:00:00"/>
    <n v="22.3"/>
    <n v="20.2"/>
    <n v="28.3"/>
    <n v="1.8"/>
    <s v="Normal"/>
    <s v="Normal"/>
    <s v="Normal"/>
    <s v="Normal"/>
    <x v="0"/>
    <s v="June"/>
  </r>
  <r>
    <d v="2017-06-13T00:00:00"/>
    <n v="24.2"/>
    <n v="20.7"/>
    <n v="29.2"/>
    <n v="1"/>
    <s v="Normal"/>
    <s v="Normal"/>
    <s v="Normal"/>
    <s v="Normal"/>
    <x v="0"/>
    <s v="June"/>
  </r>
  <r>
    <d v="2017-06-14T00:00:00"/>
    <n v="25.8"/>
    <n v="22"/>
    <n v="30.9"/>
    <n v="1"/>
    <s v="Normal"/>
    <s v="Normal"/>
    <s v="Normal"/>
    <s v="Normal"/>
    <x v="0"/>
    <s v="June"/>
  </r>
  <r>
    <d v="2017-06-15T00:00:00"/>
    <n v="25.1"/>
    <n v="21.5"/>
    <n v="31.2"/>
    <n v="0"/>
    <s v="Normal"/>
    <s v="Normal"/>
    <s v="Normal"/>
    <s v="Normal"/>
    <x v="0"/>
    <s v="June"/>
  </r>
  <r>
    <d v="2017-06-17T00:00:00"/>
    <n v="23.1"/>
    <n v="19.399999999999999"/>
    <n v="28.4"/>
    <n v="23.1"/>
    <s v="Normal"/>
    <s v="Normal"/>
    <s v="Normal"/>
    <s v="Outlier"/>
    <x v="0"/>
    <s v="June"/>
  </r>
  <r>
    <d v="2017-06-18T00:00:00"/>
    <n v="23.8"/>
    <n v="20.2"/>
    <n v="29.3"/>
    <n v="0"/>
    <s v="Normal"/>
    <s v="Normal"/>
    <s v="Normal"/>
    <s v="Normal"/>
    <x v="0"/>
    <s v="June"/>
  </r>
  <r>
    <d v="2017-06-19T00:00:00"/>
    <n v="23.4"/>
    <n v="20"/>
    <n v="29"/>
    <n v="3.6"/>
    <s v="Normal"/>
    <s v="Normal"/>
    <s v="Normal"/>
    <s v="Normal"/>
    <x v="0"/>
    <s v="June"/>
  </r>
  <r>
    <d v="2017-06-20T00:00:00"/>
    <n v="24.1"/>
    <n v="21"/>
    <n v="28"/>
    <n v="0"/>
    <s v="Normal"/>
    <s v="Normal"/>
    <s v="Normal"/>
    <s v="Normal"/>
    <x v="0"/>
    <s v="June"/>
  </r>
  <r>
    <d v="2017-06-21T00:00:00"/>
    <n v="24.6"/>
    <n v="20.8"/>
    <n v="29.8"/>
    <n v="0.3"/>
    <s v="Normal"/>
    <s v="Normal"/>
    <s v="Normal"/>
    <s v="Normal"/>
    <x v="0"/>
    <s v="June"/>
  </r>
  <r>
    <d v="2017-06-22T00:00:00"/>
    <n v="24.4"/>
    <n v="20.5"/>
    <n v="29.5"/>
    <n v="0"/>
    <s v="Normal"/>
    <s v="Normal"/>
    <s v="Normal"/>
    <s v="Normal"/>
    <x v="0"/>
    <s v="June"/>
  </r>
  <r>
    <d v="2017-06-23T00:00:00"/>
    <n v="24.9"/>
    <n v="19.399999999999999"/>
    <n v="30.6"/>
    <n v="0.8"/>
    <s v="Normal"/>
    <s v="Normal"/>
    <s v="Normal"/>
    <s v="Normal"/>
    <x v="0"/>
    <s v="June"/>
  </r>
  <r>
    <d v="2017-06-24T00:00:00"/>
    <n v="24.4"/>
    <n v="21"/>
    <n v="30.5"/>
    <n v="0"/>
    <s v="Normal"/>
    <s v="Normal"/>
    <s v="Normal"/>
    <s v="Normal"/>
    <x v="0"/>
    <s v="June"/>
  </r>
  <r>
    <d v="2017-06-25T00:00:00"/>
    <n v="23.8"/>
    <n v="20.6"/>
    <n v="29.4"/>
    <n v="0"/>
    <s v="Normal"/>
    <s v="Normal"/>
    <s v="Normal"/>
    <s v="Normal"/>
    <x v="0"/>
    <s v="June"/>
  </r>
  <r>
    <d v="2017-06-26T00:00:00"/>
    <n v="24"/>
    <n v="20.399999999999999"/>
    <n v="29"/>
    <n v="0"/>
    <s v="Normal"/>
    <s v="Normal"/>
    <s v="Normal"/>
    <s v="Normal"/>
    <x v="0"/>
    <s v="June"/>
  </r>
  <r>
    <d v="2017-06-27T00:00:00"/>
    <n v="23.6"/>
    <n v="20.399999999999999"/>
    <n v="30.6"/>
    <n v="0"/>
    <s v="Normal"/>
    <s v="Normal"/>
    <s v="Normal"/>
    <s v="Normal"/>
    <x v="0"/>
    <s v="June"/>
  </r>
  <r>
    <d v="2017-06-28T00:00:00"/>
    <n v="24.3"/>
    <n v="20.3"/>
    <n v="29.8"/>
    <n v="0"/>
    <s v="Normal"/>
    <s v="Normal"/>
    <s v="Normal"/>
    <s v="Normal"/>
    <x v="0"/>
    <s v="June"/>
  </r>
  <r>
    <d v="2017-06-29T00:00:00"/>
    <n v="24.3"/>
    <n v="20.399999999999999"/>
    <n v="29.1"/>
    <n v="0"/>
    <s v="Normal"/>
    <s v="Normal"/>
    <s v="Normal"/>
    <s v="Normal"/>
    <x v="0"/>
    <s v="June"/>
  </r>
  <r>
    <d v="2017-07-01T00:00:00"/>
    <n v="24.6"/>
    <n v="19.3"/>
    <n v="29.2"/>
    <n v="0"/>
    <s v="Normal"/>
    <s v="Normal"/>
    <s v="Normal"/>
    <s v="Normal"/>
    <x v="0"/>
    <s v="June"/>
  </r>
  <r>
    <d v="2017-07-02T00:00:00"/>
    <n v="25.2"/>
    <n v="20.5"/>
    <n v="30.3"/>
    <n v="0"/>
    <s v="Normal"/>
    <s v="Normal"/>
    <s v="Normal"/>
    <s v="Normal"/>
    <x v="0"/>
    <s v="July"/>
  </r>
  <r>
    <d v="2017-07-04T00:00:00"/>
    <n v="23.7"/>
    <n v="20.399999999999999"/>
    <n v="28.7"/>
    <n v="3.8"/>
    <s v="Normal"/>
    <s v="Normal"/>
    <s v="Normal"/>
    <s v="Normal"/>
    <x v="0"/>
    <s v="July"/>
  </r>
  <r>
    <d v="2017-07-05T00:00:00"/>
    <n v="23.2"/>
    <n v="20"/>
    <n v="29.6"/>
    <n v="2.2999999999999998"/>
    <s v="Normal"/>
    <s v="Normal"/>
    <s v="Normal"/>
    <s v="Normal"/>
    <x v="0"/>
    <s v="July"/>
  </r>
  <r>
    <d v="2017-07-06T00:00:00"/>
    <n v="23.7"/>
    <n v="20.2"/>
    <n v="29.2"/>
    <n v="10.199999999999999"/>
    <s v="Normal"/>
    <s v="Normal"/>
    <s v="Normal"/>
    <s v="Normal"/>
    <x v="0"/>
    <s v="July"/>
  </r>
  <r>
    <d v="2017-07-07T00:00:00"/>
    <n v="23.2"/>
    <n v="20.5"/>
    <n v="29.3"/>
    <n v="5.0999999999999996"/>
    <s v="Normal"/>
    <s v="Normal"/>
    <s v="Normal"/>
    <s v="Normal"/>
    <x v="0"/>
    <s v="July"/>
  </r>
  <r>
    <d v="2017-07-08T00:00:00"/>
    <n v="23.3"/>
    <n v="20.399999999999999"/>
    <n v="27.4"/>
    <n v="0"/>
    <s v="Normal"/>
    <s v="Normal"/>
    <s v="Normal"/>
    <s v="Normal"/>
    <x v="0"/>
    <s v="July"/>
  </r>
  <r>
    <d v="2017-07-09T00:00:00"/>
    <n v="24.5"/>
    <n v="20.2"/>
    <n v="30.3"/>
    <n v="0"/>
    <s v="Normal"/>
    <s v="Normal"/>
    <s v="Normal"/>
    <s v="Normal"/>
    <x v="0"/>
    <s v="July"/>
  </r>
  <r>
    <d v="2017-07-12T00:00:00"/>
    <n v="23.7"/>
    <n v="21"/>
    <n v="29.5"/>
    <n v="0"/>
    <s v="Normal"/>
    <s v="Normal"/>
    <s v="Normal"/>
    <s v="Normal"/>
    <x v="0"/>
    <s v="July"/>
  </r>
  <r>
    <d v="2017-07-13T00:00:00"/>
    <n v="22.8"/>
    <n v="20"/>
    <n v="28.5"/>
    <n v="1.5"/>
    <s v="Normal"/>
    <s v="Normal"/>
    <s v="Normal"/>
    <s v="Normal"/>
    <x v="0"/>
    <s v="July"/>
  </r>
  <r>
    <d v="2017-07-14T00:00:00"/>
    <n v="22.9"/>
    <n v="20"/>
    <n v="25.9"/>
    <n v="0"/>
    <s v="Normal"/>
    <s v="Normal"/>
    <s v="Normal"/>
    <s v="Normal"/>
    <x v="0"/>
    <s v="July"/>
  </r>
  <r>
    <d v="2017-07-15T00:00:00"/>
    <n v="22.2"/>
    <n v="20.2"/>
    <n v="27.2"/>
    <n v="0"/>
    <s v="Normal"/>
    <s v="Normal"/>
    <s v="Normal"/>
    <s v="Normal"/>
    <x v="0"/>
    <s v="July"/>
  </r>
  <r>
    <d v="2017-07-16T00:00:00"/>
    <n v="23.2"/>
    <n v="19.7"/>
    <n v="28.4"/>
    <n v="0"/>
    <s v="Normal"/>
    <s v="Normal"/>
    <s v="Normal"/>
    <s v="Normal"/>
    <x v="0"/>
    <s v="July"/>
  </r>
  <r>
    <d v="2017-07-17T00:00:00"/>
    <n v="23.8"/>
    <n v="20"/>
    <n v="28.8"/>
    <n v="0"/>
    <s v="Normal"/>
    <s v="Normal"/>
    <s v="Normal"/>
    <s v="Normal"/>
    <x v="0"/>
    <s v="July"/>
  </r>
  <r>
    <d v="2017-07-18T00:00:00"/>
    <n v="22.8"/>
    <n v="20.7"/>
    <n v="28.3"/>
    <n v="0"/>
    <s v="Normal"/>
    <s v="Normal"/>
    <s v="Normal"/>
    <s v="Normal"/>
    <x v="0"/>
    <s v="July"/>
  </r>
  <r>
    <d v="2017-07-19T00:00:00"/>
    <n v="22.2"/>
    <n v="20.6"/>
    <n v="26.6"/>
    <n v="0"/>
    <s v="Normal"/>
    <s v="Normal"/>
    <s v="Normal"/>
    <s v="Normal"/>
    <x v="0"/>
    <s v="July"/>
  </r>
  <r>
    <d v="2017-07-20T00:00:00"/>
    <n v="23.6"/>
    <n v="20.6"/>
    <n v="29.1"/>
    <n v="9.4"/>
    <s v="Normal"/>
    <s v="Normal"/>
    <s v="Normal"/>
    <s v="Normal"/>
    <x v="0"/>
    <s v="July"/>
  </r>
  <r>
    <d v="2017-07-21T00:00:00"/>
    <n v="23.8"/>
    <n v="19.7"/>
    <n v="28.7"/>
    <n v="0.8"/>
    <s v="Normal"/>
    <s v="Normal"/>
    <s v="Normal"/>
    <s v="Normal"/>
    <x v="0"/>
    <s v="July"/>
  </r>
  <r>
    <d v="2017-07-22T00:00:00"/>
    <n v="24.8"/>
    <n v="20"/>
    <n v="30.8"/>
    <n v="0"/>
    <s v="Normal"/>
    <s v="Normal"/>
    <s v="Normal"/>
    <s v="Normal"/>
    <x v="0"/>
    <s v="July"/>
  </r>
  <r>
    <d v="2017-07-25T00:00:00"/>
    <n v="25.2"/>
    <n v="20.5"/>
    <n v="30.3"/>
    <n v="0"/>
    <s v="Normal"/>
    <s v="Normal"/>
    <s v="Normal"/>
    <s v="Normal"/>
    <x v="0"/>
    <s v="July"/>
  </r>
  <r>
    <d v="2017-07-26T00:00:00"/>
    <n v="25.4"/>
    <n v="20.5"/>
    <n v="30.5"/>
    <n v="0"/>
    <s v="Normal"/>
    <s v="Normal"/>
    <s v="Normal"/>
    <s v="Normal"/>
    <x v="0"/>
    <s v="July"/>
  </r>
  <r>
    <d v="2017-07-28T00:00:00"/>
    <n v="24.7"/>
    <n v="21"/>
    <n v="31.1"/>
    <n v="11.9"/>
    <s v="Normal"/>
    <s v="Normal"/>
    <s v="Normal"/>
    <s v="Outlier"/>
    <x v="0"/>
    <s v="July"/>
  </r>
  <r>
    <d v="2017-07-29T00:00:00"/>
    <n v="24.7"/>
    <n v="20.6"/>
    <n v="31.3"/>
    <n v="10.7"/>
    <s v="Normal"/>
    <s v="Normal"/>
    <s v="Normal"/>
    <s v="Outlier"/>
    <x v="0"/>
    <s v="July"/>
  </r>
  <r>
    <d v="2017-07-30T00:00:00"/>
    <n v="25.2"/>
    <n v="21.3"/>
    <n v="30.7"/>
    <n v="0"/>
    <s v="Normal"/>
    <s v="Normal"/>
    <s v="Normal"/>
    <s v="Normal"/>
    <x v="0"/>
    <s v="July"/>
  </r>
  <r>
    <d v="2017-07-31T00:00:00"/>
    <n v="24.9"/>
    <n v="22"/>
    <n v="30.7"/>
    <n v="1.3"/>
    <s v="Normal"/>
    <s v="Normal"/>
    <s v="Normal"/>
    <s v="Normal"/>
    <x v="0"/>
    <s v="July"/>
  </r>
  <r>
    <d v="2017-08-01T00:00:00"/>
    <n v="25.2"/>
    <n v="21.4"/>
    <n v="30.5"/>
    <n v="8.4"/>
    <s v="Normal"/>
    <s v="Normal"/>
    <s v="Normal"/>
    <s v="Normal"/>
    <x v="0"/>
    <s v="July"/>
  </r>
  <r>
    <d v="2017-08-02T00:00:00"/>
    <n v="25.1"/>
    <n v="21.6"/>
    <n v="31.5"/>
    <n v="1.8"/>
    <s v="Normal"/>
    <s v="Normal"/>
    <s v="Normal"/>
    <s v="Normal"/>
    <x v="0"/>
    <s v="August"/>
  </r>
  <r>
    <d v="2017-08-03T00:00:00"/>
    <n v="24.3"/>
    <n v="20.3"/>
    <n v="31.2"/>
    <n v="0"/>
    <s v="Normal"/>
    <s v="Normal"/>
    <s v="Normal"/>
    <s v="Normal"/>
    <x v="0"/>
    <s v="August"/>
  </r>
  <r>
    <d v="2017-08-04T00:00:00"/>
    <n v="23.8"/>
    <n v="20.3"/>
    <n v="29.5"/>
    <n v="0"/>
    <s v="Normal"/>
    <s v="Normal"/>
    <s v="Normal"/>
    <s v="Normal"/>
    <x v="0"/>
    <s v="August"/>
  </r>
  <r>
    <d v="2017-08-05T00:00:00"/>
    <n v="24.4"/>
    <n v="21.3"/>
    <n v="29.5"/>
    <n v="0"/>
    <s v="Normal"/>
    <s v="Normal"/>
    <s v="Normal"/>
    <s v="Normal"/>
    <x v="0"/>
    <s v="August"/>
  </r>
  <r>
    <d v="2017-08-06T00:00:00"/>
    <n v="24.8"/>
    <n v="21.3"/>
    <n v="29.5"/>
    <n v="0"/>
    <s v="Normal"/>
    <s v="Normal"/>
    <s v="Normal"/>
    <s v="Normal"/>
    <x v="0"/>
    <s v="August"/>
  </r>
  <r>
    <d v="2017-08-07T00:00:00"/>
    <n v="25.7"/>
    <n v="21.2"/>
    <n v="30.2"/>
    <n v="0"/>
    <s v="Normal"/>
    <s v="Normal"/>
    <s v="Normal"/>
    <s v="Normal"/>
    <x v="0"/>
    <s v="August"/>
  </r>
  <r>
    <d v="2017-08-09T00:00:00"/>
    <n v="23.7"/>
    <n v="21.9"/>
    <n v="31.3"/>
    <n v="1"/>
    <s v="Normal"/>
    <s v="Normal"/>
    <s v="Normal"/>
    <s v="Normal"/>
    <x v="0"/>
    <s v="August"/>
  </r>
  <r>
    <d v="2017-08-10T00:00:00"/>
    <n v="23.9"/>
    <n v="20.7"/>
    <n v="27.5"/>
    <n v="13"/>
    <s v="Normal"/>
    <s v="Normal"/>
    <s v="Normal"/>
    <s v="Outlier"/>
    <x v="0"/>
    <s v="August"/>
  </r>
  <r>
    <d v="2017-08-11T00:00:00"/>
    <n v="23.5"/>
    <n v="19.8"/>
    <n v="28"/>
    <n v="4.0999999999999996"/>
    <s v="Normal"/>
    <s v="Normal"/>
    <s v="Normal"/>
    <s v="Normal"/>
    <x v="0"/>
    <s v="August"/>
  </r>
  <r>
    <d v="2017-08-12T00:00:00"/>
    <n v="23.6"/>
    <n v="20.5"/>
    <n v="28.2"/>
    <n v="16.5"/>
    <s v="Normal"/>
    <s v="Normal"/>
    <s v="Normal"/>
    <s v="Outlier"/>
    <x v="0"/>
    <s v="August"/>
  </r>
  <r>
    <d v="2017-08-13T00:00:00"/>
    <n v="23.3"/>
    <n v="21.2"/>
    <n v="27.6"/>
    <n v="0"/>
    <s v="Normal"/>
    <s v="Normal"/>
    <s v="Normal"/>
    <s v="Normal"/>
    <x v="0"/>
    <s v="August"/>
  </r>
  <r>
    <d v="2017-08-14T00:00:00"/>
    <n v="24.7"/>
    <n v="21.6"/>
    <n v="28.8"/>
    <n v="0"/>
    <s v="Normal"/>
    <s v="Normal"/>
    <s v="Normal"/>
    <s v="Normal"/>
    <x v="0"/>
    <s v="August"/>
  </r>
  <r>
    <d v="2017-08-15T00:00:00"/>
    <n v="22.6"/>
    <n v="19.2"/>
    <n v="28.3"/>
    <n v="128.80000000000001"/>
    <s v="Normal"/>
    <s v="Normal"/>
    <s v="Normal"/>
    <s v="Outlier"/>
    <x v="0"/>
    <s v="August"/>
  </r>
  <r>
    <d v="2017-08-16T00:00:00"/>
    <n v="23"/>
    <n v="20"/>
    <n v="27.4"/>
    <n v="30.5"/>
    <s v="Normal"/>
    <s v="Normal"/>
    <s v="Normal"/>
    <s v="Outlier"/>
    <x v="0"/>
    <s v="August"/>
  </r>
  <r>
    <d v="2017-08-17T00:00:00"/>
    <n v="23.2"/>
    <n v="19.8"/>
    <n v="28.5"/>
    <n v="26.4"/>
    <s v="Normal"/>
    <s v="Normal"/>
    <s v="Normal"/>
    <s v="Outlier"/>
    <x v="0"/>
    <s v="August"/>
  </r>
  <r>
    <d v="2017-08-18T00:00:00"/>
    <n v="23.2"/>
    <n v="20.399999999999999"/>
    <n v="29.2"/>
    <n v="7.9"/>
    <s v="Normal"/>
    <s v="Normal"/>
    <s v="Normal"/>
    <s v="Normal"/>
    <x v="0"/>
    <s v="August"/>
  </r>
  <r>
    <d v="2017-08-19T00:00:00"/>
    <n v="22.6"/>
    <n v="20.3"/>
    <n v="28.9"/>
    <n v="5.3"/>
    <s v="Normal"/>
    <s v="Normal"/>
    <s v="Normal"/>
    <s v="Normal"/>
    <x v="0"/>
    <s v="August"/>
  </r>
  <r>
    <d v="2017-08-20T00:00:00"/>
    <n v="22.3"/>
    <n v="20.3"/>
    <n v="28.6"/>
    <n v="13.2"/>
    <s v="Normal"/>
    <s v="Normal"/>
    <s v="Normal"/>
    <s v="Outlier"/>
    <x v="0"/>
    <s v="August"/>
  </r>
  <r>
    <d v="2017-08-21T00:00:00"/>
    <n v="23.6"/>
    <n v="20.3"/>
    <n v="28.8"/>
    <n v="3.3"/>
    <s v="Normal"/>
    <s v="Normal"/>
    <s v="Normal"/>
    <s v="Normal"/>
    <x v="0"/>
    <s v="August"/>
  </r>
  <r>
    <d v="2017-08-22T00:00:00"/>
    <n v="23.4"/>
    <n v="20.2"/>
    <n v="28"/>
    <n v="0"/>
    <s v="Normal"/>
    <s v="Normal"/>
    <s v="Normal"/>
    <s v="Normal"/>
    <x v="0"/>
    <s v="August"/>
  </r>
  <r>
    <d v="2017-08-23T00:00:00"/>
    <n v="24"/>
    <n v="20.6"/>
    <n v="28"/>
    <n v="10.9"/>
    <s v="Normal"/>
    <s v="Normal"/>
    <s v="Normal"/>
    <s v="Outlier"/>
    <x v="0"/>
    <s v="August"/>
  </r>
  <r>
    <d v="2017-08-24T00:00:00"/>
    <n v="23"/>
    <n v="20.6"/>
    <n v="28.6"/>
    <n v="42.4"/>
    <s v="Normal"/>
    <s v="Normal"/>
    <s v="Normal"/>
    <s v="Outlier"/>
    <x v="0"/>
    <s v="August"/>
  </r>
  <r>
    <d v="2017-08-25T00:00:00"/>
    <n v="22.8"/>
    <n v="20.5"/>
    <n v="26.8"/>
    <n v="31.8"/>
    <s v="Normal"/>
    <s v="Normal"/>
    <s v="Normal"/>
    <s v="Outlier"/>
    <x v="0"/>
    <s v="August"/>
  </r>
  <r>
    <d v="2017-08-26T00:00:00"/>
    <n v="23.8"/>
    <n v="20.8"/>
    <n v="29.8"/>
    <n v="0.3"/>
    <s v="Normal"/>
    <s v="Normal"/>
    <s v="Normal"/>
    <s v="Normal"/>
    <x v="0"/>
    <s v="August"/>
  </r>
  <r>
    <d v="2017-08-27T00:00:00"/>
    <n v="22.3"/>
    <n v="21"/>
    <n v="28.5"/>
    <n v="0.3"/>
    <s v="Normal"/>
    <s v="Normal"/>
    <s v="Normal"/>
    <s v="Normal"/>
    <x v="0"/>
    <s v="August"/>
  </r>
  <r>
    <d v="2017-08-28T00:00:00"/>
    <n v="22.8"/>
    <n v="20.5"/>
    <n v="26.5"/>
    <n v="6.1"/>
    <s v="Normal"/>
    <s v="Normal"/>
    <s v="Normal"/>
    <s v="Normal"/>
    <x v="0"/>
    <s v="August"/>
  </r>
  <r>
    <d v="2017-08-29T00:00:00"/>
    <n v="22.4"/>
    <n v="20.5"/>
    <n v="26.2"/>
    <n v="0"/>
    <s v="Normal"/>
    <s v="Normal"/>
    <s v="Normal"/>
    <s v="Normal"/>
    <x v="0"/>
    <s v="August"/>
  </r>
  <r>
    <d v="2017-08-30T00:00:00"/>
    <n v="24.5"/>
    <n v="21.1"/>
    <n v="29.7"/>
    <n v="0"/>
    <s v="Normal"/>
    <s v="Normal"/>
    <s v="Normal"/>
    <s v="Normal"/>
    <x v="0"/>
    <s v="August"/>
  </r>
  <r>
    <d v="2017-08-31T00:00:00"/>
    <n v="24.8"/>
    <n v="21"/>
    <n v="29.9"/>
    <n v="0"/>
    <s v="Normal"/>
    <s v="Normal"/>
    <s v="Normal"/>
    <s v="Normal"/>
    <x v="0"/>
    <s v="August"/>
  </r>
  <r>
    <d v="2017-09-01T00:00:00"/>
    <n v="23.7"/>
    <n v="19.8"/>
    <n v="30.6"/>
    <n v="71.900000000000006"/>
    <s v="Normal"/>
    <s v="Normal"/>
    <s v="Normal"/>
    <s v="Outlier"/>
    <x v="0"/>
    <s v="August"/>
  </r>
  <r>
    <d v="2017-09-02T00:00:00"/>
    <n v="22.5"/>
    <n v="20.8"/>
    <n v="27.8"/>
    <n v="33"/>
    <s v="Normal"/>
    <s v="Normal"/>
    <s v="Normal"/>
    <s v="Outlier"/>
    <x v="0"/>
    <s v="September"/>
  </r>
  <r>
    <d v="2017-09-03T00:00:00"/>
    <n v="23.2"/>
    <n v="19.899999999999999"/>
    <n v="27.3"/>
    <n v="21.8"/>
    <s v="Normal"/>
    <s v="Normal"/>
    <s v="Normal"/>
    <s v="Outlier"/>
    <x v="0"/>
    <s v="September"/>
  </r>
  <r>
    <d v="2017-09-04T00:00:00"/>
    <n v="24.7"/>
    <n v="18.7"/>
    <n v="29.8"/>
    <n v="56.9"/>
    <s v="Normal"/>
    <s v="Normal"/>
    <s v="Normal"/>
    <s v="Outlier"/>
    <x v="0"/>
    <s v="September"/>
  </r>
  <r>
    <d v="2017-09-05T00:00:00"/>
    <n v="24.8"/>
    <n v="19.899999999999999"/>
    <n v="30.2"/>
    <n v="2.5"/>
    <s v="Normal"/>
    <s v="Normal"/>
    <s v="Normal"/>
    <s v="Normal"/>
    <x v="0"/>
    <s v="September"/>
  </r>
  <r>
    <d v="2017-09-06T00:00:00"/>
    <n v="23"/>
    <n v="19.8"/>
    <n v="29.8"/>
    <n v="15.5"/>
    <s v="Normal"/>
    <s v="Normal"/>
    <s v="Normal"/>
    <s v="Outlier"/>
    <x v="0"/>
    <s v="September"/>
  </r>
  <r>
    <d v="2017-09-07T00:00:00"/>
    <n v="24.1"/>
    <n v="21.3"/>
    <n v="28.5"/>
    <n v="6.6"/>
    <s v="Normal"/>
    <s v="Normal"/>
    <s v="Normal"/>
    <s v="Normal"/>
    <x v="0"/>
    <s v="September"/>
  </r>
  <r>
    <d v="2017-09-08T00:00:00"/>
    <n v="23.2"/>
    <n v="19.8"/>
    <n v="29.3"/>
    <n v="1.3"/>
    <s v="Normal"/>
    <s v="Normal"/>
    <s v="Normal"/>
    <s v="Normal"/>
    <x v="0"/>
    <s v="September"/>
  </r>
  <r>
    <d v="2017-09-09T00:00:00"/>
    <n v="23.6"/>
    <n v="20"/>
    <n v="28.2"/>
    <n v="68.3"/>
    <s v="Normal"/>
    <s v="Normal"/>
    <s v="Normal"/>
    <s v="Outlier"/>
    <x v="0"/>
    <s v="September"/>
  </r>
  <r>
    <d v="2017-09-10T00:00:00"/>
    <n v="24.1"/>
    <n v="20.3"/>
    <n v="28"/>
    <n v="66"/>
    <s v="Normal"/>
    <s v="Normal"/>
    <s v="Normal"/>
    <s v="Outlier"/>
    <x v="0"/>
    <s v="September"/>
  </r>
  <r>
    <d v="2017-09-11T00:00:00"/>
    <n v="24.8"/>
    <n v="21.9"/>
    <n v="27.8"/>
    <n v="0"/>
    <s v="Normal"/>
    <s v="Normal"/>
    <s v="Normal"/>
    <s v="Normal"/>
    <x v="0"/>
    <s v="September"/>
  </r>
  <r>
    <d v="2017-09-15T00:00:00"/>
    <n v="23.7"/>
    <n v="21"/>
    <n v="31.1"/>
    <n v="2.2999999999999998"/>
    <s v="Normal"/>
    <s v="Normal"/>
    <s v="Normal"/>
    <s v="Normal"/>
    <x v="0"/>
    <s v="September"/>
  </r>
  <r>
    <d v="2017-09-16T00:00:00"/>
    <n v="23.7"/>
    <n v="20.8"/>
    <n v="29.4"/>
    <n v="0"/>
    <s v="Normal"/>
    <s v="Normal"/>
    <s v="Normal"/>
    <s v="Normal"/>
    <x v="0"/>
    <s v="September"/>
  </r>
  <r>
    <d v="2017-09-17T00:00:00"/>
    <n v="21.3"/>
    <n v="19.8"/>
    <n v="29.4"/>
    <n v="17.3"/>
    <s v="Normal"/>
    <s v="Normal"/>
    <s v="Normal"/>
    <s v="Outlier"/>
    <x v="0"/>
    <s v="September"/>
  </r>
  <r>
    <d v="2017-09-18T00:00:00"/>
    <n v="22.6"/>
    <n v="19.3"/>
    <n v="27.3"/>
    <n v="0.5"/>
    <s v="Normal"/>
    <s v="Normal"/>
    <s v="Normal"/>
    <s v="Normal"/>
    <x v="0"/>
    <s v="September"/>
  </r>
  <r>
    <d v="2017-09-19T00:00:00"/>
    <n v="23.1"/>
    <n v="20.399999999999999"/>
    <n v="28.3"/>
    <n v="0"/>
    <s v="Normal"/>
    <s v="Normal"/>
    <s v="Normal"/>
    <s v="Normal"/>
    <x v="0"/>
    <s v="September"/>
  </r>
  <r>
    <d v="2017-09-20T00:00:00"/>
    <n v="23.2"/>
    <n v="19.399999999999999"/>
    <n v="28.8"/>
    <n v="0"/>
    <s v="Normal"/>
    <s v="Normal"/>
    <s v="Normal"/>
    <s v="Normal"/>
    <x v="0"/>
    <s v="September"/>
  </r>
  <r>
    <d v="2017-09-22T00:00:00"/>
    <n v="24.3"/>
    <n v="20.5"/>
    <n v="28.4"/>
    <n v="0"/>
    <s v="Normal"/>
    <s v="Normal"/>
    <s v="Normal"/>
    <s v="Normal"/>
    <x v="0"/>
    <s v="September"/>
  </r>
  <r>
    <d v="2017-09-23T00:00:00"/>
    <n v="25.6"/>
    <n v="20.6"/>
    <n v="29.4"/>
    <n v="0"/>
    <s v="Normal"/>
    <s v="Normal"/>
    <s v="Normal"/>
    <s v="Normal"/>
    <x v="0"/>
    <s v="September"/>
  </r>
  <r>
    <d v="2017-09-24T00:00:00"/>
    <n v="24.2"/>
    <n v="20.9"/>
    <n v="30.5"/>
    <n v="0"/>
    <s v="Normal"/>
    <s v="Normal"/>
    <s v="Normal"/>
    <s v="Normal"/>
    <x v="0"/>
    <s v="September"/>
  </r>
  <r>
    <d v="2017-09-25T00:00:00"/>
    <n v="22.8"/>
    <n v="19.399999999999999"/>
    <n v="29"/>
    <n v="54.4"/>
    <s v="Normal"/>
    <s v="Normal"/>
    <s v="Normal"/>
    <s v="Outlier"/>
    <x v="0"/>
    <s v="September"/>
  </r>
  <r>
    <d v="2017-09-26T00:00:00"/>
    <n v="23.8"/>
    <n v="19.8"/>
    <n v="27.6"/>
    <n v="9.1"/>
    <s v="Normal"/>
    <s v="Normal"/>
    <s v="Normal"/>
    <s v="Normal"/>
    <x v="0"/>
    <s v="September"/>
  </r>
  <r>
    <d v="2017-09-27T00:00:00"/>
    <n v="21.9"/>
    <n v="20"/>
    <n v="28.1"/>
    <n v="55.9"/>
    <s v="Normal"/>
    <s v="Normal"/>
    <s v="Normal"/>
    <s v="Outlier"/>
    <x v="0"/>
    <s v="September"/>
  </r>
  <r>
    <d v="2017-09-28T00:00:00"/>
    <n v="22.5"/>
    <n v="19.399999999999999"/>
    <n v="26.8"/>
    <n v="1.8"/>
    <s v="Normal"/>
    <s v="Normal"/>
    <s v="Normal"/>
    <s v="Normal"/>
    <x v="0"/>
    <s v="September"/>
  </r>
  <r>
    <d v="2017-09-29T00:00:00"/>
    <n v="22.7"/>
    <n v="20.3"/>
    <n v="26.2"/>
    <n v="0.5"/>
    <s v="Normal"/>
    <s v="Normal"/>
    <s v="Normal"/>
    <s v="Normal"/>
    <x v="0"/>
    <s v="September"/>
  </r>
  <r>
    <d v="2017-09-30T00:00:00"/>
    <n v="22.7"/>
    <n v="20.399999999999999"/>
    <n v="27"/>
    <n v="15.2"/>
    <s v="Normal"/>
    <s v="Normal"/>
    <s v="Normal"/>
    <s v="Outlier"/>
    <x v="0"/>
    <s v="September"/>
  </r>
  <r>
    <d v="2017-10-01T00:00:00"/>
    <n v="23.1"/>
    <n v="20.3"/>
    <n v="28.6"/>
    <n v="0.5"/>
    <s v="Normal"/>
    <s v="Normal"/>
    <s v="Normal"/>
    <s v="Normal"/>
    <x v="0"/>
    <s v="September"/>
  </r>
  <r>
    <d v="2017-10-02T00:00:00"/>
    <n v="23.3"/>
    <n v="19.399999999999999"/>
    <n v="28.4"/>
    <n v="46"/>
    <s v="Normal"/>
    <s v="Normal"/>
    <s v="Normal"/>
    <s v="Outlier"/>
    <x v="0"/>
    <s v="October"/>
  </r>
  <r>
    <d v="2017-10-03T00:00:00"/>
    <n v="24.9"/>
    <n v="20.6"/>
    <n v="28.8"/>
    <n v="0"/>
    <s v="Normal"/>
    <s v="Normal"/>
    <s v="Normal"/>
    <s v="Normal"/>
    <x v="0"/>
    <s v="October"/>
  </r>
  <r>
    <d v="2017-10-04T00:00:00"/>
    <n v="24.3"/>
    <n v="20.5"/>
    <n v="29.3"/>
    <n v="0"/>
    <s v="Normal"/>
    <s v="Normal"/>
    <s v="Normal"/>
    <s v="Normal"/>
    <x v="0"/>
    <s v="October"/>
  </r>
  <r>
    <d v="2017-10-05T00:00:00"/>
    <n v="22"/>
    <n v="20.100000000000001"/>
    <n v="29.6"/>
    <n v="18.5"/>
    <s v="Normal"/>
    <s v="Normal"/>
    <s v="Normal"/>
    <s v="Outlier"/>
    <x v="0"/>
    <s v="October"/>
  </r>
  <r>
    <d v="2017-10-06T00:00:00"/>
    <n v="23.1"/>
    <n v="20.7"/>
    <n v="28.8"/>
    <n v="76.7"/>
    <s v="Normal"/>
    <s v="Normal"/>
    <s v="Normal"/>
    <s v="Outlier"/>
    <x v="0"/>
    <s v="October"/>
  </r>
  <r>
    <d v="2017-10-07T00:00:00"/>
    <n v="23.7"/>
    <n v="21.2"/>
    <n v="29"/>
    <n v="14.5"/>
    <s v="Normal"/>
    <s v="Normal"/>
    <s v="Normal"/>
    <s v="Outlier"/>
    <x v="0"/>
    <s v="October"/>
  </r>
  <r>
    <d v="2017-10-08T00:00:00"/>
    <n v="24.6"/>
    <n v="21.3"/>
    <n v="28.8"/>
    <n v="48"/>
    <s v="Normal"/>
    <s v="Normal"/>
    <s v="Normal"/>
    <s v="Outlier"/>
    <x v="0"/>
    <s v="October"/>
  </r>
  <r>
    <d v="2017-10-09T00:00:00"/>
    <n v="24.8"/>
    <n v="21.5"/>
    <n v="29"/>
    <n v="2"/>
    <s v="Normal"/>
    <s v="Normal"/>
    <s v="Normal"/>
    <s v="Normal"/>
    <x v="0"/>
    <s v="October"/>
  </r>
  <r>
    <d v="2017-10-10T00:00:00"/>
    <n v="24.5"/>
    <n v="19.600000000000001"/>
    <n v="29.3"/>
    <n v="9.1"/>
    <s v="Normal"/>
    <s v="Normal"/>
    <s v="Normal"/>
    <s v="Normal"/>
    <x v="0"/>
    <s v="October"/>
  </r>
  <r>
    <d v="2017-10-11T00:00:00"/>
    <n v="23.8"/>
    <n v="20.2"/>
    <n v="29.9"/>
    <n v="5.3"/>
    <s v="Normal"/>
    <s v="Normal"/>
    <s v="Normal"/>
    <s v="Normal"/>
    <x v="0"/>
    <s v="October"/>
  </r>
  <r>
    <d v="2017-10-12T00:00:00"/>
    <n v="23.2"/>
    <n v="20.5"/>
    <n v="30.7"/>
    <n v="22.4"/>
    <s v="Normal"/>
    <s v="Normal"/>
    <s v="Normal"/>
    <s v="Outlier"/>
    <x v="0"/>
    <s v="October"/>
  </r>
  <r>
    <d v="2017-10-13T00:00:00"/>
    <n v="22.9"/>
    <n v="20.5"/>
    <n v="27.5"/>
    <n v="68.099999999999994"/>
    <s v="Normal"/>
    <s v="Normal"/>
    <s v="Normal"/>
    <s v="Outlier"/>
    <x v="0"/>
    <s v="October"/>
  </r>
  <r>
    <d v="2017-10-14T00:00:00"/>
    <n v="22.1"/>
    <n v="20.399999999999999"/>
    <n v="27.6"/>
    <n v="34"/>
    <s v="Normal"/>
    <s v="Normal"/>
    <s v="Normal"/>
    <s v="Outlier"/>
    <x v="0"/>
    <s v="October"/>
  </r>
  <r>
    <d v="2017-10-15T00:00:00"/>
    <n v="22.3"/>
    <n v="19.600000000000001"/>
    <n v="26.8"/>
    <n v="40.4"/>
    <s v="Normal"/>
    <s v="Normal"/>
    <s v="Normal"/>
    <s v="Outlier"/>
    <x v="0"/>
    <s v="October"/>
  </r>
  <r>
    <d v="2017-10-16T00:00:00"/>
    <n v="22.4"/>
    <n v="19.8"/>
    <n v="26"/>
    <n v="0"/>
    <s v="Normal"/>
    <s v="Normal"/>
    <s v="Normal"/>
    <s v="Normal"/>
    <x v="0"/>
    <s v="October"/>
  </r>
  <r>
    <d v="2017-10-17T00:00:00"/>
    <n v="23.1"/>
    <n v="20.9"/>
    <n v="26.8"/>
    <n v="0"/>
    <s v="Normal"/>
    <s v="Normal"/>
    <s v="Normal"/>
    <s v="Normal"/>
    <x v="0"/>
    <s v="October"/>
  </r>
  <r>
    <d v="2017-10-19T00:00:00"/>
    <n v="23.7"/>
    <n v="20.100000000000001"/>
    <n v="29.8"/>
    <n v="0"/>
    <s v="Normal"/>
    <s v="Normal"/>
    <s v="Normal"/>
    <s v="Normal"/>
    <x v="0"/>
    <s v="October"/>
  </r>
  <r>
    <d v="2017-10-27T00:00:00"/>
    <n v="23.9"/>
    <n v="20.2"/>
    <n v="28.1"/>
    <n v="0"/>
    <s v="Normal"/>
    <s v="Normal"/>
    <s v="Normal"/>
    <s v="Normal"/>
    <x v="0"/>
    <s v="October"/>
  </r>
  <r>
    <d v="2017-10-28T00:00:00"/>
    <n v="23.9"/>
    <n v="19.8"/>
    <n v="30"/>
    <n v="0"/>
    <s v="Normal"/>
    <s v="Normal"/>
    <s v="Normal"/>
    <s v="Normal"/>
    <x v="0"/>
    <s v="October"/>
  </r>
  <r>
    <d v="2017-10-31T00:00:00"/>
    <n v="22.2"/>
    <n v="19.399999999999999"/>
    <n v="26.7"/>
    <n v="0"/>
    <s v="Normal"/>
    <s v="Normal"/>
    <s v="Normal"/>
    <s v="Normal"/>
    <x v="0"/>
    <s v="October"/>
  </r>
  <r>
    <d v="2017-11-01T00:00:00"/>
    <n v="21.7"/>
    <n v="19.899999999999999"/>
    <n v="25"/>
    <n v="0"/>
    <s v="Normal"/>
    <s v="Normal"/>
    <s v="Normal"/>
    <s v="Normal"/>
    <x v="0"/>
    <s v="October"/>
  </r>
  <r>
    <d v="2017-11-02T00:00:00"/>
    <n v="22.9"/>
    <n v="18.8"/>
    <n v="26.8"/>
    <n v="0.3"/>
    <s v="Normal"/>
    <s v="Normal"/>
    <s v="Normal"/>
    <s v="Normal"/>
    <x v="0"/>
    <s v="November"/>
  </r>
  <r>
    <d v="2017-11-03T00:00:00"/>
    <n v="23.2"/>
    <n v="19.3"/>
    <n v="27.8"/>
    <n v="0"/>
    <s v="Normal"/>
    <s v="Normal"/>
    <s v="Normal"/>
    <s v="Normal"/>
    <x v="0"/>
    <s v="November"/>
  </r>
  <r>
    <d v="2017-11-05T00:00:00"/>
    <n v="21.5"/>
    <n v="19.3"/>
    <n v="25.6"/>
    <n v="2"/>
    <s v="Normal"/>
    <s v="Normal"/>
    <s v="Normal"/>
    <s v="Normal"/>
    <x v="0"/>
    <s v="November"/>
  </r>
  <r>
    <d v="2017-11-06T00:00:00"/>
    <n v="21.7"/>
    <n v="19.7"/>
    <n v="25.4"/>
    <n v="3.3"/>
    <s v="Normal"/>
    <s v="Normal"/>
    <s v="Normal"/>
    <s v="Normal"/>
    <x v="0"/>
    <s v="November"/>
  </r>
  <r>
    <d v="2017-11-07T00:00:00"/>
    <n v="21.5"/>
    <n v="18.899999999999999"/>
    <n v="25.6"/>
    <n v="1.5"/>
    <s v="Normal"/>
    <s v="Normal"/>
    <s v="Normal"/>
    <s v="Normal"/>
    <x v="0"/>
    <s v="November"/>
  </r>
  <r>
    <d v="2017-11-08T00:00:00"/>
    <n v="22"/>
    <n v="18.3"/>
    <n v="26"/>
    <n v="13.5"/>
    <s v="Normal"/>
    <s v="Normal"/>
    <s v="Normal"/>
    <s v="Outlier"/>
    <x v="0"/>
    <s v="November"/>
  </r>
  <r>
    <d v="2017-11-09T00:00:00"/>
    <n v="22.5"/>
    <n v="18.600000000000001"/>
    <n v="27"/>
    <n v="0"/>
    <s v="Normal"/>
    <s v="Normal"/>
    <s v="Normal"/>
    <s v="Normal"/>
    <x v="0"/>
    <s v="November"/>
  </r>
  <r>
    <d v="2017-11-17T00:00:00"/>
    <n v="23.8"/>
    <n v="21.3"/>
    <n v="29.2"/>
    <n v="0"/>
    <s v="Normal"/>
    <s v="Normal"/>
    <s v="Normal"/>
    <s v="Normal"/>
    <x v="0"/>
    <s v="November"/>
  </r>
  <r>
    <d v="2017-11-30T00:00:00"/>
    <n v="21.3"/>
    <n v="19.3"/>
    <n v="27.6"/>
    <n v="0"/>
    <s v="Normal"/>
    <s v="Normal"/>
    <s v="Normal"/>
    <s v="Normal"/>
    <x v="0"/>
    <s v="November"/>
  </r>
  <r>
    <d v="2017-12-01T00:00:00"/>
    <n v="19.8"/>
    <n v="18.399999999999999"/>
    <n v="24.7"/>
    <n v="10.7"/>
    <s v="Normal"/>
    <s v="Normal"/>
    <s v="Normal"/>
    <s v="Outlier"/>
    <x v="0"/>
    <s v="November"/>
  </r>
  <r>
    <d v="2017-12-02T00:00:00"/>
    <n v="19.8"/>
    <n v="18.2"/>
    <n v="22.2"/>
    <n v="8.9"/>
    <s v="Normal"/>
    <s v="Normal"/>
    <s v="Outlier"/>
    <s v="Normal"/>
    <x v="0"/>
    <s v="December"/>
  </r>
  <r>
    <d v="2017-12-03T00:00:00"/>
    <n v="20.8"/>
    <n v="18.3"/>
    <n v="24.2"/>
    <n v="0"/>
    <s v="Normal"/>
    <s v="Normal"/>
    <s v="Normal"/>
    <s v="Normal"/>
    <x v="0"/>
    <s v="December"/>
  </r>
  <r>
    <d v="2017-12-13T00:00:00"/>
    <n v="22.7"/>
    <n v="18.100000000000001"/>
    <n v="28.1"/>
    <n v="0"/>
    <s v="Normal"/>
    <s v="Normal"/>
    <s v="Normal"/>
    <s v="Normal"/>
    <x v="0"/>
    <s v="December"/>
  </r>
  <r>
    <d v="2018-02-08T00:00:00"/>
    <n v="23.3"/>
    <n v="19.2"/>
    <n v="30"/>
    <n v="1.5"/>
    <s v="Normal"/>
    <s v="Normal"/>
    <s v="Normal"/>
    <s v="Normal"/>
    <x v="1"/>
    <s v="December"/>
  </r>
  <r>
    <d v="2018-02-09T00:00:00"/>
    <n v="24.4"/>
    <n v="19.7"/>
    <n v="30.6"/>
    <n v="0"/>
    <s v="Normal"/>
    <s v="Normal"/>
    <s v="Normal"/>
    <s v="Normal"/>
    <x v="1"/>
    <s v="February"/>
  </r>
  <r>
    <d v="2018-02-10T00:00:00"/>
    <n v="24.2"/>
    <n v="19.7"/>
    <n v="31.6"/>
    <n v="1.5"/>
    <s v="Normal"/>
    <s v="Normal"/>
    <s v="Normal"/>
    <s v="Normal"/>
    <x v="1"/>
    <s v="February"/>
  </r>
  <r>
    <d v="2018-02-11T00:00:00"/>
    <n v="24"/>
    <n v="17.7"/>
    <n v="30.7"/>
    <n v="0"/>
    <s v="Normal"/>
    <s v="Normal"/>
    <s v="Normal"/>
    <s v="Normal"/>
    <x v="1"/>
    <s v="February"/>
  </r>
  <r>
    <d v="2018-03-14T00:00:00"/>
    <n v="26.5"/>
    <n v="22.4"/>
    <n v="31.6"/>
    <n v="0"/>
    <s v="Normal"/>
    <s v="Normal"/>
    <s v="Normal"/>
    <s v="Normal"/>
    <x v="1"/>
    <s v="February"/>
  </r>
  <r>
    <d v="2018-03-15T00:00:00"/>
    <n v="25.8"/>
    <n v="21.9"/>
    <n v="32.1"/>
    <n v="0"/>
    <s v="Normal"/>
    <s v="Normal"/>
    <s v="Normal"/>
    <s v="Normal"/>
    <x v="1"/>
    <s v="March"/>
  </r>
  <r>
    <d v="2018-03-16T00:00:00"/>
    <n v="24.1"/>
    <n v="19.8"/>
    <n v="32.5"/>
    <n v="31"/>
    <s v="Normal"/>
    <s v="Normal"/>
    <s v="Normal"/>
    <s v="Outlier"/>
    <x v="1"/>
    <s v="March"/>
  </r>
  <r>
    <d v="2018-03-17T00:00:00"/>
    <n v="23.7"/>
    <n v="18.899999999999999"/>
    <n v="32"/>
    <n v="0"/>
    <s v="Normal"/>
    <s v="Normal"/>
    <s v="Normal"/>
    <s v="Normal"/>
    <x v="1"/>
    <s v="March"/>
  </r>
  <r>
    <d v="2018-03-18T00:00:00"/>
    <n v="24.7"/>
    <n v="20.3"/>
    <n v="29.1"/>
    <n v="0"/>
    <s v="Normal"/>
    <s v="Normal"/>
    <s v="Normal"/>
    <s v="Normal"/>
    <x v="1"/>
    <s v="March"/>
  </r>
  <r>
    <d v="2018-03-30T00:00:00"/>
    <n v="25.7"/>
    <n v="21.4"/>
    <n v="34"/>
    <n v="0"/>
    <s v="Normal"/>
    <s v="Normal"/>
    <s v="Normal"/>
    <s v="Normal"/>
    <x v="1"/>
    <s v="March"/>
  </r>
  <r>
    <d v="2018-03-31T00:00:00"/>
    <n v="25.9"/>
    <n v="21.1"/>
    <n v="34.799999999999997"/>
    <n v="3.3"/>
    <s v="Normal"/>
    <s v="Normal"/>
    <s v="Normal"/>
    <s v="Normal"/>
    <x v="1"/>
    <s v="March"/>
  </r>
  <r>
    <d v="2018-04-01T00:00:00"/>
    <n v="27.6"/>
    <n v="21.2"/>
    <n v="33.200000000000003"/>
    <n v="0"/>
    <s v="Normal"/>
    <s v="Normal"/>
    <s v="Normal"/>
    <s v="Normal"/>
    <x v="1"/>
    <s v="March"/>
  </r>
  <r>
    <d v="2018-04-03T00:00:00"/>
    <n v="26.1"/>
    <n v="19.8"/>
    <n v="33.1"/>
    <n v="13.7"/>
    <s v="Normal"/>
    <s v="Normal"/>
    <s v="Normal"/>
    <s v="Outlier"/>
    <x v="1"/>
    <s v="April"/>
  </r>
  <r>
    <d v="2018-04-04T00:00:00"/>
    <n v="26.2"/>
    <n v="21.4"/>
    <n v="31.5"/>
    <n v="0"/>
    <s v="Normal"/>
    <s v="Normal"/>
    <s v="Normal"/>
    <s v="Normal"/>
    <x v="1"/>
    <s v="April"/>
  </r>
  <r>
    <d v="2018-04-17T00:00:00"/>
    <n v="28.2"/>
    <n v="22.3"/>
    <n v="34.6"/>
    <n v="11.7"/>
    <s v="Normal"/>
    <s v="Normal"/>
    <s v="Normal"/>
    <s v="Outlier"/>
    <x v="1"/>
    <s v="April"/>
  </r>
  <r>
    <d v="2018-04-21T00:00:00"/>
    <n v="28.2"/>
    <n v="22.2"/>
    <n v="34.799999999999997"/>
    <n v="19.100000000000001"/>
    <s v="Normal"/>
    <s v="Normal"/>
    <s v="Normal"/>
    <s v="Outlier"/>
    <x v="1"/>
    <s v="April"/>
  </r>
  <r>
    <d v="2018-04-22T00:00:00"/>
    <n v="26.1"/>
    <n v="23.4"/>
    <n v="34.799999999999997"/>
    <n v="0"/>
    <s v="Normal"/>
    <s v="Outlier"/>
    <s v="Normal"/>
    <s v="Normal"/>
    <x v="1"/>
    <s v="April"/>
  </r>
  <r>
    <d v="2018-04-23T00:00:00"/>
    <n v="27.2"/>
    <n v="22"/>
    <n v="33.799999999999997"/>
    <n v="4.8"/>
    <s v="Normal"/>
    <s v="Normal"/>
    <s v="Normal"/>
    <s v="Normal"/>
    <x v="1"/>
    <s v="April"/>
  </r>
  <r>
    <d v="2018-04-24T00:00:00"/>
    <n v="25.1"/>
    <n v="22.4"/>
    <n v="34.200000000000003"/>
    <n v="0"/>
    <s v="Normal"/>
    <s v="Normal"/>
    <s v="Normal"/>
    <s v="Normal"/>
    <x v="1"/>
    <s v="April"/>
  </r>
  <r>
    <d v="2018-04-25T00:00:00"/>
    <n v="26.6"/>
    <n v="22.2"/>
    <n v="34"/>
    <n v="3.8"/>
    <s v="Normal"/>
    <s v="Normal"/>
    <s v="Normal"/>
    <s v="Normal"/>
    <x v="1"/>
    <s v="April"/>
  </r>
  <r>
    <d v="2018-04-26T00:00:00"/>
    <n v="27.2"/>
    <n v="22.8"/>
    <n v="34.4"/>
    <n v="0.5"/>
    <s v="Normal"/>
    <s v="Normal"/>
    <s v="Normal"/>
    <s v="Normal"/>
    <x v="1"/>
    <s v="April"/>
  </r>
  <r>
    <d v="2018-04-27T00:00:00"/>
    <n v="28.3"/>
    <n v="22"/>
    <n v="34.700000000000003"/>
    <n v="0.5"/>
    <s v="Normal"/>
    <s v="Normal"/>
    <s v="Normal"/>
    <s v="Normal"/>
    <x v="1"/>
    <s v="April"/>
  </r>
  <r>
    <d v="2018-04-28T00:00:00"/>
    <n v="27.7"/>
    <n v="22.5"/>
    <n v="34.200000000000003"/>
    <n v="0"/>
    <s v="Normal"/>
    <s v="Normal"/>
    <s v="Normal"/>
    <s v="Normal"/>
    <x v="1"/>
    <s v="April"/>
  </r>
  <r>
    <d v="2018-04-30T00:00:00"/>
    <n v="27"/>
    <n v="23.2"/>
    <n v="34.9"/>
    <n v="0.3"/>
    <s v="Normal"/>
    <s v="Normal"/>
    <s v="Normal"/>
    <s v="Normal"/>
    <x v="1"/>
    <s v="April"/>
  </r>
  <r>
    <d v="2018-05-01T00:00:00"/>
    <n v="26.9"/>
    <n v="21.4"/>
    <n v="35.200000000000003"/>
    <n v="5.6"/>
    <s v="Normal"/>
    <s v="Normal"/>
    <s v="Normal"/>
    <s v="Normal"/>
    <x v="1"/>
    <s v="April"/>
  </r>
  <r>
    <d v="2018-05-02T00:00:00"/>
    <n v="26.5"/>
    <n v="23.3"/>
    <n v="33"/>
    <n v="0"/>
    <s v="Normal"/>
    <s v="Normal"/>
    <s v="Normal"/>
    <s v="Normal"/>
    <x v="1"/>
    <s v="May"/>
  </r>
  <r>
    <d v="2018-05-03T00:00:00"/>
    <n v="25.9"/>
    <n v="18.899999999999999"/>
    <n v="34"/>
    <n v="0.8"/>
    <s v="Normal"/>
    <s v="Normal"/>
    <s v="Normal"/>
    <s v="Normal"/>
    <x v="1"/>
    <s v="May"/>
  </r>
  <r>
    <d v="2018-05-04T00:00:00"/>
    <n v="26.1"/>
    <n v="19.2"/>
    <n v="33.200000000000003"/>
    <n v="39.4"/>
    <s v="Normal"/>
    <s v="Normal"/>
    <s v="Normal"/>
    <s v="Outlier"/>
    <x v="1"/>
    <s v="May"/>
  </r>
  <r>
    <d v="2018-05-05T00:00:00"/>
    <n v="27"/>
    <n v="23.1"/>
    <n v="32"/>
    <n v="0"/>
    <s v="Normal"/>
    <s v="Normal"/>
    <s v="Normal"/>
    <s v="Normal"/>
    <x v="1"/>
    <s v="May"/>
  </r>
  <r>
    <d v="2018-05-09T00:00:00"/>
    <n v="27.2"/>
    <n v="21.8"/>
    <n v="32.799999999999997"/>
    <n v="0"/>
    <s v="Normal"/>
    <s v="Normal"/>
    <s v="Normal"/>
    <s v="Normal"/>
    <x v="1"/>
    <s v="May"/>
  </r>
  <r>
    <d v="2018-05-12T00:00:00"/>
    <n v="25.7"/>
    <n v="19.8"/>
    <n v="32.200000000000003"/>
    <n v="34.299999999999997"/>
    <s v="Normal"/>
    <s v="Normal"/>
    <s v="Normal"/>
    <s v="Outlier"/>
    <x v="1"/>
    <s v="May"/>
  </r>
  <r>
    <d v="2018-05-13T00:00:00"/>
    <n v="24.9"/>
    <n v="20.8"/>
    <n v="32"/>
    <n v="0"/>
    <s v="Normal"/>
    <s v="Normal"/>
    <s v="Normal"/>
    <s v="Normal"/>
    <x v="1"/>
    <s v="May"/>
  </r>
  <r>
    <d v="2018-05-14T00:00:00"/>
    <n v="23.8"/>
    <n v="21"/>
    <n v="32"/>
    <n v="17.8"/>
    <s v="Normal"/>
    <s v="Normal"/>
    <s v="Normal"/>
    <s v="Outlier"/>
    <x v="1"/>
    <s v="May"/>
  </r>
  <r>
    <d v="2018-05-15T00:00:00"/>
    <n v="24.8"/>
    <n v="20.6"/>
    <n v="31.4"/>
    <n v="16.5"/>
    <s v="Normal"/>
    <s v="Normal"/>
    <s v="Normal"/>
    <s v="Outlier"/>
    <x v="1"/>
    <s v="May"/>
  </r>
  <r>
    <d v="2018-05-16T00:00:00"/>
    <n v="26.2"/>
    <n v="20.7"/>
    <n v="32.4"/>
    <n v="4.3"/>
    <s v="Normal"/>
    <s v="Normal"/>
    <s v="Normal"/>
    <s v="Normal"/>
    <x v="1"/>
    <s v="May"/>
  </r>
  <r>
    <d v="2018-05-17T00:00:00"/>
    <n v="26.7"/>
    <n v="21.9"/>
    <n v="31"/>
    <n v="0"/>
    <s v="Normal"/>
    <s v="Normal"/>
    <s v="Normal"/>
    <s v="Normal"/>
    <x v="1"/>
    <s v="May"/>
  </r>
  <r>
    <d v="2018-05-19T00:00:00"/>
    <n v="25.9"/>
    <n v="21.4"/>
    <n v="32.799999999999997"/>
    <n v="19.100000000000001"/>
    <s v="Normal"/>
    <s v="Normal"/>
    <s v="Normal"/>
    <s v="Outlier"/>
    <x v="1"/>
    <s v="May"/>
  </r>
  <r>
    <d v="2018-05-20T00:00:00"/>
    <n v="25.2"/>
    <n v="20.5"/>
    <n v="32.4"/>
    <n v="8.6"/>
    <s v="Normal"/>
    <s v="Normal"/>
    <s v="Normal"/>
    <s v="Normal"/>
    <x v="1"/>
    <s v="May"/>
  </r>
  <r>
    <d v="2018-05-21T00:00:00"/>
    <n v="24"/>
    <n v="21.6"/>
    <n v="32.4"/>
    <n v="0"/>
    <s v="Normal"/>
    <s v="Normal"/>
    <s v="Normal"/>
    <s v="Normal"/>
    <x v="1"/>
    <s v="May"/>
  </r>
  <r>
    <d v="2018-05-22T00:00:00"/>
    <n v="26.3"/>
    <n v="20.5"/>
    <n v="31.8"/>
    <n v="9.4"/>
    <s v="Normal"/>
    <s v="Normal"/>
    <s v="Normal"/>
    <s v="Normal"/>
    <x v="1"/>
    <s v="May"/>
  </r>
  <r>
    <d v="2018-05-24T00:00:00"/>
    <n v="26.3"/>
    <n v="20.399999999999999"/>
    <n v="31.9"/>
    <n v="24.9"/>
    <s v="Normal"/>
    <s v="Normal"/>
    <s v="Normal"/>
    <s v="Outlier"/>
    <x v="1"/>
    <s v="May"/>
  </r>
  <r>
    <d v="2018-05-25T00:00:00"/>
    <n v="23.5"/>
    <n v="21.9"/>
    <n v="32"/>
    <n v="33"/>
    <s v="Normal"/>
    <s v="Normal"/>
    <s v="Normal"/>
    <s v="Outlier"/>
    <x v="1"/>
    <s v="May"/>
  </r>
  <r>
    <d v="2018-05-26T00:00:00"/>
    <n v="25"/>
    <n v="21.1"/>
    <n v="29.8"/>
    <n v="14"/>
    <s v="Normal"/>
    <s v="Normal"/>
    <s v="Normal"/>
    <s v="Outlier"/>
    <x v="1"/>
    <s v="May"/>
  </r>
  <r>
    <d v="2018-05-27T00:00:00"/>
    <n v="26"/>
    <n v="22.2"/>
    <n v="30.8"/>
    <n v="0"/>
    <s v="Normal"/>
    <s v="Normal"/>
    <s v="Normal"/>
    <s v="Normal"/>
    <x v="1"/>
    <s v="May"/>
  </r>
  <r>
    <d v="2018-05-28T00:00:00"/>
    <n v="26.3"/>
    <n v="22.3"/>
    <n v="32"/>
    <n v="0"/>
    <s v="Normal"/>
    <s v="Normal"/>
    <s v="Normal"/>
    <s v="Normal"/>
    <x v="1"/>
    <s v="May"/>
  </r>
  <r>
    <d v="2018-05-30T00:00:00"/>
    <n v="24.5"/>
    <n v="20.9"/>
    <n v="30.5"/>
    <n v="0"/>
    <s v="Normal"/>
    <s v="Normal"/>
    <s v="Normal"/>
    <s v="Normal"/>
    <x v="1"/>
    <s v="May"/>
  </r>
  <r>
    <d v="2018-05-31T00:00:00"/>
    <n v="25.6"/>
    <n v="20.9"/>
    <n v="29.7"/>
    <n v="10.4"/>
    <s v="Normal"/>
    <s v="Normal"/>
    <s v="Normal"/>
    <s v="Outlier"/>
    <x v="1"/>
    <s v="May"/>
  </r>
  <r>
    <d v="2018-06-01T00:00:00"/>
    <n v="24.4"/>
    <n v="21.9"/>
    <n v="30.3"/>
    <n v="0"/>
    <s v="Normal"/>
    <s v="Normal"/>
    <s v="Normal"/>
    <s v="Normal"/>
    <x v="1"/>
    <s v="May"/>
  </r>
  <r>
    <d v="2018-06-02T00:00:00"/>
    <n v="23.8"/>
    <n v="20.9"/>
    <n v="31"/>
    <n v="1.5"/>
    <s v="Normal"/>
    <s v="Normal"/>
    <s v="Normal"/>
    <s v="Normal"/>
    <x v="1"/>
    <s v="June"/>
  </r>
  <r>
    <d v="2018-06-03T00:00:00"/>
    <n v="23.7"/>
    <n v="20.8"/>
    <n v="30.3"/>
    <n v="1.8"/>
    <s v="Normal"/>
    <s v="Normal"/>
    <s v="Normal"/>
    <s v="Normal"/>
    <x v="1"/>
    <s v="June"/>
  </r>
  <r>
    <d v="2018-06-04T00:00:00"/>
    <n v="23.8"/>
    <n v="21"/>
    <n v="30.4"/>
    <n v="6.1"/>
    <s v="Normal"/>
    <s v="Normal"/>
    <s v="Normal"/>
    <s v="Normal"/>
    <x v="1"/>
    <s v="June"/>
  </r>
  <r>
    <d v="2018-06-05T00:00:00"/>
    <n v="24.8"/>
    <n v="21.2"/>
    <n v="30"/>
    <n v="0"/>
    <s v="Normal"/>
    <s v="Normal"/>
    <s v="Normal"/>
    <s v="Normal"/>
    <x v="1"/>
    <s v="June"/>
  </r>
  <r>
    <d v="2018-06-06T00:00:00"/>
    <n v="25.6"/>
    <n v="21.9"/>
    <n v="29.7"/>
    <n v="0"/>
    <s v="Normal"/>
    <s v="Normal"/>
    <s v="Normal"/>
    <s v="Normal"/>
    <x v="1"/>
    <s v="June"/>
  </r>
  <r>
    <d v="2018-06-07T00:00:00"/>
    <n v="23.9"/>
    <n v="21.7"/>
    <n v="30.1"/>
    <n v="0"/>
    <s v="Normal"/>
    <s v="Normal"/>
    <s v="Normal"/>
    <s v="Normal"/>
    <x v="1"/>
    <s v="June"/>
  </r>
  <r>
    <d v="2018-06-08T00:00:00"/>
    <n v="23.3"/>
    <n v="21"/>
    <n v="29"/>
    <n v="0"/>
    <s v="Normal"/>
    <s v="Normal"/>
    <s v="Normal"/>
    <s v="Normal"/>
    <x v="1"/>
    <s v="June"/>
  </r>
  <r>
    <d v="2018-06-09T00:00:00"/>
    <n v="22"/>
    <n v="20.7"/>
    <n v="25.8"/>
    <n v="3.8"/>
    <s v="Normal"/>
    <s v="Normal"/>
    <s v="Normal"/>
    <s v="Normal"/>
    <x v="1"/>
    <s v="June"/>
  </r>
  <r>
    <d v="2018-06-10T00:00:00"/>
    <n v="22.7"/>
    <n v="20.5"/>
    <n v="27"/>
    <n v="1.3"/>
    <s v="Normal"/>
    <s v="Normal"/>
    <s v="Normal"/>
    <s v="Normal"/>
    <x v="1"/>
    <s v="June"/>
  </r>
  <r>
    <d v="2018-06-11T00:00:00"/>
    <n v="23.7"/>
    <n v="21"/>
    <n v="26.9"/>
    <n v="2"/>
    <s v="Normal"/>
    <s v="Normal"/>
    <s v="Normal"/>
    <s v="Normal"/>
    <x v="1"/>
    <s v="June"/>
  </r>
  <r>
    <d v="2018-06-14T00:00:00"/>
    <n v="23.2"/>
    <n v="21"/>
    <n v="27.9"/>
    <n v="0"/>
    <s v="Normal"/>
    <s v="Normal"/>
    <s v="Normal"/>
    <s v="Normal"/>
    <x v="1"/>
    <s v="June"/>
  </r>
  <r>
    <d v="2018-06-15T00:00:00"/>
    <n v="23.8"/>
    <n v="20.5"/>
    <n v="31.2"/>
    <n v="3"/>
    <s v="Normal"/>
    <s v="Normal"/>
    <s v="Normal"/>
    <s v="Normal"/>
    <x v="1"/>
    <s v="June"/>
  </r>
  <r>
    <d v="2018-06-16T00:00:00"/>
    <n v="24.1"/>
    <n v="20.100000000000001"/>
    <n v="31"/>
    <n v="5.6"/>
    <s v="Normal"/>
    <s v="Normal"/>
    <s v="Normal"/>
    <s v="Normal"/>
    <x v="1"/>
    <s v="June"/>
  </r>
  <r>
    <d v="2018-06-17T00:00:00"/>
    <n v="23.6"/>
    <n v="20.9"/>
    <n v="30"/>
    <n v="0"/>
    <s v="Normal"/>
    <s v="Normal"/>
    <s v="Normal"/>
    <s v="Normal"/>
    <x v="1"/>
    <s v="June"/>
  </r>
  <r>
    <d v="2018-06-19T00:00:00"/>
    <n v="23.8"/>
    <n v="20.100000000000001"/>
    <n v="28.9"/>
    <n v="7.1"/>
    <s v="Normal"/>
    <s v="Normal"/>
    <s v="Normal"/>
    <s v="Normal"/>
    <x v="1"/>
    <s v="June"/>
  </r>
  <r>
    <d v="2018-06-20T00:00:00"/>
    <n v="23.4"/>
    <n v="20.7"/>
    <n v="29.1"/>
    <n v="0"/>
    <s v="Normal"/>
    <s v="Normal"/>
    <s v="Normal"/>
    <s v="Normal"/>
    <x v="1"/>
    <s v="June"/>
  </r>
  <r>
    <d v="2018-06-22T00:00:00"/>
    <n v="23.2"/>
    <n v="19.7"/>
    <n v="28"/>
    <n v="0"/>
    <s v="Normal"/>
    <s v="Normal"/>
    <s v="Normal"/>
    <s v="Normal"/>
    <x v="1"/>
    <s v="June"/>
  </r>
  <r>
    <d v="2018-06-23T00:00:00"/>
    <n v="22.5"/>
    <n v="20.3"/>
    <n v="28"/>
    <n v="1"/>
    <s v="Normal"/>
    <s v="Normal"/>
    <s v="Normal"/>
    <s v="Normal"/>
    <x v="1"/>
    <s v="June"/>
  </r>
  <r>
    <d v="2018-06-24T00:00:00"/>
    <n v="23.2"/>
    <n v="19.7"/>
    <n v="27.8"/>
    <n v="12.2"/>
    <s v="Normal"/>
    <s v="Normal"/>
    <s v="Normal"/>
    <s v="Outlier"/>
    <x v="1"/>
    <s v="June"/>
  </r>
  <r>
    <d v="2018-06-25T00:00:00"/>
    <n v="23.5"/>
    <n v="20.100000000000001"/>
    <n v="27.8"/>
    <n v="0"/>
    <s v="Normal"/>
    <s v="Normal"/>
    <s v="Normal"/>
    <s v="Normal"/>
    <x v="1"/>
    <s v="June"/>
  </r>
  <r>
    <d v="2018-06-26T00:00:00"/>
    <n v="23.1"/>
    <n v="20.2"/>
    <n v="28.1"/>
    <n v="0"/>
    <s v="Normal"/>
    <s v="Normal"/>
    <s v="Normal"/>
    <s v="Normal"/>
    <x v="1"/>
    <s v="June"/>
  </r>
  <r>
    <d v="2018-06-28T00:00:00"/>
    <n v="22.4"/>
    <n v="20"/>
    <n v="26.2"/>
    <n v="4.5999999999999996"/>
    <s v="Normal"/>
    <s v="Normal"/>
    <s v="Normal"/>
    <s v="Normal"/>
    <x v="1"/>
    <s v="June"/>
  </r>
  <r>
    <d v="2018-06-29T00:00:00"/>
    <n v="23.1"/>
    <n v="20.100000000000001"/>
    <n v="28.2"/>
    <n v="0"/>
    <s v="Normal"/>
    <s v="Normal"/>
    <s v="Normal"/>
    <s v="Normal"/>
    <x v="1"/>
    <s v="June"/>
  </r>
  <r>
    <d v="2018-06-30T00:00:00"/>
    <n v="23.8"/>
    <n v="19.5"/>
    <n v="29.3"/>
    <n v="0"/>
    <s v="Normal"/>
    <s v="Normal"/>
    <s v="Normal"/>
    <s v="Normal"/>
    <x v="1"/>
    <s v="June"/>
  </r>
  <r>
    <d v="2018-07-01T00:00:00"/>
    <n v="24.2"/>
    <n v="20.6"/>
    <n v="29.5"/>
    <n v="0.5"/>
    <s v="Normal"/>
    <s v="Normal"/>
    <s v="Normal"/>
    <s v="Normal"/>
    <x v="1"/>
    <s v="June"/>
  </r>
  <r>
    <d v="2018-07-02T00:00:00"/>
    <n v="24.8"/>
    <n v="20.9"/>
    <n v="30.7"/>
    <n v="0"/>
    <s v="Normal"/>
    <s v="Normal"/>
    <s v="Normal"/>
    <s v="Normal"/>
    <x v="1"/>
    <s v="July"/>
  </r>
  <r>
    <d v="2018-07-03T00:00:00"/>
    <n v="24.4"/>
    <n v="20.7"/>
    <n v="30.2"/>
    <n v="0.5"/>
    <s v="Normal"/>
    <s v="Normal"/>
    <s v="Normal"/>
    <s v="Normal"/>
    <x v="1"/>
    <s v="July"/>
  </r>
  <r>
    <d v="2018-07-04T00:00:00"/>
    <n v="24.1"/>
    <n v="20.5"/>
    <n v="29"/>
    <n v="0"/>
    <s v="Normal"/>
    <s v="Normal"/>
    <s v="Normal"/>
    <s v="Normal"/>
    <x v="1"/>
    <s v="July"/>
  </r>
  <r>
    <d v="2018-07-07T00:00:00"/>
    <n v="22.9"/>
    <n v="20.5"/>
    <n v="26.3"/>
    <n v="0.3"/>
    <s v="Normal"/>
    <s v="Normal"/>
    <s v="Normal"/>
    <s v="Normal"/>
    <x v="1"/>
    <s v="July"/>
  </r>
  <r>
    <d v="2018-07-08T00:00:00"/>
    <n v="22.4"/>
    <n v="20.3"/>
    <n v="26.4"/>
    <n v="0"/>
    <s v="Normal"/>
    <s v="Normal"/>
    <s v="Normal"/>
    <s v="Normal"/>
    <x v="1"/>
    <s v="July"/>
  </r>
  <r>
    <d v="2018-07-09T00:00:00"/>
    <n v="22.8"/>
    <n v="20.7"/>
    <n v="26.4"/>
    <n v="1"/>
    <s v="Normal"/>
    <s v="Normal"/>
    <s v="Normal"/>
    <s v="Normal"/>
    <x v="1"/>
    <s v="July"/>
  </r>
  <r>
    <d v="2018-07-10T00:00:00"/>
    <n v="22.7"/>
    <n v="20.6"/>
    <n v="26.9"/>
    <n v="2"/>
    <s v="Normal"/>
    <s v="Normal"/>
    <s v="Normal"/>
    <s v="Normal"/>
    <x v="1"/>
    <s v="July"/>
  </r>
  <r>
    <d v="2018-07-11T00:00:00"/>
    <n v="22.5"/>
    <n v="20.3"/>
    <n v="27"/>
    <n v="32.299999999999997"/>
    <s v="Normal"/>
    <s v="Normal"/>
    <s v="Normal"/>
    <s v="Outlier"/>
    <x v="1"/>
    <s v="July"/>
  </r>
  <r>
    <d v="2018-07-12T00:00:00"/>
    <n v="22.8"/>
    <n v="20.100000000000001"/>
    <n v="27.3"/>
    <n v="4.3"/>
    <s v="Normal"/>
    <s v="Normal"/>
    <s v="Normal"/>
    <s v="Normal"/>
    <x v="1"/>
    <s v="July"/>
  </r>
  <r>
    <d v="2018-07-13T00:00:00"/>
    <n v="22.2"/>
    <n v="20.5"/>
    <n v="27.4"/>
    <n v="0"/>
    <s v="Normal"/>
    <s v="Normal"/>
    <s v="Normal"/>
    <s v="Normal"/>
    <x v="1"/>
    <s v="July"/>
  </r>
  <r>
    <d v="2018-07-14T00:00:00"/>
    <n v="22.4"/>
    <n v="20.3"/>
    <n v="26.5"/>
    <n v="4.5999999999999996"/>
    <s v="Normal"/>
    <s v="Normal"/>
    <s v="Normal"/>
    <s v="Normal"/>
    <x v="1"/>
    <s v="July"/>
  </r>
  <r>
    <d v="2018-07-15T00:00:00"/>
    <n v="23.6"/>
    <n v="20.399999999999999"/>
    <n v="28.2"/>
    <n v="1.8"/>
    <s v="Normal"/>
    <s v="Normal"/>
    <s v="Normal"/>
    <s v="Normal"/>
    <x v="1"/>
    <s v="July"/>
  </r>
  <r>
    <d v="2018-07-16T00:00:00"/>
    <n v="22.2"/>
    <n v="20.2"/>
    <n v="28.4"/>
    <n v="0"/>
    <s v="Normal"/>
    <s v="Normal"/>
    <s v="Normal"/>
    <s v="Normal"/>
    <x v="1"/>
    <s v="July"/>
  </r>
  <r>
    <d v="2018-07-17T00:00:00"/>
    <n v="22.5"/>
    <n v="19.2"/>
    <n v="26.2"/>
    <n v="1.5"/>
    <s v="Normal"/>
    <s v="Normal"/>
    <s v="Normal"/>
    <s v="Normal"/>
    <x v="1"/>
    <s v="July"/>
  </r>
  <r>
    <d v="2018-07-18T00:00:00"/>
    <n v="23.8"/>
    <n v="19.7"/>
    <n v="29.2"/>
    <n v="0"/>
    <s v="Normal"/>
    <s v="Normal"/>
    <s v="Normal"/>
    <s v="Normal"/>
    <x v="1"/>
    <s v="July"/>
  </r>
  <r>
    <d v="2018-07-20T00:00:00"/>
    <n v="23"/>
    <n v="20.399999999999999"/>
    <n v="27"/>
    <n v="0"/>
    <s v="Normal"/>
    <s v="Normal"/>
    <s v="Normal"/>
    <s v="Normal"/>
    <x v="1"/>
    <s v="July"/>
  </r>
  <r>
    <d v="2018-07-21T00:00:00"/>
    <n v="22.7"/>
    <n v="20.3"/>
    <n v="26.9"/>
    <n v="0"/>
    <s v="Normal"/>
    <s v="Normal"/>
    <s v="Normal"/>
    <s v="Normal"/>
    <x v="1"/>
    <s v="July"/>
  </r>
  <r>
    <d v="2018-07-22T00:00:00"/>
    <n v="23.6"/>
    <n v="20.3"/>
    <n v="28.9"/>
    <n v="0.3"/>
    <s v="Normal"/>
    <s v="Normal"/>
    <s v="Normal"/>
    <s v="Normal"/>
    <x v="1"/>
    <s v="July"/>
  </r>
  <r>
    <d v="2018-07-23T00:00:00"/>
    <n v="22.7"/>
    <n v="20.2"/>
    <n v="28.3"/>
    <n v="0"/>
    <s v="Normal"/>
    <s v="Normal"/>
    <s v="Normal"/>
    <s v="Normal"/>
    <x v="1"/>
    <s v="July"/>
  </r>
  <r>
    <d v="2018-07-24T00:00:00"/>
    <n v="23.1"/>
    <n v="20.3"/>
    <n v="28.6"/>
    <n v="14.2"/>
    <s v="Normal"/>
    <s v="Normal"/>
    <s v="Normal"/>
    <s v="Outlier"/>
    <x v="1"/>
    <s v="July"/>
  </r>
  <r>
    <d v="2018-07-25T00:00:00"/>
    <n v="23.3"/>
    <n v="20.2"/>
    <n v="28.2"/>
    <n v="2"/>
    <s v="Normal"/>
    <s v="Normal"/>
    <s v="Normal"/>
    <s v="Normal"/>
    <x v="1"/>
    <s v="July"/>
  </r>
  <r>
    <d v="2018-07-26T00:00:00"/>
    <n v="23.7"/>
    <n v="20.6"/>
    <n v="28.8"/>
    <n v="0.8"/>
    <s v="Normal"/>
    <s v="Normal"/>
    <s v="Normal"/>
    <s v="Normal"/>
    <x v="1"/>
    <s v="July"/>
  </r>
  <r>
    <d v="2018-07-27T00:00:00"/>
    <n v="23.3"/>
    <n v="20.5"/>
    <n v="27.3"/>
    <n v="0"/>
    <s v="Normal"/>
    <s v="Normal"/>
    <s v="Normal"/>
    <s v="Normal"/>
    <x v="1"/>
    <s v="July"/>
  </r>
  <r>
    <d v="2018-07-28T00:00:00"/>
    <n v="23.5"/>
    <n v="20"/>
    <n v="27.3"/>
    <n v="0.3"/>
    <s v="Normal"/>
    <s v="Normal"/>
    <s v="Normal"/>
    <s v="Normal"/>
    <x v="1"/>
    <s v="July"/>
  </r>
  <r>
    <d v="2018-07-29T00:00:00"/>
    <n v="23.8"/>
    <n v="20.7"/>
    <n v="27.4"/>
    <n v="11.9"/>
    <s v="Normal"/>
    <s v="Normal"/>
    <s v="Normal"/>
    <s v="Outlier"/>
    <x v="1"/>
    <s v="July"/>
  </r>
  <r>
    <d v="2018-07-30T00:00:00"/>
    <n v="23.8"/>
    <n v="20.5"/>
    <n v="27.8"/>
    <n v="0.5"/>
    <s v="Normal"/>
    <s v="Normal"/>
    <s v="Normal"/>
    <s v="Normal"/>
    <x v="1"/>
    <s v="July"/>
  </r>
  <r>
    <d v="2018-07-31T00:00:00"/>
    <n v="23.1"/>
    <n v="20.3"/>
    <n v="28.3"/>
    <n v="4.8"/>
    <s v="Normal"/>
    <s v="Normal"/>
    <s v="Normal"/>
    <s v="Normal"/>
    <x v="1"/>
    <s v="July"/>
  </r>
  <r>
    <d v="2018-08-01T00:00:00"/>
    <n v="21.9"/>
    <n v="19.399999999999999"/>
    <n v="27.2"/>
    <n v="5.3"/>
    <s v="Normal"/>
    <s v="Normal"/>
    <s v="Normal"/>
    <s v="Normal"/>
    <x v="1"/>
    <s v="July"/>
  </r>
  <r>
    <d v="2018-08-02T00:00:00"/>
    <n v="23.6"/>
    <n v="18.7"/>
    <n v="29.4"/>
    <n v="15"/>
    <s v="Normal"/>
    <s v="Normal"/>
    <s v="Normal"/>
    <s v="Outlier"/>
    <x v="1"/>
    <s v="August"/>
  </r>
  <r>
    <d v="2018-08-03T00:00:00"/>
    <n v="23.3"/>
    <n v="20.8"/>
    <n v="28.6"/>
    <n v="0"/>
    <s v="Normal"/>
    <s v="Normal"/>
    <s v="Normal"/>
    <s v="Normal"/>
    <x v="1"/>
    <s v="August"/>
  </r>
  <r>
    <d v="2018-08-04T00:00:00"/>
    <n v="22.8"/>
    <n v="20.100000000000001"/>
    <n v="28.8"/>
    <n v="2.5"/>
    <s v="Normal"/>
    <s v="Normal"/>
    <s v="Normal"/>
    <s v="Normal"/>
    <x v="1"/>
    <s v="August"/>
  </r>
  <r>
    <d v="2018-08-05T00:00:00"/>
    <n v="23.8"/>
    <n v="20.3"/>
    <n v="27.8"/>
    <n v="0"/>
    <s v="Normal"/>
    <s v="Normal"/>
    <s v="Normal"/>
    <s v="Normal"/>
    <x v="1"/>
    <s v="August"/>
  </r>
  <r>
    <d v="2018-08-06T00:00:00"/>
    <n v="22.7"/>
    <n v="20.2"/>
    <n v="28.1"/>
    <n v="0.5"/>
    <s v="Normal"/>
    <s v="Normal"/>
    <s v="Normal"/>
    <s v="Normal"/>
    <x v="1"/>
    <s v="August"/>
  </r>
  <r>
    <d v="2018-08-07T00:00:00"/>
    <n v="21.9"/>
    <n v="19.7"/>
    <n v="27.7"/>
    <n v="11.4"/>
    <s v="Normal"/>
    <s v="Normal"/>
    <s v="Normal"/>
    <s v="Outlier"/>
    <x v="1"/>
    <s v="August"/>
  </r>
  <r>
    <d v="2018-08-08T00:00:00"/>
    <n v="22"/>
    <n v="20"/>
    <n v="25.4"/>
    <n v="3.6"/>
    <s v="Normal"/>
    <s v="Normal"/>
    <s v="Normal"/>
    <s v="Normal"/>
    <x v="1"/>
    <s v="August"/>
  </r>
  <r>
    <d v="2018-08-09T00:00:00"/>
    <n v="23.4"/>
    <n v="20.2"/>
    <n v="28.7"/>
    <n v="8.9"/>
    <s v="Normal"/>
    <s v="Normal"/>
    <s v="Normal"/>
    <s v="Normal"/>
    <x v="1"/>
    <s v="August"/>
  </r>
  <r>
    <d v="2018-08-10T00:00:00"/>
    <n v="22.7"/>
    <n v="20.5"/>
    <n v="28.2"/>
    <n v="0"/>
    <s v="Normal"/>
    <s v="Normal"/>
    <s v="Normal"/>
    <s v="Normal"/>
    <x v="1"/>
    <s v="August"/>
  </r>
  <r>
    <d v="2018-08-11T00:00:00"/>
    <n v="21.9"/>
    <n v="20"/>
    <n v="26.5"/>
    <n v="1.8"/>
    <s v="Normal"/>
    <s v="Normal"/>
    <s v="Normal"/>
    <s v="Normal"/>
    <x v="1"/>
    <s v="August"/>
  </r>
  <r>
    <d v="2018-08-12T00:00:00"/>
    <n v="21.5"/>
    <n v="19.899999999999999"/>
    <n v="25.6"/>
    <n v="2.2999999999999998"/>
    <s v="Normal"/>
    <s v="Normal"/>
    <s v="Normal"/>
    <s v="Normal"/>
    <x v="1"/>
    <s v="August"/>
  </r>
  <r>
    <d v="2018-08-13T00:00:00"/>
    <n v="21.7"/>
    <n v="19.399999999999999"/>
    <n v="24.6"/>
    <n v="3.3"/>
    <s v="Normal"/>
    <s v="Normal"/>
    <s v="Normal"/>
    <s v="Normal"/>
    <x v="1"/>
    <s v="August"/>
  </r>
  <r>
    <d v="2018-08-14T00:00:00"/>
    <n v="21.9"/>
    <n v="19.600000000000001"/>
    <n v="26.9"/>
    <n v="1"/>
    <s v="Normal"/>
    <s v="Normal"/>
    <s v="Normal"/>
    <s v="Normal"/>
    <x v="1"/>
    <s v="August"/>
  </r>
  <r>
    <d v="2018-08-15T00:00:00"/>
    <n v="22.2"/>
    <n v="20.100000000000001"/>
    <n v="25.7"/>
    <n v="6.4"/>
    <s v="Normal"/>
    <s v="Normal"/>
    <s v="Normal"/>
    <s v="Normal"/>
    <x v="1"/>
    <s v="August"/>
  </r>
  <r>
    <d v="2018-08-16T00:00:00"/>
    <n v="22.4"/>
    <n v="20.2"/>
    <n v="25.7"/>
    <n v="10.7"/>
    <s v="Normal"/>
    <s v="Normal"/>
    <s v="Normal"/>
    <s v="Outlier"/>
    <x v="1"/>
    <s v="August"/>
  </r>
  <r>
    <d v="2018-08-17T00:00:00"/>
    <n v="23.2"/>
    <n v="20.3"/>
    <n v="28.3"/>
    <n v="0.5"/>
    <s v="Normal"/>
    <s v="Normal"/>
    <s v="Normal"/>
    <s v="Normal"/>
    <x v="1"/>
    <s v="August"/>
  </r>
  <r>
    <d v="2018-08-18T00:00:00"/>
    <n v="23.4"/>
    <n v="20"/>
    <n v="27.5"/>
    <n v="0"/>
    <s v="Normal"/>
    <s v="Normal"/>
    <s v="Normal"/>
    <s v="Normal"/>
    <x v="1"/>
    <s v="August"/>
  </r>
  <r>
    <d v="2018-08-19T00:00:00"/>
    <n v="23.3"/>
    <n v="20.7"/>
    <n v="27.4"/>
    <n v="0"/>
    <s v="Normal"/>
    <s v="Normal"/>
    <s v="Normal"/>
    <s v="Normal"/>
    <x v="1"/>
    <s v="August"/>
  </r>
  <r>
    <d v="2018-08-20T00:00:00"/>
    <n v="22.8"/>
    <n v="20.2"/>
    <n v="27.3"/>
    <n v="0"/>
    <s v="Normal"/>
    <s v="Normal"/>
    <s v="Normal"/>
    <s v="Normal"/>
    <x v="1"/>
    <s v="August"/>
  </r>
  <r>
    <d v="2018-08-21T00:00:00"/>
    <n v="23.3"/>
    <n v="19.7"/>
    <n v="28.9"/>
    <n v="0"/>
    <s v="Normal"/>
    <s v="Normal"/>
    <s v="Normal"/>
    <s v="Normal"/>
    <x v="1"/>
    <s v="August"/>
  </r>
  <r>
    <d v="2018-08-22T00:00:00"/>
    <n v="23.7"/>
    <n v="19.7"/>
    <n v="28.2"/>
    <n v="0"/>
    <s v="Normal"/>
    <s v="Normal"/>
    <s v="Normal"/>
    <s v="Normal"/>
    <x v="1"/>
    <s v="August"/>
  </r>
  <r>
    <d v="2018-08-23T00:00:00"/>
    <n v="23.3"/>
    <n v="20.5"/>
    <n v="28"/>
    <n v="0"/>
    <s v="Normal"/>
    <s v="Normal"/>
    <s v="Normal"/>
    <s v="Normal"/>
    <x v="1"/>
    <s v="August"/>
  </r>
  <r>
    <d v="2018-08-24T00:00:00"/>
    <n v="22.4"/>
    <n v="19.899999999999999"/>
    <n v="28.8"/>
    <n v="3.3"/>
    <s v="Normal"/>
    <s v="Normal"/>
    <s v="Normal"/>
    <s v="Normal"/>
    <x v="1"/>
    <s v="August"/>
  </r>
  <r>
    <d v="2018-08-25T00:00:00"/>
    <n v="23.7"/>
    <n v="19.8"/>
    <n v="29.5"/>
    <n v="41.7"/>
    <s v="Normal"/>
    <s v="Normal"/>
    <s v="Normal"/>
    <s v="Outlier"/>
    <x v="1"/>
    <s v="August"/>
  </r>
  <r>
    <d v="2018-08-26T00:00:00"/>
    <n v="22.4"/>
    <n v="19.899999999999999"/>
    <n v="28.5"/>
    <n v="0"/>
    <s v="Normal"/>
    <s v="Normal"/>
    <s v="Normal"/>
    <s v="Normal"/>
    <x v="1"/>
    <s v="August"/>
  </r>
  <r>
    <d v="2018-08-27T00:00:00"/>
    <n v="21.9"/>
    <n v="19.5"/>
    <n v="28.3"/>
    <n v="8.4"/>
    <s v="Normal"/>
    <s v="Normal"/>
    <s v="Normal"/>
    <s v="Normal"/>
    <x v="1"/>
    <s v="August"/>
  </r>
  <r>
    <d v="2018-08-28T00:00:00"/>
    <n v="22.6"/>
    <n v="19.600000000000001"/>
    <n v="27.6"/>
    <n v="0.5"/>
    <s v="Normal"/>
    <s v="Normal"/>
    <s v="Normal"/>
    <s v="Normal"/>
    <x v="1"/>
    <s v="August"/>
  </r>
  <r>
    <d v="2018-08-29T00:00:00"/>
    <n v="22.9"/>
    <n v="20"/>
    <n v="28"/>
    <n v="8.4"/>
    <s v="Normal"/>
    <s v="Normal"/>
    <s v="Normal"/>
    <s v="Normal"/>
    <x v="1"/>
    <s v="August"/>
  </r>
  <r>
    <d v="2018-08-30T00:00:00"/>
    <n v="23.3"/>
    <n v="20.3"/>
    <n v="28.2"/>
    <n v="3"/>
    <s v="Normal"/>
    <s v="Normal"/>
    <s v="Normal"/>
    <s v="Normal"/>
    <x v="1"/>
    <s v="August"/>
  </r>
  <r>
    <d v="2018-08-31T00:00:00"/>
    <n v="23.3"/>
    <n v="20.3"/>
    <n v="28.8"/>
    <n v="19.8"/>
    <s v="Normal"/>
    <s v="Normal"/>
    <s v="Normal"/>
    <s v="Outlier"/>
    <x v="1"/>
    <s v="August"/>
  </r>
  <r>
    <d v="2018-09-01T00:00:00"/>
    <n v="23.7"/>
    <n v="20"/>
    <n v="28.3"/>
    <n v="0"/>
    <s v="Normal"/>
    <s v="Normal"/>
    <s v="Normal"/>
    <s v="Normal"/>
    <x v="1"/>
    <s v="August"/>
  </r>
  <r>
    <d v="2018-09-02T00:00:00"/>
    <n v="23.7"/>
    <n v="20.3"/>
    <n v="28.2"/>
    <n v="0.3"/>
    <s v="Normal"/>
    <s v="Normal"/>
    <s v="Normal"/>
    <s v="Normal"/>
    <x v="1"/>
    <s v="September"/>
  </r>
  <r>
    <d v="2018-09-03T00:00:00"/>
    <n v="24.7"/>
    <n v="19.7"/>
    <n v="29.3"/>
    <n v="0"/>
    <s v="Normal"/>
    <s v="Normal"/>
    <s v="Normal"/>
    <s v="Normal"/>
    <x v="1"/>
    <s v="September"/>
  </r>
  <r>
    <d v="2018-09-07T00:00:00"/>
    <n v="24.4"/>
    <n v="20.3"/>
    <n v="29.2"/>
    <n v="0"/>
    <s v="Normal"/>
    <s v="Normal"/>
    <s v="Normal"/>
    <s v="Normal"/>
    <x v="1"/>
    <s v="September"/>
  </r>
  <r>
    <d v="2018-09-08T00:00:00"/>
    <n v="24.3"/>
    <n v="20.100000000000001"/>
    <n v="29.1"/>
    <n v="0"/>
    <s v="Normal"/>
    <s v="Normal"/>
    <s v="Normal"/>
    <s v="Normal"/>
    <x v="1"/>
    <s v="September"/>
  </r>
  <r>
    <d v="2018-09-09T00:00:00"/>
    <n v="25.7"/>
    <n v="20.5"/>
    <n v="30.3"/>
    <n v="0"/>
    <s v="Normal"/>
    <s v="Normal"/>
    <s v="Normal"/>
    <s v="Normal"/>
    <x v="1"/>
    <s v="September"/>
  </r>
  <r>
    <d v="2018-09-11T00:00:00"/>
    <n v="25.3"/>
    <n v="21.7"/>
    <n v="30.8"/>
    <n v="0"/>
    <s v="Normal"/>
    <s v="Normal"/>
    <s v="Normal"/>
    <s v="Normal"/>
    <x v="1"/>
    <s v="September"/>
  </r>
  <r>
    <d v="2018-09-12T00:00:00"/>
    <n v="25.9"/>
    <n v="20.9"/>
    <n v="31.1"/>
    <n v="0"/>
    <s v="Normal"/>
    <s v="Normal"/>
    <s v="Normal"/>
    <s v="Normal"/>
    <x v="1"/>
    <s v="September"/>
  </r>
  <r>
    <d v="2018-09-14T00:00:00"/>
    <n v="24.8"/>
    <n v="20.399999999999999"/>
    <n v="30.3"/>
    <n v="2"/>
    <s v="Normal"/>
    <s v="Normal"/>
    <s v="Normal"/>
    <s v="Normal"/>
    <x v="1"/>
    <s v="September"/>
  </r>
  <r>
    <d v="2018-09-15T00:00:00"/>
    <n v="23.2"/>
    <n v="20.100000000000001"/>
    <n v="31.7"/>
    <n v="9.9"/>
    <s v="Normal"/>
    <s v="Normal"/>
    <s v="Normal"/>
    <s v="Normal"/>
    <x v="1"/>
    <s v="September"/>
  </r>
  <r>
    <d v="2018-09-16T00:00:00"/>
    <n v="23.3"/>
    <n v="20.5"/>
    <n v="30.3"/>
    <n v="6.4"/>
    <s v="Normal"/>
    <s v="Normal"/>
    <s v="Normal"/>
    <s v="Normal"/>
    <x v="1"/>
    <s v="September"/>
  </r>
  <r>
    <d v="2018-09-21T00:00:00"/>
    <n v="23.5"/>
    <n v="20"/>
    <n v="28.4"/>
    <n v="7.6"/>
    <s v="Normal"/>
    <s v="Normal"/>
    <s v="Normal"/>
    <s v="Normal"/>
    <x v="1"/>
    <s v="September"/>
  </r>
  <r>
    <d v="2018-09-22T00:00:00"/>
    <n v="23.9"/>
    <n v="18.399999999999999"/>
    <n v="28.2"/>
    <n v="0"/>
    <s v="Normal"/>
    <s v="Normal"/>
    <s v="Normal"/>
    <s v="Normal"/>
    <x v="1"/>
    <s v="September"/>
  </r>
  <r>
    <d v="2018-09-24T00:00:00"/>
    <n v="22.6"/>
    <n v="18.899999999999999"/>
    <n v="28.9"/>
    <n v="53.1"/>
    <s v="Normal"/>
    <s v="Normal"/>
    <s v="Normal"/>
    <s v="Outlier"/>
    <x v="1"/>
    <s v="September"/>
  </r>
  <r>
    <d v="2018-09-25T00:00:00"/>
    <n v="23.5"/>
    <n v="19.3"/>
    <n v="29.3"/>
    <n v="25.4"/>
    <s v="Normal"/>
    <s v="Normal"/>
    <s v="Normal"/>
    <s v="Outlier"/>
    <x v="1"/>
    <s v="September"/>
  </r>
  <r>
    <d v="2018-09-26T00:00:00"/>
    <n v="24.4"/>
    <n v="20.399999999999999"/>
    <n v="29.7"/>
    <n v="0.3"/>
    <s v="Normal"/>
    <s v="Normal"/>
    <s v="Normal"/>
    <s v="Normal"/>
    <x v="1"/>
    <s v="September"/>
  </r>
  <r>
    <d v="2018-09-27T00:00:00"/>
    <n v="23.7"/>
    <n v="19.899999999999999"/>
    <n v="30.3"/>
    <n v="32.299999999999997"/>
    <s v="Normal"/>
    <s v="Normal"/>
    <s v="Normal"/>
    <s v="Outlier"/>
    <x v="1"/>
    <s v="September"/>
  </r>
  <r>
    <d v="2018-09-28T00:00:00"/>
    <n v="25.1"/>
    <n v="21.3"/>
    <n v="29.5"/>
    <n v="1.3"/>
    <s v="Normal"/>
    <s v="Normal"/>
    <s v="Normal"/>
    <s v="Normal"/>
    <x v="1"/>
    <s v="September"/>
  </r>
  <r>
    <d v="2018-09-29T00:00:00"/>
    <n v="25.3"/>
    <n v="21.4"/>
    <n v="29.9"/>
    <n v="4.3"/>
    <s v="Normal"/>
    <s v="Normal"/>
    <s v="Normal"/>
    <s v="Normal"/>
    <x v="1"/>
    <s v="September"/>
  </r>
  <r>
    <d v="2018-09-30T00:00:00"/>
    <n v="25.4"/>
    <n v="21.8"/>
    <n v="30.2"/>
    <n v="0"/>
    <s v="Normal"/>
    <s v="Normal"/>
    <s v="Normal"/>
    <s v="Normal"/>
    <x v="1"/>
    <s v="September"/>
  </r>
  <r>
    <d v="2018-10-01T00:00:00"/>
    <n v="25.5"/>
    <n v="21.6"/>
    <n v="30.9"/>
    <n v="0.3"/>
    <s v="Normal"/>
    <s v="Normal"/>
    <s v="Normal"/>
    <s v="Normal"/>
    <x v="1"/>
    <s v="September"/>
  </r>
  <r>
    <d v="2018-10-02T00:00:00"/>
    <n v="24.9"/>
    <n v="21.3"/>
    <n v="30.3"/>
    <n v="0"/>
    <s v="Normal"/>
    <s v="Normal"/>
    <s v="Normal"/>
    <s v="Normal"/>
    <x v="1"/>
    <s v="October"/>
  </r>
  <r>
    <d v="2018-10-03T00:00:00"/>
    <n v="24.1"/>
    <n v="21.6"/>
    <n v="30.4"/>
    <n v="0.3"/>
    <s v="Normal"/>
    <s v="Normal"/>
    <s v="Normal"/>
    <s v="Normal"/>
    <x v="1"/>
    <s v="October"/>
  </r>
  <r>
    <d v="2018-10-04T00:00:00"/>
    <n v="21.8"/>
    <n v="20.9"/>
    <n v="30.6"/>
    <n v="27.7"/>
    <s v="Normal"/>
    <s v="Normal"/>
    <s v="Normal"/>
    <s v="Outlier"/>
    <x v="1"/>
    <s v="October"/>
  </r>
  <r>
    <d v="2018-10-05T00:00:00"/>
    <n v="23"/>
    <n v="20.6"/>
    <n v="25.9"/>
    <n v="10.199999999999999"/>
    <s v="Normal"/>
    <s v="Normal"/>
    <s v="Normal"/>
    <s v="Normal"/>
    <x v="1"/>
    <s v="October"/>
  </r>
  <r>
    <d v="2018-10-06T00:00:00"/>
    <n v="22.5"/>
    <n v="20.399999999999999"/>
    <n v="26.4"/>
    <n v="2.5"/>
    <s v="Normal"/>
    <s v="Normal"/>
    <s v="Normal"/>
    <s v="Normal"/>
    <x v="1"/>
    <s v="October"/>
  </r>
  <r>
    <d v="2018-10-07T00:00:00"/>
    <n v="24.3"/>
    <n v="20.2"/>
    <n v="28.4"/>
    <n v="7.9"/>
    <s v="Normal"/>
    <s v="Normal"/>
    <s v="Normal"/>
    <s v="Normal"/>
    <x v="1"/>
    <s v="October"/>
  </r>
  <r>
    <d v="2018-10-08T00:00:00"/>
    <n v="24.1"/>
    <n v="20.8"/>
    <n v="29.5"/>
    <n v="0"/>
    <s v="Normal"/>
    <s v="Normal"/>
    <s v="Normal"/>
    <s v="Normal"/>
    <x v="1"/>
    <s v="October"/>
  </r>
  <r>
    <d v="2018-10-09T00:00:00"/>
    <n v="24.3"/>
    <n v="20.6"/>
    <n v="29.5"/>
    <n v="4.3"/>
    <s v="Normal"/>
    <s v="Normal"/>
    <s v="Normal"/>
    <s v="Normal"/>
    <x v="1"/>
    <s v="October"/>
  </r>
  <r>
    <d v="2018-10-10T00:00:00"/>
    <n v="24"/>
    <n v="19.100000000000001"/>
    <n v="30"/>
    <n v="0"/>
    <s v="Normal"/>
    <s v="Normal"/>
    <s v="Normal"/>
    <s v="Normal"/>
    <x v="1"/>
    <s v="October"/>
  </r>
  <r>
    <d v="2018-10-15T00:00:00"/>
    <n v="23.4"/>
    <n v="20.100000000000001"/>
    <n v="29.8"/>
    <n v="3.8"/>
    <s v="Normal"/>
    <s v="Normal"/>
    <s v="Normal"/>
    <s v="Normal"/>
    <x v="1"/>
    <s v="October"/>
  </r>
  <r>
    <d v="2018-10-16T00:00:00"/>
    <n v="24.3"/>
    <n v="20.7"/>
    <n v="29"/>
    <n v="5.0999999999999996"/>
    <s v="Normal"/>
    <s v="Normal"/>
    <s v="Normal"/>
    <s v="Normal"/>
    <x v="1"/>
    <s v="October"/>
  </r>
  <r>
    <d v="2018-10-17T00:00:00"/>
    <n v="22.4"/>
    <n v="19.399999999999999"/>
    <n v="29.3"/>
    <n v="0"/>
    <s v="Normal"/>
    <s v="Normal"/>
    <s v="Normal"/>
    <s v="Normal"/>
    <x v="1"/>
    <s v="October"/>
  </r>
  <r>
    <d v="2018-10-18T00:00:00"/>
    <n v="23.1"/>
    <n v="18.899999999999999"/>
    <n v="28.5"/>
    <n v="48.8"/>
    <s v="Normal"/>
    <s v="Normal"/>
    <s v="Normal"/>
    <s v="Outlier"/>
    <x v="1"/>
    <s v="October"/>
  </r>
  <r>
    <d v="2018-10-19T00:00:00"/>
    <n v="23.9"/>
    <n v="20.2"/>
    <n v="28.7"/>
    <n v="1"/>
    <s v="Normal"/>
    <s v="Normal"/>
    <s v="Normal"/>
    <s v="Normal"/>
    <x v="1"/>
    <s v="October"/>
  </r>
  <r>
    <d v="2018-10-20T00:00:00"/>
    <n v="23.8"/>
    <n v="19.7"/>
    <n v="29.3"/>
    <n v="0"/>
    <s v="Normal"/>
    <s v="Normal"/>
    <s v="Normal"/>
    <s v="Normal"/>
    <x v="1"/>
    <s v="October"/>
  </r>
  <r>
    <d v="2018-11-03T00:00:00"/>
    <n v="22.8"/>
    <n v="19.600000000000001"/>
    <n v="27.7"/>
    <n v="0.5"/>
    <s v="Normal"/>
    <s v="Normal"/>
    <s v="Normal"/>
    <s v="Normal"/>
    <x v="1"/>
    <s v="October"/>
  </r>
  <r>
    <d v="2018-11-04T00:00:00"/>
    <n v="23.5"/>
    <n v="18.8"/>
    <n v="28.1"/>
    <n v="4.5999999999999996"/>
    <s v="Normal"/>
    <s v="Normal"/>
    <s v="Normal"/>
    <s v="Normal"/>
    <x v="1"/>
    <s v="November"/>
  </r>
  <r>
    <d v="2018-11-05T00:00:00"/>
    <n v="23.6"/>
    <n v="19.7"/>
    <n v="29.2"/>
    <n v="0"/>
    <s v="Normal"/>
    <s v="Normal"/>
    <s v="Normal"/>
    <s v="Normal"/>
    <x v="1"/>
    <s v="November"/>
  </r>
  <r>
    <d v="2018-11-15T00:00:00"/>
    <n v="23.3"/>
    <n v="16.5"/>
    <n v="31"/>
    <n v="0"/>
    <s v="Normal"/>
    <s v="Outlier"/>
    <s v="Normal"/>
    <s v="Normal"/>
    <x v="1"/>
    <s v="November"/>
  </r>
  <r>
    <d v="2018-11-16T00:00:00"/>
    <n v="21.9"/>
    <n v="19.7"/>
    <n v="28.6"/>
    <n v="0"/>
    <s v="Normal"/>
    <s v="Normal"/>
    <s v="Normal"/>
    <s v="Normal"/>
    <x v="1"/>
    <s v="November"/>
  </r>
  <r>
    <d v="2018-11-17T00:00:00"/>
    <n v="23.9"/>
    <n v="19.2"/>
    <n v="29.3"/>
    <n v="0.3"/>
    <s v="Normal"/>
    <s v="Normal"/>
    <s v="Normal"/>
    <s v="Normal"/>
    <x v="1"/>
    <s v="November"/>
  </r>
  <r>
    <d v="2018-11-18T00:00:00"/>
    <n v="24.3"/>
    <n v="20.6"/>
    <n v="30.2"/>
    <n v="0"/>
    <s v="Normal"/>
    <s v="Normal"/>
    <s v="Normal"/>
    <s v="Normal"/>
    <x v="1"/>
    <s v="November"/>
  </r>
  <r>
    <d v="2018-11-20T00:00:00"/>
    <n v="24.4"/>
    <n v="19.7"/>
    <n v="29.8"/>
    <n v="0"/>
    <s v="Normal"/>
    <s v="Normal"/>
    <s v="Normal"/>
    <s v="Normal"/>
    <x v="1"/>
    <s v="November"/>
  </r>
  <r>
    <d v="2018-11-22T00:00:00"/>
    <n v="21.6"/>
    <n v="19.600000000000001"/>
    <n v="26.6"/>
    <n v="0"/>
    <s v="Normal"/>
    <s v="Normal"/>
    <s v="Normal"/>
    <s v="Normal"/>
    <x v="1"/>
    <s v="November"/>
  </r>
  <r>
    <d v="2018-11-23T00:00:00"/>
    <n v="20.9"/>
    <n v="19.600000000000001"/>
    <n v="24.8"/>
    <n v="0.5"/>
    <s v="Normal"/>
    <s v="Normal"/>
    <s v="Normal"/>
    <s v="Normal"/>
    <x v="1"/>
    <s v="November"/>
  </r>
  <r>
    <d v="2018-11-24T00:00:00"/>
    <n v="22.9"/>
    <n v="19"/>
    <n v="27.6"/>
    <n v="13"/>
    <s v="Normal"/>
    <s v="Normal"/>
    <s v="Normal"/>
    <s v="Outlier"/>
    <x v="1"/>
    <s v="November"/>
  </r>
  <r>
    <d v="2018-11-25T00:00:00"/>
    <n v="22.6"/>
    <n v="19.2"/>
    <n v="28.5"/>
    <n v="0"/>
    <s v="Normal"/>
    <s v="Normal"/>
    <s v="Normal"/>
    <s v="Normal"/>
    <x v="1"/>
    <s v="November"/>
  </r>
  <r>
    <d v="2018-12-05T00:00:00"/>
    <n v="23.2"/>
    <n v="19.5"/>
    <n v="28.1"/>
    <n v="4.8"/>
    <s v="Normal"/>
    <s v="Normal"/>
    <s v="Normal"/>
    <s v="Normal"/>
    <x v="1"/>
    <s v="November"/>
  </r>
  <r>
    <d v="2018-12-06T00:00:00"/>
    <n v="23.5"/>
    <n v="20"/>
    <n v="28.3"/>
    <n v="0"/>
    <s v="Normal"/>
    <s v="Normal"/>
    <s v="Normal"/>
    <s v="Normal"/>
    <x v="1"/>
    <s v="December"/>
  </r>
  <r>
    <d v="2018-12-20T00:00:00"/>
    <n v="22.2"/>
    <n v="17.7"/>
    <n v="27.7"/>
    <n v="0"/>
    <s v="Normal"/>
    <s v="Normal"/>
    <s v="Normal"/>
    <s v="Normal"/>
    <x v="1"/>
    <s v="December"/>
  </r>
  <r>
    <d v="2018-12-29T00:00:00"/>
    <n v="21.8"/>
    <n v="18.600000000000001"/>
    <n v="27.8"/>
    <n v="10.9"/>
    <s v="Normal"/>
    <s v="Normal"/>
    <s v="Normal"/>
    <s v="Outlier"/>
    <x v="1"/>
    <s v="December"/>
  </r>
  <r>
    <d v="2018-12-30T00:00:00"/>
    <n v="20.6"/>
    <n v="17.2"/>
    <n v="26.6"/>
    <n v="0"/>
    <s v="Normal"/>
    <s v="Normal"/>
    <s v="Normal"/>
    <s v="Normal"/>
    <x v="1"/>
    <s v="December"/>
  </r>
  <r>
    <d v="2019-01-29T00:00:00"/>
    <n v="21.9"/>
    <n v="17.7"/>
    <n v="29.6"/>
    <n v="0.8"/>
    <s v="Normal"/>
    <s v="Normal"/>
    <s v="Normal"/>
    <s v="Normal"/>
    <x v="2"/>
    <s v="December"/>
  </r>
  <r>
    <d v="2019-01-30T00:00:00"/>
    <n v="22.1"/>
    <n v="17.2"/>
    <n v="27.4"/>
    <n v="0"/>
    <s v="Normal"/>
    <s v="Normal"/>
    <s v="Normal"/>
    <s v="Normal"/>
    <x v="2"/>
    <s v="January"/>
  </r>
  <r>
    <d v="2019-03-05T00:00:00"/>
    <n v="27.8"/>
    <n v="23.1"/>
    <n v="34.299999999999997"/>
    <n v="0"/>
    <s v="Normal"/>
    <s v="Normal"/>
    <s v="Normal"/>
    <s v="Normal"/>
    <x v="2"/>
    <s v="January"/>
  </r>
  <r>
    <d v="2019-04-09T00:00:00"/>
    <n v="28.2"/>
    <n v="22.8"/>
    <n v="35.6"/>
    <n v="7.6"/>
    <s v="Normal"/>
    <s v="Normal"/>
    <s v="Normal"/>
    <s v="Normal"/>
    <x v="2"/>
    <s v="March"/>
  </r>
  <r>
    <d v="2019-04-18T00:00:00"/>
    <n v="27.2"/>
    <n v="21.6"/>
    <n v="36"/>
    <n v="16.8"/>
    <s v="Normal"/>
    <s v="Normal"/>
    <s v="Normal"/>
    <s v="Outlier"/>
    <x v="2"/>
    <s v="April"/>
  </r>
  <r>
    <d v="2019-04-19T00:00:00"/>
    <n v="27.6"/>
    <n v="21.4"/>
    <n v="35.6"/>
    <n v="20.8"/>
    <s v="Normal"/>
    <s v="Normal"/>
    <s v="Normal"/>
    <s v="Outlier"/>
    <x v="2"/>
    <s v="April"/>
  </r>
  <r>
    <d v="2019-04-20T00:00:00"/>
    <n v="26.8"/>
    <n v="22.4"/>
    <n v="33.200000000000003"/>
    <n v="0.3"/>
    <s v="Normal"/>
    <s v="Normal"/>
    <s v="Normal"/>
    <s v="Normal"/>
    <x v="2"/>
    <s v="April"/>
  </r>
  <r>
    <d v="2019-04-21T00:00:00"/>
    <n v="27.4"/>
    <n v="21.6"/>
    <n v="34.200000000000003"/>
    <n v="0"/>
    <s v="Normal"/>
    <s v="Normal"/>
    <s v="Normal"/>
    <s v="Normal"/>
    <x v="2"/>
    <s v="April"/>
  </r>
  <r>
    <d v="2019-04-23T00:00:00"/>
    <n v="27.9"/>
    <n v="23.2"/>
    <n v="35"/>
    <n v="0"/>
    <s v="Normal"/>
    <s v="Normal"/>
    <s v="Normal"/>
    <s v="Normal"/>
    <x v="2"/>
    <s v="April"/>
  </r>
  <r>
    <d v="2019-04-30T00:00:00"/>
    <n v="24.2"/>
    <n v="19.899999999999999"/>
    <n v="35"/>
    <n v="35.1"/>
    <s v="Normal"/>
    <s v="Normal"/>
    <s v="Normal"/>
    <s v="Outlier"/>
    <x v="2"/>
    <s v="April"/>
  </r>
  <r>
    <d v="2019-05-01T00:00:00"/>
    <n v="26.3"/>
    <n v="20.9"/>
    <n v="28.9"/>
    <n v="0"/>
    <s v="Normal"/>
    <s v="Normal"/>
    <s v="Normal"/>
    <s v="Normal"/>
    <x v="2"/>
    <s v="April"/>
  </r>
  <r>
    <d v="2019-05-07T00:00:00"/>
    <n v="25.5"/>
    <n v="21.9"/>
    <n v="36.200000000000003"/>
    <n v="0"/>
    <s v="Normal"/>
    <s v="Normal"/>
    <s v="Normal"/>
    <s v="Normal"/>
    <x v="2"/>
    <s v="May"/>
  </r>
  <r>
    <d v="2019-05-08T00:00:00"/>
    <n v="26.7"/>
    <n v="20.6"/>
    <n v="33.6"/>
    <n v="15"/>
    <s v="Normal"/>
    <s v="Normal"/>
    <s v="Normal"/>
    <s v="Outlier"/>
    <x v="2"/>
    <s v="May"/>
  </r>
  <r>
    <d v="2019-05-09T00:00:00"/>
    <n v="27.9"/>
    <n v="20.8"/>
    <n v="33.1"/>
    <n v="0"/>
    <s v="Normal"/>
    <s v="Normal"/>
    <s v="Normal"/>
    <s v="Normal"/>
    <x v="2"/>
    <s v="May"/>
  </r>
  <r>
    <d v="2019-05-12T00:00:00"/>
    <n v="27.8"/>
    <n v="24.4"/>
    <n v="35.200000000000003"/>
    <n v="7.9"/>
    <s v="Normal"/>
    <s v="Outlier"/>
    <s v="Normal"/>
    <s v="Normal"/>
    <x v="2"/>
    <s v="May"/>
  </r>
  <r>
    <d v="2019-05-13T00:00:00"/>
    <n v="26.7"/>
    <n v="21.7"/>
    <n v="35"/>
    <n v="0"/>
    <s v="Normal"/>
    <s v="Normal"/>
    <s v="Normal"/>
    <s v="Normal"/>
    <x v="2"/>
    <s v="May"/>
  </r>
  <r>
    <d v="2019-05-14T00:00:00"/>
    <n v="27.9"/>
    <n v="21.8"/>
    <n v="35"/>
    <n v="0"/>
    <s v="Normal"/>
    <s v="Normal"/>
    <s v="Normal"/>
    <s v="Normal"/>
    <x v="2"/>
    <s v="May"/>
  </r>
  <r>
    <d v="2019-05-15T00:00:00"/>
    <n v="25.6"/>
    <n v="22.2"/>
    <n v="34.799999999999997"/>
    <n v="0"/>
    <s v="Normal"/>
    <s v="Normal"/>
    <s v="Normal"/>
    <s v="Normal"/>
    <x v="2"/>
    <s v="May"/>
  </r>
  <r>
    <d v="2019-05-17T00:00:00"/>
    <n v="24"/>
    <n v="21.4"/>
    <n v="33.6"/>
    <n v="9.9"/>
    <s v="Normal"/>
    <s v="Normal"/>
    <s v="Normal"/>
    <s v="Normal"/>
    <x v="2"/>
    <s v="May"/>
  </r>
  <r>
    <d v="2019-05-18T00:00:00"/>
    <n v="27.7"/>
    <n v="21.4"/>
    <n v="33.6"/>
    <n v="18.8"/>
    <s v="Normal"/>
    <s v="Normal"/>
    <s v="Normal"/>
    <s v="Outlier"/>
    <x v="2"/>
    <s v="May"/>
  </r>
  <r>
    <d v="2019-05-19T00:00:00"/>
    <n v="28.2"/>
    <n v="23.8"/>
    <n v="34"/>
    <n v="0"/>
    <s v="Normal"/>
    <s v="Outlier"/>
    <s v="Normal"/>
    <s v="Normal"/>
    <x v="2"/>
    <s v="May"/>
  </r>
  <r>
    <d v="2019-05-23T00:00:00"/>
    <n v="26.5"/>
    <n v="22.6"/>
    <n v="34.6"/>
    <n v="15"/>
    <s v="Normal"/>
    <s v="Normal"/>
    <s v="Normal"/>
    <s v="Outlier"/>
    <x v="2"/>
    <s v="May"/>
  </r>
  <r>
    <d v="2019-05-24T00:00:00"/>
    <n v="26.1"/>
    <n v="22.4"/>
    <n v="34"/>
    <n v="3.8"/>
    <s v="Normal"/>
    <s v="Normal"/>
    <s v="Normal"/>
    <s v="Normal"/>
    <x v="2"/>
    <s v="May"/>
  </r>
  <r>
    <d v="2019-05-25T00:00:00"/>
    <n v="24.8"/>
    <n v="21"/>
    <n v="33.5"/>
    <n v="0"/>
    <s v="Normal"/>
    <s v="Normal"/>
    <s v="Normal"/>
    <s v="Normal"/>
    <x v="2"/>
    <s v="May"/>
  </r>
  <r>
    <d v="2019-05-27T00:00:00"/>
    <n v="27.7"/>
    <n v="20"/>
    <n v="33.799999999999997"/>
    <n v="37.299999999999997"/>
    <s v="Normal"/>
    <s v="Normal"/>
    <s v="Normal"/>
    <s v="Outlier"/>
    <x v="2"/>
    <s v="May"/>
  </r>
  <r>
    <d v="2019-05-28T00:00:00"/>
    <n v="27.5"/>
    <n v="24.7"/>
    <n v="34.200000000000003"/>
    <n v="0"/>
    <s v="Normal"/>
    <s v="Outlier"/>
    <s v="Normal"/>
    <s v="Normal"/>
    <x v="2"/>
    <s v="May"/>
  </r>
  <r>
    <d v="2019-05-29T00:00:00"/>
    <n v="27.9"/>
    <n v="23"/>
    <n v="33.6"/>
    <n v="0.3"/>
    <s v="Normal"/>
    <s v="Normal"/>
    <s v="Normal"/>
    <s v="Normal"/>
    <x v="2"/>
    <s v="May"/>
  </r>
  <r>
    <d v="2019-05-30T00:00:00"/>
    <n v="27.8"/>
    <n v="23"/>
    <n v="34"/>
    <n v="0"/>
    <s v="Normal"/>
    <s v="Normal"/>
    <s v="Normal"/>
    <s v="Normal"/>
    <x v="2"/>
    <s v="May"/>
  </r>
  <r>
    <d v="2019-06-01T00:00:00"/>
    <n v="27.5"/>
    <n v="21"/>
    <n v="33.200000000000003"/>
    <n v="1.5"/>
    <s v="Normal"/>
    <s v="Normal"/>
    <s v="Normal"/>
    <s v="Normal"/>
    <x v="2"/>
    <s v="May"/>
  </r>
  <r>
    <d v="2019-06-02T00:00:00"/>
    <n v="26.2"/>
    <n v="21.8"/>
    <n v="33.200000000000003"/>
    <n v="0"/>
    <s v="Normal"/>
    <s v="Normal"/>
    <s v="Normal"/>
    <s v="Normal"/>
    <x v="2"/>
    <s v="June"/>
  </r>
  <r>
    <d v="2019-06-03T00:00:00"/>
    <n v="25.5"/>
    <n v="21.2"/>
    <n v="32.1"/>
    <n v="8.4"/>
    <s v="Normal"/>
    <s v="Normal"/>
    <s v="Normal"/>
    <s v="Normal"/>
    <x v="2"/>
    <s v="June"/>
  </r>
  <r>
    <d v="2019-06-04T00:00:00"/>
    <n v="26.9"/>
    <n v="22.1"/>
    <n v="30.5"/>
    <n v="0"/>
    <s v="Normal"/>
    <s v="Normal"/>
    <s v="Normal"/>
    <s v="Normal"/>
    <x v="2"/>
    <s v="June"/>
  </r>
  <r>
    <d v="2019-06-06T00:00:00"/>
    <n v="25.8"/>
    <n v="20.6"/>
    <n v="32.4"/>
    <n v="20.3"/>
    <s v="Normal"/>
    <s v="Normal"/>
    <s v="Normal"/>
    <s v="Outlier"/>
    <x v="2"/>
    <s v="June"/>
  </r>
  <r>
    <d v="2019-06-07T00:00:00"/>
    <n v="25.4"/>
    <n v="20.6"/>
    <n v="32"/>
    <n v="20.100000000000001"/>
    <s v="Normal"/>
    <s v="Normal"/>
    <s v="Normal"/>
    <s v="Outlier"/>
    <x v="2"/>
    <s v="June"/>
  </r>
  <r>
    <d v="2019-06-08T00:00:00"/>
    <n v="26.3"/>
    <n v="22.5"/>
    <n v="31.5"/>
    <n v="0"/>
    <s v="Normal"/>
    <s v="Normal"/>
    <s v="Normal"/>
    <s v="Normal"/>
    <x v="2"/>
    <s v="June"/>
  </r>
  <r>
    <d v="2019-06-13T00:00:00"/>
    <n v="24.8"/>
    <n v="22"/>
    <n v="29.4"/>
    <n v="0"/>
    <s v="Normal"/>
    <s v="Normal"/>
    <s v="Normal"/>
    <s v="Normal"/>
    <x v="2"/>
    <s v="June"/>
  </r>
  <r>
    <d v="2019-06-19T00:00:00"/>
    <n v="26.6"/>
    <n v="21.5"/>
    <n v="31.2"/>
    <n v="0"/>
    <s v="Normal"/>
    <s v="Normal"/>
    <s v="Normal"/>
    <s v="Normal"/>
    <x v="2"/>
    <s v="June"/>
  </r>
  <r>
    <d v="2019-06-20T00:00:00"/>
    <n v="25.7"/>
    <n v="22.2"/>
    <n v="32.299999999999997"/>
    <n v="1.3"/>
    <s v="Normal"/>
    <s v="Normal"/>
    <s v="Normal"/>
    <s v="Normal"/>
    <x v="2"/>
    <s v="June"/>
  </r>
  <r>
    <d v="2019-06-21T00:00:00"/>
    <n v="24.6"/>
    <n v="20.7"/>
    <n v="30.6"/>
    <n v="0"/>
    <s v="Normal"/>
    <s v="Normal"/>
    <s v="Normal"/>
    <s v="Normal"/>
    <x v="2"/>
    <s v="June"/>
  </r>
  <r>
    <d v="2019-06-22T00:00:00"/>
    <n v="25.1"/>
    <n v="21.6"/>
    <n v="29.4"/>
    <n v="0"/>
    <s v="Normal"/>
    <s v="Normal"/>
    <s v="Normal"/>
    <s v="Normal"/>
    <x v="2"/>
    <s v="June"/>
  </r>
  <r>
    <d v="2019-06-23T00:00:00"/>
    <n v="23.8"/>
    <n v="20.8"/>
    <n v="29.4"/>
    <n v="3"/>
    <s v="Normal"/>
    <s v="Normal"/>
    <s v="Normal"/>
    <s v="Normal"/>
    <x v="2"/>
    <s v="June"/>
  </r>
  <r>
    <d v="2019-06-24T00:00:00"/>
    <n v="24.5"/>
    <n v="21"/>
    <n v="29.4"/>
    <n v="26.4"/>
    <s v="Normal"/>
    <s v="Normal"/>
    <s v="Normal"/>
    <s v="Outlier"/>
    <x v="2"/>
    <s v="June"/>
  </r>
  <r>
    <d v="2019-06-25T00:00:00"/>
    <n v="25"/>
    <n v="21.4"/>
    <n v="29.7"/>
    <n v="0"/>
    <s v="Normal"/>
    <s v="Normal"/>
    <s v="Normal"/>
    <s v="Normal"/>
    <x v="2"/>
    <s v="June"/>
  </r>
  <r>
    <d v="2019-06-26T00:00:00"/>
    <n v="24.6"/>
    <n v="21.6"/>
    <n v="29.8"/>
    <n v="0"/>
    <s v="Normal"/>
    <s v="Normal"/>
    <s v="Normal"/>
    <s v="Normal"/>
    <x v="2"/>
    <s v="June"/>
  </r>
  <r>
    <d v="2019-06-28T00:00:00"/>
    <n v="25.2"/>
    <n v="21"/>
    <n v="31"/>
    <n v="2"/>
    <s v="Normal"/>
    <s v="Normal"/>
    <s v="Normal"/>
    <s v="Normal"/>
    <x v="2"/>
    <s v="June"/>
  </r>
  <r>
    <d v="2019-06-29T00:00:00"/>
    <n v="25.1"/>
    <n v="21"/>
    <n v="31.2"/>
    <n v="0"/>
    <s v="Normal"/>
    <s v="Normal"/>
    <s v="Normal"/>
    <s v="Normal"/>
    <x v="2"/>
    <s v="June"/>
  </r>
  <r>
    <d v="2019-07-01T00:00:00"/>
    <n v="25.6"/>
    <n v="21"/>
    <n v="29.8"/>
    <n v="0"/>
    <s v="Normal"/>
    <s v="Normal"/>
    <s v="Normal"/>
    <s v="Normal"/>
    <x v="2"/>
    <s v="June"/>
  </r>
  <r>
    <d v="2019-07-03T00:00:00"/>
    <n v="25.4"/>
    <n v="21.4"/>
    <n v="30.8"/>
    <n v="0"/>
    <s v="Normal"/>
    <s v="Normal"/>
    <s v="Normal"/>
    <s v="Normal"/>
    <x v="2"/>
    <s v="July"/>
  </r>
  <r>
    <d v="2019-07-05T00:00:00"/>
    <n v="23.7"/>
    <n v="20.8"/>
    <n v="30.3"/>
    <n v="0"/>
    <s v="Normal"/>
    <s v="Normal"/>
    <s v="Normal"/>
    <s v="Normal"/>
    <x v="2"/>
    <s v="July"/>
  </r>
  <r>
    <d v="2019-07-07T00:00:00"/>
    <n v="24.5"/>
    <n v="20.7"/>
    <n v="28.6"/>
    <n v="1"/>
    <s v="Normal"/>
    <s v="Normal"/>
    <s v="Normal"/>
    <s v="Normal"/>
    <x v="2"/>
    <s v="July"/>
  </r>
  <r>
    <d v="2019-07-08T00:00:00"/>
    <n v="24.4"/>
    <n v="20.6"/>
    <n v="29.2"/>
    <n v="0"/>
    <s v="Normal"/>
    <s v="Normal"/>
    <s v="Normal"/>
    <s v="Normal"/>
    <x v="2"/>
    <s v="July"/>
  </r>
  <r>
    <d v="2019-07-09T00:00:00"/>
    <n v="23.8"/>
    <n v="20"/>
    <n v="29.5"/>
    <n v="0"/>
    <s v="Normal"/>
    <s v="Normal"/>
    <s v="Normal"/>
    <s v="Normal"/>
    <x v="2"/>
    <s v="July"/>
  </r>
  <r>
    <d v="2019-07-10T00:00:00"/>
    <n v="23.2"/>
    <n v="19.5"/>
    <n v="29.6"/>
    <n v="0"/>
    <s v="Normal"/>
    <s v="Normal"/>
    <s v="Normal"/>
    <s v="Normal"/>
    <x v="2"/>
    <s v="July"/>
  </r>
  <r>
    <d v="2019-07-11T00:00:00"/>
    <n v="24.2"/>
    <n v="20.2"/>
    <n v="29.4"/>
    <n v="0"/>
    <s v="Normal"/>
    <s v="Normal"/>
    <s v="Normal"/>
    <s v="Normal"/>
    <x v="2"/>
    <s v="July"/>
  </r>
  <r>
    <d v="2019-07-12T00:00:00"/>
    <n v="25.3"/>
    <n v="20.8"/>
    <n v="31.4"/>
    <n v="7.1"/>
    <s v="Normal"/>
    <s v="Normal"/>
    <s v="Normal"/>
    <s v="Normal"/>
    <x v="2"/>
    <s v="July"/>
  </r>
  <r>
    <d v="2019-07-13T00:00:00"/>
    <n v="25.2"/>
    <n v="21"/>
    <n v="31.2"/>
    <n v="2.5"/>
    <s v="Normal"/>
    <s v="Normal"/>
    <s v="Normal"/>
    <s v="Normal"/>
    <x v="2"/>
    <s v="July"/>
  </r>
  <r>
    <d v="2019-07-14T00:00:00"/>
    <n v="24.7"/>
    <n v="21.3"/>
    <n v="30"/>
    <n v="1"/>
    <s v="Normal"/>
    <s v="Normal"/>
    <s v="Normal"/>
    <s v="Normal"/>
    <x v="2"/>
    <s v="July"/>
  </r>
  <r>
    <d v="2019-07-15T00:00:00"/>
    <n v="24.2"/>
    <n v="21.4"/>
    <n v="30.8"/>
    <n v="0.3"/>
    <s v="Normal"/>
    <s v="Normal"/>
    <s v="Normal"/>
    <s v="Normal"/>
    <x v="2"/>
    <s v="July"/>
  </r>
  <r>
    <d v="2019-07-16T00:00:00"/>
    <n v="24.8"/>
    <n v="21"/>
    <n v="30.4"/>
    <n v="3"/>
    <s v="Normal"/>
    <s v="Normal"/>
    <s v="Normal"/>
    <s v="Normal"/>
    <x v="2"/>
    <s v="July"/>
  </r>
  <r>
    <d v="2019-07-17T00:00:00"/>
    <n v="24.8"/>
    <n v="21"/>
    <n v="30.3"/>
    <n v="3"/>
    <s v="Normal"/>
    <s v="Normal"/>
    <s v="Normal"/>
    <s v="Normal"/>
    <x v="2"/>
    <s v="July"/>
  </r>
  <r>
    <d v="2019-07-18T00:00:00"/>
    <n v="24.3"/>
    <n v="21.4"/>
    <n v="29.3"/>
    <n v="40.4"/>
    <s v="Normal"/>
    <s v="Normal"/>
    <s v="Normal"/>
    <s v="Outlier"/>
    <x v="2"/>
    <s v="July"/>
  </r>
  <r>
    <d v="2019-07-19T00:00:00"/>
    <n v="23.6"/>
    <n v="21.6"/>
    <n v="28.4"/>
    <n v="1"/>
    <s v="Normal"/>
    <s v="Normal"/>
    <s v="Normal"/>
    <s v="Normal"/>
    <x v="2"/>
    <s v="July"/>
  </r>
  <r>
    <d v="2019-07-20T00:00:00"/>
    <n v="23.4"/>
    <n v="20.6"/>
    <n v="28.4"/>
    <n v="1.3"/>
    <s v="Normal"/>
    <s v="Normal"/>
    <s v="Normal"/>
    <s v="Normal"/>
    <x v="2"/>
    <s v="July"/>
  </r>
  <r>
    <d v="2019-07-21T00:00:00"/>
    <n v="23"/>
    <n v="20.6"/>
    <n v="27.7"/>
    <n v="0"/>
    <s v="Normal"/>
    <s v="Normal"/>
    <s v="Normal"/>
    <s v="Normal"/>
    <x v="2"/>
    <s v="July"/>
  </r>
  <r>
    <d v="2019-07-22T00:00:00"/>
    <n v="22.2"/>
    <n v="19.899999999999999"/>
    <n v="27.6"/>
    <n v="3.3"/>
    <s v="Normal"/>
    <s v="Normal"/>
    <s v="Normal"/>
    <s v="Normal"/>
    <x v="2"/>
    <s v="July"/>
  </r>
  <r>
    <d v="2019-07-23T00:00:00"/>
    <n v="22"/>
    <n v="19.2"/>
    <n v="26"/>
    <n v="14"/>
    <s v="Normal"/>
    <s v="Normal"/>
    <s v="Normal"/>
    <s v="Outlier"/>
    <x v="2"/>
    <s v="July"/>
  </r>
  <r>
    <d v="2019-07-24T00:00:00"/>
    <n v="24.3"/>
    <n v="20"/>
    <n v="29.7"/>
    <n v="0.3"/>
    <s v="Normal"/>
    <s v="Normal"/>
    <s v="Normal"/>
    <s v="Normal"/>
    <x v="2"/>
    <s v="July"/>
  </r>
  <r>
    <d v="2019-07-25T00:00:00"/>
    <n v="23.8"/>
    <n v="21.3"/>
    <n v="29.5"/>
    <n v="1"/>
    <s v="Normal"/>
    <s v="Normal"/>
    <s v="Normal"/>
    <s v="Normal"/>
    <x v="2"/>
    <s v="July"/>
  </r>
  <r>
    <d v="2019-07-26T00:00:00"/>
    <n v="22.6"/>
    <n v="20.6"/>
    <n v="28.5"/>
    <n v="11.2"/>
    <s v="Normal"/>
    <s v="Normal"/>
    <s v="Normal"/>
    <s v="Outlier"/>
    <x v="2"/>
    <s v="July"/>
  </r>
  <r>
    <d v="2019-07-27T00:00:00"/>
    <n v="24.1"/>
    <n v="20.399999999999999"/>
    <n v="28.3"/>
    <n v="0"/>
    <s v="Normal"/>
    <s v="Normal"/>
    <s v="Normal"/>
    <s v="Normal"/>
    <x v="2"/>
    <s v="July"/>
  </r>
  <r>
    <d v="2019-07-28T00:00:00"/>
    <n v="23.4"/>
    <n v="20.6"/>
    <n v="29"/>
    <n v="0"/>
    <s v="Normal"/>
    <s v="Normal"/>
    <s v="Normal"/>
    <s v="Normal"/>
    <x v="2"/>
    <s v="July"/>
  </r>
  <r>
    <d v="2019-07-29T00:00:00"/>
    <n v="23.4"/>
    <n v="20.8"/>
    <n v="28.2"/>
    <n v="0"/>
    <s v="Normal"/>
    <s v="Normal"/>
    <s v="Normal"/>
    <s v="Normal"/>
    <x v="2"/>
    <s v="July"/>
  </r>
  <r>
    <d v="2019-07-30T00:00:00"/>
    <n v="22.9"/>
    <n v="20.100000000000001"/>
    <n v="27.6"/>
    <n v="0"/>
    <s v="Normal"/>
    <s v="Normal"/>
    <s v="Normal"/>
    <s v="Normal"/>
    <x v="2"/>
    <s v="July"/>
  </r>
  <r>
    <d v="2019-08-05T00:00:00"/>
    <n v="22.4"/>
    <n v="20.6"/>
    <n v="27.9"/>
    <n v="2"/>
    <s v="Normal"/>
    <s v="Normal"/>
    <s v="Normal"/>
    <s v="Normal"/>
    <x v="2"/>
    <s v="July"/>
  </r>
  <r>
    <d v="2019-08-06T00:00:00"/>
    <n v="21.8"/>
    <n v="20"/>
    <n v="25.6"/>
    <n v="2.8"/>
    <s v="Normal"/>
    <s v="Normal"/>
    <s v="Normal"/>
    <s v="Normal"/>
    <x v="2"/>
    <s v="August"/>
  </r>
  <r>
    <d v="2019-08-07T00:00:00"/>
    <n v="22.1"/>
    <n v="20.3"/>
    <n v="25.4"/>
    <n v="2"/>
    <s v="Normal"/>
    <s v="Normal"/>
    <s v="Normal"/>
    <s v="Normal"/>
    <x v="2"/>
    <s v="August"/>
  </r>
  <r>
    <d v="2019-08-08T00:00:00"/>
    <n v="22"/>
    <n v="20.8"/>
    <n v="25.2"/>
    <n v="3"/>
    <s v="Normal"/>
    <s v="Normal"/>
    <s v="Normal"/>
    <s v="Normal"/>
    <x v="2"/>
    <s v="August"/>
  </r>
  <r>
    <d v="2019-08-09T00:00:00"/>
    <n v="21.8"/>
    <n v="20.3"/>
    <n v="25.7"/>
    <n v="21.1"/>
    <s v="Normal"/>
    <s v="Normal"/>
    <s v="Normal"/>
    <s v="Outlier"/>
    <x v="2"/>
    <s v="August"/>
  </r>
  <r>
    <d v="2019-08-10T00:00:00"/>
    <n v="22.7"/>
    <n v="19.8"/>
    <n v="26.2"/>
    <n v="0.8"/>
    <s v="Normal"/>
    <s v="Normal"/>
    <s v="Normal"/>
    <s v="Normal"/>
    <x v="2"/>
    <s v="August"/>
  </r>
  <r>
    <d v="2019-08-11T00:00:00"/>
    <n v="23"/>
    <n v="20"/>
    <n v="28.5"/>
    <n v="0"/>
    <s v="Normal"/>
    <s v="Normal"/>
    <s v="Normal"/>
    <s v="Normal"/>
    <x v="2"/>
    <s v="August"/>
  </r>
  <r>
    <d v="2019-08-12T00:00:00"/>
    <n v="23.2"/>
    <n v="20.2"/>
    <n v="27.5"/>
    <n v="6.1"/>
    <s v="Normal"/>
    <s v="Normal"/>
    <s v="Normal"/>
    <s v="Normal"/>
    <x v="2"/>
    <s v="August"/>
  </r>
  <r>
    <d v="2019-08-13T00:00:00"/>
    <n v="23.1"/>
    <n v="20.6"/>
    <n v="27.6"/>
    <n v="19.100000000000001"/>
    <s v="Normal"/>
    <s v="Normal"/>
    <s v="Normal"/>
    <s v="Outlier"/>
    <x v="2"/>
    <s v="August"/>
  </r>
  <r>
    <d v="2019-08-14T00:00:00"/>
    <n v="22.8"/>
    <n v="20.7"/>
    <n v="27.4"/>
    <n v="0.3"/>
    <s v="Normal"/>
    <s v="Normal"/>
    <s v="Normal"/>
    <s v="Normal"/>
    <x v="2"/>
    <s v="August"/>
  </r>
  <r>
    <d v="2019-08-15T00:00:00"/>
    <n v="23.2"/>
    <n v="20.5"/>
    <n v="28.4"/>
    <n v="9.1"/>
    <s v="Normal"/>
    <s v="Normal"/>
    <s v="Normal"/>
    <s v="Normal"/>
    <x v="2"/>
    <s v="August"/>
  </r>
  <r>
    <d v="2019-08-16T00:00:00"/>
    <n v="23.1"/>
    <n v="20.8"/>
    <n v="29.2"/>
    <n v="0"/>
    <s v="Normal"/>
    <s v="Normal"/>
    <s v="Normal"/>
    <s v="Normal"/>
    <x v="2"/>
    <s v="August"/>
  </r>
  <r>
    <d v="2019-08-17T00:00:00"/>
    <n v="22.2"/>
    <n v="20"/>
    <n v="28.6"/>
    <n v="3"/>
    <s v="Normal"/>
    <s v="Normal"/>
    <s v="Normal"/>
    <s v="Normal"/>
    <x v="2"/>
    <s v="August"/>
  </r>
  <r>
    <d v="2019-08-18T00:00:00"/>
    <n v="21.7"/>
    <n v="20.6"/>
    <n v="24.8"/>
    <n v="24.1"/>
    <s v="Normal"/>
    <s v="Normal"/>
    <s v="Normal"/>
    <s v="Outlier"/>
    <x v="2"/>
    <s v="August"/>
  </r>
  <r>
    <d v="2019-08-19T00:00:00"/>
    <n v="23.5"/>
    <n v="20.3"/>
    <n v="28.8"/>
    <n v="11.7"/>
    <s v="Normal"/>
    <s v="Normal"/>
    <s v="Normal"/>
    <s v="Outlier"/>
    <x v="2"/>
    <s v="August"/>
  </r>
  <r>
    <d v="2019-08-20T00:00:00"/>
    <n v="22.8"/>
    <n v="20.100000000000001"/>
    <n v="29"/>
    <n v="17.5"/>
    <s v="Normal"/>
    <s v="Normal"/>
    <s v="Normal"/>
    <s v="Outlier"/>
    <x v="2"/>
    <s v="August"/>
  </r>
  <r>
    <d v="2019-08-21T00:00:00"/>
    <n v="23.2"/>
    <n v="20.8"/>
    <n v="27.4"/>
    <n v="16.5"/>
    <s v="Normal"/>
    <s v="Normal"/>
    <s v="Normal"/>
    <s v="Outlier"/>
    <x v="2"/>
    <s v="August"/>
  </r>
  <r>
    <d v="2019-08-22T00:00:00"/>
    <n v="22.7"/>
    <n v="20.8"/>
    <n v="27.3"/>
    <n v="0"/>
    <s v="Normal"/>
    <s v="Normal"/>
    <s v="Normal"/>
    <s v="Normal"/>
    <x v="2"/>
    <s v="August"/>
  </r>
  <r>
    <d v="2019-08-23T00:00:00"/>
    <n v="22.7"/>
    <n v="20.3"/>
    <n v="27.5"/>
    <n v="5.3"/>
    <s v="Normal"/>
    <s v="Normal"/>
    <s v="Normal"/>
    <s v="Normal"/>
    <x v="2"/>
    <s v="August"/>
  </r>
  <r>
    <d v="2019-08-24T00:00:00"/>
    <n v="22.7"/>
    <n v="20"/>
    <n v="27.6"/>
    <n v="1.5"/>
    <s v="Normal"/>
    <s v="Normal"/>
    <s v="Normal"/>
    <s v="Normal"/>
    <x v="2"/>
    <s v="August"/>
  </r>
  <r>
    <d v="2019-08-25T00:00:00"/>
    <n v="23"/>
    <n v="20"/>
    <n v="28.4"/>
    <n v="0"/>
    <s v="Normal"/>
    <s v="Normal"/>
    <s v="Normal"/>
    <s v="Normal"/>
    <x v="2"/>
    <s v="August"/>
  </r>
  <r>
    <d v="2019-08-26T00:00:00"/>
    <n v="23"/>
    <n v="20"/>
    <n v="28.3"/>
    <n v="0"/>
    <s v="Normal"/>
    <s v="Normal"/>
    <s v="Normal"/>
    <s v="Normal"/>
    <x v="2"/>
    <s v="August"/>
  </r>
  <r>
    <d v="2019-08-27T00:00:00"/>
    <n v="23.9"/>
    <n v="20.399999999999999"/>
    <n v="29.4"/>
    <n v="0.3"/>
    <s v="Normal"/>
    <s v="Normal"/>
    <s v="Normal"/>
    <s v="Normal"/>
    <x v="2"/>
    <s v="August"/>
  </r>
  <r>
    <d v="2019-08-28T00:00:00"/>
    <n v="23.7"/>
    <n v="20"/>
    <n v="29"/>
    <n v="0"/>
    <s v="Normal"/>
    <s v="Normal"/>
    <s v="Normal"/>
    <s v="Normal"/>
    <x v="2"/>
    <s v="August"/>
  </r>
  <r>
    <d v="2019-08-29T00:00:00"/>
    <n v="24.1"/>
    <n v="20.6"/>
    <n v="29.3"/>
    <n v="0"/>
    <s v="Normal"/>
    <s v="Normal"/>
    <s v="Normal"/>
    <s v="Normal"/>
    <x v="2"/>
    <s v="August"/>
  </r>
  <r>
    <d v="2019-08-30T00:00:00"/>
    <n v="24.3"/>
    <n v="20.6"/>
    <n v="29"/>
    <n v="0"/>
    <s v="Normal"/>
    <s v="Normal"/>
    <s v="Normal"/>
    <s v="Normal"/>
    <x v="2"/>
    <s v="August"/>
  </r>
  <r>
    <d v="2019-08-31T00:00:00"/>
    <n v="23"/>
    <n v="20.399999999999999"/>
    <n v="28.7"/>
    <n v="0"/>
    <s v="Normal"/>
    <s v="Normal"/>
    <s v="Normal"/>
    <s v="Normal"/>
    <x v="2"/>
    <s v="August"/>
  </r>
  <r>
    <d v="2019-09-01T00:00:00"/>
    <n v="23"/>
    <n v="20.100000000000001"/>
    <n v="26.4"/>
    <n v="0"/>
    <s v="Normal"/>
    <s v="Normal"/>
    <s v="Normal"/>
    <s v="Normal"/>
    <x v="2"/>
    <s v="August"/>
  </r>
  <r>
    <d v="2019-09-02T00:00:00"/>
    <n v="22.3"/>
    <n v="20.3"/>
    <n v="26.8"/>
    <n v="0.5"/>
    <s v="Normal"/>
    <s v="Normal"/>
    <s v="Normal"/>
    <s v="Normal"/>
    <x v="2"/>
    <s v="September"/>
  </r>
  <r>
    <d v="2019-09-03T00:00:00"/>
    <n v="22.2"/>
    <n v="20.100000000000001"/>
    <n v="26.4"/>
    <n v="13"/>
    <s v="Normal"/>
    <s v="Normal"/>
    <s v="Normal"/>
    <s v="Outlier"/>
    <x v="2"/>
    <s v="September"/>
  </r>
  <r>
    <d v="2019-09-04T00:00:00"/>
    <n v="22.2"/>
    <n v="20.3"/>
    <n v="26.4"/>
    <n v="4.5999999999999996"/>
    <s v="Normal"/>
    <s v="Normal"/>
    <s v="Normal"/>
    <s v="Normal"/>
    <x v="2"/>
    <s v="September"/>
  </r>
  <r>
    <d v="2019-09-05T00:00:00"/>
    <n v="22.6"/>
    <n v="20.399999999999999"/>
    <n v="27.8"/>
    <n v="0"/>
    <s v="Normal"/>
    <s v="Normal"/>
    <s v="Normal"/>
    <s v="Normal"/>
    <x v="2"/>
    <s v="September"/>
  </r>
  <r>
    <d v="2019-09-06T00:00:00"/>
    <n v="22.8"/>
    <n v="20.399999999999999"/>
    <n v="27.4"/>
    <n v="0.5"/>
    <s v="Normal"/>
    <s v="Normal"/>
    <s v="Normal"/>
    <s v="Normal"/>
    <x v="2"/>
    <s v="September"/>
  </r>
  <r>
    <d v="2019-09-07T00:00:00"/>
    <n v="23.2"/>
    <n v="20.399999999999999"/>
    <n v="27.3"/>
    <n v="2.2999999999999998"/>
    <s v="Normal"/>
    <s v="Normal"/>
    <s v="Normal"/>
    <s v="Normal"/>
    <x v="2"/>
    <s v="September"/>
  </r>
  <r>
    <d v="2019-09-08T00:00:00"/>
    <n v="23.6"/>
    <n v="20.8"/>
    <n v="27.8"/>
    <n v="0.3"/>
    <s v="Normal"/>
    <s v="Normal"/>
    <s v="Normal"/>
    <s v="Normal"/>
    <x v="2"/>
    <s v="September"/>
  </r>
  <r>
    <d v="2019-09-09T00:00:00"/>
    <n v="24.1"/>
    <n v="21"/>
    <n v="27.5"/>
    <n v="0.3"/>
    <s v="Normal"/>
    <s v="Normal"/>
    <s v="Normal"/>
    <s v="Normal"/>
    <x v="2"/>
    <s v="September"/>
  </r>
  <r>
    <d v="2019-09-10T00:00:00"/>
    <n v="24.2"/>
    <n v="20.6"/>
    <n v="27.9"/>
    <n v="0"/>
    <s v="Normal"/>
    <s v="Normal"/>
    <s v="Normal"/>
    <s v="Normal"/>
    <x v="2"/>
    <s v="September"/>
  </r>
  <r>
    <d v="2019-09-12T00:00:00"/>
    <n v="24"/>
    <n v="21"/>
    <n v="29.6"/>
    <n v="0"/>
    <s v="Normal"/>
    <s v="Normal"/>
    <s v="Normal"/>
    <s v="Normal"/>
    <x v="2"/>
    <s v="September"/>
  </r>
  <r>
    <d v="2019-09-13T00:00:00"/>
    <n v="24.7"/>
    <n v="21"/>
    <n v="29.8"/>
    <n v="0.5"/>
    <s v="Normal"/>
    <s v="Normal"/>
    <s v="Normal"/>
    <s v="Normal"/>
    <x v="2"/>
    <s v="September"/>
  </r>
  <r>
    <d v="2019-09-14T00:00:00"/>
    <n v="25.1"/>
    <n v="21.2"/>
    <n v="30.2"/>
    <n v="0"/>
    <s v="Normal"/>
    <s v="Normal"/>
    <s v="Normal"/>
    <s v="Normal"/>
    <x v="2"/>
    <s v="September"/>
  </r>
  <r>
    <d v="2019-09-15T00:00:00"/>
    <n v="24.8"/>
    <n v="21.3"/>
    <n v="30.7"/>
    <n v="0"/>
    <s v="Normal"/>
    <s v="Normal"/>
    <s v="Normal"/>
    <s v="Normal"/>
    <x v="2"/>
    <s v="September"/>
  </r>
  <r>
    <d v="2019-09-16T00:00:00"/>
    <n v="23.2"/>
    <n v="20.2"/>
    <n v="29.5"/>
    <n v="0.3"/>
    <s v="Normal"/>
    <s v="Normal"/>
    <s v="Normal"/>
    <s v="Normal"/>
    <x v="2"/>
    <s v="September"/>
  </r>
  <r>
    <d v="2019-09-17T00:00:00"/>
    <n v="23.2"/>
    <n v="20.2"/>
    <n v="28.8"/>
    <n v="30.7"/>
    <s v="Normal"/>
    <s v="Normal"/>
    <s v="Normal"/>
    <s v="Outlier"/>
    <x v="2"/>
    <s v="September"/>
  </r>
  <r>
    <d v="2019-09-18T00:00:00"/>
    <n v="23.9"/>
    <n v="21.6"/>
    <n v="27.8"/>
    <n v="0.5"/>
    <s v="Normal"/>
    <s v="Normal"/>
    <s v="Normal"/>
    <s v="Normal"/>
    <x v="2"/>
    <s v="September"/>
  </r>
  <r>
    <d v="2019-09-19T00:00:00"/>
    <n v="24.2"/>
    <n v="21.2"/>
    <n v="27.8"/>
    <n v="0.3"/>
    <s v="Normal"/>
    <s v="Normal"/>
    <s v="Normal"/>
    <s v="Normal"/>
    <x v="2"/>
    <s v="September"/>
  </r>
  <r>
    <d v="2019-09-20T00:00:00"/>
    <n v="24.2"/>
    <n v="20.6"/>
    <n v="29"/>
    <n v="1.8"/>
    <s v="Normal"/>
    <s v="Normal"/>
    <s v="Normal"/>
    <s v="Normal"/>
    <x v="2"/>
    <s v="September"/>
  </r>
  <r>
    <d v="2019-09-21T00:00:00"/>
    <n v="25.2"/>
    <n v="21.2"/>
    <n v="29.8"/>
    <n v="0"/>
    <s v="Normal"/>
    <s v="Normal"/>
    <s v="Normal"/>
    <s v="Normal"/>
    <x v="2"/>
    <s v="September"/>
  </r>
  <r>
    <d v="2019-09-22T00:00:00"/>
    <n v="23.2"/>
    <n v="21.2"/>
    <n v="30.8"/>
    <n v="7.9"/>
    <s v="Normal"/>
    <s v="Normal"/>
    <s v="Normal"/>
    <s v="Normal"/>
    <x v="2"/>
    <s v="September"/>
  </r>
  <r>
    <d v="2019-09-23T00:00:00"/>
    <n v="23.7"/>
    <n v="20.6"/>
    <n v="28.8"/>
    <n v="13"/>
    <s v="Normal"/>
    <s v="Normal"/>
    <s v="Normal"/>
    <s v="Outlier"/>
    <x v="2"/>
    <s v="September"/>
  </r>
  <r>
    <d v="2019-09-24T00:00:00"/>
    <n v="23.5"/>
    <n v="19.7"/>
    <n v="28.7"/>
    <n v="29.7"/>
    <s v="Normal"/>
    <s v="Normal"/>
    <s v="Normal"/>
    <s v="Outlier"/>
    <x v="2"/>
    <s v="September"/>
  </r>
  <r>
    <d v="2019-09-25T00:00:00"/>
    <n v="23.2"/>
    <n v="20.8"/>
    <n v="28.8"/>
    <n v="23.6"/>
    <s v="Normal"/>
    <s v="Normal"/>
    <s v="Normal"/>
    <s v="Outlier"/>
    <x v="2"/>
    <s v="September"/>
  </r>
  <r>
    <d v="2019-09-26T00:00:00"/>
    <n v="23.9"/>
    <n v="20.2"/>
    <n v="28"/>
    <n v="1.8"/>
    <s v="Normal"/>
    <s v="Normal"/>
    <s v="Normal"/>
    <s v="Normal"/>
    <x v="2"/>
    <s v="September"/>
  </r>
  <r>
    <d v="2019-09-27T00:00:00"/>
    <n v="23.9"/>
    <n v="21"/>
    <n v="29.8"/>
    <n v="0"/>
    <s v="Normal"/>
    <s v="Normal"/>
    <s v="Normal"/>
    <s v="Normal"/>
    <x v="2"/>
    <s v="September"/>
  </r>
  <r>
    <d v="2019-09-28T00:00:00"/>
    <n v="24.7"/>
    <n v="21.1"/>
    <n v="29.1"/>
    <n v="6.1"/>
    <s v="Normal"/>
    <s v="Normal"/>
    <s v="Normal"/>
    <s v="Normal"/>
    <x v="2"/>
    <s v="September"/>
  </r>
  <r>
    <d v="2019-09-29T00:00:00"/>
    <n v="24.7"/>
    <n v="21.1"/>
    <n v="30"/>
    <n v="0"/>
    <s v="Normal"/>
    <s v="Normal"/>
    <s v="Normal"/>
    <s v="Normal"/>
    <x v="2"/>
    <s v="September"/>
  </r>
  <r>
    <d v="2019-10-02T00:00:00"/>
    <n v="23.8"/>
    <n v="18.600000000000001"/>
    <n v="29.1"/>
    <n v="22.1"/>
    <s v="Normal"/>
    <s v="Normal"/>
    <s v="Normal"/>
    <s v="Outlier"/>
    <x v="2"/>
    <s v="September"/>
  </r>
  <r>
    <d v="2019-10-03T00:00:00"/>
    <n v="23.5"/>
    <n v="19.2"/>
    <n v="30.4"/>
    <n v="7.9"/>
    <s v="Normal"/>
    <s v="Normal"/>
    <s v="Normal"/>
    <s v="Normal"/>
    <x v="2"/>
    <s v="October"/>
  </r>
  <r>
    <d v="2019-10-04T00:00:00"/>
    <n v="23"/>
    <n v="19.600000000000001"/>
    <n v="28.3"/>
    <n v="2.2999999999999998"/>
    <s v="Normal"/>
    <s v="Normal"/>
    <s v="Normal"/>
    <s v="Normal"/>
    <x v="2"/>
    <s v="October"/>
  </r>
  <r>
    <d v="2019-10-05T00:00:00"/>
    <n v="23.5"/>
    <n v="19.899999999999999"/>
    <n v="29.4"/>
    <n v="8.6"/>
    <s v="Normal"/>
    <s v="Normal"/>
    <s v="Normal"/>
    <s v="Normal"/>
    <x v="2"/>
    <s v="October"/>
  </r>
  <r>
    <d v="2019-10-06T00:00:00"/>
    <n v="24.3"/>
    <n v="20.6"/>
    <n v="28.7"/>
    <n v="0.5"/>
    <s v="Normal"/>
    <s v="Normal"/>
    <s v="Normal"/>
    <s v="Normal"/>
    <x v="2"/>
    <s v="October"/>
  </r>
  <r>
    <d v="2019-10-07T00:00:00"/>
    <n v="24.1"/>
    <n v="21.3"/>
    <n v="29.6"/>
    <n v="0"/>
    <s v="Normal"/>
    <s v="Normal"/>
    <s v="Normal"/>
    <s v="Normal"/>
    <x v="2"/>
    <s v="October"/>
  </r>
  <r>
    <d v="2019-10-08T00:00:00"/>
    <n v="23.3"/>
    <n v="19.2"/>
    <n v="29.2"/>
    <n v="0"/>
    <s v="Normal"/>
    <s v="Normal"/>
    <s v="Normal"/>
    <s v="Normal"/>
    <x v="2"/>
    <s v="October"/>
  </r>
  <r>
    <d v="2019-10-09T00:00:00"/>
    <n v="24.3"/>
    <n v="19.3"/>
    <n v="30.1"/>
    <n v="5.6"/>
    <s v="Normal"/>
    <s v="Normal"/>
    <s v="Normal"/>
    <s v="Normal"/>
    <x v="2"/>
    <s v="October"/>
  </r>
  <r>
    <d v="2019-10-10T00:00:00"/>
    <n v="24.7"/>
    <n v="20.7"/>
    <n v="30"/>
    <n v="0"/>
    <s v="Normal"/>
    <s v="Normal"/>
    <s v="Normal"/>
    <s v="Normal"/>
    <x v="2"/>
    <s v="October"/>
  </r>
  <r>
    <d v="2019-10-11T00:00:00"/>
    <n v="24.4"/>
    <n v="21.8"/>
    <n v="30"/>
    <n v="0"/>
    <s v="Normal"/>
    <s v="Normal"/>
    <s v="Normal"/>
    <s v="Normal"/>
    <x v="2"/>
    <s v="October"/>
  </r>
  <r>
    <d v="2019-10-12T00:00:00"/>
    <n v="25"/>
    <n v="21.5"/>
    <n v="29.6"/>
    <n v="0.5"/>
    <s v="Normal"/>
    <s v="Normal"/>
    <s v="Normal"/>
    <s v="Normal"/>
    <x v="2"/>
    <s v="October"/>
  </r>
  <r>
    <d v="2019-10-13T00:00:00"/>
    <n v="24.9"/>
    <n v="21.5"/>
    <n v="29.8"/>
    <n v="0"/>
    <s v="Normal"/>
    <s v="Normal"/>
    <s v="Normal"/>
    <s v="Normal"/>
    <x v="2"/>
    <s v="October"/>
  </r>
  <r>
    <d v="2019-10-14T00:00:00"/>
    <n v="26.7"/>
    <n v="21.6"/>
    <n v="29.6"/>
    <n v="0"/>
    <s v="Normal"/>
    <s v="Normal"/>
    <s v="Normal"/>
    <s v="Normal"/>
    <x v="2"/>
    <s v="October"/>
  </r>
  <r>
    <d v="2019-10-15T00:00:00"/>
    <n v="24.7"/>
    <n v="21.6"/>
    <n v="30.7"/>
    <n v="0"/>
    <s v="Normal"/>
    <s v="Normal"/>
    <s v="Normal"/>
    <s v="Normal"/>
    <x v="2"/>
    <s v="October"/>
  </r>
  <r>
    <d v="2019-10-16T00:00:00"/>
    <n v="24.5"/>
    <n v="21.2"/>
    <n v="30"/>
    <n v="0"/>
    <s v="Normal"/>
    <s v="Normal"/>
    <s v="Normal"/>
    <s v="Normal"/>
    <x v="2"/>
    <s v="October"/>
  </r>
  <r>
    <d v="2019-10-17T00:00:00"/>
    <n v="22.4"/>
    <n v="20.8"/>
    <n v="28.4"/>
    <n v="0"/>
    <s v="Normal"/>
    <s v="Normal"/>
    <s v="Normal"/>
    <s v="Normal"/>
    <x v="2"/>
    <s v="October"/>
  </r>
  <r>
    <d v="2019-10-18T00:00:00"/>
    <n v="23"/>
    <n v="20.2"/>
    <n v="26.8"/>
    <n v="3.8"/>
    <s v="Normal"/>
    <s v="Normal"/>
    <s v="Normal"/>
    <s v="Normal"/>
    <x v="2"/>
    <s v="October"/>
  </r>
  <r>
    <d v="2019-10-19T00:00:00"/>
    <n v="23.4"/>
    <n v="20.2"/>
    <n v="27.6"/>
    <n v="8.9"/>
    <s v="Normal"/>
    <s v="Normal"/>
    <s v="Normal"/>
    <s v="Normal"/>
    <x v="2"/>
    <s v="October"/>
  </r>
  <r>
    <d v="2019-10-20T00:00:00"/>
    <n v="23.3"/>
    <n v="21"/>
    <n v="27.9"/>
    <n v="0"/>
    <s v="Normal"/>
    <s v="Normal"/>
    <s v="Normal"/>
    <s v="Normal"/>
    <x v="2"/>
    <s v="October"/>
  </r>
  <r>
    <d v="2019-10-21T00:00:00"/>
    <n v="22.2"/>
    <n v="20.6"/>
    <n v="28.6"/>
    <n v="7.9"/>
    <s v="Normal"/>
    <s v="Normal"/>
    <s v="Normal"/>
    <s v="Normal"/>
    <x v="2"/>
    <s v="October"/>
  </r>
  <r>
    <d v="2019-10-22T00:00:00"/>
    <n v="21.4"/>
    <n v="20.3"/>
    <n v="27.1"/>
    <n v="38.9"/>
    <s v="Normal"/>
    <s v="Normal"/>
    <s v="Normal"/>
    <s v="Outlier"/>
    <x v="2"/>
    <s v="October"/>
  </r>
  <r>
    <d v="2019-10-23T00:00:00"/>
    <n v="22.8"/>
    <n v="19.8"/>
    <n v="28"/>
    <n v="13.2"/>
    <s v="Normal"/>
    <s v="Normal"/>
    <s v="Normal"/>
    <s v="Outlier"/>
    <x v="2"/>
    <s v="October"/>
  </r>
  <r>
    <d v="2019-10-24T00:00:00"/>
    <n v="22.5"/>
    <n v="20"/>
    <n v="27.6"/>
    <n v="0"/>
    <s v="Normal"/>
    <s v="Normal"/>
    <s v="Normal"/>
    <s v="Normal"/>
    <x v="2"/>
    <s v="October"/>
  </r>
  <r>
    <d v="2019-10-25T00:00:00"/>
    <n v="21.5"/>
    <n v="19.600000000000001"/>
    <n v="26.7"/>
    <n v="0"/>
    <s v="Normal"/>
    <s v="Normal"/>
    <s v="Normal"/>
    <s v="Normal"/>
    <x v="2"/>
    <s v="October"/>
  </r>
  <r>
    <d v="2019-10-26T00:00:00"/>
    <n v="22.4"/>
    <n v="19"/>
    <n v="27"/>
    <n v="6.1"/>
    <s v="Normal"/>
    <s v="Normal"/>
    <s v="Normal"/>
    <s v="Normal"/>
    <x v="2"/>
    <s v="October"/>
  </r>
  <r>
    <d v="2019-10-27T00:00:00"/>
    <n v="22.3"/>
    <n v="19.399999999999999"/>
    <n v="27.8"/>
    <n v="3"/>
    <s v="Normal"/>
    <s v="Normal"/>
    <s v="Normal"/>
    <s v="Normal"/>
    <x v="2"/>
    <s v="October"/>
  </r>
  <r>
    <d v="2019-10-28T00:00:00"/>
    <n v="23.1"/>
    <n v="19.399999999999999"/>
    <n v="27.4"/>
    <n v="37.1"/>
    <s v="Normal"/>
    <s v="Normal"/>
    <s v="Normal"/>
    <s v="Outlier"/>
    <x v="2"/>
    <s v="October"/>
  </r>
  <r>
    <d v="2019-10-29T00:00:00"/>
    <n v="22"/>
    <n v="20"/>
    <n v="27.6"/>
    <n v="0"/>
    <s v="Normal"/>
    <s v="Normal"/>
    <s v="Normal"/>
    <s v="Normal"/>
    <x v="2"/>
    <s v="October"/>
  </r>
  <r>
    <d v="2019-10-30T00:00:00"/>
    <n v="21.4"/>
    <n v="19.7"/>
    <n v="25.3"/>
    <n v="4.5999999999999996"/>
    <s v="Normal"/>
    <s v="Normal"/>
    <s v="Normal"/>
    <s v="Normal"/>
    <x v="2"/>
    <s v="October"/>
  </r>
  <r>
    <d v="2019-10-31T00:00:00"/>
    <n v="22.5"/>
    <n v="19.7"/>
    <n v="25.6"/>
    <n v="6.9"/>
    <s v="Normal"/>
    <s v="Normal"/>
    <s v="Normal"/>
    <s v="Normal"/>
    <x v="2"/>
    <s v="October"/>
  </r>
  <r>
    <d v="2019-11-01T00:00:00"/>
    <n v="23.8"/>
    <n v="18"/>
    <n v="28.8"/>
    <n v="0.3"/>
    <s v="Normal"/>
    <s v="Normal"/>
    <s v="Normal"/>
    <s v="Normal"/>
    <x v="2"/>
    <s v="October"/>
  </r>
  <r>
    <d v="2019-11-02T00:00:00"/>
    <n v="24.2"/>
    <n v="21"/>
    <n v="29.4"/>
    <n v="0"/>
    <s v="Normal"/>
    <s v="Normal"/>
    <s v="Normal"/>
    <s v="Normal"/>
    <x v="2"/>
    <s v="November"/>
  </r>
  <r>
    <d v="2019-11-08T00:00:00"/>
    <n v="24.4"/>
    <n v="18.8"/>
    <n v="29.4"/>
    <n v="3"/>
    <s v="Normal"/>
    <s v="Normal"/>
    <s v="Normal"/>
    <s v="Normal"/>
    <x v="2"/>
    <s v="November"/>
  </r>
  <r>
    <d v="2019-11-09T00:00:00"/>
    <n v="24.3"/>
    <n v="20.3"/>
    <n v="29.2"/>
    <n v="0"/>
    <s v="Normal"/>
    <s v="Normal"/>
    <s v="Normal"/>
    <s v="Normal"/>
    <x v="2"/>
    <s v="November"/>
  </r>
  <r>
    <d v="2019-11-10T00:00:00"/>
    <n v="24.6"/>
    <n v="20.399999999999999"/>
    <n v="29.9"/>
    <n v="49.5"/>
    <s v="Normal"/>
    <s v="Normal"/>
    <s v="Normal"/>
    <s v="Outlier"/>
    <x v="2"/>
    <s v="November"/>
  </r>
  <r>
    <d v="2019-11-11T00:00:00"/>
    <n v="23.8"/>
    <n v="19.7"/>
    <n v="29.8"/>
    <n v="0"/>
    <s v="Normal"/>
    <s v="Normal"/>
    <s v="Normal"/>
    <s v="Normal"/>
    <x v="2"/>
    <s v="November"/>
  </r>
  <r>
    <d v="2019-11-15T00:00:00"/>
    <n v="22.7"/>
    <n v="19.600000000000001"/>
    <n v="26.8"/>
    <n v="2.8"/>
    <s v="Normal"/>
    <s v="Normal"/>
    <s v="Normal"/>
    <s v="Normal"/>
    <x v="2"/>
    <s v="November"/>
  </r>
  <r>
    <d v="2019-11-16T00:00:00"/>
    <n v="23.5"/>
    <n v="20.399999999999999"/>
    <n v="26.2"/>
    <n v="0.5"/>
    <s v="Normal"/>
    <s v="Normal"/>
    <s v="Normal"/>
    <s v="Normal"/>
    <x v="2"/>
    <s v="November"/>
  </r>
  <r>
    <d v="2019-11-17T00:00:00"/>
    <n v="24"/>
    <n v="19.5"/>
    <n v="29.2"/>
    <n v="0"/>
    <s v="Normal"/>
    <s v="Normal"/>
    <s v="Normal"/>
    <s v="Normal"/>
    <x v="2"/>
    <s v="November"/>
  </r>
  <r>
    <d v="2019-11-19T00:00:00"/>
    <n v="23.6"/>
    <n v="19.8"/>
    <n v="29.4"/>
    <n v="0"/>
    <s v="Normal"/>
    <s v="Normal"/>
    <s v="Normal"/>
    <s v="Normal"/>
    <x v="2"/>
    <s v="November"/>
  </r>
  <r>
    <d v="2019-11-21T00:00:00"/>
    <n v="22.4"/>
    <n v="20.399999999999999"/>
    <n v="27.6"/>
    <n v="2.5"/>
    <s v="Normal"/>
    <s v="Normal"/>
    <s v="Normal"/>
    <s v="Normal"/>
    <x v="2"/>
    <s v="November"/>
  </r>
  <r>
    <d v="2019-11-22T00:00:00"/>
    <n v="22.3"/>
    <n v="19.2"/>
    <n v="25.6"/>
    <n v="0"/>
    <s v="Normal"/>
    <s v="Normal"/>
    <s v="Normal"/>
    <s v="Normal"/>
    <x v="2"/>
    <s v="November"/>
  </r>
  <r>
    <d v="2019-11-23T00:00:00"/>
    <n v="23.2"/>
    <n v="17.3"/>
    <n v="28"/>
    <n v="0"/>
    <s v="Normal"/>
    <s v="Normal"/>
    <s v="Normal"/>
    <s v="Normal"/>
    <x v="2"/>
    <s v="November"/>
  </r>
  <r>
    <d v="2019-11-27T00:00:00"/>
    <n v="21.9"/>
    <n v="20"/>
    <n v="28.3"/>
    <n v="0.3"/>
    <s v="Normal"/>
    <s v="Normal"/>
    <s v="Normal"/>
    <s v="Normal"/>
    <x v="2"/>
    <s v="November"/>
  </r>
  <r>
    <d v="2019-11-28T00:00:00"/>
    <n v="22.6"/>
    <n v="19.2"/>
    <n v="27.8"/>
    <n v="0"/>
    <s v="Normal"/>
    <s v="Normal"/>
    <s v="Normal"/>
    <s v="Normal"/>
    <x v="2"/>
    <s v="November"/>
  </r>
  <r>
    <d v="2019-11-29T00:00:00"/>
    <n v="22.5"/>
    <n v="19.399999999999999"/>
    <n v="28.4"/>
    <n v="0"/>
    <s v="Normal"/>
    <s v="Normal"/>
    <s v="Normal"/>
    <s v="Normal"/>
    <x v="2"/>
    <s v="November"/>
  </r>
  <r>
    <d v="2019-11-30T00:00:00"/>
    <n v="21.4"/>
    <n v="18.7"/>
    <n v="27"/>
    <n v="1.5"/>
    <s v="Normal"/>
    <s v="Normal"/>
    <s v="Normal"/>
    <s v="Normal"/>
    <x v="2"/>
    <s v="November"/>
  </r>
  <r>
    <d v="2019-12-01T00:00:00"/>
    <n v="21.2"/>
    <n v="19.399999999999999"/>
    <n v="24.6"/>
    <n v="1.8"/>
    <s v="Normal"/>
    <s v="Normal"/>
    <s v="Normal"/>
    <s v="Normal"/>
    <x v="2"/>
    <s v="November"/>
  </r>
  <r>
    <d v="2019-12-02T00:00:00"/>
    <n v="21.3"/>
    <n v="19.2"/>
    <n v="25"/>
    <n v="6.9"/>
    <s v="Normal"/>
    <s v="Normal"/>
    <s v="Normal"/>
    <s v="Normal"/>
    <x v="2"/>
    <s v="December"/>
  </r>
  <r>
    <d v="2019-12-03T00:00:00"/>
    <n v="21.1"/>
    <n v="19.399999999999999"/>
    <n v="24.5"/>
    <n v="0.5"/>
    <s v="Normal"/>
    <s v="Normal"/>
    <s v="Normal"/>
    <s v="Normal"/>
    <x v="2"/>
    <s v="December"/>
  </r>
  <r>
    <d v="2019-12-04T00:00:00"/>
    <n v="21.2"/>
    <n v="18.8"/>
    <n v="26"/>
    <n v="0"/>
    <s v="Normal"/>
    <s v="Normal"/>
    <s v="Normal"/>
    <s v="Normal"/>
    <x v="2"/>
    <s v="December"/>
  </r>
  <r>
    <d v="2019-12-05T00:00:00"/>
    <n v="20.8"/>
    <n v="18"/>
    <n v="26"/>
    <n v="0"/>
    <s v="Normal"/>
    <s v="Normal"/>
    <s v="Normal"/>
    <s v="Normal"/>
    <x v="2"/>
    <s v="December"/>
  </r>
  <r>
    <d v="2019-12-08T00:00:00"/>
    <n v="20.2"/>
    <n v="17.8"/>
    <n v="24.9"/>
    <n v="0.5"/>
    <s v="Normal"/>
    <s v="Normal"/>
    <s v="Normal"/>
    <s v="Normal"/>
    <x v="2"/>
    <s v="December"/>
  </r>
  <r>
    <d v="2019-12-09T00:00:00"/>
    <n v="21.5"/>
    <n v="17"/>
    <n v="26.8"/>
    <n v="0"/>
    <s v="Normal"/>
    <s v="Normal"/>
    <s v="Normal"/>
    <s v="Normal"/>
    <x v="2"/>
    <s v="December"/>
  </r>
  <r>
    <d v="2019-12-14T00:00:00"/>
    <n v="21.1"/>
    <n v="18.8"/>
    <n v="28.8"/>
    <n v="0"/>
    <s v="Normal"/>
    <s v="Normal"/>
    <s v="Normal"/>
    <s v="Normal"/>
    <x v="2"/>
    <s v="December"/>
  </r>
  <r>
    <d v="2019-12-15T00:00:00"/>
    <n v="21.7"/>
    <n v="17.600000000000001"/>
    <n v="25.8"/>
    <n v="2.8"/>
    <s v="Normal"/>
    <s v="Normal"/>
    <s v="Normal"/>
    <s v="Normal"/>
    <x v="2"/>
    <s v="December"/>
  </r>
  <r>
    <d v="2019-12-16T00:00:00"/>
    <n v="22.1"/>
    <n v="17.399999999999999"/>
    <n v="26.7"/>
    <n v="0"/>
    <s v="Normal"/>
    <s v="Normal"/>
    <s v="Normal"/>
    <s v="Normal"/>
    <x v="2"/>
    <s v="December"/>
  </r>
  <r>
    <d v="2019-12-17T00:00:00"/>
    <n v="21.3"/>
    <n v="18.399999999999999"/>
    <n v="27.6"/>
    <n v="0"/>
    <s v="Normal"/>
    <s v="Normal"/>
    <s v="Normal"/>
    <s v="Normal"/>
    <x v="2"/>
    <s v="December"/>
  </r>
  <r>
    <d v="2019-12-18T00:00:00"/>
    <n v="21.6"/>
    <n v="17"/>
    <n v="26.2"/>
    <n v="0"/>
    <s v="Normal"/>
    <s v="Normal"/>
    <s v="Normal"/>
    <s v="Normal"/>
    <x v="2"/>
    <s v="December"/>
  </r>
  <r>
    <d v="2020-01-04T00:00:00"/>
    <n v="23.6"/>
    <n v="18.600000000000001"/>
    <n v="30.5"/>
    <n v="0"/>
    <s v="Normal"/>
    <s v="Normal"/>
    <s v="Normal"/>
    <s v="Normal"/>
    <x v="3"/>
    <s v="December"/>
  </r>
  <r>
    <d v="2020-01-06T00:00:00"/>
    <n v="22.1"/>
    <n v="20.399999999999999"/>
    <n v="30.8"/>
    <n v="0.3"/>
    <s v="Normal"/>
    <s v="Normal"/>
    <s v="Normal"/>
    <s v="Normal"/>
    <x v="3"/>
    <s v="January"/>
  </r>
  <r>
    <d v="2020-01-07T00:00:00"/>
    <n v="22.2"/>
    <n v="18.8"/>
    <n v="26.2"/>
    <n v="0"/>
    <s v="Normal"/>
    <s v="Normal"/>
    <s v="Normal"/>
    <s v="Normal"/>
    <x v="3"/>
    <s v="January"/>
  </r>
  <r>
    <d v="2020-03-03T00:00:00"/>
    <n v="25.8"/>
    <n v="20"/>
    <n v="30.6"/>
    <n v="0"/>
    <s v="Normal"/>
    <s v="Normal"/>
    <s v="Normal"/>
    <s v="Normal"/>
    <x v="3"/>
    <s v="January"/>
  </r>
  <r>
    <d v="2020-03-04T00:00:00"/>
    <n v="26.4"/>
    <n v="21.4"/>
    <n v="33"/>
    <n v="1"/>
    <s v="Normal"/>
    <s v="Normal"/>
    <s v="Normal"/>
    <s v="Normal"/>
    <x v="3"/>
    <s v="March"/>
  </r>
  <r>
    <d v="2020-03-05T00:00:00"/>
    <n v="27.4"/>
    <n v="21.6"/>
    <n v="32.4"/>
    <n v="0"/>
    <s v="Normal"/>
    <s v="Normal"/>
    <s v="Normal"/>
    <s v="Normal"/>
    <x v="3"/>
    <s v="March"/>
  </r>
  <r>
    <d v="2020-03-07T00:00:00"/>
    <n v="26.1"/>
    <n v="22.3"/>
    <n v="33.4"/>
    <n v="1"/>
    <s v="Normal"/>
    <s v="Normal"/>
    <s v="Normal"/>
    <s v="Normal"/>
    <x v="3"/>
    <s v="March"/>
  </r>
  <r>
    <d v="2020-03-08T00:00:00"/>
    <n v="26.4"/>
    <n v="21.2"/>
    <n v="32.299999999999997"/>
    <n v="0"/>
    <s v="Normal"/>
    <s v="Normal"/>
    <s v="Normal"/>
    <s v="Normal"/>
    <x v="3"/>
    <s v="March"/>
  </r>
  <r>
    <d v="2020-03-21T00:00:00"/>
    <n v="27.4"/>
    <n v="22"/>
    <n v="34.1"/>
    <n v="1"/>
    <s v="Normal"/>
    <s v="Normal"/>
    <s v="Normal"/>
    <s v="Normal"/>
    <x v="3"/>
    <s v="March"/>
  </r>
  <r>
    <d v="2020-03-22T00:00:00"/>
    <n v="27.8"/>
    <n v="22.8"/>
    <n v="35.4"/>
    <n v="0"/>
    <s v="Normal"/>
    <s v="Normal"/>
    <s v="Normal"/>
    <s v="Normal"/>
    <x v="3"/>
    <s v="March"/>
  </r>
  <r>
    <d v="2020-03-23T00:00:00"/>
    <n v="25.3"/>
    <n v="22.8"/>
    <n v="34.4"/>
    <n v="0"/>
    <s v="Normal"/>
    <s v="Normal"/>
    <s v="Normal"/>
    <s v="Normal"/>
    <x v="3"/>
    <s v="March"/>
  </r>
  <r>
    <d v="2020-03-24T00:00:00"/>
    <n v="27.4"/>
    <n v="20.8"/>
    <n v="34.4"/>
    <n v="5.0999999999999996"/>
    <s v="Normal"/>
    <s v="Normal"/>
    <s v="Normal"/>
    <s v="Normal"/>
    <x v="3"/>
    <s v="March"/>
  </r>
  <r>
    <d v="2020-03-25T00:00:00"/>
    <n v="26.8"/>
    <n v="21"/>
    <n v="34.700000000000003"/>
    <n v="0"/>
    <s v="Normal"/>
    <s v="Normal"/>
    <s v="Normal"/>
    <s v="Normal"/>
    <x v="3"/>
    <s v="March"/>
  </r>
  <r>
    <d v="2020-04-06T00:00:00"/>
    <n v="27.7"/>
    <n v="21.8"/>
    <n v="36.4"/>
    <n v="0"/>
    <s v="Normal"/>
    <s v="Normal"/>
    <s v="Outlier"/>
    <s v="Normal"/>
    <x v="3"/>
    <s v="March"/>
  </r>
  <r>
    <d v="2020-04-07T00:00:00"/>
    <n v="25"/>
    <n v="21"/>
    <n v="35.6"/>
    <n v="30"/>
    <s v="Normal"/>
    <s v="Normal"/>
    <s v="Normal"/>
    <s v="Outlier"/>
    <x v="3"/>
    <s v="April"/>
  </r>
  <r>
    <d v="2020-04-08T00:00:00"/>
    <n v="26.8"/>
    <n v="21"/>
    <n v="32.799999999999997"/>
    <n v="0"/>
    <s v="Normal"/>
    <s v="Normal"/>
    <s v="Normal"/>
    <s v="Normal"/>
    <x v="3"/>
    <s v="April"/>
  </r>
  <r>
    <d v="2020-04-09T00:00:00"/>
    <n v="24.9"/>
    <n v="19.8"/>
    <n v="33.700000000000003"/>
    <n v="0"/>
    <s v="Normal"/>
    <s v="Normal"/>
    <s v="Normal"/>
    <s v="Normal"/>
    <x v="3"/>
    <s v="April"/>
  </r>
  <r>
    <d v="2020-04-10T00:00:00"/>
    <n v="24.7"/>
    <n v="18.600000000000001"/>
    <n v="33.4"/>
    <n v="33.299999999999997"/>
    <s v="Normal"/>
    <s v="Normal"/>
    <s v="Normal"/>
    <s v="Outlier"/>
    <x v="3"/>
    <s v="April"/>
  </r>
  <r>
    <d v="2020-04-11T00:00:00"/>
    <n v="26.6"/>
    <n v="21"/>
    <n v="31.8"/>
    <n v="0"/>
    <s v="Normal"/>
    <s v="Normal"/>
    <s v="Normal"/>
    <s v="Normal"/>
    <x v="3"/>
    <s v="April"/>
  </r>
  <r>
    <d v="2020-04-24T00:00:00"/>
    <n v="25.7"/>
    <n v="20.5"/>
    <n v="36"/>
    <n v="23.1"/>
    <s v="Normal"/>
    <s v="Normal"/>
    <s v="Normal"/>
    <s v="Outlier"/>
    <x v="3"/>
    <s v="April"/>
  </r>
  <r>
    <d v="2020-04-25T00:00:00"/>
    <n v="25.8"/>
    <n v="22.7"/>
    <n v="30.8"/>
    <n v="0"/>
    <s v="Normal"/>
    <s v="Normal"/>
    <s v="Normal"/>
    <s v="Normal"/>
    <x v="3"/>
    <s v="April"/>
  </r>
  <r>
    <d v="2020-04-26T00:00:00"/>
    <n v="26.7"/>
    <n v="22.6"/>
    <n v="32"/>
    <n v="0"/>
    <s v="Normal"/>
    <s v="Normal"/>
    <s v="Normal"/>
    <s v="Normal"/>
    <x v="3"/>
    <s v="April"/>
  </r>
  <r>
    <d v="2020-04-27T00:00:00"/>
    <n v="26.7"/>
    <n v="22.4"/>
    <n v="31.6"/>
    <n v="0"/>
    <s v="Normal"/>
    <s v="Normal"/>
    <s v="Normal"/>
    <s v="Normal"/>
    <x v="3"/>
    <s v="April"/>
  </r>
  <r>
    <d v="2020-04-28T00:00:00"/>
    <n v="27.2"/>
    <n v="23"/>
    <n v="34.799999999999997"/>
    <n v="3"/>
    <s v="Normal"/>
    <s v="Normal"/>
    <s v="Normal"/>
    <s v="Normal"/>
    <x v="3"/>
    <s v="April"/>
  </r>
  <r>
    <d v="2020-04-29T00:00:00"/>
    <n v="23.2"/>
    <n v="19.600000000000001"/>
    <n v="34"/>
    <n v="30.7"/>
    <s v="Normal"/>
    <s v="Normal"/>
    <s v="Normal"/>
    <s v="Outlier"/>
    <x v="3"/>
    <s v="April"/>
  </r>
  <r>
    <d v="2020-04-30T00:00:00"/>
    <n v="26.5"/>
    <n v="21"/>
    <n v="33.799999999999997"/>
    <n v="1"/>
    <s v="Normal"/>
    <s v="Normal"/>
    <s v="Normal"/>
    <s v="Normal"/>
    <x v="3"/>
    <s v="April"/>
  </r>
  <r>
    <d v="2020-05-18T00:00:00"/>
    <n v="25.3"/>
    <n v="21.2"/>
    <n v="35.6"/>
    <n v="10.9"/>
    <s v="Normal"/>
    <s v="Normal"/>
    <s v="Normal"/>
    <s v="Outlier"/>
    <x v="3"/>
    <s v="April"/>
  </r>
  <r>
    <d v="2020-05-19T00:00:00"/>
    <n v="26.7"/>
    <n v="22.6"/>
    <n v="31.5"/>
    <n v="0"/>
    <s v="Normal"/>
    <s v="Normal"/>
    <s v="Normal"/>
    <s v="Normal"/>
    <x v="3"/>
    <s v="May"/>
  </r>
  <r>
    <d v="2020-05-22T00:00:00"/>
    <n v="28.6"/>
    <n v="22.1"/>
    <n v="34.6"/>
    <n v="0"/>
    <s v="Outlier"/>
    <s v="Normal"/>
    <s v="Normal"/>
    <s v="Normal"/>
    <x v="3"/>
    <s v="May"/>
  </r>
  <r>
    <d v="2020-05-24T00:00:00"/>
    <n v="25.6"/>
    <n v="21.8"/>
    <n v="35.6"/>
    <n v="0"/>
    <s v="Normal"/>
    <s v="Normal"/>
    <s v="Normal"/>
    <s v="Normal"/>
    <x v="3"/>
    <s v="May"/>
  </r>
  <r>
    <d v="2020-05-25T00:00:00"/>
    <n v="26.7"/>
    <n v="22"/>
    <n v="34.4"/>
    <n v="35.299999999999997"/>
    <s v="Normal"/>
    <s v="Normal"/>
    <s v="Normal"/>
    <s v="Outlier"/>
    <x v="3"/>
    <s v="May"/>
  </r>
  <r>
    <d v="2020-05-26T00:00:00"/>
    <n v="25.6"/>
    <n v="20.399999999999999"/>
    <n v="33.4"/>
    <n v="0"/>
    <s v="Normal"/>
    <s v="Normal"/>
    <s v="Normal"/>
    <s v="Normal"/>
    <x v="3"/>
    <s v="May"/>
  </r>
  <r>
    <d v="2020-05-27T00:00:00"/>
    <n v="24.1"/>
    <n v="20.9"/>
    <n v="32.9"/>
    <n v="31"/>
    <s v="Normal"/>
    <s v="Normal"/>
    <s v="Normal"/>
    <s v="Outlier"/>
    <x v="3"/>
    <s v="May"/>
  </r>
  <r>
    <d v="2020-05-28T00:00:00"/>
    <n v="24.9"/>
    <n v="20.8"/>
    <n v="32.6"/>
    <n v="0"/>
    <s v="Normal"/>
    <s v="Normal"/>
    <s v="Normal"/>
    <s v="Normal"/>
    <x v="3"/>
    <s v="May"/>
  </r>
  <r>
    <d v="2020-05-29T00:00:00"/>
    <n v="24.1"/>
    <n v="20.6"/>
    <n v="32.4"/>
    <n v="4.3"/>
    <s v="Normal"/>
    <s v="Normal"/>
    <s v="Normal"/>
    <s v="Normal"/>
    <x v="3"/>
    <s v="May"/>
  </r>
  <r>
    <d v="2020-05-30T00:00:00"/>
    <n v="24.6"/>
    <n v="20.2"/>
    <n v="32.6"/>
    <n v="24.4"/>
    <s v="Normal"/>
    <s v="Normal"/>
    <s v="Normal"/>
    <s v="Outlier"/>
    <x v="3"/>
    <s v="May"/>
  </r>
  <r>
    <d v="2020-05-31T00:00:00"/>
    <n v="26.3"/>
    <n v="22.4"/>
    <n v="31.9"/>
    <n v="0.3"/>
    <s v="Normal"/>
    <s v="Normal"/>
    <s v="Normal"/>
    <s v="Normal"/>
    <x v="3"/>
    <s v="May"/>
  </r>
  <r>
    <d v="2020-06-01T00:00:00"/>
    <n v="25.9"/>
    <n v="22.4"/>
    <n v="32.799999999999997"/>
    <n v="0"/>
    <s v="Normal"/>
    <s v="Normal"/>
    <s v="Normal"/>
    <s v="Normal"/>
    <x v="3"/>
    <s v="May"/>
  </r>
  <r>
    <d v="2020-06-02T00:00:00"/>
    <n v="24.4"/>
    <n v="20.3"/>
    <n v="32"/>
    <n v="0"/>
    <s v="Normal"/>
    <s v="Normal"/>
    <s v="Normal"/>
    <s v="Normal"/>
    <x v="3"/>
    <s v="June"/>
  </r>
  <r>
    <d v="2020-06-03T00:00:00"/>
    <n v="24.7"/>
    <n v="21.2"/>
    <n v="28.8"/>
    <n v="0"/>
    <s v="Normal"/>
    <s v="Normal"/>
    <s v="Normal"/>
    <s v="Normal"/>
    <x v="3"/>
    <s v="June"/>
  </r>
  <r>
    <d v="2020-06-04T00:00:00"/>
    <n v="25.4"/>
    <n v="21.8"/>
    <n v="29.4"/>
    <n v="0"/>
    <s v="Normal"/>
    <s v="Normal"/>
    <s v="Normal"/>
    <s v="Normal"/>
    <x v="3"/>
    <s v="June"/>
  </r>
  <r>
    <d v="2020-06-05T00:00:00"/>
    <n v="25.7"/>
    <n v="21.6"/>
    <n v="31.2"/>
    <n v="0"/>
    <s v="Normal"/>
    <s v="Normal"/>
    <s v="Normal"/>
    <s v="Normal"/>
    <x v="3"/>
    <s v="June"/>
  </r>
  <r>
    <d v="2020-06-06T00:00:00"/>
    <n v="24.6"/>
    <n v="20.399999999999999"/>
    <n v="31.4"/>
    <n v="0"/>
    <s v="Normal"/>
    <s v="Normal"/>
    <s v="Normal"/>
    <s v="Normal"/>
    <x v="3"/>
    <s v="June"/>
  </r>
  <r>
    <d v="2020-06-07T00:00:00"/>
    <n v="24.5"/>
    <n v="20.8"/>
    <n v="30.4"/>
    <n v="20.3"/>
    <s v="Normal"/>
    <s v="Normal"/>
    <s v="Normal"/>
    <s v="Outlier"/>
    <x v="3"/>
    <s v="June"/>
  </r>
  <r>
    <d v="2020-06-08T00:00:00"/>
    <n v="26.2"/>
    <n v="21.2"/>
    <n v="31.8"/>
    <n v="0"/>
    <s v="Normal"/>
    <s v="Normal"/>
    <s v="Normal"/>
    <s v="Normal"/>
    <x v="3"/>
    <s v="June"/>
  </r>
  <r>
    <d v="2020-06-09T00:00:00"/>
    <n v="25.4"/>
    <n v="21.6"/>
    <n v="32.5"/>
    <n v="0"/>
    <s v="Normal"/>
    <s v="Normal"/>
    <s v="Normal"/>
    <s v="Normal"/>
    <x v="3"/>
    <s v="June"/>
  </r>
  <r>
    <d v="2020-06-11T00:00:00"/>
    <n v="23.1"/>
    <n v="19.8"/>
    <n v="30.5"/>
    <n v="1"/>
    <s v="Normal"/>
    <s v="Normal"/>
    <s v="Normal"/>
    <s v="Normal"/>
    <x v="3"/>
    <s v="June"/>
  </r>
  <r>
    <d v="2020-06-12T00:00:00"/>
    <n v="23"/>
    <n v="19.8"/>
    <n v="27.6"/>
    <n v="20.6"/>
    <s v="Normal"/>
    <s v="Normal"/>
    <s v="Normal"/>
    <s v="Outlier"/>
    <x v="3"/>
    <s v="June"/>
  </r>
  <r>
    <d v="2020-06-13T00:00:00"/>
    <n v="23.3"/>
    <n v="20"/>
    <n v="28.4"/>
    <n v="0"/>
    <s v="Normal"/>
    <s v="Normal"/>
    <s v="Normal"/>
    <s v="Normal"/>
    <x v="3"/>
    <s v="June"/>
  </r>
  <r>
    <d v="2020-06-14T00:00:00"/>
    <n v="23.9"/>
    <n v="21"/>
    <n v="29.8"/>
    <n v="1.8"/>
    <s v="Normal"/>
    <s v="Normal"/>
    <s v="Normal"/>
    <s v="Normal"/>
    <x v="3"/>
    <s v="June"/>
  </r>
  <r>
    <d v="2020-06-15T00:00:00"/>
    <n v="25"/>
    <n v="21.2"/>
    <n v="28.9"/>
    <n v="0"/>
    <s v="Normal"/>
    <s v="Normal"/>
    <s v="Normal"/>
    <s v="Normal"/>
    <x v="3"/>
    <s v="June"/>
  </r>
  <r>
    <d v="2020-06-16T00:00:00"/>
    <n v="24.8"/>
    <n v="20.6"/>
    <n v="34.299999999999997"/>
    <n v="2"/>
    <s v="Normal"/>
    <s v="Normal"/>
    <s v="Normal"/>
    <s v="Normal"/>
    <x v="3"/>
    <s v="June"/>
  </r>
  <r>
    <d v="2020-06-17T00:00:00"/>
    <n v="23.4"/>
    <n v="21.4"/>
    <n v="28"/>
    <n v="0"/>
    <s v="Normal"/>
    <s v="Normal"/>
    <s v="Normal"/>
    <s v="Normal"/>
    <x v="3"/>
    <s v="June"/>
  </r>
  <r>
    <d v="2020-06-18T00:00:00"/>
    <n v="23.3"/>
    <n v="20.6"/>
    <n v="27.2"/>
    <n v="0"/>
    <s v="Normal"/>
    <s v="Normal"/>
    <s v="Normal"/>
    <s v="Normal"/>
    <x v="3"/>
    <s v="June"/>
  </r>
  <r>
    <d v="2020-06-19T00:00:00"/>
    <n v="24.7"/>
    <n v="20.7"/>
    <n v="30.8"/>
    <n v="0"/>
    <s v="Normal"/>
    <s v="Normal"/>
    <s v="Normal"/>
    <s v="Normal"/>
    <x v="3"/>
    <s v="June"/>
  </r>
  <r>
    <d v="2020-06-20T00:00:00"/>
    <n v="25.2"/>
    <n v="21.2"/>
    <n v="29.6"/>
    <n v="0"/>
    <s v="Normal"/>
    <s v="Normal"/>
    <s v="Normal"/>
    <s v="Normal"/>
    <x v="3"/>
    <s v="June"/>
  </r>
  <r>
    <d v="2020-06-21T00:00:00"/>
    <n v="23.8"/>
    <n v="21.1"/>
    <n v="30.3"/>
    <n v="0"/>
    <s v="Normal"/>
    <s v="Normal"/>
    <s v="Normal"/>
    <s v="Normal"/>
    <x v="3"/>
    <s v="June"/>
  </r>
  <r>
    <d v="2020-06-22T00:00:00"/>
    <n v="23.4"/>
    <n v="21"/>
    <n v="28.8"/>
    <n v="0.3"/>
    <s v="Normal"/>
    <s v="Normal"/>
    <s v="Normal"/>
    <s v="Normal"/>
    <x v="3"/>
    <s v="June"/>
  </r>
  <r>
    <d v="2020-06-23T00:00:00"/>
    <n v="25.3"/>
    <n v="20.6"/>
    <n v="30.8"/>
    <n v="2.2999999999999998"/>
    <s v="Normal"/>
    <s v="Normal"/>
    <s v="Normal"/>
    <s v="Normal"/>
    <x v="3"/>
    <s v="June"/>
  </r>
  <r>
    <d v="2020-06-24T00:00:00"/>
    <n v="24.2"/>
    <n v="20.2"/>
    <n v="30.4"/>
    <n v="4.5999999999999996"/>
    <s v="Normal"/>
    <s v="Normal"/>
    <s v="Normal"/>
    <s v="Normal"/>
    <x v="3"/>
    <s v="June"/>
  </r>
  <r>
    <d v="2020-06-25T00:00:00"/>
    <n v="23.7"/>
    <n v="19.3"/>
    <n v="31.4"/>
    <n v="22.1"/>
    <s v="Normal"/>
    <s v="Normal"/>
    <s v="Normal"/>
    <s v="Outlier"/>
    <x v="3"/>
    <s v="June"/>
  </r>
  <r>
    <d v="2020-06-26T00:00:00"/>
    <n v="24.2"/>
    <n v="20.399999999999999"/>
    <n v="30.4"/>
    <n v="39.6"/>
    <s v="Normal"/>
    <s v="Normal"/>
    <s v="Normal"/>
    <s v="Outlier"/>
    <x v="3"/>
    <s v="June"/>
  </r>
  <r>
    <d v="2020-06-27T00:00:00"/>
    <n v="24.4"/>
    <n v="21"/>
    <n v="29.2"/>
    <n v="0"/>
    <s v="Normal"/>
    <s v="Normal"/>
    <s v="Normal"/>
    <s v="Normal"/>
    <x v="3"/>
    <s v="June"/>
  </r>
  <r>
    <d v="2020-06-28T00:00:00"/>
    <n v="24.8"/>
    <n v="21.4"/>
    <n v="29"/>
    <n v="2.2999999999999998"/>
    <s v="Normal"/>
    <s v="Normal"/>
    <s v="Normal"/>
    <s v="Normal"/>
    <x v="3"/>
    <s v="June"/>
  </r>
  <r>
    <d v="2020-06-29T00:00:00"/>
    <n v="23.6"/>
    <n v="21.2"/>
    <n v="30"/>
    <n v="0"/>
    <s v="Normal"/>
    <s v="Normal"/>
    <s v="Normal"/>
    <s v="Normal"/>
    <x v="3"/>
    <s v="June"/>
  </r>
  <r>
    <d v="2020-06-30T00:00:00"/>
    <n v="24.6"/>
    <n v="20.2"/>
    <n v="29.8"/>
    <n v="1.3"/>
    <s v="Normal"/>
    <s v="Normal"/>
    <s v="Normal"/>
    <s v="Normal"/>
    <x v="3"/>
    <s v="June"/>
  </r>
  <r>
    <d v="2020-07-01T00:00:00"/>
    <n v="24.7"/>
    <n v="21.2"/>
    <n v="29.4"/>
    <n v="0"/>
    <s v="Normal"/>
    <s v="Normal"/>
    <s v="Normal"/>
    <s v="Normal"/>
    <x v="3"/>
    <s v="June"/>
  </r>
  <r>
    <d v="2020-07-03T00:00:00"/>
    <n v="22.6"/>
    <n v="19.7"/>
    <n v="26.5"/>
    <n v="7.1"/>
    <s v="Normal"/>
    <s v="Normal"/>
    <s v="Normal"/>
    <s v="Normal"/>
    <x v="3"/>
    <s v="July"/>
  </r>
  <r>
    <d v="2020-07-04T00:00:00"/>
    <n v="22.8"/>
    <n v="20"/>
    <n v="28.4"/>
    <n v="7.1"/>
    <s v="Normal"/>
    <s v="Normal"/>
    <s v="Normal"/>
    <s v="Normal"/>
    <x v="3"/>
    <s v="July"/>
  </r>
  <r>
    <d v="2020-07-05T00:00:00"/>
    <n v="23.3"/>
    <n v="21"/>
    <n v="27.2"/>
    <n v="0"/>
    <s v="Normal"/>
    <s v="Normal"/>
    <s v="Normal"/>
    <s v="Normal"/>
    <x v="3"/>
    <s v="July"/>
  </r>
  <r>
    <d v="2020-07-06T00:00:00"/>
    <n v="23.1"/>
    <n v="20.6"/>
    <n v="27.6"/>
    <n v="0.5"/>
    <s v="Normal"/>
    <s v="Normal"/>
    <s v="Normal"/>
    <s v="Normal"/>
    <x v="3"/>
    <s v="July"/>
  </r>
  <r>
    <d v="2020-07-07T00:00:00"/>
    <n v="23.4"/>
    <n v="20.8"/>
    <n v="30"/>
    <n v="0"/>
    <s v="Normal"/>
    <s v="Normal"/>
    <s v="Normal"/>
    <s v="Normal"/>
    <x v="3"/>
    <s v="July"/>
  </r>
  <r>
    <d v="2020-07-08T00:00:00"/>
    <n v="22.9"/>
    <n v="20.6"/>
    <n v="28.6"/>
    <n v="7.4"/>
    <s v="Normal"/>
    <s v="Normal"/>
    <s v="Normal"/>
    <s v="Normal"/>
    <x v="3"/>
    <s v="July"/>
  </r>
  <r>
    <d v="2020-07-09T00:00:00"/>
    <n v="23.7"/>
    <n v="20.2"/>
    <n v="29.4"/>
    <n v="24.4"/>
    <s v="Normal"/>
    <s v="Normal"/>
    <s v="Normal"/>
    <s v="Outlier"/>
    <x v="3"/>
    <s v="July"/>
  </r>
  <r>
    <d v="2020-07-10T00:00:00"/>
    <n v="23.1"/>
    <n v="20.6"/>
    <n v="28.8"/>
    <n v="29.2"/>
    <s v="Normal"/>
    <s v="Normal"/>
    <s v="Normal"/>
    <s v="Outlier"/>
    <x v="3"/>
    <s v="July"/>
  </r>
  <r>
    <d v="2020-07-11T00:00:00"/>
    <n v="24.6"/>
    <n v="21"/>
    <n v="28.8"/>
    <n v="0.5"/>
    <s v="Normal"/>
    <s v="Normal"/>
    <s v="Normal"/>
    <s v="Normal"/>
    <x v="3"/>
    <s v="July"/>
  </r>
  <r>
    <d v="2020-07-12T00:00:00"/>
    <n v="25.1"/>
    <n v="21"/>
    <n v="29.4"/>
    <n v="0.3"/>
    <s v="Normal"/>
    <s v="Normal"/>
    <s v="Normal"/>
    <s v="Normal"/>
    <x v="3"/>
    <s v="July"/>
  </r>
  <r>
    <d v="2020-07-13T00:00:00"/>
    <n v="24.3"/>
    <n v="21.5"/>
    <n v="29.3"/>
    <n v="0"/>
    <s v="Normal"/>
    <s v="Normal"/>
    <s v="Normal"/>
    <s v="Normal"/>
    <x v="3"/>
    <s v="July"/>
  </r>
  <r>
    <d v="2020-07-14T00:00:00"/>
    <n v="23.8"/>
    <n v="21.4"/>
    <n v="29.4"/>
    <n v="0"/>
    <s v="Normal"/>
    <s v="Normal"/>
    <s v="Normal"/>
    <s v="Normal"/>
    <x v="3"/>
    <s v="July"/>
  </r>
  <r>
    <d v="2020-07-15T00:00:00"/>
    <n v="22.4"/>
    <n v="21.8"/>
    <n v="26.2"/>
    <n v="0"/>
    <s v="Normal"/>
    <s v="Normal"/>
    <s v="Normal"/>
    <s v="Normal"/>
    <x v="3"/>
    <s v="July"/>
  </r>
  <r>
    <d v="2020-07-16T00:00:00"/>
    <n v="21.8"/>
    <n v="20.6"/>
    <n v="26"/>
    <n v="6.6"/>
    <s v="Normal"/>
    <s v="Normal"/>
    <s v="Normal"/>
    <s v="Normal"/>
    <x v="3"/>
    <s v="July"/>
  </r>
  <r>
    <d v="2020-07-17T00:00:00"/>
    <n v="22.2"/>
    <n v="20.399999999999999"/>
    <n v="25.2"/>
    <n v="10.9"/>
    <s v="Normal"/>
    <s v="Normal"/>
    <s v="Normal"/>
    <s v="Outlier"/>
    <x v="3"/>
    <s v="July"/>
  </r>
  <r>
    <d v="2020-07-18T00:00:00"/>
    <n v="23.4"/>
    <n v="20.9"/>
    <n v="27.8"/>
    <n v="0"/>
    <s v="Normal"/>
    <s v="Normal"/>
    <s v="Normal"/>
    <s v="Normal"/>
    <x v="3"/>
    <s v="July"/>
  </r>
  <r>
    <d v="2020-07-19T00:00:00"/>
    <n v="24.4"/>
    <n v="21.4"/>
    <n v="29.8"/>
    <n v="0.8"/>
    <s v="Normal"/>
    <s v="Normal"/>
    <s v="Normal"/>
    <s v="Normal"/>
    <x v="3"/>
    <s v="July"/>
  </r>
  <r>
    <d v="2020-07-20T00:00:00"/>
    <n v="23.4"/>
    <n v="21.8"/>
    <n v="29.6"/>
    <n v="11.2"/>
    <s v="Normal"/>
    <s v="Normal"/>
    <s v="Normal"/>
    <s v="Outlier"/>
    <x v="3"/>
    <s v="July"/>
  </r>
  <r>
    <d v="2020-07-21T00:00:00"/>
    <n v="24.5"/>
    <n v="19"/>
    <n v="29.6"/>
    <n v="24.1"/>
    <s v="Normal"/>
    <s v="Normal"/>
    <s v="Normal"/>
    <s v="Outlier"/>
    <x v="3"/>
    <s v="July"/>
  </r>
  <r>
    <d v="2020-07-22T00:00:00"/>
    <n v="25.8"/>
    <n v="22"/>
    <n v="30.4"/>
    <n v="0"/>
    <s v="Normal"/>
    <s v="Normal"/>
    <s v="Normal"/>
    <s v="Normal"/>
    <x v="3"/>
    <s v="July"/>
  </r>
  <r>
    <d v="2020-07-24T00:00:00"/>
    <n v="23.8"/>
    <n v="21.5"/>
    <n v="30.8"/>
    <n v="4.3"/>
    <s v="Normal"/>
    <s v="Normal"/>
    <s v="Normal"/>
    <s v="Normal"/>
    <x v="3"/>
    <s v="July"/>
  </r>
  <r>
    <d v="2020-07-25T00:00:00"/>
    <n v="23.7"/>
    <n v="20.5"/>
    <n v="29.8"/>
    <n v="0"/>
    <s v="Normal"/>
    <s v="Normal"/>
    <s v="Normal"/>
    <s v="Normal"/>
    <x v="3"/>
    <s v="July"/>
  </r>
  <r>
    <d v="2020-07-26T00:00:00"/>
    <n v="23.6"/>
    <n v="20.399999999999999"/>
    <n v="29.4"/>
    <n v="4.0999999999999996"/>
    <s v="Normal"/>
    <s v="Normal"/>
    <s v="Normal"/>
    <s v="Normal"/>
    <x v="3"/>
    <s v="July"/>
  </r>
  <r>
    <d v="2020-07-27T00:00:00"/>
    <n v="24.1"/>
    <n v="20.399999999999999"/>
    <n v="28.8"/>
    <n v="0"/>
    <s v="Normal"/>
    <s v="Normal"/>
    <s v="Normal"/>
    <s v="Normal"/>
    <x v="3"/>
    <s v="July"/>
  </r>
  <r>
    <d v="2020-07-28T00:00:00"/>
    <n v="24.7"/>
    <n v="20.6"/>
    <n v="29"/>
    <n v="2.2999999999999998"/>
    <s v="Normal"/>
    <s v="Normal"/>
    <s v="Normal"/>
    <s v="Normal"/>
    <x v="3"/>
    <s v="July"/>
  </r>
  <r>
    <d v="2020-07-29T00:00:00"/>
    <n v="22.9"/>
    <n v="21.2"/>
    <n v="29.5"/>
    <n v="7.9"/>
    <s v="Normal"/>
    <s v="Normal"/>
    <s v="Normal"/>
    <s v="Normal"/>
    <x v="3"/>
    <s v="July"/>
  </r>
  <r>
    <d v="2020-07-30T00:00:00"/>
    <n v="23.5"/>
    <n v="20.2"/>
    <n v="28.8"/>
    <n v="1.3"/>
    <s v="Normal"/>
    <s v="Normal"/>
    <s v="Normal"/>
    <s v="Normal"/>
    <x v="3"/>
    <s v="July"/>
  </r>
  <r>
    <d v="2020-07-31T00:00:00"/>
    <n v="23.9"/>
    <n v="21.4"/>
    <n v="28.6"/>
    <n v="4.0999999999999996"/>
    <s v="Normal"/>
    <s v="Normal"/>
    <s v="Normal"/>
    <s v="Normal"/>
    <x v="3"/>
    <s v="July"/>
  </r>
  <r>
    <d v="2020-08-01T00:00:00"/>
    <n v="23"/>
    <n v="20.399999999999999"/>
    <n v="29.6"/>
    <n v="2"/>
    <s v="Normal"/>
    <s v="Normal"/>
    <s v="Normal"/>
    <s v="Normal"/>
    <x v="3"/>
    <s v="July"/>
  </r>
  <r>
    <d v="2020-08-02T00:00:00"/>
    <n v="22.8"/>
    <n v="19.600000000000001"/>
    <n v="28"/>
    <n v="3.3"/>
    <s v="Normal"/>
    <s v="Normal"/>
    <s v="Normal"/>
    <s v="Normal"/>
    <x v="3"/>
    <s v="August"/>
  </r>
  <r>
    <d v="2020-08-03T00:00:00"/>
    <n v="22.9"/>
    <n v="20.399999999999999"/>
    <n v="27.8"/>
    <n v="2.5"/>
    <s v="Normal"/>
    <s v="Normal"/>
    <s v="Normal"/>
    <s v="Normal"/>
    <x v="3"/>
    <s v="August"/>
  </r>
  <r>
    <d v="2020-08-04T00:00:00"/>
    <n v="21.9"/>
    <n v="19.8"/>
    <n v="26"/>
    <n v="1.5"/>
    <s v="Normal"/>
    <s v="Normal"/>
    <s v="Normal"/>
    <s v="Normal"/>
    <x v="3"/>
    <s v="August"/>
  </r>
  <r>
    <d v="2020-08-05T00:00:00"/>
    <n v="22.1"/>
    <n v="19.8"/>
    <n v="25.8"/>
    <n v="1.8"/>
    <s v="Normal"/>
    <s v="Normal"/>
    <s v="Normal"/>
    <s v="Normal"/>
    <x v="3"/>
    <s v="August"/>
  </r>
  <r>
    <d v="2020-08-06T00:00:00"/>
    <n v="23.4"/>
    <n v="20.8"/>
    <n v="29.8"/>
    <n v="2.8"/>
    <s v="Normal"/>
    <s v="Normal"/>
    <s v="Normal"/>
    <s v="Normal"/>
    <x v="3"/>
    <s v="August"/>
  </r>
  <r>
    <d v="2020-08-07T00:00:00"/>
    <n v="23.4"/>
    <n v="21.4"/>
    <n v="27.8"/>
    <n v="1.3"/>
    <s v="Normal"/>
    <s v="Normal"/>
    <s v="Normal"/>
    <s v="Normal"/>
    <x v="3"/>
    <s v="August"/>
  </r>
  <r>
    <d v="2020-08-08T00:00:00"/>
    <n v="22.4"/>
    <n v="20.3"/>
    <n v="27.2"/>
    <n v="0"/>
    <s v="Normal"/>
    <s v="Normal"/>
    <s v="Normal"/>
    <s v="Normal"/>
    <x v="3"/>
    <s v="August"/>
  </r>
  <r>
    <d v="2020-08-09T00:00:00"/>
    <n v="21.8"/>
    <n v="20.2"/>
    <n v="27.4"/>
    <n v="2.2999999999999998"/>
    <s v="Normal"/>
    <s v="Normal"/>
    <s v="Normal"/>
    <s v="Normal"/>
    <x v="3"/>
    <s v="August"/>
  </r>
  <r>
    <d v="2020-08-10T00:00:00"/>
    <n v="21.9"/>
    <n v="19.5"/>
    <n v="26"/>
    <n v="12.2"/>
    <s v="Normal"/>
    <s v="Normal"/>
    <s v="Normal"/>
    <s v="Outlier"/>
    <x v="3"/>
    <s v="August"/>
  </r>
  <r>
    <d v="2020-08-11T00:00:00"/>
    <n v="22.8"/>
    <n v="20.6"/>
    <n v="27.8"/>
    <n v="0"/>
    <s v="Normal"/>
    <s v="Normal"/>
    <s v="Normal"/>
    <s v="Normal"/>
    <x v="3"/>
    <s v="August"/>
  </r>
  <r>
    <d v="2020-08-12T00:00:00"/>
    <n v="23.4"/>
    <n v="20.5"/>
    <n v="28"/>
    <n v="5.0999999999999996"/>
    <s v="Normal"/>
    <s v="Normal"/>
    <s v="Normal"/>
    <s v="Normal"/>
    <x v="3"/>
    <s v="August"/>
  </r>
  <r>
    <d v="2020-08-13T00:00:00"/>
    <n v="23.7"/>
    <n v="20.6"/>
    <n v="27.9"/>
    <n v="0"/>
    <s v="Normal"/>
    <s v="Normal"/>
    <s v="Normal"/>
    <s v="Normal"/>
    <x v="3"/>
    <s v="August"/>
  </r>
  <r>
    <d v="2020-08-14T00:00:00"/>
    <n v="22.7"/>
    <n v="20.2"/>
    <n v="28"/>
    <n v="0"/>
    <s v="Normal"/>
    <s v="Normal"/>
    <s v="Normal"/>
    <s v="Normal"/>
    <x v="3"/>
    <s v="August"/>
  </r>
  <r>
    <d v="2020-08-15T00:00:00"/>
    <n v="22.4"/>
    <n v="20.399999999999999"/>
    <n v="25.6"/>
    <n v="0"/>
    <s v="Normal"/>
    <s v="Normal"/>
    <s v="Normal"/>
    <s v="Normal"/>
    <x v="3"/>
    <s v="August"/>
  </r>
  <r>
    <d v="2020-08-17T00:00:00"/>
    <n v="22.2"/>
    <n v="20.100000000000001"/>
    <n v="26.8"/>
    <n v="0.3"/>
    <s v="Normal"/>
    <s v="Normal"/>
    <s v="Normal"/>
    <s v="Normal"/>
    <x v="3"/>
    <s v="August"/>
  </r>
  <r>
    <d v="2020-08-18T00:00:00"/>
    <n v="23"/>
    <n v="20.6"/>
    <n v="26.2"/>
    <n v="1"/>
    <s v="Normal"/>
    <s v="Normal"/>
    <s v="Normal"/>
    <s v="Normal"/>
    <x v="3"/>
    <s v="August"/>
  </r>
  <r>
    <d v="2020-08-19T00:00:00"/>
    <n v="23.1"/>
    <n v="20.399999999999999"/>
    <n v="26.4"/>
    <n v="0"/>
    <s v="Normal"/>
    <s v="Normal"/>
    <s v="Normal"/>
    <s v="Normal"/>
    <x v="3"/>
    <s v="August"/>
  </r>
  <r>
    <d v="2020-08-24T00:00:00"/>
    <n v="24.1"/>
    <n v="20.9"/>
    <n v="27.8"/>
    <n v="2"/>
    <s v="Normal"/>
    <s v="Normal"/>
    <s v="Normal"/>
    <s v="Normal"/>
    <x v="3"/>
    <s v="August"/>
  </r>
  <r>
    <d v="2020-08-25T00:00:00"/>
    <n v="25"/>
    <n v="20.5"/>
    <n v="29.8"/>
    <n v="0"/>
    <s v="Normal"/>
    <s v="Normal"/>
    <s v="Normal"/>
    <s v="Normal"/>
    <x v="3"/>
    <s v="August"/>
  </r>
  <r>
    <d v="2020-08-26T00:00:00"/>
    <n v="25.6"/>
    <n v="22"/>
    <n v="30.2"/>
    <n v="0"/>
    <s v="Normal"/>
    <s v="Normal"/>
    <s v="Normal"/>
    <s v="Normal"/>
    <x v="3"/>
    <s v="August"/>
  </r>
  <r>
    <d v="2020-08-28T00:00:00"/>
    <n v="25.3"/>
    <n v="20.399999999999999"/>
    <n v="30.8"/>
    <n v="0"/>
    <s v="Normal"/>
    <s v="Normal"/>
    <s v="Normal"/>
    <s v="Normal"/>
    <x v="3"/>
    <s v="August"/>
  </r>
  <r>
    <d v="2020-08-31T00:00:00"/>
    <n v="24.4"/>
    <n v="19.399999999999999"/>
    <n v="31.7"/>
    <n v="23.1"/>
    <s v="Normal"/>
    <s v="Normal"/>
    <s v="Normal"/>
    <s v="Outlier"/>
    <x v="3"/>
    <s v="August"/>
  </r>
  <r>
    <d v="2020-09-01T00:00:00"/>
    <n v="24"/>
    <n v="20"/>
    <n v="29.8"/>
    <n v="18.8"/>
    <s v="Normal"/>
    <s v="Normal"/>
    <s v="Normal"/>
    <s v="Outlier"/>
    <x v="3"/>
    <s v="August"/>
  </r>
  <r>
    <d v="2020-09-02T00:00:00"/>
    <n v="22.9"/>
    <n v="20.6"/>
    <n v="28.4"/>
    <n v="2"/>
    <s v="Normal"/>
    <s v="Normal"/>
    <s v="Normal"/>
    <s v="Normal"/>
    <x v="3"/>
    <s v="September"/>
  </r>
  <r>
    <d v="2020-09-03T00:00:00"/>
    <n v="23.8"/>
    <n v="20.5"/>
    <n v="27.8"/>
    <n v="29.7"/>
    <s v="Normal"/>
    <s v="Normal"/>
    <s v="Normal"/>
    <s v="Outlier"/>
    <x v="3"/>
    <s v="September"/>
  </r>
  <r>
    <d v="2020-09-04T00:00:00"/>
    <n v="24.9"/>
    <n v="21"/>
    <n v="29.2"/>
    <n v="9.6999999999999993"/>
    <s v="Normal"/>
    <s v="Normal"/>
    <s v="Normal"/>
    <s v="Normal"/>
    <x v="3"/>
    <s v="September"/>
  </r>
  <r>
    <d v="2020-09-05T00:00:00"/>
    <n v="24.8"/>
    <n v="22.3"/>
    <n v="29.2"/>
    <n v="0"/>
    <s v="Normal"/>
    <s v="Normal"/>
    <s v="Normal"/>
    <s v="Normal"/>
    <x v="3"/>
    <s v="September"/>
  </r>
  <r>
    <d v="2020-09-06T00:00:00"/>
    <n v="25.5"/>
    <n v="22.2"/>
    <n v="29.6"/>
    <n v="0"/>
    <s v="Normal"/>
    <s v="Normal"/>
    <s v="Normal"/>
    <s v="Normal"/>
    <x v="3"/>
    <s v="September"/>
  </r>
  <r>
    <d v="2020-09-07T00:00:00"/>
    <n v="24.4"/>
    <n v="20.5"/>
    <n v="30.5"/>
    <n v="0"/>
    <s v="Normal"/>
    <s v="Normal"/>
    <s v="Normal"/>
    <s v="Normal"/>
    <x v="3"/>
    <s v="September"/>
  </r>
  <r>
    <d v="2020-09-08T00:00:00"/>
    <n v="24.4"/>
    <n v="21.2"/>
    <n v="29.8"/>
    <n v="2"/>
    <s v="Normal"/>
    <s v="Normal"/>
    <s v="Normal"/>
    <s v="Normal"/>
    <x v="3"/>
    <s v="September"/>
  </r>
  <r>
    <d v="2020-09-09T00:00:00"/>
    <n v="23.9"/>
    <n v="19.399999999999999"/>
    <n v="30.2"/>
    <n v="61"/>
    <s v="Normal"/>
    <s v="Normal"/>
    <s v="Normal"/>
    <s v="Outlier"/>
    <x v="3"/>
    <s v="September"/>
  </r>
  <r>
    <d v="2020-09-10T00:00:00"/>
    <n v="22.7"/>
    <n v="19.2"/>
    <n v="30.6"/>
    <n v="65"/>
    <s v="Normal"/>
    <s v="Normal"/>
    <s v="Normal"/>
    <s v="Outlier"/>
    <x v="3"/>
    <s v="September"/>
  </r>
  <r>
    <d v="2020-09-11T00:00:00"/>
    <n v="22.1"/>
    <n v="19.899999999999999"/>
    <n v="27.6"/>
    <n v="0"/>
    <s v="Normal"/>
    <s v="Normal"/>
    <s v="Normal"/>
    <s v="Normal"/>
    <x v="3"/>
    <s v="September"/>
  </r>
  <r>
    <d v="2020-09-12T00:00:00"/>
    <n v="21.5"/>
    <n v="18.7"/>
    <n v="25.8"/>
    <n v="1.3"/>
    <s v="Normal"/>
    <s v="Normal"/>
    <s v="Normal"/>
    <s v="Normal"/>
    <x v="3"/>
    <s v="September"/>
  </r>
  <r>
    <d v="2020-09-13T00:00:00"/>
    <n v="21.6"/>
    <n v="19.7"/>
    <n v="25.5"/>
    <n v="17.5"/>
    <s v="Normal"/>
    <s v="Normal"/>
    <s v="Normal"/>
    <s v="Outlier"/>
    <x v="3"/>
    <s v="September"/>
  </r>
  <r>
    <d v="2020-09-14T00:00:00"/>
    <n v="22.5"/>
    <n v="20.399999999999999"/>
    <n v="26.4"/>
    <n v="1"/>
    <s v="Normal"/>
    <s v="Normal"/>
    <s v="Normal"/>
    <s v="Normal"/>
    <x v="3"/>
    <s v="September"/>
  </r>
  <r>
    <d v="2020-09-15T00:00:00"/>
    <n v="22.8"/>
    <n v="20.2"/>
    <n v="26.5"/>
    <n v="0"/>
    <s v="Normal"/>
    <s v="Normal"/>
    <s v="Normal"/>
    <s v="Normal"/>
    <x v="3"/>
    <s v="September"/>
  </r>
  <r>
    <d v="2020-09-16T00:00:00"/>
    <n v="23.3"/>
    <n v="20.2"/>
    <n v="26.2"/>
    <n v="0.3"/>
    <s v="Normal"/>
    <s v="Normal"/>
    <s v="Normal"/>
    <s v="Normal"/>
    <x v="3"/>
    <s v="September"/>
  </r>
  <r>
    <d v="2020-09-17T00:00:00"/>
    <n v="23.8"/>
    <n v="21"/>
    <n v="27"/>
    <n v="0"/>
    <s v="Normal"/>
    <s v="Normal"/>
    <s v="Normal"/>
    <s v="Normal"/>
    <x v="3"/>
    <s v="September"/>
  </r>
  <r>
    <d v="2020-09-18T00:00:00"/>
    <n v="24"/>
    <n v="19.8"/>
    <n v="28.2"/>
    <n v="0.3"/>
    <s v="Normal"/>
    <s v="Normal"/>
    <s v="Normal"/>
    <s v="Normal"/>
    <x v="3"/>
    <s v="September"/>
  </r>
  <r>
    <d v="2020-09-19T00:00:00"/>
    <n v="22.1"/>
    <n v="19.3"/>
    <n v="28.4"/>
    <n v="0"/>
    <s v="Normal"/>
    <s v="Normal"/>
    <s v="Normal"/>
    <s v="Normal"/>
    <x v="3"/>
    <s v="September"/>
  </r>
  <r>
    <d v="2020-09-20T00:00:00"/>
    <n v="20.399999999999999"/>
    <n v="18.600000000000001"/>
    <n v="25.8"/>
    <n v="20.8"/>
    <s v="Normal"/>
    <s v="Normal"/>
    <s v="Normal"/>
    <s v="Outlier"/>
    <x v="3"/>
    <s v="September"/>
  </r>
  <r>
    <d v="2020-09-21T00:00:00"/>
    <n v="22.1"/>
    <n v="19"/>
    <n v="27.8"/>
    <n v="11.4"/>
    <s v="Normal"/>
    <s v="Normal"/>
    <s v="Normal"/>
    <s v="Outlier"/>
    <x v="3"/>
    <s v="September"/>
  </r>
  <r>
    <d v="2020-09-22T00:00:00"/>
    <n v="21.7"/>
    <n v="18.600000000000001"/>
    <n v="26.6"/>
    <n v="0"/>
    <s v="Normal"/>
    <s v="Normal"/>
    <s v="Normal"/>
    <s v="Normal"/>
    <x v="3"/>
    <s v="September"/>
  </r>
  <r>
    <d v="2020-09-23T00:00:00"/>
    <n v="22.8"/>
    <n v="18.600000000000001"/>
    <n v="27.8"/>
    <n v="0"/>
    <s v="Normal"/>
    <s v="Normal"/>
    <s v="Normal"/>
    <s v="Normal"/>
    <x v="3"/>
    <s v="September"/>
  </r>
  <r>
    <d v="2020-09-25T00:00:00"/>
    <n v="24.3"/>
    <n v="20.9"/>
    <n v="29.8"/>
    <n v="0.3"/>
    <s v="Normal"/>
    <s v="Normal"/>
    <s v="Normal"/>
    <s v="Normal"/>
    <x v="3"/>
    <s v="September"/>
  </r>
  <r>
    <d v="2020-09-26T00:00:00"/>
    <n v="22.8"/>
    <n v="20.6"/>
    <n v="29.6"/>
    <n v="3"/>
    <s v="Normal"/>
    <s v="Normal"/>
    <s v="Normal"/>
    <s v="Normal"/>
    <x v="3"/>
    <s v="September"/>
  </r>
  <r>
    <d v="2020-09-27T00:00:00"/>
    <n v="23.3"/>
    <n v="20.5"/>
    <n v="27.8"/>
    <n v="0"/>
    <s v="Normal"/>
    <s v="Normal"/>
    <s v="Normal"/>
    <s v="Normal"/>
    <x v="3"/>
    <s v="September"/>
  </r>
  <r>
    <d v="2020-09-28T00:00:00"/>
    <n v="24.1"/>
    <n v="20.6"/>
    <n v="27"/>
    <n v="0"/>
    <s v="Normal"/>
    <s v="Normal"/>
    <s v="Normal"/>
    <s v="Normal"/>
    <x v="3"/>
    <s v="September"/>
  </r>
  <r>
    <d v="2020-09-29T00:00:00"/>
    <n v="22.4"/>
    <n v="19.8"/>
    <n v="28.1"/>
    <n v="0"/>
    <s v="Normal"/>
    <s v="Normal"/>
    <s v="Normal"/>
    <s v="Normal"/>
    <x v="3"/>
    <s v="September"/>
  </r>
  <r>
    <d v="2020-09-30T00:00:00"/>
    <n v="22.3"/>
    <n v="19"/>
    <n v="27.8"/>
    <n v="54.4"/>
    <s v="Normal"/>
    <s v="Normal"/>
    <s v="Normal"/>
    <s v="Outlier"/>
    <x v="3"/>
    <s v="September"/>
  </r>
  <r>
    <d v="2020-10-01T00:00:00"/>
    <n v="23.5"/>
    <n v="19.5"/>
    <n v="27.1"/>
    <n v="0"/>
    <s v="Normal"/>
    <s v="Normal"/>
    <s v="Normal"/>
    <s v="Normal"/>
    <x v="3"/>
    <s v="September"/>
  </r>
  <r>
    <d v="2020-10-02T00:00:00"/>
    <n v="24.7"/>
    <n v="21"/>
    <n v="28.5"/>
    <n v="0"/>
    <s v="Normal"/>
    <s v="Normal"/>
    <s v="Normal"/>
    <s v="Normal"/>
    <x v="3"/>
    <s v="October"/>
  </r>
  <r>
    <d v="2020-10-03T00:00:00"/>
    <n v="23.5"/>
    <n v="19.600000000000001"/>
    <n v="29.6"/>
    <n v="0.5"/>
    <s v="Normal"/>
    <s v="Normal"/>
    <s v="Normal"/>
    <s v="Normal"/>
    <x v="3"/>
    <s v="October"/>
  </r>
  <r>
    <d v="2020-10-04T00:00:00"/>
    <n v="22.5"/>
    <n v="20"/>
    <n v="28.4"/>
    <n v="0"/>
    <s v="Normal"/>
    <s v="Normal"/>
    <s v="Normal"/>
    <s v="Normal"/>
    <x v="3"/>
    <s v="October"/>
  </r>
  <r>
    <d v="2020-10-05T00:00:00"/>
    <n v="23.6"/>
    <n v="19"/>
    <n v="28.8"/>
    <n v="0.3"/>
    <s v="Normal"/>
    <s v="Normal"/>
    <s v="Normal"/>
    <s v="Normal"/>
    <x v="3"/>
    <s v="October"/>
  </r>
  <r>
    <d v="2020-10-06T00:00:00"/>
    <n v="25.1"/>
    <n v="20.2"/>
    <n v="30.8"/>
    <n v="0"/>
    <s v="Normal"/>
    <s v="Normal"/>
    <s v="Normal"/>
    <s v="Normal"/>
    <x v="3"/>
    <s v="October"/>
  </r>
  <r>
    <d v="2020-10-09T00:00:00"/>
    <n v="23.7"/>
    <n v="20.399999999999999"/>
    <n v="31.2"/>
    <n v="0"/>
    <s v="Normal"/>
    <s v="Normal"/>
    <s v="Normal"/>
    <s v="Normal"/>
    <x v="3"/>
    <s v="October"/>
  </r>
  <r>
    <d v="2020-10-10T00:00:00"/>
    <n v="23.1"/>
    <n v="18.600000000000001"/>
    <n v="30"/>
    <n v="23.6"/>
    <s v="Normal"/>
    <s v="Normal"/>
    <s v="Normal"/>
    <s v="Outlier"/>
    <x v="3"/>
    <s v="October"/>
  </r>
  <r>
    <d v="2020-10-11T00:00:00"/>
    <n v="21.7"/>
    <n v="19.2"/>
    <n v="28.2"/>
    <n v="51.1"/>
    <s v="Normal"/>
    <s v="Normal"/>
    <s v="Normal"/>
    <s v="Outlier"/>
    <x v="3"/>
    <s v="October"/>
  </r>
  <r>
    <d v="2020-10-12T00:00:00"/>
    <n v="21.8"/>
    <n v="20"/>
    <n v="25.6"/>
    <n v="3"/>
    <s v="Normal"/>
    <s v="Normal"/>
    <s v="Normal"/>
    <s v="Normal"/>
    <x v="3"/>
    <s v="October"/>
  </r>
  <r>
    <d v="2020-10-13T00:00:00"/>
    <n v="21.2"/>
    <n v="19.8"/>
    <n v="25.4"/>
    <n v="5.0999999999999996"/>
    <s v="Normal"/>
    <s v="Normal"/>
    <s v="Normal"/>
    <s v="Normal"/>
    <x v="3"/>
    <s v="October"/>
  </r>
  <r>
    <d v="2020-10-14T00:00:00"/>
    <n v="21.5"/>
    <n v="19.8"/>
    <n v="25.8"/>
    <n v="0.5"/>
    <s v="Normal"/>
    <s v="Normal"/>
    <s v="Normal"/>
    <s v="Normal"/>
    <x v="3"/>
    <s v="October"/>
  </r>
  <r>
    <d v="2020-10-15T00:00:00"/>
    <n v="22.5"/>
    <n v="19.2"/>
    <n v="26.6"/>
    <n v="0"/>
    <s v="Normal"/>
    <s v="Normal"/>
    <s v="Normal"/>
    <s v="Normal"/>
    <x v="3"/>
    <s v="October"/>
  </r>
  <r>
    <d v="2020-10-16T00:00:00"/>
    <n v="23.4"/>
    <n v="17.600000000000001"/>
    <n v="28.8"/>
    <n v="0"/>
    <s v="Normal"/>
    <s v="Normal"/>
    <s v="Normal"/>
    <s v="Normal"/>
    <x v="3"/>
    <s v="October"/>
  </r>
  <r>
    <d v="2020-10-18T00:00:00"/>
    <n v="23.8"/>
    <n v="20.8"/>
    <n v="28"/>
    <n v="0.3"/>
    <s v="Normal"/>
    <s v="Normal"/>
    <s v="Normal"/>
    <s v="Normal"/>
    <x v="3"/>
    <s v="October"/>
  </r>
  <r>
    <d v="2020-10-19T00:00:00"/>
    <n v="23.3"/>
    <n v="21"/>
    <n v="28"/>
    <n v="1.8"/>
    <s v="Normal"/>
    <s v="Normal"/>
    <s v="Normal"/>
    <s v="Normal"/>
    <x v="3"/>
    <s v="October"/>
  </r>
  <r>
    <d v="2020-10-20T00:00:00"/>
    <n v="22.9"/>
    <n v="20"/>
    <n v="26.6"/>
    <n v="3.8"/>
    <s v="Normal"/>
    <s v="Normal"/>
    <s v="Normal"/>
    <s v="Normal"/>
    <x v="3"/>
    <s v="October"/>
  </r>
  <r>
    <d v="2020-10-21T00:00:00"/>
    <n v="22.7"/>
    <n v="20.399999999999999"/>
    <n v="26.2"/>
    <n v="67.099999999999994"/>
    <s v="Normal"/>
    <s v="Normal"/>
    <s v="Normal"/>
    <s v="Outlier"/>
    <x v="3"/>
    <s v="October"/>
  </r>
  <r>
    <d v="2020-10-22T00:00:00"/>
    <n v="22.2"/>
    <n v="19.3"/>
    <n v="26.4"/>
    <n v="5.3"/>
    <s v="Normal"/>
    <s v="Normal"/>
    <s v="Normal"/>
    <s v="Normal"/>
    <x v="3"/>
    <s v="October"/>
  </r>
  <r>
    <d v="2020-10-23T00:00:00"/>
    <n v="21"/>
    <n v="17.8"/>
    <n v="27.5"/>
    <n v="17.5"/>
    <s v="Normal"/>
    <s v="Normal"/>
    <s v="Normal"/>
    <s v="Outlier"/>
    <x v="3"/>
    <s v="October"/>
  </r>
  <r>
    <d v="2020-10-24T00:00:00"/>
    <n v="22"/>
    <n v="17"/>
    <n v="27"/>
    <n v="17.3"/>
    <s v="Normal"/>
    <s v="Normal"/>
    <s v="Normal"/>
    <s v="Outlier"/>
    <x v="3"/>
    <s v="October"/>
  </r>
  <r>
    <d v="2020-10-25T00:00:00"/>
    <n v="23.5"/>
    <n v="20.2"/>
    <n v="29.8"/>
    <n v="0"/>
    <s v="Normal"/>
    <s v="Normal"/>
    <s v="Normal"/>
    <s v="Normal"/>
    <x v="3"/>
    <s v="October"/>
  </r>
  <r>
    <d v="2020-10-26T00:00:00"/>
    <n v="23.6"/>
    <n v="19.399999999999999"/>
    <n v="29.4"/>
    <n v="7.9"/>
    <s v="Normal"/>
    <s v="Normal"/>
    <s v="Normal"/>
    <s v="Normal"/>
    <x v="3"/>
    <s v="October"/>
  </r>
  <r>
    <d v="2020-10-27T00:00:00"/>
    <n v="23.7"/>
    <n v="19"/>
    <n v="30"/>
    <n v="0"/>
    <s v="Normal"/>
    <s v="Normal"/>
    <s v="Normal"/>
    <s v="Normal"/>
    <x v="3"/>
    <s v="October"/>
  </r>
  <r>
    <d v="2020-10-30T00:00:00"/>
    <n v="22.9"/>
    <n v="17.8"/>
    <n v="28.3"/>
    <n v="0"/>
    <s v="Normal"/>
    <s v="Normal"/>
    <s v="Normal"/>
    <s v="Normal"/>
    <x v="3"/>
    <s v="October"/>
  </r>
  <r>
    <d v="2020-11-01T00:00:00"/>
    <n v="24.8"/>
    <n v="19"/>
    <n v="29.1"/>
    <n v="0"/>
    <s v="Normal"/>
    <s v="Normal"/>
    <s v="Normal"/>
    <s v="Normal"/>
    <x v="3"/>
    <s v="October"/>
  </r>
  <r>
    <d v="2020-11-02T00:00:00"/>
    <n v="24.3"/>
    <n v="20.399999999999999"/>
    <n v="31.5"/>
    <n v="0.3"/>
    <s v="Normal"/>
    <s v="Normal"/>
    <s v="Normal"/>
    <s v="Normal"/>
    <x v="3"/>
    <s v="November"/>
  </r>
  <r>
    <d v="2020-11-03T00:00:00"/>
    <n v="24.7"/>
    <n v="19.8"/>
    <n v="29"/>
    <n v="0"/>
    <s v="Normal"/>
    <s v="Normal"/>
    <s v="Normal"/>
    <s v="Normal"/>
    <x v="3"/>
    <s v="November"/>
  </r>
  <r>
    <d v="2020-11-06T00:00:00"/>
    <n v="23.8"/>
    <n v="20.8"/>
    <n v="30.4"/>
    <n v="22.9"/>
    <s v="Normal"/>
    <s v="Normal"/>
    <s v="Normal"/>
    <s v="Outlier"/>
    <x v="3"/>
    <s v="November"/>
  </r>
  <r>
    <d v="2020-11-07T00:00:00"/>
    <n v="23.4"/>
    <n v="20.2"/>
    <n v="29.2"/>
    <n v="0"/>
    <s v="Normal"/>
    <s v="Normal"/>
    <s v="Normal"/>
    <s v="Normal"/>
    <x v="3"/>
    <s v="November"/>
  </r>
  <r>
    <d v="2020-11-08T00:00:00"/>
    <n v="23.4"/>
    <n v="20.8"/>
    <n v="30.2"/>
    <n v="3.3"/>
    <s v="Normal"/>
    <s v="Normal"/>
    <s v="Normal"/>
    <s v="Normal"/>
    <x v="3"/>
    <s v="November"/>
  </r>
  <r>
    <d v="2020-11-09T00:00:00"/>
    <n v="22.7"/>
    <n v="19.5"/>
    <n v="27.8"/>
    <n v="0"/>
    <s v="Normal"/>
    <s v="Normal"/>
    <s v="Normal"/>
    <s v="Normal"/>
    <x v="3"/>
    <s v="November"/>
  </r>
  <r>
    <d v="2020-11-13T00:00:00"/>
    <n v="22.1"/>
    <n v="20.399999999999999"/>
    <n v="28"/>
    <n v="0"/>
    <s v="Normal"/>
    <s v="Normal"/>
    <s v="Normal"/>
    <s v="Normal"/>
    <x v="3"/>
    <s v="November"/>
  </r>
  <r>
    <d v="2020-11-14T00:00:00"/>
    <n v="22.8"/>
    <n v="20"/>
    <n v="27.8"/>
    <n v="8.9"/>
    <s v="Normal"/>
    <s v="Normal"/>
    <s v="Normal"/>
    <s v="Normal"/>
    <x v="3"/>
    <s v="November"/>
  </r>
  <r>
    <d v="2020-11-15T00:00:00"/>
    <n v="21.6"/>
    <n v="19.100000000000001"/>
    <n v="28.2"/>
    <n v="0"/>
    <s v="Normal"/>
    <s v="Normal"/>
    <s v="Normal"/>
    <s v="Normal"/>
    <x v="3"/>
    <s v="November"/>
  </r>
  <r>
    <d v="2020-11-16T00:00:00"/>
    <n v="21.6"/>
    <n v="19.2"/>
    <n v="25.8"/>
    <n v="9.9"/>
    <s v="Normal"/>
    <s v="Normal"/>
    <s v="Normal"/>
    <s v="Normal"/>
    <x v="3"/>
    <s v="November"/>
  </r>
  <r>
    <d v="2020-11-17T00:00:00"/>
    <n v="22.2"/>
    <n v="19.399999999999999"/>
    <n v="25"/>
    <n v="21.1"/>
    <s v="Normal"/>
    <s v="Normal"/>
    <s v="Normal"/>
    <s v="Outlier"/>
    <x v="3"/>
    <s v="November"/>
  </r>
  <r>
    <d v="2020-11-18T00:00:00"/>
    <n v="22.8"/>
    <n v="19.2"/>
    <n v="28.3"/>
    <n v="0"/>
    <s v="Normal"/>
    <s v="Normal"/>
    <s v="Normal"/>
    <s v="Normal"/>
    <x v="3"/>
    <s v="November"/>
  </r>
  <r>
    <d v="2020-11-19T00:00:00"/>
    <n v="22.9"/>
    <n v="20"/>
    <n v="28.3"/>
    <n v="0"/>
    <s v="Normal"/>
    <s v="Normal"/>
    <s v="Normal"/>
    <s v="Normal"/>
    <x v="3"/>
    <s v="November"/>
  </r>
  <r>
    <d v="2020-11-26T00:00:00"/>
    <n v="19.399999999999999"/>
    <n v="17.8"/>
    <n v="23.8"/>
    <n v="2"/>
    <s v="Normal"/>
    <s v="Normal"/>
    <s v="Normal"/>
    <s v="Normal"/>
    <x v="3"/>
    <s v="November"/>
  </r>
  <r>
    <d v="2020-11-27T00:00:00"/>
    <n v="19.7"/>
    <n v="17.8"/>
    <n v="21.8"/>
    <n v="13.2"/>
    <s v="Normal"/>
    <s v="Normal"/>
    <s v="Outlier"/>
    <s v="Outlier"/>
    <x v="3"/>
    <s v="November"/>
  </r>
  <r>
    <d v="2020-11-28T00:00:00"/>
    <n v="21.5"/>
    <n v="17"/>
    <n v="25.9"/>
    <n v="0.3"/>
    <s v="Normal"/>
    <s v="Normal"/>
    <s v="Normal"/>
    <s v="Normal"/>
    <x v="3"/>
    <s v="November"/>
  </r>
  <r>
    <d v="2020-11-29T00:00:00"/>
    <n v="21.6"/>
    <n v="19"/>
    <n v="25.6"/>
    <n v="0"/>
    <s v="Normal"/>
    <s v="Normal"/>
    <s v="Normal"/>
    <s v="Normal"/>
    <x v="3"/>
    <s v="November"/>
  </r>
  <r>
    <d v="2020-11-30T00:00:00"/>
    <n v="21.9"/>
    <n v="18"/>
    <n v="26.8"/>
    <n v="0"/>
    <s v="Normal"/>
    <s v="Normal"/>
    <s v="Normal"/>
    <s v="Normal"/>
    <x v="3"/>
    <s v="November"/>
  </r>
  <r>
    <d v="2020-12-03T00:00:00"/>
    <n v="19.899999999999999"/>
    <n v="18"/>
    <n v="26.4"/>
    <n v="2.2999999999999998"/>
    <s v="Normal"/>
    <s v="Normal"/>
    <s v="Normal"/>
    <s v="Normal"/>
    <x v="3"/>
    <s v="November"/>
  </r>
  <r>
    <d v="2020-12-04T00:00:00"/>
    <n v="20.8"/>
    <n v="19.2"/>
    <n v="22.8"/>
    <n v="1.8"/>
    <s v="Normal"/>
    <s v="Normal"/>
    <s v="Normal"/>
    <s v="Normal"/>
    <x v="3"/>
    <s v="December"/>
  </r>
  <r>
    <d v="2020-12-05T00:00:00"/>
    <n v="21"/>
    <n v="19.399999999999999"/>
    <n v="23.2"/>
    <n v="0.8"/>
    <s v="Normal"/>
    <s v="Normal"/>
    <s v="Normal"/>
    <s v="Normal"/>
    <x v="3"/>
    <s v="December"/>
  </r>
  <r>
    <d v="2020-12-06T00:00:00"/>
    <n v="20.9"/>
    <n v="18.5"/>
    <n v="24"/>
    <n v="1.3"/>
    <s v="Normal"/>
    <s v="Normal"/>
    <s v="Normal"/>
    <s v="Normal"/>
    <x v="3"/>
    <s v="December"/>
  </r>
  <r>
    <d v="2020-12-07T00:00:00"/>
    <n v="21.7"/>
    <n v="19.399999999999999"/>
    <n v="24.8"/>
    <n v="7.6"/>
    <s v="Normal"/>
    <s v="Normal"/>
    <s v="Normal"/>
    <s v="Normal"/>
    <x v="3"/>
    <s v="December"/>
  </r>
  <r>
    <d v="2020-12-08T00:00:00"/>
    <n v="21.3"/>
    <n v="19.5"/>
    <n v="26.2"/>
    <n v="5.6"/>
    <s v="Normal"/>
    <s v="Normal"/>
    <s v="Normal"/>
    <s v="Normal"/>
    <x v="3"/>
    <s v="December"/>
  </r>
  <r>
    <d v="2020-12-09T00:00:00"/>
    <n v="21.7"/>
    <n v="19.399999999999999"/>
    <n v="25"/>
    <n v="0.8"/>
    <s v="Normal"/>
    <s v="Normal"/>
    <s v="Normal"/>
    <s v="Normal"/>
    <x v="3"/>
    <s v="December"/>
  </r>
  <r>
    <d v="2020-12-10T00:00:00"/>
    <n v="21.3"/>
    <n v="16.399999999999999"/>
    <n v="26.8"/>
    <n v="0"/>
    <s v="Normal"/>
    <s v="Outlier"/>
    <s v="Normal"/>
    <s v="Normal"/>
    <x v="3"/>
    <s v="December"/>
  </r>
  <r>
    <d v="2020-12-11T00:00:00"/>
    <n v="21.2"/>
    <n v="16.600000000000001"/>
    <n v="28.4"/>
    <n v="0"/>
    <s v="Normal"/>
    <s v="Outlier"/>
    <s v="Normal"/>
    <s v="Normal"/>
    <x v="3"/>
    <s v="December"/>
  </r>
  <r>
    <d v="2020-12-17T00:00:00"/>
    <n v="21.7"/>
    <n v="19.5"/>
    <n v="26.8"/>
    <n v="0.3"/>
    <s v="Normal"/>
    <s v="Normal"/>
    <s v="Normal"/>
    <s v="Normal"/>
    <x v="3"/>
    <s v="December"/>
  </r>
  <r>
    <d v="2020-12-18T00:00:00"/>
    <n v="22.1"/>
    <n v="18.399999999999999"/>
    <n v="26.6"/>
    <n v="0"/>
    <s v="Normal"/>
    <s v="Normal"/>
    <s v="Normal"/>
    <s v="Normal"/>
    <x v="3"/>
    <s v="December"/>
  </r>
  <r>
    <d v="2020-12-31T00:00:00"/>
    <n v="21.1"/>
    <n v="18.8"/>
    <n v="29.6"/>
    <n v="0"/>
    <s v="Normal"/>
    <s v="Normal"/>
    <s v="Normal"/>
    <s v="Normal"/>
    <x v="3"/>
    <s v="December"/>
  </r>
  <r>
    <d v="2021-01-01T00:00:00"/>
    <n v="20.6"/>
    <n v="16.600000000000001"/>
    <n v="25.3"/>
    <n v="0.5"/>
    <s v="Normal"/>
    <s v="Outlier"/>
    <s v="Normal"/>
    <s v="Normal"/>
    <x v="4"/>
    <s v="December"/>
  </r>
  <r>
    <d v="2021-01-02T00:00:00"/>
    <n v="20.9"/>
    <n v="16.600000000000001"/>
    <n v="26"/>
    <n v="0.4"/>
    <s v="Normal"/>
    <s v="Outlier"/>
    <s v="Normal"/>
    <s v="Normal"/>
    <x v="4"/>
    <s v="January"/>
  </r>
  <r>
    <d v="2021-01-03T00:00:00"/>
    <n v="21.9"/>
    <n v="18.8"/>
    <n v="26"/>
    <n v="0"/>
    <s v="Normal"/>
    <s v="Normal"/>
    <s v="Normal"/>
    <s v="Normal"/>
    <x v="4"/>
    <s v="January"/>
  </r>
  <r>
    <d v="2021-01-04T00:00:00"/>
    <n v="20.8"/>
    <n v="18.600000000000001"/>
    <n v="27.6"/>
    <n v="0"/>
    <s v="Normal"/>
    <s v="Normal"/>
    <s v="Normal"/>
    <s v="Normal"/>
    <x v="4"/>
    <s v="January"/>
  </r>
  <r>
    <d v="2021-01-05T00:00:00"/>
    <n v="21.9"/>
    <n v="18.7"/>
    <n v="26.2"/>
    <n v="0"/>
    <s v="Normal"/>
    <s v="Normal"/>
    <s v="Normal"/>
    <s v="Normal"/>
    <x v="4"/>
    <s v="January"/>
  </r>
  <r>
    <d v="2021-01-06T00:00:00"/>
    <n v="21.2"/>
    <n v="20"/>
    <n v="27.3"/>
    <n v="7.5"/>
    <s v="Normal"/>
    <s v="Normal"/>
    <s v="Normal"/>
    <s v="Normal"/>
    <x v="4"/>
    <s v="January"/>
  </r>
  <r>
    <d v="2021-01-07T00:00:00"/>
    <n v="21.6"/>
    <n v="19.100000000000001"/>
    <n v="25.4"/>
    <n v="0.8"/>
    <s v="Normal"/>
    <s v="Normal"/>
    <s v="Normal"/>
    <s v="Normal"/>
    <x v="4"/>
    <s v="January"/>
  </r>
  <r>
    <d v="2021-01-08T00:00:00"/>
    <n v="22.3"/>
    <n v="20"/>
    <n v="27"/>
    <n v="9"/>
    <s v="Normal"/>
    <s v="Normal"/>
    <s v="Normal"/>
    <s v="Normal"/>
    <x v="4"/>
    <s v="January"/>
  </r>
  <r>
    <d v="2021-01-09T00:00:00"/>
    <n v="21.4"/>
    <n v="18.8"/>
    <n v="27"/>
    <n v="0"/>
    <s v="Normal"/>
    <s v="Normal"/>
    <s v="Normal"/>
    <s v="Normal"/>
    <x v="4"/>
    <s v="January"/>
  </r>
  <r>
    <d v="2021-01-10T00:00:00"/>
    <n v="22.2"/>
    <n v="18.600000000000001"/>
    <n v="26.2"/>
    <n v="0"/>
    <s v="Normal"/>
    <s v="Normal"/>
    <s v="Normal"/>
    <s v="Normal"/>
    <x v="4"/>
    <s v="January"/>
  </r>
  <r>
    <d v="2021-01-11T00:00:00"/>
    <n v="21.6"/>
    <n v="18.2"/>
    <n v="26.9"/>
    <n v="0"/>
    <s v="Normal"/>
    <s v="Normal"/>
    <s v="Normal"/>
    <s v="Normal"/>
    <x v="4"/>
    <s v="January"/>
  </r>
  <r>
    <d v="2021-01-12T00:00:00"/>
    <n v="20.399999999999999"/>
    <n v="18.2"/>
    <n v="25.4"/>
    <n v="0"/>
    <s v="Normal"/>
    <s v="Normal"/>
    <s v="Normal"/>
    <s v="Normal"/>
    <x v="4"/>
    <s v="January"/>
  </r>
  <r>
    <d v="2021-01-13T00:00:00"/>
    <n v="21.3"/>
    <n v="16.8"/>
    <n v="26.3"/>
    <n v="0"/>
    <s v="Normal"/>
    <s v="Outlier"/>
    <s v="Normal"/>
    <s v="Normal"/>
    <x v="4"/>
    <s v="January"/>
  </r>
  <r>
    <d v="2021-01-14T00:00:00"/>
    <n v="20.8"/>
    <n v="16.399999999999999"/>
    <n v="27.7"/>
    <n v="0.2"/>
    <s v="Normal"/>
    <s v="Outlier"/>
    <s v="Normal"/>
    <s v="Normal"/>
    <x v="4"/>
    <s v="January"/>
  </r>
  <r>
    <d v="2021-01-15T00:00:00"/>
    <n v="21.8"/>
    <n v="17.3"/>
    <n v="26.3"/>
    <n v="0"/>
    <s v="Normal"/>
    <s v="Normal"/>
    <s v="Normal"/>
    <s v="Normal"/>
    <x v="4"/>
    <s v="January"/>
  </r>
  <r>
    <d v="2021-01-16T00:00:00"/>
    <n v="22.2"/>
    <n v="18.100000000000001"/>
    <n v="27.4"/>
    <n v="0"/>
    <s v="Normal"/>
    <s v="Normal"/>
    <s v="Normal"/>
    <s v="Normal"/>
    <x v="4"/>
    <s v="January"/>
  </r>
  <r>
    <d v="2021-01-17T00:00:00"/>
    <n v="22.2"/>
    <n v="17"/>
    <n v="29.2"/>
    <n v="0"/>
    <s v="Normal"/>
    <s v="Normal"/>
    <s v="Normal"/>
    <s v="Normal"/>
    <x v="4"/>
    <s v="January"/>
  </r>
  <r>
    <d v="2021-01-18T00:00:00"/>
    <n v="21.8"/>
    <n v="15.5"/>
    <n v="29.6"/>
    <n v="0"/>
    <s v="Normal"/>
    <s v="Outlier"/>
    <s v="Normal"/>
    <s v="Normal"/>
    <x v="4"/>
    <s v="January"/>
  </r>
  <r>
    <d v="2021-01-19T00:00:00"/>
    <n v="21.8"/>
    <n v="16.100000000000001"/>
    <n v="28.8"/>
    <n v="0"/>
    <s v="Normal"/>
    <s v="Outlier"/>
    <s v="Normal"/>
    <s v="Normal"/>
    <x v="4"/>
    <s v="January"/>
  </r>
  <r>
    <d v="2021-01-20T00:00:00"/>
    <n v="22.7"/>
    <n v="16"/>
    <n v="28.4"/>
    <n v="0"/>
    <s v="Normal"/>
    <s v="Outlier"/>
    <s v="Normal"/>
    <s v="Normal"/>
    <x v="4"/>
    <s v="January"/>
  </r>
  <r>
    <d v="2021-01-21T00:00:00"/>
    <n v="23.8"/>
    <n v="17"/>
    <n v="31.1"/>
    <n v="0"/>
    <s v="Normal"/>
    <s v="Normal"/>
    <s v="Normal"/>
    <s v="Normal"/>
    <x v="4"/>
    <s v="January"/>
  </r>
  <r>
    <d v="2021-01-22T00:00:00"/>
    <n v="23.8"/>
    <n v="18.399999999999999"/>
    <n v="31.1"/>
    <n v="0.1"/>
    <s v="Normal"/>
    <s v="Normal"/>
    <s v="Normal"/>
    <s v="Normal"/>
    <x v="4"/>
    <s v="January"/>
  </r>
  <r>
    <d v="2021-01-23T00:00:00"/>
    <n v="22.5"/>
    <n v="18"/>
    <n v="30.3"/>
    <n v="0"/>
    <s v="Normal"/>
    <s v="Normal"/>
    <s v="Normal"/>
    <s v="Normal"/>
    <x v="4"/>
    <s v="January"/>
  </r>
  <r>
    <d v="2021-01-24T00:00:00"/>
    <n v="21.9"/>
    <n v="17"/>
    <n v="29.2"/>
    <n v="0"/>
    <s v="Normal"/>
    <s v="Normal"/>
    <s v="Normal"/>
    <s v="Normal"/>
    <x v="4"/>
    <s v="January"/>
  </r>
  <r>
    <d v="2021-01-25T00:00:00"/>
    <n v="21.6"/>
    <n v="16.3"/>
    <n v="29.5"/>
    <n v="0"/>
    <s v="Normal"/>
    <s v="Outlier"/>
    <s v="Normal"/>
    <s v="Normal"/>
    <x v="4"/>
    <s v="January"/>
  </r>
  <r>
    <d v="2021-01-26T00:00:00"/>
    <n v="21.9"/>
    <n v="15.4"/>
    <n v="29.4"/>
    <n v="0"/>
    <s v="Normal"/>
    <s v="Outlier"/>
    <s v="Normal"/>
    <s v="Normal"/>
    <x v="4"/>
    <s v="January"/>
  </r>
  <r>
    <d v="2021-01-27T00:00:00"/>
    <n v="21.7"/>
    <n v="15.4"/>
    <n v="30.8"/>
    <n v="0"/>
    <s v="Normal"/>
    <s v="Outlier"/>
    <s v="Normal"/>
    <s v="Normal"/>
    <x v="4"/>
    <s v="January"/>
  </r>
  <r>
    <d v="2021-01-28T00:00:00"/>
    <n v="21.6"/>
    <n v="16"/>
    <n v="30.2"/>
    <n v="0"/>
    <s v="Normal"/>
    <s v="Outlier"/>
    <s v="Normal"/>
    <s v="Normal"/>
    <x v="4"/>
    <s v="January"/>
  </r>
  <r>
    <d v="2021-01-29T00:00:00"/>
    <n v="22.4"/>
    <n v="18"/>
    <n v="28.4"/>
    <n v="0"/>
    <s v="Normal"/>
    <s v="Normal"/>
    <s v="Normal"/>
    <s v="Normal"/>
    <x v="4"/>
    <s v="January"/>
  </r>
  <r>
    <d v="2021-01-30T00:00:00"/>
    <n v="22.8"/>
    <n v="17.399999999999999"/>
    <n v="29.3"/>
    <n v="0"/>
    <s v="Normal"/>
    <s v="Normal"/>
    <s v="Normal"/>
    <s v="Normal"/>
    <x v="4"/>
    <s v="January"/>
  </r>
  <r>
    <d v="2021-01-31T00:00:00"/>
    <n v="22.7"/>
    <n v="17.2"/>
    <n v="29.8"/>
    <n v="0"/>
    <s v="Normal"/>
    <s v="Normal"/>
    <s v="Normal"/>
    <s v="Normal"/>
    <x v="4"/>
    <s v="January"/>
  </r>
  <r>
    <d v="2021-02-01T00:00:00"/>
    <n v="22.8"/>
    <n v="16.8"/>
    <n v="30.1"/>
    <n v="0"/>
    <s v="Normal"/>
    <s v="Outlier"/>
    <s v="Normal"/>
    <s v="Normal"/>
    <x v="4"/>
    <s v="January"/>
  </r>
  <r>
    <d v="2021-02-02T00:00:00"/>
    <n v="22.1"/>
    <n v="16.8"/>
    <n v="29.6"/>
    <n v="0"/>
    <s v="Normal"/>
    <s v="Outlier"/>
    <s v="Normal"/>
    <s v="Normal"/>
    <x v="4"/>
    <s v="February"/>
  </r>
  <r>
    <d v="2021-02-03T00:00:00"/>
    <n v="21.8"/>
    <n v="17.899999999999999"/>
    <n v="28.6"/>
    <n v="0"/>
    <s v="Normal"/>
    <s v="Normal"/>
    <s v="Normal"/>
    <s v="Normal"/>
    <x v="4"/>
    <s v="February"/>
  </r>
  <r>
    <d v="2021-02-04T00:00:00"/>
    <n v="22.1"/>
    <n v="16.100000000000001"/>
    <n v="28.5"/>
    <n v="0"/>
    <s v="Normal"/>
    <s v="Outlier"/>
    <s v="Normal"/>
    <s v="Normal"/>
    <x v="4"/>
    <s v="February"/>
  </r>
  <r>
    <d v="2021-02-05T00:00:00"/>
    <n v="22.2"/>
    <n v="15.4"/>
    <n v="29.4"/>
    <n v="0"/>
    <s v="Normal"/>
    <s v="Outlier"/>
    <s v="Normal"/>
    <s v="Normal"/>
    <x v="4"/>
    <s v="February"/>
  </r>
  <r>
    <d v="2021-02-06T00:00:00"/>
    <n v="22.4"/>
    <n v="15.6"/>
    <n v="30.4"/>
    <n v="0"/>
    <s v="Normal"/>
    <s v="Outlier"/>
    <s v="Normal"/>
    <s v="Normal"/>
    <x v="4"/>
    <s v="February"/>
  </r>
  <r>
    <d v="2021-02-07T00:00:00"/>
    <n v="22.3"/>
    <n v="15"/>
    <n v="30.4"/>
    <n v="0"/>
    <s v="Normal"/>
    <s v="Outlier"/>
    <s v="Normal"/>
    <s v="Normal"/>
    <x v="4"/>
    <s v="February"/>
  </r>
  <r>
    <d v="2021-02-08T00:00:00"/>
    <n v="22.1"/>
    <n v="16.100000000000001"/>
    <n v="30.1"/>
    <n v="0"/>
    <s v="Normal"/>
    <s v="Outlier"/>
    <s v="Normal"/>
    <s v="Normal"/>
    <x v="4"/>
    <s v="February"/>
  </r>
  <r>
    <d v="2021-02-09T00:00:00"/>
    <n v="20.6"/>
    <n v="14.9"/>
    <n v="29.8"/>
    <n v="0"/>
    <s v="Normal"/>
    <s v="Outlier"/>
    <s v="Normal"/>
    <s v="Normal"/>
    <x v="4"/>
    <s v="February"/>
  </r>
  <r>
    <d v="2021-02-10T00:00:00"/>
    <n v="21.7"/>
    <n v="14.4"/>
    <n v="28.6"/>
    <n v="0"/>
    <s v="Normal"/>
    <s v="Outlier"/>
    <s v="Normal"/>
    <s v="Normal"/>
    <x v="4"/>
    <s v="February"/>
  </r>
  <r>
    <d v="2021-02-11T00:00:00"/>
    <n v="20.3"/>
    <n v="13.5"/>
    <n v="28.1"/>
    <n v="0"/>
    <s v="Normal"/>
    <s v="Outlier"/>
    <s v="Normal"/>
    <s v="Normal"/>
    <x v="4"/>
    <s v="February"/>
  </r>
  <r>
    <d v="2021-02-12T00:00:00"/>
    <n v="20.7"/>
    <n v="12.2"/>
    <n v="28.9"/>
    <n v="0"/>
    <s v="Normal"/>
    <s v="Outlier"/>
    <s v="Normal"/>
    <s v="Normal"/>
    <x v="4"/>
    <s v="February"/>
  </r>
  <r>
    <d v="2021-02-13T00:00:00"/>
    <n v="20.6"/>
    <n v="13"/>
    <n v="29.8"/>
    <n v="0"/>
    <s v="Normal"/>
    <s v="Outlier"/>
    <s v="Normal"/>
    <s v="Normal"/>
    <x v="4"/>
    <s v="February"/>
  </r>
  <r>
    <d v="2021-02-14T00:00:00"/>
    <n v="23"/>
    <n v="16.2"/>
    <n v="31"/>
    <n v="0"/>
    <s v="Normal"/>
    <s v="Outlier"/>
    <s v="Normal"/>
    <s v="Normal"/>
    <x v="4"/>
    <s v="February"/>
  </r>
  <r>
    <d v="2021-02-15T00:00:00"/>
    <n v="24"/>
    <n v="17.899999999999999"/>
    <n v="31.5"/>
    <n v="0"/>
    <s v="Normal"/>
    <s v="Normal"/>
    <s v="Normal"/>
    <s v="Normal"/>
    <x v="4"/>
    <s v="February"/>
  </r>
  <r>
    <d v="2021-02-16T00:00:00"/>
    <n v="23.9"/>
    <n v="18.399999999999999"/>
    <n v="32"/>
    <n v="0"/>
    <s v="Normal"/>
    <s v="Normal"/>
    <s v="Normal"/>
    <s v="Normal"/>
    <x v="4"/>
    <s v="February"/>
  </r>
  <r>
    <d v="2021-02-17T00:00:00"/>
    <n v="23.8"/>
    <n v="18.399999999999999"/>
    <n v="31.4"/>
    <n v="0"/>
    <s v="Normal"/>
    <s v="Normal"/>
    <s v="Normal"/>
    <s v="Normal"/>
    <x v="4"/>
    <s v="February"/>
  </r>
  <r>
    <d v="2021-02-18T00:00:00"/>
    <n v="22.8"/>
    <n v="18"/>
    <n v="31.2"/>
    <n v="0.1"/>
    <s v="Normal"/>
    <s v="Normal"/>
    <s v="Normal"/>
    <s v="Normal"/>
    <x v="4"/>
    <s v="February"/>
  </r>
  <r>
    <d v="2021-02-19T00:00:00"/>
    <n v="22.8"/>
    <n v="18.2"/>
    <n v="29.3"/>
    <n v="1.7"/>
    <s v="Normal"/>
    <s v="Normal"/>
    <s v="Normal"/>
    <s v="Normal"/>
    <x v="4"/>
    <s v="February"/>
  </r>
  <r>
    <d v="2021-02-20T00:00:00"/>
    <n v="19.8"/>
    <n v="16.8"/>
    <n v="24.5"/>
    <n v="4.2"/>
    <s v="Normal"/>
    <s v="Outlier"/>
    <s v="Normal"/>
    <s v="Normal"/>
    <x v="4"/>
    <s v="February"/>
  </r>
  <r>
    <d v="2021-02-21T00:00:00"/>
    <n v="20.6"/>
    <n v="17.100000000000001"/>
    <n v="24.2"/>
    <n v="4.7"/>
    <s v="Normal"/>
    <s v="Normal"/>
    <s v="Normal"/>
    <s v="Normal"/>
    <x v="4"/>
    <s v="February"/>
  </r>
  <r>
    <d v="2021-02-22T00:00:00"/>
    <n v="22.8"/>
    <n v="18.100000000000001"/>
    <n v="28"/>
    <n v="0.4"/>
    <s v="Normal"/>
    <s v="Normal"/>
    <s v="Normal"/>
    <s v="Normal"/>
    <x v="4"/>
    <s v="February"/>
  </r>
  <r>
    <d v="2021-02-23T00:00:00"/>
    <n v="24.5"/>
    <n v="18.2"/>
    <n v="30.4"/>
    <n v="0"/>
    <s v="Normal"/>
    <s v="Normal"/>
    <s v="Normal"/>
    <s v="Normal"/>
    <x v="4"/>
    <s v="February"/>
  </r>
  <r>
    <d v="2021-02-24T00:00:00"/>
    <n v="24.4"/>
    <n v="18"/>
    <n v="31.1"/>
    <n v="0"/>
    <s v="Normal"/>
    <s v="Normal"/>
    <s v="Normal"/>
    <s v="Normal"/>
    <x v="4"/>
    <s v="February"/>
  </r>
  <r>
    <d v="2021-02-25T00:00:00"/>
    <n v="25.3"/>
    <n v="17.399999999999999"/>
    <n v="32"/>
    <n v="0"/>
    <s v="Normal"/>
    <s v="Normal"/>
    <s v="Normal"/>
    <s v="Normal"/>
    <x v="4"/>
    <s v="February"/>
  </r>
  <r>
    <d v="2021-02-26T00:00:00"/>
    <n v="25.8"/>
    <n v="18.399999999999999"/>
    <n v="33"/>
    <n v="0"/>
    <s v="Normal"/>
    <s v="Normal"/>
    <s v="Normal"/>
    <s v="Normal"/>
    <x v="4"/>
    <s v="February"/>
  </r>
  <r>
    <d v="2021-02-27T00:00:00"/>
    <n v="26.2"/>
    <n v="19"/>
    <n v="34.1"/>
    <n v="0"/>
    <s v="Normal"/>
    <s v="Normal"/>
    <s v="Normal"/>
    <s v="Normal"/>
    <x v="4"/>
    <s v="February"/>
  </r>
  <r>
    <d v="2021-02-28T00:00:00"/>
    <n v="26"/>
    <n v="20"/>
    <n v="33.799999999999997"/>
    <n v="0"/>
    <s v="Normal"/>
    <s v="Normal"/>
    <s v="Normal"/>
    <s v="Normal"/>
    <x v="4"/>
    <s v="February"/>
  </r>
  <r>
    <d v="2021-03-01T00:00:00"/>
    <n v="25.4"/>
    <n v="17.399999999999999"/>
    <n v="33.799999999999997"/>
    <n v="0"/>
    <s v="Normal"/>
    <s v="Normal"/>
    <s v="Normal"/>
    <s v="Normal"/>
    <x v="4"/>
    <s v="February"/>
  </r>
  <r>
    <d v="2021-03-02T00:00:00"/>
    <n v="25.3"/>
    <n v="18.399999999999999"/>
    <n v="33.6"/>
    <n v="0"/>
    <s v="Normal"/>
    <s v="Normal"/>
    <s v="Normal"/>
    <s v="Normal"/>
    <x v="4"/>
    <s v="March"/>
  </r>
  <r>
    <d v="2021-03-03T00:00:00"/>
    <n v="25"/>
    <n v="18.2"/>
    <n v="32.5"/>
    <n v="0"/>
    <s v="Normal"/>
    <s v="Normal"/>
    <s v="Normal"/>
    <s v="Normal"/>
    <x v="4"/>
    <s v="March"/>
  </r>
  <r>
    <d v="2021-03-04T00:00:00"/>
    <n v="24.6"/>
    <n v="16.5"/>
    <n v="32.299999999999997"/>
    <n v="0"/>
    <s v="Normal"/>
    <s v="Outlier"/>
    <s v="Normal"/>
    <s v="Normal"/>
    <x v="4"/>
    <s v="March"/>
  </r>
  <r>
    <d v="2021-03-05T00:00:00"/>
    <n v="24.9"/>
    <n v="16.7"/>
    <n v="32"/>
    <n v="0"/>
    <s v="Normal"/>
    <s v="Outlier"/>
    <s v="Normal"/>
    <s v="Normal"/>
    <x v="4"/>
    <s v="March"/>
  </r>
  <r>
    <d v="2021-03-06T00:00:00"/>
    <n v="26.7"/>
    <n v="18.399999999999999"/>
    <n v="34.4"/>
    <n v="0"/>
    <s v="Normal"/>
    <s v="Normal"/>
    <s v="Normal"/>
    <s v="Normal"/>
    <x v="4"/>
    <s v="March"/>
  </r>
  <r>
    <d v="2021-03-07T00:00:00"/>
    <n v="26.5"/>
    <n v="17.5"/>
    <n v="35.9"/>
    <n v="0"/>
    <s v="Normal"/>
    <s v="Normal"/>
    <s v="Normal"/>
    <s v="Normal"/>
    <x v="4"/>
    <s v="March"/>
  </r>
  <r>
    <d v="2021-03-08T00:00:00"/>
    <n v="26"/>
    <n v="19"/>
    <n v="33.799999999999997"/>
    <n v="0"/>
    <s v="Normal"/>
    <s v="Normal"/>
    <s v="Normal"/>
    <s v="Normal"/>
    <x v="4"/>
    <s v="March"/>
  </r>
  <r>
    <d v="2021-03-09T00:00:00"/>
    <n v="25.6"/>
    <n v="18.7"/>
    <n v="33.5"/>
    <n v="0"/>
    <s v="Normal"/>
    <s v="Normal"/>
    <s v="Normal"/>
    <s v="Normal"/>
    <x v="4"/>
    <s v="March"/>
  </r>
  <r>
    <d v="2021-03-10T00:00:00"/>
    <n v="27"/>
    <n v="19.5"/>
    <n v="33.6"/>
    <n v="0"/>
    <s v="Normal"/>
    <s v="Normal"/>
    <s v="Normal"/>
    <s v="Normal"/>
    <x v="4"/>
    <s v="March"/>
  </r>
  <r>
    <d v="2021-03-11T00:00:00"/>
    <n v="25"/>
    <n v="18.8"/>
    <n v="32"/>
    <n v="0"/>
    <s v="Normal"/>
    <s v="Normal"/>
    <s v="Normal"/>
    <s v="Normal"/>
    <x v="4"/>
    <s v="March"/>
  </r>
  <r>
    <d v="2021-03-12T00:00:00"/>
    <n v="24.6"/>
    <n v="17.3"/>
    <n v="32.200000000000003"/>
    <n v="0"/>
    <s v="Normal"/>
    <s v="Normal"/>
    <s v="Normal"/>
    <s v="Normal"/>
    <x v="4"/>
    <s v="March"/>
  </r>
  <r>
    <d v="2021-03-13T00:00:00"/>
    <n v="24.1"/>
    <n v="15.3"/>
    <n v="31"/>
    <n v="0"/>
    <s v="Normal"/>
    <s v="Outlier"/>
    <s v="Normal"/>
    <s v="Normal"/>
    <x v="4"/>
    <s v="March"/>
  </r>
  <r>
    <d v="2021-03-14T00:00:00"/>
    <n v="24.7"/>
    <n v="15.6"/>
    <n v="32.4"/>
    <n v="0"/>
    <s v="Normal"/>
    <s v="Outlier"/>
    <s v="Normal"/>
    <s v="Normal"/>
    <x v="4"/>
    <s v="March"/>
  </r>
  <r>
    <d v="2021-03-15T00:00:00"/>
    <n v="25.1"/>
    <n v="16.2"/>
    <n v="32.4"/>
    <n v="0"/>
    <s v="Normal"/>
    <s v="Outlier"/>
    <s v="Normal"/>
    <s v="Normal"/>
    <x v="4"/>
    <s v="March"/>
  </r>
  <r>
    <d v="2021-03-16T00:00:00"/>
    <n v="25.9"/>
    <n v="17.899999999999999"/>
    <n v="32.799999999999997"/>
    <n v="0"/>
    <s v="Normal"/>
    <s v="Normal"/>
    <s v="Normal"/>
    <s v="Normal"/>
    <x v="4"/>
    <s v="March"/>
  </r>
  <r>
    <d v="2021-03-17T00:00:00"/>
    <n v="25.5"/>
    <n v="16.399999999999999"/>
    <n v="32.4"/>
    <n v="0"/>
    <s v="Normal"/>
    <s v="Outlier"/>
    <s v="Normal"/>
    <s v="Normal"/>
    <x v="4"/>
    <s v="March"/>
  </r>
  <r>
    <d v="2021-03-18T00:00:00"/>
    <n v="25.5"/>
    <n v="17"/>
    <n v="32.799999999999997"/>
    <n v="0"/>
    <s v="Normal"/>
    <s v="Normal"/>
    <s v="Normal"/>
    <s v="Normal"/>
    <x v="4"/>
    <s v="March"/>
  </r>
  <r>
    <d v="2021-03-19T00:00:00"/>
    <n v="25.3"/>
    <n v="17.8"/>
    <n v="32.799999999999997"/>
    <n v="0"/>
    <s v="Normal"/>
    <s v="Normal"/>
    <s v="Normal"/>
    <s v="Normal"/>
    <x v="4"/>
    <s v="March"/>
  </r>
  <r>
    <d v="2021-03-20T00:00:00"/>
    <n v="25.3"/>
    <n v="16.899999999999999"/>
    <n v="32.200000000000003"/>
    <n v="0"/>
    <s v="Normal"/>
    <s v="Normal"/>
    <s v="Normal"/>
    <s v="Normal"/>
    <x v="4"/>
    <s v="March"/>
  </r>
  <r>
    <d v="2021-03-21T00:00:00"/>
    <n v="25.9"/>
    <n v="18.399999999999999"/>
    <n v="33"/>
    <n v="0"/>
    <s v="Normal"/>
    <s v="Normal"/>
    <s v="Normal"/>
    <s v="Normal"/>
    <x v="4"/>
    <s v="March"/>
  </r>
  <r>
    <d v="2021-03-22T00:00:00"/>
    <n v="26.2"/>
    <n v="17.5"/>
    <n v="33.799999999999997"/>
    <n v="0"/>
    <s v="Normal"/>
    <s v="Normal"/>
    <s v="Normal"/>
    <s v="Normal"/>
    <x v="4"/>
    <s v="March"/>
  </r>
  <r>
    <d v="2021-03-23T00:00:00"/>
    <n v="26.6"/>
    <n v="18.2"/>
    <n v="34.200000000000003"/>
    <n v="0"/>
    <s v="Normal"/>
    <s v="Normal"/>
    <s v="Normal"/>
    <s v="Normal"/>
    <x v="4"/>
    <s v="March"/>
  </r>
  <r>
    <d v="2021-03-24T00:00:00"/>
    <n v="26.7"/>
    <n v="18.3"/>
    <n v="33.799999999999997"/>
    <n v="0"/>
    <s v="Normal"/>
    <s v="Normal"/>
    <s v="Normal"/>
    <s v="Normal"/>
    <x v="4"/>
    <s v="March"/>
  </r>
  <r>
    <d v="2021-03-25T00:00:00"/>
    <n v="27.2"/>
    <n v="18.7"/>
    <n v="33.6"/>
    <n v="0"/>
    <s v="Normal"/>
    <s v="Normal"/>
    <s v="Normal"/>
    <s v="Normal"/>
    <x v="4"/>
    <s v="March"/>
  </r>
  <r>
    <d v="2021-03-26T00:00:00"/>
    <n v="27.2"/>
    <n v="19.3"/>
    <n v="35"/>
    <n v="0"/>
    <s v="Normal"/>
    <s v="Normal"/>
    <s v="Normal"/>
    <s v="Normal"/>
    <x v="4"/>
    <s v="March"/>
  </r>
  <r>
    <d v="2021-03-27T00:00:00"/>
    <n v="27.2"/>
    <n v="19.100000000000001"/>
    <n v="34.4"/>
    <n v="0"/>
    <s v="Normal"/>
    <s v="Normal"/>
    <s v="Normal"/>
    <s v="Normal"/>
    <x v="4"/>
    <s v="March"/>
  </r>
  <r>
    <d v="2021-03-28T00:00:00"/>
    <n v="27.2"/>
    <n v="19.8"/>
    <n v="34.1"/>
    <n v="0"/>
    <s v="Normal"/>
    <s v="Normal"/>
    <s v="Normal"/>
    <s v="Normal"/>
    <x v="4"/>
    <s v="March"/>
  </r>
  <r>
    <d v="2021-03-29T00:00:00"/>
    <n v="27.5"/>
    <n v="20"/>
    <n v="34.5"/>
    <n v="0"/>
    <s v="Normal"/>
    <s v="Normal"/>
    <s v="Normal"/>
    <s v="Normal"/>
    <x v="4"/>
    <s v="March"/>
  </r>
  <r>
    <d v="2021-03-30T00:00:00"/>
    <n v="27.7"/>
    <n v="21.4"/>
    <n v="34.1"/>
    <n v="0"/>
    <s v="Normal"/>
    <s v="Normal"/>
    <s v="Normal"/>
    <s v="Normal"/>
    <x v="4"/>
    <s v="March"/>
  </r>
  <r>
    <d v="2021-04-01T00:00:00"/>
    <n v="28.1"/>
    <n v="21"/>
    <n v="35.6"/>
    <n v="0"/>
    <s v="Normal"/>
    <s v="Normal"/>
    <s v="Normal"/>
    <s v="Normal"/>
    <x v="4"/>
    <s v="March"/>
  </r>
  <r>
    <d v="2021-04-02T00:00:00"/>
    <n v="27.7"/>
    <n v="19.3"/>
    <n v="35.6"/>
    <n v="0"/>
    <s v="Normal"/>
    <s v="Normal"/>
    <s v="Normal"/>
    <s v="Normal"/>
    <x v="4"/>
    <s v="April"/>
  </r>
  <r>
    <d v="2021-04-03T00:00:00"/>
    <n v="27.7"/>
    <n v="20.6"/>
    <n v="34.4"/>
    <n v="0"/>
    <s v="Normal"/>
    <s v="Normal"/>
    <s v="Normal"/>
    <s v="Normal"/>
    <x v="4"/>
    <s v="April"/>
  </r>
  <r>
    <d v="2021-04-05T00:00:00"/>
    <n v="27.7"/>
    <n v="21.4"/>
    <n v="33.299999999999997"/>
    <n v="0"/>
    <s v="Normal"/>
    <s v="Normal"/>
    <s v="Normal"/>
    <s v="Normal"/>
    <x v="4"/>
    <s v="April"/>
  </r>
  <r>
    <d v="2021-04-06T00:00:00"/>
    <n v="27.3"/>
    <n v="20.2"/>
    <n v="34.4"/>
    <n v="0"/>
    <s v="Normal"/>
    <s v="Normal"/>
    <s v="Normal"/>
    <s v="Normal"/>
    <x v="4"/>
    <s v="April"/>
  </r>
  <r>
    <d v="2021-04-07T00:00:00"/>
    <n v="27.6"/>
    <n v="19.399999999999999"/>
    <n v="35"/>
    <n v="0"/>
    <s v="Normal"/>
    <s v="Normal"/>
    <s v="Normal"/>
    <s v="Normal"/>
    <x v="4"/>
    <s v="April"/>
  </r>
  <r>
    <d v="2021-04-08T00:00:00"/>
    <n v="27.3"/>
    <n v="20.100000000000001"/>
    <n v="34.200000000000003"/>
    <n v="0"/>
    <s v="Normal"/>
    <s v="Normal"/>
    <s v="Normal"/>
    <s v="Normal"/>
    <x v="4"/>
    <s v="April"/>
  </r>
  <r>
    <d v="2021-04-09T00:00:00"/>
    <n v="27.1"/>
    <n v="19.5"/>
    <n v="34"/>
    <n v="0"/>
    <s v="Normal"/>
    <s v="Normal"/>
    <s v="Normal"/>
    <s v="Normal"/>
    <x v="4"/>
    <s v="April"/>
  </r>
  <r>
    <d v="2021-04-10T00:00:00"/>
    <n v="26.5"/>
    <n v="19.3"/>
    <n v="33.299999999999997"/>
    <n v="0"/>
    <s v="Normal"/>
    <s v="Normal"/>
    <s v="Normal"/>
    <s v="Normal"/>
    <x v="4"/>
    <s v="April"/>
  </r>
  <r>
    <d v="2021-04-11T00:00:00"/>
    <n v="26.5"/>
    <n v="19.399999999999999"/>
    <n v="33.200000000000003"/>
    <n v="0"/>
    <s v="Normal"/>
    <s v="Normal"/>
    <s v="Normal"/>
    <s v="Normal"/>
    <x v="4"/>
    <s v="April"/>
  </r>
  <r>
    <d v="2021-04-12T00:00:00"/>
    <n v="26.6"/>
    <n v="20.7"/>
    <n v="33.5"/>
    <n v="0"/>
    <s v="Normal"/>
    <s v="Normal"/>
    <s v="Normal"/>
    <s v="Normal"/>
    <x v="4"/>
    <s v="April"/>
  </r>
  <r>
    <d v="2021-04-13T00:00:00"/>
    <n v="26.6"/>
    <n v="20.8"/>
    <n v="32.9"/>
    <n v="0"/>
    <s v="Normal"/>
    <s v="Normal"/>
    <s v="Normal"/>
    <s v="Normal"/>
    <x v="4"/>
    <s v="April"/>
  </r>
  <r>
    <d v="2021-04-14T00:00:00"/>
    <n v="25.1"/>
    <n v="21.8"/>
    <n v="31.8"/>
    <n v="8.1"/>
    <s v="Normal"/>
    <s v="Normal"/>
    <s v="Normal"/>
    <s v="Normal"/>
    <x v="4"/>
    <s v="April"/>
  </r>
  <r>
    <d v="2021-04-15T00:00:00"/>
    <n v="25.3"/>
    <n v="19.8"/>
    <n v="33.200000000000003"/>
    <n v="1.8"/>
    <s v="Normal"/>
    <s v="Normal"/>
    <s v="Normal"/>
    <s v="Normal"/>
    <x v="4"/>
    <s v="April"/>
  </r>
  <r>
    <d v="2021-04-16T00:00:00"/>
    <n v="27.2"/>
    <n v="20.8"/>
    <n v="32.6"/>
    <n v="0.3"/>
    <s v="Normal"/>
    <s v="Normal"/>
    <s v="Normal"/>
    <s v="Normal"/>
    <x v="4"/>
    <s v="April"/>
  </r>
  <r>
    <d v="2021-04-17T00:00:00"/>
    <n v="27.7"/>
    <n v="22.4"/>
    <n v="33.4"/>
    <n v="0"/>
    <s v="Normal"/>
    <s v="Normal"/>
    <s v="Normal"/>
    <s v="Normal"/>
    <x v="4"/>
    <s v="April"/>
  </r>
  <r>
    <d v="2021-04-18T00:00:00"/>
    <n v="26.8"/>
    <n v="20.9"/>
    <n v="33"/>
    <n v="0.1"/>
    <s v="Normal"/>
    <s v="Normal"/>
    <s v="Normal"/>
    <s v="Normal"/>
    <x v="4"/>
    <s v="April"/>
  </r>
  <r>
    <d v="2021-04-19T00:00:00"/>
    <n v="27.1"/>
    <n v="20.6"/>
    <n v="34"/>
    <n v="0.1"/>
    <s v="Normal"/>
    <s v="Normal"/>
    <s v="Normal"/>
    <s v="Normal"/>
    <x v="4"/>
    <s v="April"/>
  </r>
  <r>
    <d v="2021-04-20T00:00:00"/>
    <n v="26"/>
    <n v="21.8"/>
    <n v="34"/>
    <n v="2.1"/>
    <s v="Normal"/>
    <s v="Normal"/>
    <s v="Normal"/>
    <s v="Normal"/>
    <x v="4"/>
    <s v="April"/>
  </r>
  <r>
    <d v="2021-04-21T00:00:00"/>
    <n v="26.6"/>
    <n v="20.8"/>
    <n v="34.4"/>
    <n v="0"/>
    <s v="Normal"/>
    <s v="Normal"/>
    <s v="Normal"/>
    <s v="Normal"/>
    <x v="4"/>
    <s v="April"/>
  </r>
  <r>
    <d v="2021-04-22T00:00:00"/>
    <n v="24.3"/>
    <n v="20.5"/>
    <n v="34.6"/>
    <n v="28.7"/>
    <s v="Normal"/>
    <s v="Normal"/>
    <s v="Normal"/>
    <s v="Outlier"/>
    <x v="4"/>
    <s v="April"/>
  </r>
  <r>
    <d v="2021-04-23T00:00:00"/>
    <n v="24.4"/>
    <n v="20.7"/>
    <n v="32.200000000000003"/>
    <n v="21.3"/>
    <s v="Normal"/>
    <s v="Normal"/>
    <s v="Normal"/>
    <s v="Outlier"/>
    <x v="4"/>
    <s v="April"/>
  </r>
  <r>
    <d v="2021-04-24T00:00:00"/>
    <n v="24.6"/>
    <n v="20"/>
    <n v="31.7"/>
    <n v="65.8"/>
    <s v="Normal"/>
    <s v="Normal"/>
    <s v="Normal"/>
    <s v="Outlier"/>
    <x v="4"/>
    <s v="April"/>
  </r>
  <r>
    <d v="2021-04-25T00:00:00"/>
    <n v="26.5"/>
    <n v="21.8"/>
    <n v="31.9"/>
    <n v="0"/>
    <s v="Normal"/>
    <s v="Normal"/>
    <s v="Normal"/>
    <s v="Normal"/>
    <x v="4"/>
    <s v="April"/>
  </r>
  <r>
    <d v="2021-04-26T00:00:00"/>
    <n v="26.5"/>
    <n v="21.2"/>
    <n v="33"/>
    <n v="0"/>
    <s v="Normal"/>
    <s v="Normal"/>
    <s v="Normal"/>
    <s v="Normal"/>
    <x v="4"/>
    <s v="April"/>
  </r>
  <r>
    <d v="2021-04-27T00:00:00"/>
    <n v="26.6"/>
    <n v="20.9"/>
    <n v="32.5"/>
    <n v="0"/>
    <s v="Normal"/>
    <s v="Normal"/>
    <s v="Normal"/>
    <s v="Normal"/>
    <x v="4"/>
    <s v="April"/>
  </r>
  <r>
    <d v="2021-04-28T00:00:00"/>
    <n v="27"/>
    <n v="20.9"/>
    <n v="33.4"/>
    <n v="0.1"/>
    <s v="Normal"/>
    <s v="Normal"/>
    <s v="Normal"/>
    <s v="Normal"/>
    <x v="4"/>
    <s v="April"/>
  </r>
  <r>
    <d v="2021-04-29T00:00:00"/>
    <n v="26.5"/>
    <n v="22.2"/>
    <n v="31.8"/>
    <n v="0.7"/>
    <s v="Normal"/>
    <s v="Normal"/>
    <s v="Normal"/>
    <s v="Normal"/>
    <x v="4"/>
    <s v="April"/>
  </r>
  <r>
    <d v="2021-04-30T00:00:00"/>
    <n v="26.4"/>
    <n v="20.7"/>
    <n v="33.1"/>
    <n v="0"/>
    <s v="Normal"/>
    <s v="Normal"/>
    <s v="Normal"/>
    <s v="Normal"/>
    <x v="4"/>
    <s v="April"/>
  </r>
  <r>
    <d v="2021-05-01T00:00:00"/>
    <n v="27.1"/>
    <n v="22.5"/>
    <n v="33.4"/>
    <n v="0"/>
    <s v="Normal"/>
    <s v="Normal"/>
    <s v="Normal"/>
    <s v="Normal"/>
    <x v="4"/>
    <s v="April"/>
  </r>
  <r>
    <d v="2021-05-02T00:00:00"/>
    <n v="26.7"/>
    <n v="21.5"/>
    <n v="32.4"/>
    <n v="0"/>
    <s v="Normal"/>
    <s v="Normal"/>
    <s v="Normal"/>
    <s v="Normal"/>
    <x v="4"/>
    <s v="May"/>
  </r>
  <r>
    <d v="2021-05-03T00:00:00"/>
    <n v="26.4"/>
    <n v="21.9"/>
    <n v="32"/>
    <n v="0.3"/>
    <s v="Normal"/>
    <s v="Normal"/>
    <s v="Normal"/>
    <s v="Normal"/>
    <x v="4"/>
    <s v="May"/>
  </r>
  <r>
    <d v="2021-05-04T00:00:00"/>
    <n v="25.1"/>
    <n v="21.1"/>
    <n v="30.4"/>
    <n v="8.9"/>
    <s v="Normal"/>
    <s v="Normal"/>
    <s v="Normal"/>
    <s v="Normal"/>
    <x v="4"/>
    <s v="May"/>
  </r>
  <r>
    <d v="2021-05-05T00:00:00"/>
    <n v="26.9"/>
    <n v="20.6"/>
    <n v="33.299999999999997"/>
    <n v="0"/>
    <s v="Normal"/>
    <s v="Normal"/>
    <s v="Normal"/>
    <s v="Normal"/>
    <x v="4"/>
    <s v="May"/>
  </r>
  <r>
    <d v="2021-05-06T00:00:00"/>
    <n v="27"/>
    <n v="21.7"/>
    <n v="32.4"/>
    <n v="0"/>
    <s v="Normal"/>
    <s v="Normal"/>
    <s v="Normal"/>
    <s v="Normal"/>
    <x v="4"/>
    <s v="May"/>
  </r>
  <r>
    <d v="2021-05-07T00:00:00"/>
    <n v="26.5"/>
    <n v="22.2"/>
    <n v="32"/>
    <n v="0.7"/>
    <s v="Normal"/>
    <s v="Normal"/>
    <s v="Normal"/>
    <s v="Normal"/>
    <x v="4"/>
    <s v="May"/>
  </r>
  <r>
    <d v="2021-05-08T00:00:00"/>
    <n v="26.8"/>
    <n v="21.5"/>
    <n v="33.6"/>
    <n v="0.2"/>
    <s v="Normal"/>
    <s v="Normal"/>
    <s v="Normal"/>
    <s v="Normal"/>
    <x v="4"/>
    <s v="May"/>
  </r>
  <r>
    <d v="2021-05-09T00:00:00"/>
    <n v="27.2"/>
    <n v="21.3"/>
    <n v="33.4"/>
    <n v="0.3"/>
    <s v="Normal"/>
    <s v="Normal"/>
    <s v="Normal"/>
    <s v="Normal"/>
    <x v="4"/>
    <s v="May"/>
  </r>
  <r>
    <d v="2021-05-10T00:00:00"/>
    <n v="26.7"/>
    <n v="22.1"/>
    <n v="32.799999999999997"/>
    <n v="1"/>
    <s v="Normal"/>
    <s v="Normal"/>
    <s v="Normal"/>
    <s v="Normal"/>
    <x v="4"/>
    <s v="May"/>
  </r>
  <r>
    <d v="2021-05-11T00:00:00"/>
    <n v="26.1"/>
    <n v="21.5"/>
    <n v="33.200000000000003"/>
    <n v="5.6"/>
    <s v="Normal"/>
    <s v="Normal"/>
    <s v="Normal"/>
    <s v="Normal"/>
    <x v="4"/>
    <s v="May"/>
  </r>
  <r>
    <d v="2021-05-12T00:00:00"/>
    <n v="25.5"/>
    <n v="21.4"/>
    <n v="33.9"/>
    <n v="0"/>
    <s v="Normal"/>
    <s v="Normal"/>
    <s v="Normal"/>
    <s v="Normal"/>
    <x v="4"/>
    <s v="May"/>
  </r>
  <r>
    <d v="2021-05-13T00:00:00"/>
    <n v="25.4"/>
    <n v="20.7"/>
    <n v="31.9"/>
    <n v="35.1"/>
    <s v="Normal"/>
    <s v="Normal"/>
    <s v="Normal"/>
    <s v="Outlier"/>
    <x v="4"/>
    <s v="May"/>
  </r>
  <r>
    <d v="2021-05-14T00:00:00"/>
    <n v="26.7"/>
    <n v="21.4"/>
    <n v="31.9"/>
    <n v="26.2"/>
    <s v="Normal"/>
    <s v="Normal"/>
    <s v="Normal"/>
    <s v="Outlier"/>
    <x v="4"/>
    <s v="May"/>
  </r>
  <r>
    <d v="2021-05-15T00:00:00"/>
    <n v="23.8"/>
    <n v="22.2"/>
    <n v="32.6"/>
    <n v="0"/>
    <s v="Normal"/>
    <s v="Normal"/>
    <s v="Normal"/>
    <s v="Normal"/>
    <x v="4"/>
    <s v="May"/>
  </r>
  <r>
    <d v="2021-05-16T00:00:00"/>
    <n v="24"/>
    <n v="21.4"/>
    <n v="28"/>
    <n v="0"/>
    <s v="Normal"/>
    <s v="Normal"/>
    <s v="Normal"/>
    <s v="Normal"/>
    <x v="4"/>
    <s v="May"/>
  </r>
  <r>
    <d v="2021-05-17T00:00:00"/>
    <n v="25.7"/>
    <n v="21"/>
    <n v="31.6"/>
    <n v="0"/>
    <s v="Normal"/>
    <s v="Normal"/>
    <s v="Normal"/>
    <s v="Normal"/>
    <x v="4"/>
    <s v="May"/>
  </r>
  <r>
    <d v="2021-05-18T00:00:00"/>
    <n v="25.7"/>
    <n v="21.6"/>
    <n v="32.6"/>
    <n v="0"/>
    <s v="Normal"/>
    <s v="Normal"/>
    <s v="Normal"/>
    <s v="Normal"/>
    <x v="4"/>
    <s v="May"/>
  </r>
  <r>
    <d v="2021-05-19T00:00:00"/>
    <n v="25.1"/>
    <n v="20.2"/>
    <n v="32.6"/>
    <n v="4"/>
    <s v="Normal"/>
    <s v="Normal"/>
    <s v="Normal"/>
    <s v="Normal"/>
    <x v="4"/>
    <s v="May"/>
  </r>
  <r>
    <d v="2021-05-20T00:00:00"/>
    <n v="24.2"/>
    <n v="21.1"/>
    <n v="29.6"/>
    <n v="2.7"/>
    <s v="Normal"/>
    <s v="Normal"/>
    <s v="Normal"/>
    <s v="Normal"/>
    <x v="4"/>
    <s v="May"/>
  </r>
  <r>
    <d v="2021-05-21T00:00:00"/>
    <n v="23.3"/>
    <n v="20.9"/>
    <n v="30.8"/>
    <n v="2.8"/>
    <s v="Normal"/>
    <s v="Normal"/>
    <s v="Normal"/>
    <s v="Normal"/>
    <x v="4"/>
    <s v="May"/>
  </r>
  <r>
    <d v="2021-05-22T00:00:00"/>
    <n v="23.8"/>
    <n v="21"/>
    <n v="28.8"/>
    <n v="25.4"/>
    <s v="Normal"/>
    <s v="Normal"/>
    <s v="Normal"/>
    <s v="Outlier"/>
    <x v="4"/>
    <s v="May"/>
  </r>
  <r>
    <d v="2021-05-23T00:00:00"/>
    <n v="25.8"/>
    <n v="20.8"/>
    <n v="29.4"/>
    <n v="7.4"/>
    <s v="Normal"/>
    <s v="Normal"/>
    <s v="Normal"/>
    <s v="Normal"/>
    <x v="4"/>
    <s v="May"/>
  </r>
  <r>
    <d v="2021-05-24T00:00:00"/>
    <n v="26.1"/>
    <n v="22"/>
    <n v="31"/>
    <n v="0"/>
    <s v="Normal"/>
    <s v="Normal"/>
    <s v="Normal"/>
    <s v="Normal"/>
    <x v="4"/>
    <s v="May"/>
  </r>
  <r>
    <d v="2021-05-25T00:00:00"/>
    <n v="24.3"/>
    <n v="20.2"/>
    <n v="31.7"/>
    <n v="0.3"/>
    <s v="Normal"/>
    <s v="Normal"/>
    <s v="Normal"/>
    <s v="Normal"/>
    <x v="4"/>
    <s v="May"/>
  </r>
  <r>
    <d v="2021-05-26T00:00:00"/>
    <n v="24.9"/>
    <n v="20.399999999999999"/>
    <n v="30.2"/>
    <n v="31"/>
    <s v="Normal"/>
    <s v="Normal"/>
    <s v="Normal"/>
    <s v="Outlier"/>
    <x v="4"/>
    <s v="May"/>
  </r>
  <r>
    <d v="2021-05-27T00:00:00"/>
    <n v="25.3"/>
    <n v="21.2"/>
    <n v="30.1"/>
    <n v="0"/>
    <s v="Normal"/>
    <s v="Normal"/>
    <s v="Normal"/>
    <s v="Normal"/>
    <x v="4"/>
    <s v="May"/>
  </r>
  <r>
    <d v="2021-05-28T00:00:00"/>
    <n v="24.7"/>
    <n v="18.8"/>
    <n v="30.3"/>
    <n v="0"/>
    <s v="Normal"/>
    <s v="Normal"/>
    <s v="Normal"/>
    <s v="Normal"/>
    <x v="4"/>
    <s v="May"/>
  </r>
  <r>
    <d v="2021-05-29T00:00:00"/>
    <n v="24.8"/>
    <n v="19.399999999999999"/>
    <n v="30.8"/>
    <n v="0.5"/>
    <s v="Normal"/>
    <s v="Normal"/>
    <s v="Normal"/>
    <s v="Normal"/>
    <x v="4"/>
    <s v="May"/>
  </r>
  <r>
    <d v="2021-05-30T00:00:00"/>
    <n v="25.2"/>
    <n v="20.100000000000001"/>
    <n v="31.3"/>
    <n v="0.1"/>
    <s v="Normal"/>
    <s v="Normal"/>
    <s v="Normal"/>
    <s v="Normal"/>
    <x v="4"/>
    <s v="May"/>
  </r>
  <r>
    <d v="2021-05-31T00:00:00"/>
    <n v="25.3"/>
    <n v="20.3"/>
    <n v="31.6"/>
    <n v="2.2999999999999998"/>
    <s v="Normal"/>
    <s v="Normal"/>
    <s v="Normal"/>
    <s v="Normal"/>
    <x v="4"/>
    <s v="May"/>
  </r>
  <r>
    <d v="2021-06-01T00:00:00"/>
    <n v="25.5"/>
    <n v="20.8"/>
    <n v="31.6"/>
    <n v="5.6"/>
    <s v="Normal"/>
    <s v="Normal"/>
    <s v="Normal"/>
    <s v="Normal"/>
    <x v="4"/>
    <s v="May"/>
  </r>
  <r>
    <d v="2021-06-02T00:00:00"/>
    <n v="25.9"/>
    <n v="22.2"/>
    <n v="33.700000000000003"/>
    <n v="1"/>
    <s v="Normal"/>
    <s v="Normal"/>
    <s v="Normal"/>
    <s v="Normal"/>
    <x v="4"/>
    <s v="June"/>
  </r>
  <r>
    <d v="2021-06-03T00:00:00"/>
    <n v="24.6"/>
    <n v="21.9"/>
    <n v="33.700000000000003"/>
    <n v="0.5"/>
    <s v="Normal"/>
    <s v="Normal"/>
    <s v="Normal"/>
    <s v="Normal"/>
    <x v="4"/>
    <s v="June"/>
  </r>
  <r>
    <d v="2021-06-04T00:00:00"/>
    <n v="23.8"/>
    <n v="21.1"/>
    <n v="31"/>
    <n v="52.3"/>
    <s v="Normal"/>
    <s v="Normal"/>
    <s v="Normal"/>
    <s v="Outlier"/>
    <x v="4"/>
    <s v="June"/>
  </r>
  <r>
    <d v="2021-06-05T00:00:00"/>
    <n v="23.6"/>
    <n v="21.2"/>
    <n v="31.5"/>
    <n v="12.7"/>
    <s v="Normal"/>
    <s v="Normal"/>
    <s v="Normal"/>
    <s v="Outlier"/>
    <x v="4"/>
    <s v="June"/>
  </r>
  <r>
    <d v="2021-06-06T00:00:00"/>
    <n v="24.8"/>
    <n v="20.7"/>
    <n v="29.2"/>
    <n v="4.5999999999999996"/>
    <s v="Normal"/>
    <s v="Normal"/>
    <s v="Normal"/>
    <s v="Normal"/>
    <x v="4"/>
    <s v="June"/>
  </r>
  <r>
    <d v="2021-06-07T00:00:00"/>
    <n v="25.4"/>
    <n v="22.1"/>
    <n v="29.7"/>
    <n v="0.5"/>
    <s v="Normal"/>
    <s v="Normal"/>
    <s v="Normal"/>
    <s v="Normal"/>
    <x v="4"/>
    <s v="June"/>
  </r>
  <r>
    <d v="2021-06-08T00:00:00"/>
    <n v="25.6"/>
    <n v="19.7"/>
    <n v="31"/>
    <n v="0"/>
    <s v="Normal"/>
    <s v="Normal"/>
    <s v="Normal"/>
    <s v="Normal"/>
    <x v="4"/>
    <s v="June"/>
  </r>
  <r>
    <d v="2021-06-09T00:00:00"/>
    <n v="23.4"/>
    <n v="19.2"/>
    <n v="29.2"/>
    <n v="4.5999999999999996"/>
    <s v="Normal"/>
    <s v="Normal"/>
    <s v="Normal"/>
    <s v="Normal"/>
    <x v="4"/>
    <s v="June"/>
  </r>
  <r>
    <d v="2021-06-10T00:00:00"/>
    <n v="23.6"/>
    <n v="19.8"/>
    <n v="28.5"/>
    <n v="2.2999999999999998"/>
    <s v="Normal"/>
    <s v="Normal"/>
    <s v="Normal"/>
    <s v="Normal"/>
    <x v="4"/>
    <s v="June"/>
  </r>
  <r>
    <d v="2021-06-11T00:00:00"/>
    <n v="24.2"/>
    <n v="20.399999999999999"/>
    <n v="29"/>
    <n v="0"/>
    <s v="Normal"/>
    <s v="Normal"/>
    <s v="Normal"/>
    <s v="Normal"/>
    <x v="4"/>
    <s v="June"/>
  </r>
  <r>
    <d v="2021-06-12T00:00:00"/>
    <n v="23.2"/>
    <n v="20.399999999999999"/>
    <n v="27"/>
    <n v="2.8"/>
    <s v="Normal"/>
    <s v="Normal"/>
    <s v="Normal"/>
    <s v="Normal"/>
    <x v="4"/>
    <s v="June"/>
  </r>
  <r>
    <d v="2021-06-13T00:00:00"/>
    <n v="22.6"/>
    <n v="20.2"/>
    <n v="25.2"/>
    <n v="3.6"/>
    <s v="Normal"/>
    <s v="Normal"/>
    <s v="Normal"/>
    <s v="Normal"/>
    <x v="4"/>
    <s v="June"/>
  </r>
  <r>
    <d v="2021-06-14T00:00:00"/>
    <n v="22.3"/>
    <n v="20.100000000000001"/>
    <n v="27.6"/>
    <n v="0"/>
    <s v="Normal"/>
    <s v="Normal"/>
    <s v="Normal"/>
    <s v="Normal"/>
    <x v="4"/>
    <s v="June"/>
  </r>
  <r>
    <d v="2021-06-15T00:00:00"/>
    <n v="22.7"/>
    <n v="20.2"/>
    <n v="26.5"/>
    <n v="4.3"/>
    <s v="Normal"/>
    <s v="Normal"/>
    <s v="Normal"/>
    <s v="Normal"/>
    <x v="4"/>
    <s v="June"/>
  </r>
  <r>
    <d v="2021-06-16T00:00:00"/>
    <n v="22.7"/>
    <n v="20.8"/>
    <n v="26.7"/>
    <n v="0.5"/>
    <s v="Normal"/>
    <s v="Normal"/>
    <s v="Normal"/>
    <s v="Normal"/>
    <x v="4"/>
    <s v="June"/>
  </r>
  <r>
    <d v="2021-06-17T00:00:00"/>
    <n v="23.4"/>
    <n v="20.8"/>
    <n v="28"/>
    <n v="5.0999999999999996"/>
    <s v="Normal"/>
    <s v="Normal"/>
    <s v="Normal"/>
    <s v="Normal"/>
    <x v="4"/>
    <s v="June"/>
  </r>
  <r>
    <d v="2021-06-18T00:00:00"/>
    <n v="23.4"/>
    <n v="20.399999999999999"/>
    <n v="28.4"/>
    <n v="1.3"/>
    <s v="Normal"/>
    <s v="Normal"/>
    <s v="Normal"/>
    <s v="Normal"/>
    <x v="4"/>
    <s v="June"/>
  </r>
  <r>
    <d v="2021-06-19T00:00:00"/>
    <n v="23.4"/>
    <n v="20.8"/>
    <n v="28"/>
    <n v="0"/>
    <s v="Normal"/>
    <s v="Normal"/>
    <s v="Normal"/>
    <s v="Normal"/>
    <x v="4"/>
    <s v="June"/>
  </r>
  <r>
    <d v="2021-06-20T00:00:00"/>
    <n v="24.3"/>
    <n v="20.5"/>
    <n v="28.8"/>
    <n v="0"/>
    <s v="Normal"/>
    <s v="Normal"/>
    <s v="Normal"/>
    <s v="Normal"/>
    <x v="4"/>
    <s v="June"/>
  </r>
  <r>
    <d v="2021-06-21T00:00:00"/>
    <n v="23.9"/>
    <n v="19.3"/>
    <n v="29.1"/>
    <n v="0.6"/>
    <s v="Normal"/>
    <s v="Normal"/>
    <s v="Normal"/>
    <s v="Normal"/>
    <x v="4"/>
    <s v="June"/>
  </r>
  <r>
    <d v="2021-06-22T00:00:00"/>
    <n v="24.1"/>
    <n v="19.3"/>
    <n v="28.9"/>
    <n v="0.4"/>
    <s v="Normal"/>
    <s v="Normal"/>
    <s v="Normal"/>
    <s v="Normal"/>
    <x v="4"/>
    <s v="June"/>
  </r>
  <r>
    <d v="2021-06-23T00:00:00"/>
    <n v="24.9"/>
    <n v="19.899999999999999"/>
    <n v="29.9"/>
    <n v="0"/>
    <s v="Normal"/>
    <s v="Normal"/>
    <s v="Normal"/>
    <s v="Normal"/>
    <x v="4"/>
    <s v="June"/>
  </r>
  <r>
    <d v="2021-06-24T00:00:00"/>
    <n v="24.5"/>
    <n v="19.899999999999999"/>
    <n v="28.8"/>
    <n v="0.9"/>
    <s v="Normal"/>
    <s v="Normal"/>
    <s v="Normal"/>
    <s v="Normal"/>
    <x v="4"/>
    <s v="June"/>
  </r>
  <r>
    <d v="2021-06-25T00:00:00"/>
    <n v="24.6"/>
    <n v="19.399999999999999"/>
    <n v="29.7"/>
    <n v="0.2"/>
    <s v="Normal"/>
    <s v="Normal"/>
    <s v="Normal"/>
    <s v="Normal"/>
    <x v="4"/>
    <s v="June"/>
  </r>
  <r>
    <d v="2021-06-26T00:00:00"/>
    <n v="22.8"/>
    <n v="20.100000000000001"/>
    <n v="29.7"/>
    <n v="0"/>
    <s v="Normal"/>
    <s v="Normal"/>
    <s v="Normal"/>
    <s v="Normal"/>
    <x v="4"/>
    <s v="June"/>
  </r>
  <r>
    <d v="2021-06-27T00:00:00"/>
    <n v="22.6"/>
    <n v="20.2"/>
    <n v="27.2"/>
    <n v="2.2999999999999998"/>
    <s v="Normal"/>
    <s v="Normal"/>
    <s v="Normal"/>
    <s v="Normal"/>
    <x v="4"/>
    <s v="June"/>
  </r>
  <r>
    <d v="2021-06-28T00:00:00"/>
    <n v="23.7"/>
    <n v="20.8"/>
    <n v="28.5"/>
    <n v="0.5"/>
    <s v="Normal"/>
    <s v="Normal"/>
    <s v="Normal"/>
    <s v="Normal"/>
    <x v="4"/>
    <s v="June"/>
  </r>
  <r>
    <d v="2021-06-29T00:00:00"/>
    <n v="26.2"/>
    <n v="20.9"/>
    <n v="31.6"/>
    <n v="0"/>
    <s v="Normal"/>
    <s v="Normal"/>
    <s v="Normal"/>
    <s v="Normal"/>
    <x v="4"/>
    <s v="June"/>
  </r>
  <r>
    <d v="2021-06-30T00:00:00"/>
    <n v="26"/>
    <n v="20.7"/>
    <n v="30.9"/>
    <n v="1.5"/>
    <s v="Normal"/>
    <s v="Normal"/>
    <s v="Normal"/>
    <s v="Normal"/>
    <x v="4"/>
    <s v="June"/>
  </r>
  <r>
    <d v="2021-07-01T00:00:00"/>
    <n v="25.7"/>
    <n v="23"/>
    <n v="32.700000000000003"/>
    <n v="2.5"/>
    <s v="Normal"/>
    <s v="Normal"/>
    <s v="Normal"/>
    <s v="Normal"/>
    <x v="4"/>
    <s v="June"/>
  </r>
  <r>
    <d v="2021-07-02T00:00:00"/>
    <n v="26"/>
    <n v="22"/>
    <n v="30.6"/>
    <n v="0"/>
    <s v="Normal"/>
    <s v="Normal"/>
    <s v="Normal"/>
    <s v="Normal"/>
    <x v="4"/>
    <s v="July"/>
  </r>
  <r>
    <d v="2021-07-03T00:00:00"/>
    <n v="24.4"/>
    <n v="19.7"/>
    <n v="29.5"/>
    <n v="15"/>
    <s v="Normal"/>
    <s v="Normal"/>
    <s v="Normal"/>
    <s v="Outlier"/>
    <x v="4"/>
    <s v="July"/>
  </r>
  <r>
    <d v="2021-07-04T00:00:00"/>
    <n v="23.6"/>
    <n v="20.399999999999999"/>
    <n v="29.4"/>
    <n v="7.5"/>
    <s v="Normal"/>
    <s v="Normal"/>
    <s v="Normal"/>
    <s v="Normal"/>
    <x v="4"/>
    <s v="July"/>
  </r>
  <r>
    <d v="2021-07-05T00:00:00"/>
    <n v="23.3"/>
    <n v="20.399999999999999"/>
    <n v="28.4"/>
    <n v="2.7"/>
    <s v="Normal"/>
    <s v="Normal"/>
    <s v="Normal"/>
    <s v="Normal"/>
    <x v="4"/>
    <s v="July"/>
  </r>
  <r>
    <d v="2021-07-06T00:00:00"/>
    <n v="24.9"/>
    <n v="20.2"/>
    <n v="29.4"/>
    <n v="1.3"/>
    <s v="Normal"/>
    <s v="Normal"/>
    <s v="Normal"/>
    <s v="Normal"/>
    <x v="4"/>
    <s v="July"/>
  </r>
  <r>
    <d v="2021-07-07T00:00:00"/>
    <n v="24.6"/>
    <n v="22.3"/>
    <n v="30"/>
    <n v="0"/>
    <s v="Normal"/>
    <s v="Normal"/>
    <s v="Normal"/>
    <s v="Normal"/>
    <x v="4"/>
    <s v="July"/>
  </r>
  <r>
    <d v="2021-07-08T00:00:00"/>
    <n v="25.3"/>
    <n v="21.8"/>
    <n v="29.4"/>
    <n v="0"/>
    <s v="Normal"/>
    <s v="Normal"/>
    <s v="Normal"/>
    <s v="Normal"/>
    <x v="4"/>
    <s v="July"/>
  </r>
  <r>
    <d v="2021-07-09T00:00:00"/>
    <n v="24.2"/>
    <n v="20.3"/>
    <n v="30.1"/>
    <n v="0"/>
    <s v="Normal"/>
    <s v="Normal"/>
    <s v="Normal"/>
    <s v="Normal"/>
    <x v="4"/>
    <s v="July"/>
  </r>
  <r>
    <d v="2021-07-10T00:00:00"/>
    <n v="22.8"/>
    <n v="20.100000000000001"/>
    <n v="29"/>
    <n v="0.3"/>
    <s v="Normal"/>
    <s v="Normal"/>
    <s v="Normal"/>
    <s v="Normal"/>
    <x v="4"/>
    <s v="July"/>
  </r>
  <r>
    <d v="2021-07-11T00:00:00"/>
    <n v="22.8"/>
    <n v="20.100000000000001"/>
    <n v="26.8"/>
    <n v="0.5"/>
    <s v="Normal"/>
    <s v="Normal"/>
    <s v="Normal"/>
    <s v="Normal"/>
    <x v="4"/>
    <s v="July"/>
  </r>
  <r>
    <d v="2021-07-12T00:00:00"/>
    <n v="23.2"/>
    <n v="20.2"/>
    <n v="26.8"/>
    <n v="0"/>
    <s v="Normal"/>
    <s v="Normal"/>
    <s v="Normal"/>
    <s v="Normal"/>
    <x v="4"/>
    <s v="July"/>
  </r>
  <r>
    <d v="2021-07-13T00:00:00"/>
    <n v="21.8"/>
    <n v="20.5"/>
    <n v="24"/>
    <n v="4.5999999999999996"/>
    <s v="Normal"/>
    <s v="Normal"/>
    <s v="Normal"/>
    <s v="Normal"/>
    <x v="4"/>
    <s v="July"/>
  </r>
  <r>
    <d v="2021-07-14T00:00:00"/>
    <n v="21.1"/>
    <n v="19.8"/>
    <n v="23.4"/>
    <n v="11.4"/>
    <s v="Normal"/>
    <s v="Normal"/>
    <s v="Normal"/>
    <s v="Outlier"/>
    <x v="4"/>
    <s v="July"/>
  </r>
  <r>
    <d v="2021-07-15T00:00:00"/>
    <n v="21.7"/>
    <n v="19.899999999999999"/>
    <n v="25.4"/>
    <n v="18.8"/>
    <s v="Normal"/>
    <s v="Normal"/>
    <s v="Normal"/>
    <s v="Outlier"/>
    <x v="4"/>
    <s v="July"/>
  </r>
  <r>
    <d v="2021-07-16T00:00:00"/>
    <n v="22.7"/>
    <n v="20.8"/>
    <n v="25.6"/>
    <n v="2.8"/>
    <s v="Normal"/>
    <s v="Normal"/>
    <s v="Normal"/>
    <s v="Normal"/>
    <x v="4"/>
    <s v="July"/>
  </r>
  <r>
    <d v="2021-07-17T00:00:00"/>
    <n v="22.1"/>
    <n v="20.7"/>
    <n v="27"/>
    <n v="1.3"/>
    <s v="Normal"/>
    <s v="Normal"/>
    <s v="Normal"/>
    <s v="Normal"/>
    <x v="4"/>
    <s v="July"/>
  </r>
  <r>
    <d v="2021-07-18T00:00:00"/>
    <n v="21.6"/>
    <n v="20"/>
    <n v="28.2"/>
    <n v="17.8"/>
    <s v="Normal"/>
    <s v="Normal"/>
    <s v="Normal"/>
    <s v="Outlier"/>
    <x v="4"/>
    <s v="July"/>
  </r>
  <r>
    <d v="2021-07-19T00:00:00"/>
    <n v="22.6"/>
    <n v="19.5"/>
    <n v="26.8"/>
    <n v="4.3"/>
    <s v="Normal"/>
    <s v="Normal"/>
    <s v="Normal"/>
    <s v="Normal"/>
    <x v="4"/>
    <s v="July"/>
  </r>
  <r>
    <d v="2021-07-20T00:00:00"/>
    <n v="23.1"/>
    <n v="19.7"/>
    <n v="27.6"/>
    <n v="7.1"/>
    <s v="Normal"/>
    <s v="Normal"/>
    <s v="Normal"/>
    <s v="Normal"/>
    <x v="4"/>
    <s v="July"/>
  </r>
  <r>
    <d v="2021-07-21T00:00:00"/>
    <n v="21.8"/>
    <n v="20.399999999999999"/>
    <n v="27.8"/>
    <n v="0"/>
    <s v="Normal"/>
    <s v="Normal"/>
    <s v="Normal"/>
    <s v="Normal"/>
    <x v="4"/>
    <s v="July"/>
  </r>
  <r>
    <d v="2021-07-22T00:00:00"/>
    <n v="21.2"/>
    <n v="20"/>
    <n v="24.2"/>
    <n v="3.3"/>
    <s v="Normal"/>
    <s v="Normal"/>
    <s v="Normal"/>
    <s v="Normal"/>
    <x v="4"/>
    <s v="July"/>
  </r>
  <r>
    <d v="2021-07-23T00:00:00"/>
    <n v="21.4"/>
    <n v="19.7"/>
    <n v="24.7"/>
    <n v="3"/>
    <s v="Normal"/>
    <s v="Normal"/>
    <s v="Normal"/>
    <s v="Normal"/>
    <x v="4"/>
    <s v="July"/>
  </r>
  <r>
    <d v="2021-07-24T00:00:00"/>
    <n v="22.6"/>
    <n v="20"/>
    <n v="27.1"/>
    <n v="0.5"/>
    <s v="Normal"/>
    <s v="Normal"/>
    <s v="Normal"/>
    <s v="Normal"/>
    <x v="4"/>
    <s v="July"/>
  </r>
  <r>
    <d v="2021-07-25T00:00:00"/>
    <n v="23.2"/>
    <n v="20.6"/>
    <n v="28"/>
    <n v="24.4"/>
    <s v="Normal"/>
    <s v="Normal"/>
    <s v="Normal"/>
    <s v="Outlier"/>
    <x v="4"/>
    <s v="July"/>
  </r>
  <r>
    <d v="2021-07-26T00:00:00"/>
    <n v="23.4"/>
    <n v="20.5"/>
    <n v="28.4"/>
    <n v="59.7"/>
    <s v="Normal"/>
    <s v="Normal"/>
    <s v="Normal"/>
    <s v="Outlier"/>
    <x v="4"/>
    <s v="July"/>
  </r>
  <r>
    <d v="2021-07-27T00:00:00"/>
    <n v="23.4"/>
    <n v="20.100000000000001"/>
    <n v="28.3"/>
    <n v="0"/>
    <s v="Normal"/>
    <s v="Normal"/>
    <s v="Normal"/>
    <s v="Normal"/>
    <x v="4"/>
    <s v="July"/>
  </r>
  <r>
    <d v="2021-07-28T00:00:00"/>
    <n v="23.1"/>
    <n v="19.8"/>
    <n v="27.6"/>
    <n v="1"/>
    <s v="Normal"/>
    <s v="Normal"/>
    <s v="Normal"/>
    <s v="Normal"/>
    <x v="4"/>
    <s v="July"/>
  </r>
  <r>
    <d v="2021-07-29T00:00:00"/>
    <n v="22.7"/>
    <n v="19.5"/>
    <n v="26.4"/>
    <n v="0.9"/>
    <s v="Normal"/>
    <s v="Normal"/>
    <s v="Normal"/>
    <s v="Normal"/>
    <x v="4"/>
    <s v="July"/>
  </r>
  <r>
    <d v="2021-07-30T00:00:00"/>
    <n v="23.5"/>
    <n v="19.600000000000001"/>
    <n v="28.4"/>
    <n v="0"/>
    <s v="Normal"/>
    <s v="Normal"/>
    <s v="Normal"/>
    <s v="Normal"/>
    <x v="4"/>
    <s v="July"/>
  </r>
  <r>
    <d v="2021-07-31T00:00:00"/>
    <n v="23.1"/>
    <n v="19"/>
    <n v="28.1"/>
    <n v="0.7"/>
    <s v="Normal"/>
    <s v="Normal"/>
    <s v="Normal"/>
    <s v="Normal"/>
    <x v="4"/>
    <s v="July"/>
  </r>
  <r>
    <d v="2021-08-01T00:00:00"/>
    <n v="23.2"/>
    <n v="20"/>
    <n v="28"/>
    <n v="0"/>
    <s v="Normal"/>
    <s v="Normal"/>
    <s v="Normal"/>
    <s v="Normal"/>
    <x v="4"/>
    <s v="July"/>
  </r>
  <r>
    <d v="2021-08-02T00:00:00"/>
    <n v="23.6"/>
    <n v="19.600000000000001"/>
    <n v="27.5"/>
    <n v="0"/>
    <s v="Normal"/>
    <s v="Normal"/>
    <s v="Normal"/>
    <s v="Normal"/>
    <x v="4"/>
    <s v="August"/>
  </r>
  <r>
    <d v="2021-08-03T00:00:00"/>
    <n v="23.2"/>
    <n v="19.5"/>
    <n v="28.2"/>
    <n v="0.7"/>
    <s v="Normal"/>
    <s v="Normal"/>
    <s v="Normal"/>
    <s v="Normal"/>
    <x v="4"/>
    <s v="August"/>
  </r>
  <r>
    <d v="2021-08-04T00:00:00"/>
    <n v="23.3"/>
    <n v="19.8"/>
    <n v="27.8"/>
    <n v="2.8"/>
    <s v="Normal"/>
    <s v="Normal"/>
    <s v="Normal"/>
    <s v="Normal"/>
    <x v="4"/>
    <s v="August"/>
  </r>
  <r>
    <d v="2021-08-05T00:00:00"/>
    <n v="22.7"/>
    <n v="19.2"/>
    <n v="27.6"/>
    <n v="2.7"/>
    <s v="Normal"/>
    <s v="Normal"/>
    <s v="Normal"/>
    <s v="Normal"/>
    <x v="4"/>
    <s v="August"/>
  </r>
  <r>
    <d v="2021-08-06T00:00:00"/>
    <n v="23.5"/>
    <n v="19.899999999999999"/>
    <n v="28.8"/>
    <n v="1.6"/>
    <s v="Normal"/>
    <s v="Normal"/>
    <s v="Normal"/>
    <s v="Normal"/>
    <x v="4"/>
    <s v="August"/>
  </r>
  <r>
    <d v="2021-08-07T00:00:00"/>
    <n v="24.3"/>
    <n v="20.9"/>
    <n v="29.4"/>
    <n v="4.3"/>
    <s v="Normal"/>
    <s v="Normal"/>
    <s v="Normal"/>
    <s v="Normal"/>
    <x v="4"/>
    <s v="August"/>
  </r>
  <r>
    <d v="2021-08-08T00:00:00"/>
    <n v="24.9"/>
    <n v="20.8"/>
    <n v="30.3"/>
    <n v="1.3"/>
    <s v="Normal"/>
    <s v="Normal"/>
    <s v="Normal"/>
    <s v="Normal"/>
    <x v="4"/>
    <s v="August"/>
  </r>
  <r>
    <d v="2021-08-09T00:00:00"/>
    <n v="25.5"/>
    <n v="21.7"/>
    <n v="30.7"/>
    <n v="0.5"/>
    <s v="Normal"/>
    <s v="Normal"/>
    <s v="Normal"/>
    <s v="Normal"/>
    <x v="4"/>
    <s v="August"/>
  </r>
  <r>
    <d v="2021-08-10T00:00:00"/>
    <n v="23.9"/>
    <n v="21.8"/>
    <n v="30.7"/>
    <n v="0"/>
    <s v="Normal"/>
    <s v="Normal"/>
    <s v="Normal"/>
    <s v="Normal"/>
    <x v="4"/>
    <s v="August"/>
  </r>
  <r>
    <d v="2021-08-11T00:00:00"/>
    <n v="24"/>
    <n v="20.8"/>
    <n v="28.2"/>
    <n v="0"/>
    <s v="Normal"/>
    <s v="Normal"/>
    <s v="Normal"/>
    <s v="Normal"/>
    <x v="4"/>
    <s v="August"/>
  </r>
  <r>
    <d v="2021-08-12T00:00:00"/>
    <n v="22.8"/>
    <n v="19.7"/>
    <n v="28.2"/>
    <n v="1.5"/>
    <s v="Normal"/>
    <s v="Normal"/>
    <s v="Normal"/>
    <s v="Normal"/>
    <x v="4"/>
    <s v="August"/>
  </r>
  <r>
    <d v="2021-08-13T00:00:00"/>
    <n v="23.2"/>
    <n v="20"/>
    <n v="27"/>
    <n v="3.8"/>
    <s v="Normal"/>
    <s v="Normal"/>
    <s v="Normal"/>
    <s v="Normal"/>
    <x v="4"/>
    <s v="August"/>
  </r>
  <r>
    <d v="2021-08-14T00:00:00"/>
    <n v="23.6"/>
    <n v="20.3"/>
    <n v="27.4"/>
    <n v="0"/>
    <s v="Normal"/>
    <s v="Normal"/>
    <s v="Normal"/>
    <s v="Normal"/>
    <x v="4"/>
    <s v="August"/>
  </r>
  <r>
    <d v="2021-08-15T00:00:00"/>
    <n v="22.7"/>
    <n v="19"/>
    <n v="27"/>
    <n v="0.5"/>
    <s v="Normal"/>
    <s v="Normal"/>
    <s v="Normal"/>
    <s v="Normal"/>
    <x v="4"/>
    <s v="August"/>
  </r>
  <r>
    <d v="2021-08-16T00:00:00"/>
    <n v="22.8"/>
    <n v="20.7"/>
    <n v="28"/>
    <n v="0"/>
    <s v="Normal"/>
    <s v="Normal"/>
    <s v="Normal"/>
    <s v="Normal"/>
    <x v="4"/>
    <s v="August"/>
  </r>
  <r>
    <d v="2021-08-17T00:00:00"/>
    <n v="22.9"/>
    <n v="20.3"/>
    <n v="26.5"/>
    <n v="13.7"/>
    <s v="Normal"/>
    <s v="Normal"/>
    <s v="Normal"/>
    <s v="Outlier"/>
    <x v="4"/>
    <s v="August"/>
  </r>
  <r>
    <d v="2021-08-18T00:00:00"/>
    <n v="23.6"/>
    <n v="20.7"/>
    <n v="27.5"/>
    <n v="0"/>
    <s v="Normal"/>
    <s v="Normal"/>
    <s v="Normal"/>
    <s v="Normal"/>
    <x v="4"/>
    <s v="August"/>
  </r>
  <r>
    <d v="2021-08-19T00:00:00"/>
    <n v="23.6"/>
    <n v="20.399999999999999"/>
    <n v="28.4"/>
    <n v="0.3"/>
    <s v="Normal"/>
    <s v="Normal"/>
    <s v="Normal"/>
    <s v="Normal"/>
    <x v="4"/>
    <s v="August"/>
  </r>
  <r>
    <d v="2021-08-20T00:00:00"/>
    <n v="24.1"/>
    <n v="20.5"/>
    <n v="28.8"/>
    <n v="7.1"/>
    <s v="Normal"/>
    <s v="Normal"/>
    <s v="Normal"/>
    <s v="Normal"/>
    <x v="4"/>
    <s v="August"/>
  </r>
  <r>
    <d v="2021-08-21T00:00:00"/>
    <n v="22.4"/>
    <n v="20.2"/>
    <n v="28.6"/>
    <n v="0.3"/>
    <s v="Normal"/>
    <s v="Normal"/>
    <s v="Normal"/>
    <s v="Normal"/>
    <x v="4"/>
    <s v="August"/>
  </r>
  <r>
    <d v="2021-08-22T00:00:00"/>
    <n v="22.8"/>
    <n v="19.2"/>
    <n v="27.7"/>
    <n v="5.6"/>
    <s v="Normal"/>
    <s v="Normal"/>
    <s v="Normal"/>
    <s v="Normal"/>
    <x v="4"/>
    <s v="August"/>
  </r>
  <r>
    <d v="2021-08-23T00:00:00"/>
    <n v="23.6"/>
    <n v="20.5"/>
    <n v="27.1"/>
    <n v="3"/>
    <s v="Normal"/>
    <s v="Normal"/>
    <s v="Normal"/>
    <s v="Normal"/>
    <x v="4"/>
    <s v="August"/>
  </r>
  <r>
    <d v="2021-08-24T00:00:00"/>
    <n v="24.5"/>
    <n v="20.3"/>
    <n v="29"/>
    <n v="3.8"/>
    <s v="Normal"/>
    <s v="Normal"/>
    <s v="Normal"/>
    <s v="Normal"/>
    <x v="4"/>
    <s v="August"/>
  </r>
  <r>
    <d v="2021-08-25T00:00:00"/>
    <n v="24.1"/>
    <n v="20.7"/>
    <n v="29.1"/>
    <n v="1"/>
    <s v="Normal"/>
    <s v="Normal"/>
    <s v="Normal"/>
    <s v="Normal"/>
    <x v="4"/>
    <s v="August"/>
  </r>
  <r>
    <d v="2021-08-26T00:00:00"/>
    <n v="24.1"/>
    <n v="21"/>
    <n v="29.6"/>
    <n v="0"/>
    <s v="Normal"/>
    <s v="Normal"/>
    <s v="Normal"/>
    <s v="Normal"/>
    <x v="4"/>
    <s v="August"/>
  </r>
  <r>
    <d v="2021-08-27T00:00:00"/>
    <n v="22.7"/>
    <n v="20.5"/>
    <n v="30.4"/>
    <n v="24.9"/>
    <s v="Normal"/>
    <s v="Normal"/>
    <s v="Normal"/>
    <s v="Outlier"/>
    <x v="4"/>
    <s v="August"/>
  </r>
  <r>
    <d v="2021-08-28T00:00:00"/>
    <n v="22.4"/>
    <n v="20.100000000000001"/>
    <n v="28.4"/>
    <n v="11.7"/>
    <s v="Normal"/>
    <s v="Normal"/>
    <s v="Normal"/>
    <s v="Outlier"/>
    <x v="4"/>
    <s v="August"/>
  </r>
  <r>
    <d v="2021-08-29T00:00:00"/>
    <n v="21.7"/>
    <n v="19.2"/>
    <n v="25.8"/>
    <n v="4.0999999999999996"/>
    <s v="Normal"/>
    <s v="Normal"/>
    <s v="Normal"/>
    <s v="Normal"/>
    <x v="4"/>
    <s v="August"/>
  </r>
  <r>
    <d v="2021-08-30T00:00:00"/>
    <n v="22.4"/>
    <n v="19.7"/>
    <n v="26.2"/>
    <n v="3.8"/>
    <s v="Normal"/>
    <s v="Normal"/>
    <s v="Normal"/>
    <s v="Normal"/>
    <x v="4"/>
    <s v="August"/>
  </r>
  <r>
    <d v="2021-08-31T00:00:00"/>
    <n v="23.9"/>
    <n v="19.7"/>
    <n v="27.6"/>
    <n v="0.5"/>
    <s v="Normal"/>
    <s v="Normal"/>
    <s v="Normal"/>
    <s v="Normal"/>
    <x v="4"/>
    <s v="August"/>
  </r>
  <r>
    <d v="2021-09-01T00:00:00"/>
    <n v="23.6"/>
    <n v="20.9"/>
    <n v="29.3"/>
    <n v="0"/>
    <s v="Normal"/>
    <s v="Normal"/>
    <s v="Normal"/>
    <s v="Normal"/>
    <x v="4"/>
    <s v="August"/>
  </r>
  <r>
    <d v="2021-09-02T00:00:00"/>
    <n v="22.6"/>
    <n v="19.5"/>
    <n v="29.4"/>
    <n v="2.8"/>
    <s v="Normal"/>
    <s v="Normal"/>
    <s v="Normal"/>
    <s v="Normal"/>
    <x v="4"/>
    <s v="September"/>
  </r>
  <r>
    <d v="2021-09-03T00:00:00"/>
    <n v="22.5"/>
    <n v="19.5"/>
    <n v="26.7"/>
    <n v="44.7"/>
    <s v="Normal"/>
    <s v="Normal"/>
    <s v="Normal"/>
    <s v="Outlier"/>
    <x v="4"/>
    <s v="September"/>
  </r>
  <r>
    <d v="2021-09-04T00:00:00"/>
    <n v="22.3"/>
    <n v="20.399999999999999"/>
    <n v="26.2"/>
    <n v="0"/>
    <s v="Normal"/>
    <s v="Normal"/>
    <s v="Normal"/>
    <s v="Normal"/>
    <x v="4"/>
    <s v="September"/>
  </r>
  <r>
    <d v="2021-09-05T00:00:00"/>
    <n v="22.1"/>
    <n v="20.2"/>
    <n v="26.6"/>
    <n v="1"/>
    <s v="Normal"/>
    <s v="Normal"/>
    <s v="Normal"/>
    <s v="Normal"/>
    <x v="4"/>
    <s v="September"/>
  </r>
  <r>
    <d v="2021-09-06T00:00:00"/>
    <n v="22.6"/>
    <n v="20.2"/>
    <n v="27.2"/>
    <n v="7.9"/>
    <s v="Normal"/>
    <s v="Normal"/>
    <s v="Normal"/>
    <s v="Normal"/>
    <x v="4"/>
    <s v="September"/>
  </r>
  <r>
    <d v="2021-09-07T00:00:00"/>
    <n v="22.2"/>
    <n v="20"/>
    <n v="27"/>
    <n v="2"/>
    <s v="Normal"/>
    <s v="Normal"/>
    <s v="Normal"/>
    <s v="Normal"/>
    <x v="4"/>
    <s v="September"/>
  </r>
  <r>
    <d v="2021-09-08T00:00:00"/>
    <n v="23.1"/>
    <n v="20.5"/>
    <n v="27"/>
    <n v="0.5"/>
    <s v="Normal"/>
    <s v="Normal"/>
    <s v="Normal"/>
    <s v="Normal"/>
    <x v="4"/>
    <s v="September"/>
  </r>
  <r>
    <d v="2021-09-09T00:00:00"/>
    <n v="24"/>
    <n v="20"/>
    <n v="27.8"/>
    <n v="0.5"/>
    <s v="Normal"/>
    <s v="Normal"/>
    <s v="Normal"/>
    <s v="Normal"/>
    <x v="4"/>
    <s v="September"/>
  </r>
  <r>
    <d v="2021-09-10T00:00:00"/>
    <n v="24.1"/>
    <n v="20.2"/>
    <n v="29.1"/>
    <n v="0"/>
    <s v="Normal"/>
    <s v="Normal"/>
    <s v="Normal"/>
    <s v="Normal"/>
    <x v="4"/>
    <s v="September"/>
  </r>
  <r>
    <d v="2021-09-11T00:00:00"/>
    <n v="22.8"/>
    <n v="19.399999999999999"/>
    <n v="28"/>
    <n v="1.3"/>
    <s v="Normal"/>
    <s v="Normal"/>
    <s v="Normal"/>
    <s v="Normal"/>
    <x v="4"/>
    <s v="September"/>
  </r>
  <r>
    <d v="2021-09-12T00:00:00"/>
    <n v="23.6"/>
    <n v="20.7"/>
    <n v="28.5"/>
    <n v="0"/>
    <s v="Normal"/>
    <s v="Normal"/>
    <s v="Normal"/>
    <s v="Normal"/>
    <x v="4"/>
    <s v="September"/>
  </r>
  <r>
    <d v="2021-09-13T00:00:00"/>
    <n v="23.7"/>
    <n v="20.9"/>
    <n v="28"/>
    <n v="0"/>
    <s v="Normal"/>
    <s v="Normal"/>
    <s v="Normal"/>
    <s v="Normal"/>
    <x v="4"/>
    <s v="September"/>
  </r>
  <r>
    <d v="2021-09-14T00:00:00"/>
    <n v="24.1"/>
    <n v="19.899999999999999"/>
    <n v="28.2"/>
    <n v="0"/>
    <s v="Normal"/>
    <s v="Normal"/>
    <s v="Normal"/>
    <s v="Normal"/>
    <x v="4"/>
    <s v="September"/>
  </r>
  <r>
    <d v="2021-09-15T00:00:00"/>
    <n v="23.2"/>
    <n v="19.2"/>
    <n v="27.7"/>
    <n v="1.4"/>
    <s v="Normal"/>
    <s v="Normal"/>
    <s v="Normal"/>
    <s v="Normal"/>
    <x v="4"/>
    <s v="September"/>
  </r>
  <r>
    <d v="2021-09-16T00:00:00"/>
    <n v="23.7"/>
    <n v="19"/>
    <n v="29"/>
    <n v="0.3"/>
    <s v="Normal"/>
    <s v="Normal"/>
    <s v="Normal"/>
    <s v="Normal"/>
    <x v="4"/>
    <s v="September"/>
  </r>
  <r>
    <d v="2021-09-17T00:00:00"/>
    <n v="24"/>
    <n v="19.3"/>
    <n v="30"/>
    <n v="0.4"/>
    <s v="Normal"/>
    <s v="Normal"/>
    <s v="Normal"/>
    <s v="Normal"/>
    <x v="4"/>
    <s v="September"/>
  </r>
  <r>
    <d v="2021-09-18T00:00:00"/>
    <n v="24.3"/>
    <n v="18.8"/>
    <n v="30.4"/>
    <n v="0.1"/>
    <s v="Normal"/>
    <s v="Normal"/>
    <s v="Normal"/>
    <s v="Normal"/>
    <x v="4"/>
    <s v="September"/>
  </r>
  <r>
    <d v="2021-09-19T00:00:00"/>
    <n v="24.4"/>
    <n v="19.5"/>
    <n v="30"/>
    <n v="3.8"/>
    <s v="Normal"/>
    <s v="Normal"/>
    <s v="Normal"/>
    <s v="Normal"/>
    <x v="4"/>
    <s v="September"/>
  </r>
  <r>
    <d v="2021-09-20T00:00:00"/>
    <n v="22.4"/>
    <n v="19.8"/>
    <n v="31.3"/>
    <n v="26.2"/>
    <s v="Normal"/>
    <s v="Normal"/>
    <s v="Normal"/>
    <s v="Outlier"/>
    <x v="4"/>
    <s v="September"/>
  </r>
  <r>
    <d v="2021-09-21T00:00:00"/>
    <n v="23.5"/>
    <n v="20.3"/>
    <n v="29"/>
    <n v="53.3"/>
    <s v="Normal"/>
    <s v="Normal"/>
    <s v="Normal"/>
    <s v="Outlier"/>
    <x v="4"/>
    <s v="September"/>
  </r>
  <r>
    <d v="2021-09-22T00:00:00"/>
    <n v="23.9"/>
    <n v="20.6"/>
    <n v="29.7"/>
    <n v="11.2"/>
    <s v="Normal"/>
    <s v="Normal"/>
    <s v="Normal"/>
    <s v="Outlier"/>
    <x v="4"/>
    <s v="September"/>
  </r>
  <r>
    <d v="2021-09-23T00:00:00"/>
    <n v="23.8"/>
    <n v="20.6"/>
    <n v="28"/>
    <n v="0"/>
    <s v="Normal"/>
    <s v="Normal"/>
    <s v="Normal"/>
    <s v="Normal"/>
    <x v="4"/>
    <s v="September"/>
  </r>
  <r>
    <d v="2021-09-24T00:00:00"/>
    <n v="24"/>
    <n v="20.7"/>
    <n v="28.2"/>
    <n v="0.3"/>
    <s v="Normal"/>
    <s v="Normal"/>
    <s v="Normal"/>
    <s v="Normal"/>
    <x v="4"/>
    <s v="September"/>
  </r>
  <r>
    <d v="2021-09-25T00:00:00"/>
    <n v="24.2"/>
    <n v="20.8"/>
    <n v="28.8"/>
    <n v="0.5"/>
    <s v="Normal"/>
    <s v="Normal"/>
    <s v="Normal"/>
    <s v="Normal"/>
    <x v="4"/>
    <s v="September"/>
  </r>
  <r>
    <d v="2021-09-26T00:00:00"/>
    <n v="23.1"/>
    <n v="20.100000000000001"/>
    <n v="29.2"/>
    <n v="12.2"/>
    <s v="Normal"/>
    <s v="Normal"/>
    <s v="Normal"/>
    <s v="Outlier"/>
    <x v="4"/>
    <s v="September"/>
  </r>
  <r>
    <d v="2021-09-27T00:00:00"/>
    <n v="22.7"/>
    <n v="20.2"/>
    <n v="27"/>
    <n v="0.5"/>
    <s v="Normal"/>
    <s v="Normal"/>
    <s v="Normal"/>
    <s v="Normal"/>
    <x v="4"/>
    <s v="September"/>
  </r>
  <r>
    <d v="2021-09-28T00:00:00"/>
    <n v="22.3"/>
    <n v="18.8"/>
    <n v="27"/>
    <n v="10.199999999999999"/>
    <s v="Normal"/>
    <s v="Normal"/>
    <s v="Normal"/>
    <s v="Normal"/>
    <x v="4"/>
    <s v="September"/>
  </r>
  <r>
    <d v="2021-09-29T00:00:00"/>
    <n v="23.4"/>
    <n v="19.399999999999999"/>
    <n v="27.4"/>
    <n v="9.1"/>
    <s v="Normal"/>
    <s v="Normal"/>
    <s v="Normal"/>
    <s v="Normal"/>
    <x v="4"/>
    <s v="September"/>
  </r>
  <r>
    <d v="2021-09-30T00:00:00"/>
    <n v="24"/>
    <n v="20.399999999999999"/>
    <n v="28"/>
    <n v="0"/>
    <s v="Normal"/>
    <s v="Normal"/>
    <s v="Normal"/>
    <s v="Normal"/>
    <x v="4"/>
    <s v="September"/>
  </r>
  <r>
    <d v="2021-10-01T00:00:00"/>
    <n v="23"/>
    <n v="19.899999999999999"/>
    <n v="29.8"/>
    <n v="8.5"/>
    <s v="Normal"/>
    <s v="Normal"/>
    <s v="Normal"/>
    <s v="Normal"/>
    <x v="4"/>
    <s v="September"/>
  </r>
  <r>
    <d v="2021-10-02T00:00:00"/>
    <n v="23.1"/>
    <n v="19.2"/>
    <n v="29"/>
    <n v="5.8"/>
    <s v="Normal"/>
    <s v="Normal"/>
    <s v="Normal"/>
    <s v="Normal"/>
    <x v="4"/>
    <s v="October"/>
  </r>
  <r>
    <d v="2021-10-03T00:00:00"/>
    <n v="23.7"/>
    <n v="20"/>
    <n v="30"/>
    <n v="0"/>
    <s v="Normal"/>
    <s v="Normal"/>
    <s v="Normal"/>
    <s v="Normal"/>
    <x v="4"/>
    <s v="October"/>
  </r>
  <r>
    <d v="2021-10-04T00:00:00"/>
    <n v="24.8"/>
    <n v="20.2"/>
    <n v="29.7"/>
    <n v="64"/>
    <s v="Normal"/>
    <s v="Normal"/>
    <s v="Normal"/>
    <s v="Outlier"/>
    <x v="4"/>
    <s v="October"/>
  </r>
  <r>
    <d v="2021-10-05T00:00:00"/>
    <n v="23.3"/>
    <n v="19.100000000000001"/>
    <n v="30.6"/>
    <n v="0"/>
    <s v="Normal"/>
    <s v="Normal"/>
    <s v="Normal"/>
    <s v="Normal"/>
    <x v="4"/>
    <s v="October"/>
  </r>
  <r>
    <d v="2021-10-06T00:00:00"/>
    <n v="22.6"/>
    <n v="20.100000000000001"/>
    <n v="28"/>
    <n v="38.6"/>
    <s v="Normal"/>
    <s v="Normal"/>
    <s v="Normal"/>
    <s v="Outlier"/>
    <x v="4"/>
    <s v="October"/>
  </r>
  <r>
    <d v="2021-10-07T00:00:00"/>
    <n v="24.9"/>
    <n v="21"/>
    <n v="29.6"/>
    <n v="0.5"/>
    <s v="Normal"/>
    <s v="Normal"/>
    <s v="Normal"/>
    <s v="Normal"/>
    <x v="4"/>
    <s v="October"/>
  </r>
  <r>
    <d v="2021-10-08T00:00:00"/>
    <n v="22.8"/>
    <n v="21.8"/>
    <n v="30.6"/>
    <n v="6.1"/>
    <s v="Normal"/>
    <s v="Normal"/>
    <s v="Normal"/>
    <s v="Normal"/>
    <x v="4"/>
    <s v="October"/>
  </r>
  <r>
    <d v="2021-10-09T00:00:00"/>
    <n v="22.1"/>
    <n v="20.8"/>
    <n v="27.1"/>
    <n v="7.9"/>
    <s v="Normal"/>
    <s v="Normal"/>
    <s v="Normal"/>
    <s v="Normal"/>
    <x v="4"/>
    <s v="October"/>
  </r>
  <r>
    <d v="2021-10-10T00:00:00"/>
    <n v="22.5"/>
    <n v="21.1"/>
    <n v="26.3"/>
    <n v="14.5"/>
    <s v="Normal"/>
    <s v="Normal"/>
    <s v="Normal"/>
    <s v="Outlier"/>
    <x v="4"/>
    <s v="October"/>
  </r>
  <r>
    <d v="2021-10-11T00:00:00"/>
    <n v="22.8"/>
    <n v="19.600000000000001"/>
    <n v="27"/>
    <n v="13"/>
    <s v="Normal"/>
    <s v="Normal"/>
    <s v="Normal"/>
    <s v="Outlier"/>
    <x v="4"/>
    <s v="October"/>
  </r>
  <r>
    <d v="2021-10-12T00:00:00"/>
    <n v="22"/>
    <n v="19.399999999999999"/>
    <n v="27.5"/>
    <n v="32.5"/>
    <s v="Normal"/>
    <s v="Normal"/>
    <s v="Normal"/>
    <s v="Outlier"/>
    <x v="4"/>
    <s v="October"/>
  </r>
  <r>
    <d v="2021-10-13T00:00:00"/>
    <n v="22.8"/>
    <n v="19.7"/>
    <n v="27.8"/>
    <n v="18.3"/>
    <s v="Normal"/>
    <s v="Normal"/>
    <s v="Normal"/>
    <s v="Outlier"/>
    <x v="4"/>
    <s v="October"/>
  </r>
  <r>
    <d v="2021-10-14T00:00:00"/>
    <n v="24.2"/>
    <n v="20.399999999999999"/>
    <n v="28"/>
    <n v="26.9"/>
    <s v="Normal"/>
    <s v="Normal"/>
    <s v="Normal"/>
    <s v="Outlier"/>
    <x v="4"/>
    <s v="October"/>
  </r>
  <r>
    <d v="2021-10-15T00:00:00"/>
    <n v="23.6"/>
    <n v="21.5"/>
    <n v="29"/>
    <n v="39.6"/>
    <s v="Normal"/>
    <s v="Normal"/>
    <s v="Normal"/>
    <s v="Outlier"/>
    <x v="4"/>
    <s v="October"/>
  </r>
  <r>
    <d v="2021-10-16T00:00:00"/>
    <n v="23.8"/>
    <n v="19.399999999999999"/>
    <n v="28.3"/>
    <n v="15"/>
    <s v="Normal"/>
    <s v="Normal"/>
    <s v="Normal"/>
    <s v="Outlier"/>
    <x v="4"/>
    <s v="October"/>
  </r>
  <r>
    <d v="2021-10-17T00:00:00"/>
    <n v="22.7"/>
    <n v="20.6"/>
    <n v="28.9"/>
    <n v="7.1"/>
    <s v="Normal"/>
    <s v="Normal"/>
    <s v="Normal"/>
    <s v="Normal"/>
    <x v="4"/>
    <s v="October"/>
  </r>
  <r>
    <d v="2021-10-18T00:00:00"/>
    <n v="22.9"/>
    <n v="20.8"/>
    <n v="26.7"/>
    <n v="0.8"/>
    <s v="Normal"/>
    <s v="Normal"/>
    <s v="Normal"/>
    <s v="Normal"/>
    <x v="4"/>
    <s v="October"/>
  </r>
  <r>
    <d v="2021-10-19T00:00:00"/>
    <n v="23.8"/>
    <n v="20.5"/>
    <n v="27.6"/>
    <n v="15.2"/>
    <s v="Normal"/>
    <s v="Normal"/>
    <s v="Normal"/>
    <s v="Outlier"/>
    <x v="4"/>
    <s v="October"/>
  </r>
  <r>
    <d v="2021-10-20T00:00:00"/>
    <n v="24.7"/>
    <n v="20"/>
    <n v="28.8"/>
    <n v="0"/>
    <s v="Normal"/>
    <s v="Normal"/>
    <s v="Normal"/>
    <s v="Normal"/>
    <x v="4"/>
    <s v="October"/>
  </r>
  <r>
    <d v="2021-10-21T00:00:00"/>
    <n v="25.5"/>
    <n v="20.9"/>
    <n v="29.3"/>
    <n v="0.5"/>
    <s v="Normal"/>
    <s v="Normal"/>
    <s v="Normal"/>
    <s v="Normal"/>
    <x v="4"/>
    <s v="October"/>
  </r>
  <r>
    <d v="2021-10-22T00:00:00"/>
    <n v="25.1"/>
    <n v="18.5"/>
    <n v="30.7"/>
    <n v="0.3"/>
    <s v="Normal"/>
    <s v="Normal"/>
    <s v="Normal"/>
    <s v="Normal"/>
    <x v="4"/>
    <s v="October"/>
  </r>
  <r>
    <d v="2021-10-23T00:00:00"/>
    <n v="24.1"/>
    <n v="20.399999999999999"/>
    <n v="31.6"/>
    <n v="17.3"/>
    <s v="Normal"/>
    <s v="Normal"/>
    <s v="Normal"/>
    <s v="Outlier"/>
    <x v="4"/>
    <s v="October"/>
  </r>
  <r>
    <d v="2021-10-24T00:00:00"/>
    <n v="24.3"/>
    <n v="19.2"/>
    <n v="30.1"/>
    <n v="41.9"/>
    <s v="Normal"/>
    <s v="Normal"/>
    <s v="Normal"/>
    <s v="Outlier"/>
    <x v="4"/>
    <s v="October"/>
  </r>
  <r>
    <d v="2021-10-25T00:00:00"/>
    <n v="23.9"/>
    <n v="20.9"/>
    <n v="29.4"/>
    <n v="0"/>
    <s v="Normal"/>
    <s v="Normal"/>
    <s v="Normal"/>
    <s v="Normal"/>
    <x v="4"/>
    <s v="October"/>
  </r>
  <r>
    <d v="2021-10-26T00:00:00"/>
    <n v="22.5"/>
    <n v="17.8"/>
    <n v="27"/>
    <n v="0.8"/>
    <s v="Normal"/>
    <s v="Normal"/>
    <s v="Normal"/>
    <s v="Normal"/>
    <x v="4"/>
    <s v="October"/>
  </r>
  <r>
    <d v="2021-10-27T00:00:00"/>
    <n v="22.3"/>
    <n v="18.3"/>
    <n v="26.6"/>
    <n v="0"/>
    <s v="Normal"/>
    <s v="Normal"/>
    <s v="Normal"/>
    <s v="Normal"/>
    <x v="4"/>
    <s v="October"/>
  </r>
  <r>
    <d v="2021-10-28T00:00:00"/>
    <n v="22"/>
    <n v="17.2"/>
    <n v="27.4"/>
    <n v="0.1"/>
    <s v="Normal"/>
    <s v="Normal"/>
    <s v="Normal"/>
    <s v="Normal"/>
    <x v="4"/>
    <s v="October"/>
  </r>
  <r>
    <d v="2021-10-29T00:00:00"/>
    <n v="21.6"/>
    <n v="18.899999999999999"/>
    <n v="25.7"/>
    <n v="10.3"/>
    <s v="Normal"/>
    <s v="Normal"/>
    <s v="Normal"/>
    <s v="Outlier"/>
    <x v="4"/>
    <s v="October"/>
  </r>
  <r>
    <d v="2021-10-30T00:00:00"/>
    <n v="22.5"/>
    <n v="19.899999999999999"/>
    <n v="26.8"/>
    <n v="5"/>
    <s v="Normal"/>
    <s v="Normal"/>
    <s v="Normal"/>
    <s v="Normal"/>
    <x v="4"/>
    <s v="October"/>
  </r>
  <r>
    <d v="2021-10-31T00:00:00"/>
    <n v="22.3"/>
    <n v="19.7"/>
    <n v="26.8"/>
    <n v="8.6"/>
    <s v="Normal"/>
    <s v="Normal"/>
    <s v="Normal"/>
    <s v="Normal"/>
    <x v="4"/>
    <s v="October"/>
  </r>
  <r>
    <d v="2021-11-01T00:00:00"/>
    <n v="21.7"/>
    <n v="19.600000000000001"/>
    <n v="26.8"/>
    <n v="8.6999999999999993"/>
    <s v="Normal"/>
    <s v="Normal"/>
    <s v="Normal"/>
    <s v="Normal"/>
    <x v="4"/>
    <s v="October"/>
  </r>
  <r>
    <d v="2021-11-02T00:00:00"/>
    <n v="21.9"/>
    <n v="19.5"/>
    <n v="25.9"/>
    <n v="5.3"/>
    <s v="Normal"/>
    <s v="Normal"/>
    <s v="Normal"/>
    <s v="Normal"/>
    <x v="4"/>
    <s v="November"/>
  </r>
  <r>
    <d v="2021-11-03T00:00:00"/>
    <n v="22.3"/>
    <n v="20.2"/>
    <n v="26.8"/>
    <n v="0"/>
    <s v="Normal"/>
    <s v="Normal"/>
    <s v="Normal"/>
    <s v="Normal"/>
    <x v="4"/>
    <s v="November"/>
  </r>
  <r>
    <d v="2021-11-04T00:00:00"/>
    <n v="22.1"/>
    <n v="19.399999999999999"/>
    <n v="27"/>
    <n v="10.7"/>
    <s v="Normal"/>
    <s v="Normal"/>
    <s v="Normal"/>
    <s v="Outlier"/>
    <x v="4"/>
    <s v="November"/>
  </r>
  <r>
    <d v="2021-11-05T00:00:00"/>
    <n v="21.7"/>
    <n v="19.2"/>
    <n v="28.4"/>
    <n v="55.9"/>
    <s v="Normal"/>
    <s v="Normal"/>
    <s v="Normal"/>
    <s v="Outlier"/>
    <x v="4"/>
    <s v="November"/>
  </r>
  <r>
    <d v="2021-11-06T00:00:00"/>
    <n v="22.8"/>
    <n v="18.3"/>
    <n v="26.6"/>
    <n v="0"/>
    <s v="Normal"/>
    <s v="Normal"/>
    <s v="Normal"/>
    <s v="Normal"/>
    <x v="4"/>
    <s v="November"/>
  </r>
  <r>
    <d v="2021-11-07T00:00:00"/>
    <n v="21"/>
    <n v="19.2"/>
    <n v="23.6"/>
    <n v="3.7"/>
    <s v="Normal"/>
    <s v="Normal"/>
    <s v="Normal"/>
    <s v="Normal"/>
    <x v="4"/>
    <s v="November"/>
  </r>
  <r>
    <d v="2021-11-08T00:00:00"/>
    <n v="20.5"/>
    <n v="19.5"/>
    <n v="24.5"/>
    <n v="2"/>
    <s v="Normal"/>
    <s v="Normal"/>
    <s v="Normal"/>
    <s v="Normal"/>
    <x v="4"/>
    <s v="November"/>
  </r>
  <r>
    <d v="2021-11-09T00:00:00"/>
    <n v="21.4"/>
    <n v="18.2"/>
    <n v="25.6"/>
    <n v="1"/>
    <s v="Normal"/>
    <s v="Normal"/>
    <s v="Normal"/>
    <s v="Normal"/>
    <x v="4"/>
    <s v="November"/>
  </r>
  <r>
    <d v="2021-11-10T00:00:00"/>
    <n v="20.7"/>
    <n v="17.399999999999999"/>
    <n v="26.6"/>
    <n v="0"/>
    <s v="Normal"/>
    <s v="Normal"/>
    <s v="Normal"/>
    <s v="Normal"/>
    <x v="4"/>
    <s v="November"/>
  </r>
  <r>
    <d v="2021-11-12T00:00:00"/>
    <n v="20.399999999999999"/>
    <n v="16.8"/>
    <n v="22.5"/>
    <n v="19.100000000000001"/>
    <s v="Normal"/>
    <s v="Outlier"/>
    <s v="Normal"/>
    <s v="Outlier"/>
    <x v="4"/>
    <s v="November"/>
  </r>
  <r>
    <d v="2021-11-13T00:00:00"/>
    <n v="21.8"/>
    <n v="20.100000000000001"/>
    <n v="24.7"/>
    <n v="6.6"/>
    <s v="Normal"/>
    <s v="Normal"/>
    <s v="Normal"/>
    <s v="Normal"/>
    <x v="4"/>
    <s v="November"/>
  </r>
  <r>
    <d v="2021-11-14T00:00:00"/>
    <n v="22.4"/>
    <n v="19.100000000000001"/>
    <n v="26"/>
    <n v="0"/>
    <s v="Normal"/>
    <s v="Normal"/>
    <s v="Normal"/>
    <s v="Normal"/>
    <x v="4"/>
    <s v="November"/>
  </r>
  <r>
    <d v="2021-11-15T00:00:00"/>
    <n v="22.8"/>
    <n v="20.7"/>
    <n v="26.2"/>
    <n v="1"/>
    <s v="Normal"/>
    <s v="Normal"/>
    <s v="Normal"/>
    <s v="Normal"/>
    <x v="4"/>
    <s v="November"/>
  </r>
  <r>
    <d v="2021-11-16T00:00:00"/>
    <n v="22.8"/>
    <n v="18.899999999999999"/>
    <n v="26.4"/>
    <n v="52.1"/>
    <s v="Normal"/>
    <s v="Normal"/>
    <s v="Normal"/>
    <s v="Outlier"/>
    <x v="4"/>
    <s v="November"/>
  </r>
  <r>
    <d v="2021-11-17T00:00:00"/>
    <n v="22.5"/>
    <n v="19.8"/>
    <n v="27.6"/>
    <n v="0.8"/>
    <s v="Normal"/>
    <s v="Normal"/>
    <s v="Normal"/>
    <s v="Normal"/>
    <x v="4"/>
    <s v="November"/>
  </r>
  <r>
    <d v="2021-11-18T00:00:00"/>
    <n v="20.6"/>
    <n v="20"/>
    <n v="27.2"/>
    <n v="3.6"/>
    <s v="Normal"/>
    <s v="Normal"/>
    <s v="Normal"/>
    <s v="Normal"/>
    <x v="4"/>
    <s v="November"/>
  </r>
  <r>
    <d v="2021-11-19T00:00:00"/>
    <n v="21.1"/>
    <n v="19.8"/>
    <n v="23.2"/>
    <n v="73.400000000000006"/>
    <s v="Normal"/>
    <s v="Normal"/>
    <s v="Normal"/>
    <s v="Outlier"/>
    <x v="4"/>
    <s v="November"/>
  </r>
  <r>
    <d v="2021-11-20T00:00:00"/>
    <n v="21.1"/>
    <n v="20.100000000000001"/>
    <n v="22.6"/>
    <n v="3.8"/>
    <s v="Normal"/>
    <s v="Normal"/>
    <s v="Normal"/>
    <s v="Normal"/>
    <x v="4"/>
    <s v="November"/>
  </r>
  <r>
    <d v="2021-11-21T00:00:00"/>
    <n v="22.5"/>
    <n v="19.3"/>
    <n v="26.2"/>
    <n v="2.2999999999999998"/>
    <s v="Normal"/>
    <s v="Normal"/>
    <s v="Normal"/>
    <s v="Normal"/>
    <x v="4"/>
    <s v="November"/>
  </r>
  <r>
    <d v="2021-11-22T00:00:00"/>
    <n v="22.8"/>
    <n v="20.5"/>
    <n v="26.5"/>
    <n v="5.0999999999999996"/>
    <s v="Normal"/>
    <s v="Normal"/>
    <s v="Normal"/>
    <s v="Normal"/>
    <x v="4"/>
    <s v="November"/>
  </r>
  <r>
    <d v="2021-11-23T00:00:00"/>
    <n v="24.2"/>
    <n v="20.100000000000001"/>
    <n v="28.4"/>
    <n v="0"/>
    <s v="Normal"/>
    <s v="Normal"/>
    <s v="Normal"/>
    <s v="Normal"/>
    <x v="4"/>
    <s v="November"/>
  </r>
  <r>
    <d v="2021-11-24T00:00:00"/>
    <n v="22.8"/>
    <n v="20.100000000000001"/>
    <n v="29.8"/>
    <n v="0"/>
    <s v="Normal"/>
    <s v="Normal"/>
    <s v="Normal"/>
    <s v="Normal"/>
    <x v="4"/>
    <s v="November"/>
  </r>
  <r>
    <d v="2021-11-25T00:00:00"/>
    <n v="23"/>
    <n v="19.399999999999999"/>
    <n v="27"/>
    <n v="11.4"/>
    <s v="Normal"/>
    <s v="Normal"/>
    <s v="Normal"/>
    <s v="Outlier"/>
    <x v="4"/>
    <s v="November"/>
  </r>
  <r>
    <d v="2021-11-26T00:00:00"/>
    <n v="21.8"/>
    <n v="19.100000000000001"/>
    <n v="27"/>
    <n v="0"/>
    <s v="Normal"/>
    <s v="Normal"/>
    <s v="Normal"/>
    <s v="Normal"/>
    <x v="4"/>
    <s v="November"/>
  </r>
  <r>
    <d v="2021-11-27T00:00:00"/>
    <n v="20.399999999999999"/>
    <n v="18.399999999999999"/>
    <n v="23"/>
    <n v="5"/>
    <s v="Normal"/>
    <s v="Normal"/>
    <s v="Normal"/>
    <s v="Normal"/>
    <x v="4"/>
    <s v="November"/>
  </r>
  <r>
    <d v="2021-11-28T00:00:00"/>
    <n v="21"/>
    <n v="19.8"/>
    <n v="23.4"/>
    <n v="0"/>
    <s v="Normal"/>
    <s v="Normal"/>
    <s v="Normal"/>
    <s v="Normal"/>
    <x v="4"/>
    <s v="November"/>
  </r>
  <r>
    <d v="2021-11-29T00:00:00"/>
    <n v="21.1"/>
    <n v="19.5"/>
    <n v="22.6"/>
    <n v="0"/>
    <s v="Normal"/>
    <s v="Normal"/>
    <s v="Normal"/>
    <s v="Normal"/>
    <x v="4"/>
    <s v="November"/>
  </r>
  <r>
    <d v="2021-11-30T00:00:00"/>
    <n v="22.4"/>
    <n v="18.899999999999999"/>
    <n v="25.8"/>
    <n v="0.5"/>
    <s v="Normal"/>
    <s v="Normal"/>
    <s v="Normal"/>
    <s v="Normal"/>
    <x v="4"/>
    <s v="November"/>
  </r>
  <r>
    <d v="2021-12-01T00:00:00"/>
    <n v="21.7"/>
    <n v="20"/>
    <n v="26.4"/>
    <n v="0"/>
    <s v="Normal"/>
    <s v="Normal"/>
    <s v="Normal"/>
    <s v="Normal"/>
    <x v="4"/>
    <s v="November"/>
  </r>
  <r>
    <d v="2021-12-02T00:00:00"/>
    <n v="21.6"/>
    <n v="19.2"/>
    <n v="25.9"/>
    <n v="6.9"/>
    <s v="Normal"/>
    <s v="Normal"/>
    <s v="Normal"/>
    <s v="Normal"/>
    <x v="4"/>
    <s v="December"/>
  </r>
  <r>
    <d v="2021-12-03T00:00:00"/>
    <n v="21.9"/>
    <n v="17.899999999999999"/>
    <n v="27.4"/>
    <n v="3"/>
    <s v="Normal"/>
    <s v="Normal"/>
    <s v="Normal"/>
    <s v="Normal"/>
    <x v="4"/>
    <s v="December"/>
  </r>
  <r>
    <d v="2021-12-04T00:00:00"/>
    <n v="23.9"/>
    <n v="21"/>
    <n v="28.2"/>
    <n v="0"/>
    <s v="Normal"/>
    <s v="Normal"/>
    <s v="Normal"/>
    <s v="Normal"/>
    <x v="4"/>
    <s v="December"/>
  </r>
  <r>
    <d v="2021-12-05T00:00:00"/>
    <n v="23.2"/>
    <n v="19.8"/>
    <n v="28.4"/>
    <n v="1"/>
    <s v="Normal"/>
    <s v="Normal"/>
    <s v="Normal"/>
    <s v="Normal"/>
    <x v="4"/>
    <s v="December"/>
  </r>
  <r>
    <d v="2021-12-06T00:00:00"/>
    <n v="23.2"/>
    <n v="19.3"/>
    <n v="29.2"/>
    <n v="0"/>
    <s v="Normal"/>
    <s v="Normal"/>
    <s v="Normal"/>
    <s v="Normal"/>
    <x v="4"/>
    <s v="December"/>
  </r>
  <r>
    <d v="2021-12-07T00:00:00"/>
    <n v="22.1"/>
    <n v="17.7"/>
    <n v="26.4"/>
    <n v="0"/>
    <s v="Normal"/>
    <s v="Normal"/>
    <s v="Normal"/>
    <s v="Normal"/>
    <x v="4"/>
    <s v="December"/>
  </r>
  <r>
    <d v="2021-12-08T00:00:00"/>
    <n v="21.7"/>
    <n v="16.899999999999999"/>
    <n v="27.4"/>
    <n v="0"/>
    <s v="Normal"/>
    <s v="Normal"/>
    <s v="Normal"/>
    <s v="Normal"/>
    <x v="4"/>
    <s v="December"/>
  </r>
  <r>
    <d v="2021-12-09T00:00:00"/>
    <n v="22.1"/>
    <n v="18.8"/>
    <n v="26.2"/>
    <n v="0.9"/>
    <s v="Normal"/>
    <s v="Normal"/>
    <s v="Normal"/>
    <s v="Normal"/>
    <x v="4"/>
    <s v="December"/>
  </r>
  <r>
    <d v="2021-12-10T00:00:00"/>
    <n v="22.7"/>
    <n v="18.600000000000001"/>
    <n v="27.2"/>
    <n v="1"/>
    <s v="Normal"/>
    <s v="Normal"/>
    <s v="Normal"/>
    <s v="Normal"/>
    <x v="4"/>
    <s v="December"/>
  </r>
  <r>
    <d v="2021-12-11T00:00:00"/>
    <n v="21.6"/>
    <n v="18"/>
    <n v="28.4"/>
    <n v="0"/>
    <s v="Normal"/>
    <s v="Normal"/>
    <s v="Normal"/>
    <s v="Normal"/>
    <x v="4"/>
    <s v="December"/>
  </r>
  <r>
    <d v="2021-12-12T00:00:00"/>
    <n v="20.9"/>
    <n v="17.5"/>
    <n v="24.7"/>
    <n v="0.2"/>
    <s v="Normal"/>
    <s v="Normal"/>
    <s v="Normal"/>
    <s v="Normal"/>
    <x v="4"/>
    <s v="December"/>
  </r>
  <r>
    <d v="2021-12-13T00:00:00"/>
    <n v="20.6"/>
    <n v="18"/>
    <n v="24.9"/>
    <n v="2.4"/>
    <s v="Normal"/>
    <s v="Normal"/>
    <s v="Normal"/>
    <s v="Normal"/>
    <x v="4"/>
    <s v="December"/>
  </r>
  <r>
    <d v="2021-12-14T00:00:00"/>
    <n v="21.2"/>
    <n v="18.3"/>
    <n v="24.4"/>
    <n v="2.8"/>
    <s v="Normal"/>
    <s v="Normal"/>
    <s v="Normal"/>
    <s v="Normal"/>
    <x v="4"/>
    <s v="December"/>
  </r>
  <r>
    <d v="2021-12-15T00:00:00"/>
    <n v="20.6"/>
    <n v="17.399999999999999"/>
    <n v="24.4"/>
    <n v="0.3"/>
    <s v="Normal"/>
    <s v="Normal"/>
    <s v="Normal"/>
    <s v="Normal"/>
    <x v="4"/>
    <s v="December"/>
  </r>
  <r>
    <d v="2021-12-16T00:00:00"/>
    <n v="21.5"/>
    <n v="17.2"/>
    <n v="26.4"/>
    <n v="0"/>
    <s v="Normal"/>
    <s v="Normal"/>
    <s v="Normal"/>
    <s v="Normal"/>
    <x v="4"/>
    <s v="December"/>
  </r>
  <r>
    <d v="2021-12-17T00:00:00"/>
    <n v="20.6"/>
    <n v="16.3"/>
    <n v="27.6"/>
    <n v="0"/>
    <s v="Normal"/>
    <s v="Outlier"/>
    <s v="Normal"/>
    <s v="Normal"/>
    <x v="4"/>
    <s v="December"/>
  </r>
  <r>
    <d v="2021-12-18T00:00:00"/>
    <n v="20.2"/>
    <n v="15.3"/>
    <n v="26"/>
    <n v="0"/>
    <s v="Normal"/>
    <s v="Outlier"/>
    <s v="Normal"/>
    <s v="Normal"/>
    <x v="4"/>
    <s v="December"/>
  </r>
  <r>
    <d v="2021-12-21T00:00:00"/>
    <n v="19"/>
    <n v="13.9"/>
    <n v="26"/>
    <n v="0"/>
    <s v="Outlier"/>
    <s v="Outlier"/>
    <s v="Normal"/>
    <s v="Normal"/>
    <x v="4"/>
    <s v="December"/>
  </r>
  <r>
    <d v="2021-12-22T00:00:00"/>
    <n v="19.399999999999999"/>
    <n v="12.8"/>
    <n v="27.4"/>
    <n v="0"/>
    <s v="Normal"/>
    <s v="Outlier"/>
    <s v="Normal"/>
    <s v="Normal"/>
    <x v="4"/>
    <s v="December"/>
  </r>
  <r>
    <d v="2021-12-23T00:00:00"/>
    <n v="20"/>
    <n v="13.2"/>
    <n v="27.4"/>
    <n v="0"/>
    <s v="Normal"/>
    <s v="Outlier"/>
    <s v="Normal"/>
    <s v="Normal"/>
    <x v="4"/>
    <s v="December"/>
  </r>
  <r>
    <d v="2021-12-24T00:00:00"/>
    <n v="19.899999999999999"/>
    <n v="12.5"/>
    <n v="27.2"/>
    <n v="0"/>
    <s v="Normal"/>
    <s v="Outlier"/>
    <s v="Normal"/>
    <s v="Normal"/>
    <x v="4"/>
    <s v="December"/>
  </r>
  <r>
    <d v="2021-12-25T00:00:00"/>
    <n v="20.3"/>
    <n v="12.6"/>
    <n v="29"/>
    <n v="0"/>
    <s v="Normal"/>
    <s v="Outlier"/>
    <s v="Normal"/>
    <s v="Normal"/>
    <x v="4"/>
    <s v="December"/>
  </r>
  <r>
    <d v="2021-12-26T00:00:00"/>
    <n v="20.7"/>
    <n v="13.5"/>
    <n v="29.2"/>
    <n v="0"/>
    <s v="Normal"/>
    <s v="Outlier"/>
    <s v="Normal"/>
    <s v="Normal"/>
    <x v="4"/>
    <s v="December"/>
  </r>
  <r>
    <d v="2021-12-27T00:00:00"/>
    <n v="20.2"/>
    <n v="15.2"/>
    <n v="26.6"/>
    <n v="0"/>
    <s v="Normal"/>
    <s v="Outlier"/>
    <s v="Normal"/>
    <s v="Normal"/>
    <x v="4"/>
    <s v="December"/>
  </r>
  <r>
    <d v="2021-12-28T00:00:00"/>
    <n v="20.3"/>
    <n v="15.4"/>
    <n v="26.4"/>
    <n v="0"/>
    <s v="Normal"/>
    <s v="Outlier"/>
    <s v="Normal"/>
    <s v="Normal"/>
    <x v="4"/>
    <s v="December"/>
  </r>
  <r>
    <d v="2021-12-29T00:00:00"/>
    <n v="21"/>
    <n v="17"/>
    <n v="26"/>
    <n v="0"/>
    <s v="Normal"/>
    <s v="Normal"/>
    <s v="Normal"/>
    <s v="Normal"/>
    <x v="4"/>
    <s v="December"/>
  </r>
  <r>
    <d v="2021-12-30T00:00:00"/>
    <n v="20.2"/>
    <n v="15.4"/>
    <n v="26.4"/>
    <n v="0.7"/>
    <s v="Normal"/>
    <s v="Outlier"/>
    <s v="Normal"/>
    <s v="Normal"/>
    <x v="4"/>
    <s v="December"/>
  </r>
  <r>
    <d v="2021-12-31T00:00:00"/>
    <n v="20.3"/>
    <n v="17.600000000000001"/>
    <n v="26.5"/>
    <n v="0"/>
    <s v="Normal"/>
    <s v="Normal"/>
    <s v="Normal"/>
    <s v="Normal"/>
    <x v="4"/>
    <s v="December"/>
  </r>
  <r>
    <d v="2022-01-01T00:00:00"/>
    <n v="21.4"/>
    <n v="18.5"/>
    <n v="24.6"/>
    <n v="3.3"/>
    <s v="Normal"/>
    <s v="Normal"/>
    <s v="Normal"/>
    <s v="Normal"/>
    <x v="5"/>
    <s v="December"/>
  </r>
  <r>
    <d v="2022-01-02T00:00:00"/>
    <n v="22"/>
    <n v="17.5"/>
    <n v="26.4"/>
    <n v="0"/>
    <s v="Normal"/>
    <s v="Normal"/>
    <s v="Normal"/>
    <s v="Normal"/>
    <x v="5"/>
    <s v="January"/>
  </r>
  <r>
    <d v="2022-01-03T00:00:00"/>
    <n v="20.6"/>
    <n v="15.1"/>
    <n v="26.6"/>
    <n v="0"/>
    <s v="Normal"/>
    <s v="Outlier"/>
    <s v="Normal"/>
    <s v="Normal"/>
    <x v="5"/>
    <s v="January"/>
  </r>
  <r>
    <d v="2022-01-04T00:00:00"/>
    <n v="20.5"/>
    <n v="16.399999999999999"/>
    <n v="26.3"/>
    <n v="0"/>
    <s v="Normal"/>
    <s v="Outlier"/>
    <s v="Normal"/>
    <s v="Normal"/>
    <x v="5"/>
    <s v="January"/>
  </r>
  <r>
    <d v="2022-01-05T00:00:00"/>
    <n v="20.5"/>
    <n v="14.8"/>
    <n v="27.4"/>
    <n v="0"/>
    <s v="Normal"/>
    <s v="Outlier"/>
    <s v="Normal"/>
    <s v="Normal"/>
    <x v="5"/>
    <s v="January"/>
  </r>
  <r>
    <d v="2022-01-06T00:00:00"/>
    <n v="21.1"/>
    <n v="15.9"/>
    <n v="27"/>
    <n v="0"/>
    <s v="Normal"/>
    <s v="Outlier"/>
    <s v="Normal"/>
    <s v="Normal"/>
    <x v="5"/>
    <s v="January"/>
  </r>
  <r>
    <d v="2022-01-07T00:00:00"/>
    <n v="21.4"/>
    <n v="16.600000000000001"/>
    <n v="27"/>
    <n v="0"/>
    <s v="Normal"/>
    <s v="Outlier"/>
    <s v="Normal"/>
    <s v="Normal"/>
    <x v="5"/>
    <s v="January"/>
  </r>
  <r>
    <d v="2022-01-08T00:00:00"/>
    <n v="21.6"/>
    <n v="17.2"/>
    <n v="27.2"/>
    <n v="0"/>
    <s v="Normal"/>
    <s v="Normal"/>
    <s v="Normal"/>
    <s v="Normal"/>
    <x v="5"/>
    <s v="January"/>
  </r>
  <r>
    <d v="2022-01-09T00:00:00"/>
    <n v="21.7"/>
    <n v="17.3"/>
    <n v="27.2"/>
    <n v="0"/>
    <s v="Normal"/>
    <s v="Normal"/>
    <s v="Normal"/>
    <s v="Normal"/>
    <x v="5"/>
    <s v="January"/>
  </r>
  <r>
    <d v="2022-01-10T00:00:00"/>
    <n v="21.5"/>
    <n v="16.7"/>
    <n v="27.3"/>
    <n v="0.1"/>
    <s v="Normal"/>
    <s v="Outlier"/>
    <s v="Normal"/>
    <s v="Normal"/>
    <x v="5"/>
    <s v="January"/>
  </r>
  <r>
    <d v="2022-01-11T00:00:00"/>
    <n v="21.8"/>
    <n v="16.7"/>
    <n v="28.6"/>
    <n v="0.1"/>
    <s v="Normal"/>
    <s v="Outlier"/>
    <s v="Normal"/>
    <s v="Normal"/>
    <x v="5"/>
    <s v="January"/>
  </r>
  <r>
    <d v="2022-01-12T00:00:00"/>
    <n v="22.4"/>
    <n v="18.3"/>
    <n v="28.6"/>
    <n v="0.4"/>
    <s v="Normal"/>
    <s v="Normal"/>
    <s v="Normal"/>
    <s v="Normal"/>
    <x v="5"/>
    <s v="January"/>
  </r>
  <r>
    <d v="2022-01-13T00:00:00"/>
    <n v="22.1"/>
    <n v="17.5"/>
    <n v="27.4"/>
    <n v="0.5"/>
    <s v="Normal"/>
    <s v="Normal"/>
    <s v="Normal"/>
    <s v="Normal"/>
    <x v="5"/>
    <s v="January"/>
  </r>
  <r>
    <d v="2022-01-14T00:00:00"/>
    <n v="21.8"/>
    <n v="17.8"/>
    <n v="27.4"/>
    <n v="0.2"/>
    <s v="Normal"/>
    <s v="Normal"/>
    <s v="Normal"/>
    <s v="Normal"/>
    <x v="5"/>
    <s v="January"/>
  </r>
  <r>
    <d v="2022-01-15T00:00:00"/>
    <n v="22"/>
    <n v="16.2"/>
    <n v="28.6"/>
    <n v="0"/>
    <s v="Normal"/>
    <s v="Outlier"/>
    <s v="Normal"/>
    <s v="Normal"/>
    <x v="5"/>
    <s v="January"/>
  </r>
  <r>
    <d v="2022-01-16T00:00:00"/>
    <n v="21.9"/>
    <n v="17.399999999999999"/>
    <n v="27.6"/>
    <n v="0.2"/>
    <s v="Normal"/>
    <s v="Normal"/>
    <s v="Normal"/>
    <s v="Normal"/>
    <x v="5"/>
    <s v="January"/>
  </r>
  <r>
    <d v="2022-01-17T00:00:00"/>
    <n v="21.3"/>
    <n v="16.8"/>
    <n v="27"/>
    <n v="0"/>
    <s v="Normal"/>
    <s v="Outlier"/>
    <s v="Normal"/>
    <s v="Normal"/>
    <x v="5"/>
    <s v="January"/>
  </r>
  <r>
    <d v="2022-01-18T00:00:00"/>
    <n v="21.1"/>
    <n v="15.3"/>
    <n v="27.1"/>
    <n v="0"/>
    <s v="Normal"/>
    <s v="Outlier"/>
    <s v="Normal"/>
    <s v="Normal"/>
    <x v="5"/>
    <s v="January"/>
  </r>
  <r>
    <d v="2022-01-19T00:00:00"/>
    <n v="21"/>
    <n v="16"/>
    <n v="27"/>
    <n v="0"/>
    <s v="Normal"/>
    <s v="Outlier"/>
    <s v="Normal"/>
    <s v="Normal"/>
    <x v="5"/>
    <s v="January"/>
  </r>
  <r>
    <d v="2022-01-20T00:00:00"/>
    <n v="21"/>
    <n v="13"/>
    <n v="29"/>
    <n v="0"/>
    <s v="Normal"/>
    <s v="Outlier"/>
    <s v="Normal"/>
    <s v="Normal"/>
    <x v="5"/>
    <s v="January"/>
  </r>
  <r>
    <d v="2022-01-21T00:00:00"/>
    <n v="22.1"/>
    <n v="14.5"/>
    <n v="31.4"/>
    <n v="0"/>
    <s v="Normal"/>
    <s v="Outlier"/>
    <s v="Normal"/>
    <s v="Normal"/>
    <x v="5"/>
    <s v="January"/>
  </r>
  <r>
    <d v="2022-01-22T00:00:00"/>
    <n v="22.1"/>
    <n v="14.6"/>
    <n v="30"/>
    <n v="0"/>
    <s v="Normal"/>
    <s v="Outlier"/>
    <s v="Normal"/>
    <s v="Normal"/>
    <x v="5"/>
    <s v="January"/>
  </r>
  <r>
    <d v="2022-01-23T00:00:00"/>
    <n v="21.9"/>
    <n v="14.9"/>
    <n v="30.4"/>
    <n v="0"/>
    <s v="Normal"/>
    <s v="Outlier"/>
    <s v="Normal"/>
    <s v="Normal"/>
    <x v="5"/>
    <s v="January"/>
  </r>
  <r>
    <d v="2022-01-24T00:00:00"/>
    <n v="21.2"/>
    <n v="13.4"/>
    <n v="28.8"/>
    <n v="0"/>
    <s v="Normal"/>
    <s v="Outlier"/>
    <s v="Normal"/>
    <s v="Normal"/>
    <x v="5"/>
    <s v="January"/>
  </r>
  <r>
    <d v="2022-01-25T00:00:00"/>
    <n v="20.8"/>
    <n v="13.1"/>
    <n v="27.4"/>
    <n v="0"/>
    <s v="Normal"/>
    <s v="Outlier"/>
    <s v="Normal"/>
    <s v="Normal"/>
    <x v="5"/>
    <s v="January"/>
  </r>
  <r>
    <d v="2022-01-26T00:00:00"/>
    <n v="22.2"/>
    <n v="17.3"/>
    <n v="28"/>
    <n v="0.1"/>
    <s v="Normal"/>
    <s v="Normal"/>
    <s v="Normal"/>
    <s v="Normal"/>
    <x v="5"/>
    <s v="January"/>
  </r>
  <r>
    <d v="2022-01-27T00:00:00"/>
    <n v="21.5"/>
    <n v="17.899999999999999"/>
    <n v="25.4"/>
    <n v="1.8"/>
    <s v="Normal"/>
    <s v="Normal"/>
    <s v="Normal"/>
    <s v="Normal"/>
    <x v="5"/>
    <s v="January"/>
  </r>
  <r>
    <d v="2022-01-28T00:00:00"/>
    <n v="21.1"/>
    <n v="17"/>
    <n v="26.3"/>
    <n v="0"/>
    <s v="Normal"/>
    <s v="Normal"/>
    <s v="Normal"/>
    <s v="Normal"/>
    <x v="5"/>
    <s v="January"/>
  </r>
  <r>
    <d v="2022-01-29T00:00:00"/>
    <n v="21.2"/>
    <n v="15.3"/>
    <n v="27.2"/>
    <n v="0"/>
    <s v="Normal"/>
    <s v="Outlier"/>
    <s v="Normal"/>
    <s v="Normal"/>
    <x v="5"/>
    <s v="January"/>
  </r>
  <r>
    <d v="2022-01-30T00:00:00"/>
    <n v="23"/>
    <n v="18.100000000000001"/>
    <n v="29.4"/>
    <n v="0"/>
    <s v="Normal"/>
    <s v="Normal"/>
    <s v="Normal"/>
    <s v="Normal"/>
    <x v="5"/>
    <s v="January"/>
  </r>
  <r>
    <d v="2022-01-31T00:00:00"/>
    <n v="23.4"/>
    <n v="18.3"/>
    <n v="29.6"/>
    <n v="0"/>
    <s v="Normal"/>
    <s v="Normal"/>
    <s v="Normal"/>
    <s v="Normal"/>
    <x v="5"/>
    <s v="January"/>
  </r>
  <r>
    <d v="2022-02-01T00:00:00"/>
    <n v="23.2"/>
    <n v="17.399999999999999"/>
    <n v="29.8"/>
    <n v="0"/>
    <s v="Normal"/>
    <s v="Normal"/>
    <s v="Normal"/>
    <s v="Normal"/>
    <x v="5"/>
    <s v="January"/>
  </r>
  <r>
    <d v="2022-02-02T00:00:00"/>
    <n v="23"/>
    <n v="16.3"/>
    <n v="29.6"/>
    <n v="0"/>
    <s v="Normal"/>
    <s v="Outlier"/>
    <s v="Normal"/>
    <s v="Normal"/>
    <x v="5"/>
    <s v="February"/>
  </r>
  <r>
    <d v="2022-02-03T00:00:00"/>
    <n v="22.7"/>
    <n v="16.3"/>
    <n v="28.7"/>
    <n v="0"/>
    <s v="Normal"/>
    <s v="Outlier"/>
    <s v="Normal"/>
    <s v="Normal"/>
    <x v="5"/>
    <s v="February"/>
  </r>
  <r>
    <d v="2022-02-04T00:00:00"/>
    <n v="22.9"/>
    <n v="16.5"/>
    <n v="30.6"/>
    <n v="0"/>
    <s v="Normal"/>
    <s v="Outlier"/>
    <s v="Normal"/>
    <s v="Normal"/>
    <x v="5"/>
    <s v="February"/>
  </r>
  <r>
    <d v="2022-02-05T00:00:00"/>
    <n v="22.8"/>
    <n v="15.9"/>
    <n v="30.8"/>
    <n v="0"/>
    <s v="Normal"/>
    <s v="Outlier"/>
    <s v="Normal"/>
    <s v="Normal"/>
    <x v="5"/>
    <s v="February"/>
  </r>
  <r>
    <d v="2022-02-06T00:00:00"/>
    <n v="22.7"/>
    <n v="18.2"/>
    <n v="28"/>
    <n v="0"/>
    <s v="Normal"/>
    <s v="Normal"/>
    <s v="Normal"/>
    <s v="Normal"/>
    <x v="5"/>
    <s v="February"/>
  </r>
  <r>
    <d v="2022-02-07T00:00:00"/>
    <n v="22.6"/>
    <n v="17.3"/>
    <n v="28.3"/>
    <n v="0"/>
    <s v="Normal"/>
    <s v="Normal"/>
    <s v="Normal"/>
    <s v="Normal"/>
    <x v="5"/>
    <s v="February"/>
  </r>
  <r>
    <d v="2022-02-08T00:00:00"/>
    <n v="22.3"/>
    <n v="15.7"/>
    <n v="29.4"/>
    <n v="0"/>
    <s v="Normal"/>
    <s v="Outlier"/>
    <s v="Normal"/>
    <s v="Normal"/>
    <x v="5"/>
    <s v="February"/>
  </r>
  <r>
    <d v="2022-02-09T00:00:00"/>
    <n v="21.9"/>
    <n v="15.3"/>
    <n v="28.8"/>
    <n v="0"/>
    <s v="Normal"/>
    <s v="Outlier"/>
    <s v="Normal"/>
    <s v="Normal"/>
    <x v="5"/>
    <s v="February"/>
  </r>
  <r>
    <d v="2022-02-10T00:00:00"/>
    <n v="21.9"/>
    <n v="14.4"/>
    <n v="30"/>
    <n v="0"/>
    <s v="Normal"/>
    <s v="Outlier"/>
    <s v="Normal"/>
    <s v="Normal"/>
    <x v="5"/>
    <s v="February"/>
  </r>
  <r>
    <d v="2022-02-11T00:00:00"/>
    <n v="22.2"/>
    <n v="16.100000000000001"/>
    <n v="29.4"/>
    <n v="0"/>
    <s v="Normal"/>
    <s v="Outlier"/>
    <s v="Normal"/>
    <s v="Normal"/>
    <x v="5"/>
    <s v="February"/>
  </r>
  <r>
    <d v="2022-02-12T00:00:00"/>
    <n v="22.3"/>
    <n v="16"/>
    <n v="29"/>
    <n v="0"/>
    <s v="Normal"/>
    <s v="Outlier"/>
    <s v="Normal"/>
    <s v="Normal"/>
    <x v="5"/>
    <s v="February"/>
  </r>
  <r>
    <d v="2022-02-13T00:00:00"/>
    <n v="22.2"/>
    <n v="15.8"/>
    <n v="28.2"/>
    <n v="0"/>
    <s v="Normal"/>
    <s v="Outlier"/>
    <s v="Normal"/>
    <s v="Normal"/>
    <x v="5"/>
    <s v="February"/>
  </r>
  <r>
    <d v="2022-02-14T00:00:00"/>
    <n v="22.2"/>
    <n v="15.2"/>
    <n v="28.2"/>
    <n v="0"/>
    <s v="Normal"/>
    <s v="Outlier"/>
    <s v="Normal"/>
    <s v="Normal"/>
    <x v="5"/>
    <s v="February"/>
  </r>
  <r>
    <d v="2022-02-15T00:00:00"/>
    <n v="22.7"/>
    <n v="17.100000000000001"/>
    <n v="28.4"/>
    <n v="0"/>
    <s v="Normal"/>
    <s v="Normal"/>
    <s v="Normal"/>
    <s v="Normal"/>
    <x v="5"/>
    <s v="February"/>
  </r>
  <r>
    <d v="2022-02-16T00:00:00"/>
    <n v="22.6"/>
    <n v="15.3"/>
    <n v="28.8"/>
    <n v="0"/>
    <s v="Normal"/>
    <s v="Outlier"/>
    <s v="Normal"/>
    <s v="Normal"/>
    <x v="5"/>
    <s v="February"/>
  </r>
  <r>
    <d v="2022-02-17T00:00:00"/>
    <n v="23"/>
    <n v="16.100000000000001"/>
    <n v="30"/>
    <n v="0"/>
    <s v="Normal"/>
    <s v="Outlier"/>
    <s v="Normal"/>
    <s v="Normal"/>
    <x v="5"/>
    <s v="February"/>
  </r>
  <r>
    <d v="2022-02-18T00:00:00"/>
    <n v="22.5"/>
    <n v="14.9"/>
    <n v="29.4"/>
    <n v="0"/>
    <s v="Normal"/>
    <s v="Outlier"/>
    <s v="Normal"/>
    <s v="Normal"/>
    <x v="5"/>
    <s v="February"/>
  </r>
  <r>
    <d v="2022-02-19T00:00:00"/>
    <n v="22.7"/>
    <n v="15.8"/>
    <n v="29.8"/>
    <n v="0"/>
    <s v="Normal"/>
    <s v="Outlier"/>
    <s v="Normal"/>
    <s v="Normal"/>
    <x v="5"/>
    <s v="February"/>
  </r>
  <r>
    <d v="2022-02-20T00:00:00"/>
    <n v="23.5"/>
    <n v="15.8"/>
    <n v="32"/>
    <n v="0"/>
    <s v="Normal"/>
    <s v="Outlier"/>
    <s v="Normal"/>
    <s v="Normal"/>
    <x v="5"/>
    <s v="February"/>
  </r>
  <r>
    <d v="2022-02-21T00:00:00"/>
    <n v="24.3"/>
    <n v="16.3"/>
    <n v="32.4"/>
    <n v="0"/>
    <s v="Normal"/>
    <s v="Outlier"/>
    <s v="Normal"/>
    <s v="Normal"/>
    <x v="5"/>
    <s v="February"/>
  </r>
  <r>
    <d v="2022-02-22T00:00:00"/>
    <n v="24.7"/>
    <n v="17.899999999999999"/>
    <n v="31.3"/>
    <n v="0"/>
    <s v="Normal"/>
    <s v="Normal"/>
    <s v="Normal"/>
    <s v="Normal"/>
    <x v="5"/>
    <s v="February"/>
  </r>
  <r>
    <d v="2022-02-23T00:00:00"/>
    <n v="23.2"/>
    <n v="16.399999999999999"/>
    <n v="30.4"/>
    <n v="0"/>
    <s v="Normal"/>
    <s v="Outlier"/>
    <s v="Normal"/>
    <s v="Normal"/>
    <x v="5"/>
    <s v="February"/>
  </r>
  <r>
    <d v="2022-02-24T00:00:00"/>
    <n v="22.5"/>
    <n v="15.5"/>
    <n v="29.4"/>
    <n v="0"/>
    <s v="Normal"/>
    <s v="Outlier"/>
    <s v="Normal"/>
    <s v="Normal"/>
    <x v="5"/>
    <s v="February"/>
  </r>
  <r>
    <d v="2022-02-25T00:00:00"/>
    <n v="22.9"/>
    <n v="14.4"/>
    <n v="31.2"/>
    <n v="0"/>
    <s v="Normal"/>
    <s v="Outlier"/>
    <s v="Normal"/>
    <s v="Normal"/>
    <x v="5"/>
    <s v="February"/>
  </r>
  <r>
    <d v="2022-02-26T00:00:00"/>
    <n v="22.5"/>
    <n v="14.9"/>
    <n v="30.2"/>
    <n v="0"/>
    <s v="Normal"/>
    <s v="Outlier"/>
    <s v="Normal"/>
    <s v="Normal"/>
    <x v="5"/>
    <s v="February"/>
  </r>
  <r>
    <d v="2022-02-27T00:00:00"/>
    <n v="23.3"/>
    <n v="16.8"/>
    <n v="30"/>
    <n v="0"/>
    <s v="Normal"/>
    <s v="Outlier"/>
    <s v="Normal"/>
    <s v="Normal"/>
    <x v="5"/>
    <s v="February"/>
  </r>
  <r>
    <d v="2022-02-28T00:00:00"/>
    <n v="23.3"/>
    <n v="16.100000000000001"/>
    <n v="30.6"/>
    <n v="0"/>
    <s v="Normal"/>
    <s v="Outlier"/>
    <s v="Normal"/>
    <s v="Normal"/>
    <x v="5"/>
    <s v="February"/>
  </r>
  <r>
    <d v="2022-03-01T00:00:00"/>
    <n v="24"/>
    <n v="16.600000000000001"/>
    <n v="32"/>
    <n v="0"/>
    <s v="Normal"/>
    <s v="Outlier"/>
    <s v="Normal"/>
    <s v="Normal"/>
    <x v="5"/>
    <s v="February"/>
  </r>
  <r>
    <d v="2022-03-02T00:00:00"/>
    <n v="23.7"/>
    <n v="16.899999999999999"/>
    <n v="30.4"/>
    <n v="0"/>
    <s v="Normal"/>
    <s v="Normal"/>
    <s v="Normal"/>
    <s v="Normal"/>
    <x v="5"/>
    <s v="March"/>
  </r>
  <r>
    <d v="2022-03-03T00:00:00"/>
    <n v="23.5"/>
    <n v="16.5"/>
    <n v="30.8"/>
    <n v="0"/>
    <s v="Normal"/>
    <s v="Outlier"/>
    <s v="Normal"/>
    <s v="Normal"/>
    <x v="5"/>
    <s v="March"/>
  </r>
  <r>
    <d v="2022-03-04T00:00:00"/>
    <n v="24"/>
    <n v="17.399999999999999"/>
    <n v="31.6"/>
    <n v="0"/>
    <s v="Normal"/>
    <s v="Normal"/>
    <s v="Normal"/>
    <s v="Normal"/>
    <x v="5"/>
    <s v="March"/>
  </r>
  <r>
    <d v="2022-03-05T00:00:00"/>
    <n v="24"/>
    <n v="16.2"/>
    <n v="30.6"/>
    <n v="0"/>
    <s v="Normal"/>
    <s v="Outlier"/>
    <s v="Normal"/>
    <s v="Normal"/>
    <x v="5"/>
    <s v="March"/>
  </r>
  <r>
    <d v="2022-03-06T00:00:00"/>
    <n v="23.8"/>
    <n v="17.2"/>
    <n v="30.3"/>
    <n v="0"/>
    <s v="Normal"/>
    <s v="Normal"/>
    <s v="Normal"/>
    <s v="Normal"/>
    <x v="5"/>
    <s v="March"/>
  </r>
  <r>
    <d v="2022-03-07T00:00:00"/>
    <n v="21.9"/>
    <n v="16.3"/>
    <n v="27.9"/>
    <n v="2.4"/>
    <s v="Normal"/>
    <s v="Outlier"/>
    <s v="Normal"/>
    <s v="Normal"/>
    <x v="5"/>
    <s v="March"/>
  </r>
  <r>
    <d v="2022-03-08T00:00:00"/>
    <n v="24.9"/>
    <n v="18"/>
    <n v="30.6"/>
    <n v="0"/>
    <s v="Normal"/>
    <s v="Normal"/>
    <s v="Normal"/>
    <s v="Normal"/>
    <x v="5"/>
    <s v="March"/>
  </r>
  <r>
    <d v="2022-03-09T00:00:00"/>
    <n v="24.9"/>
    <n v="16.7"/>
    <n v="32.799999999999997"/>
    <n v="0"/>
    <s v="Normal"/>
    <s v="Outlier"/>
    <s v="Normal"/>
    <s v="Normal"/>
    <x v="5"/>
    <s v="March"/>
  </r>
  <r>
    <d v="2022-03-10T00:00:00"/>
    <n v="25.4"/>
    <n v="17.100000000000001"/>
    <n v="32.799999999999997"/>
    <n v="0"/>
    <s v="Normal"/>
    <s v="Normal"/>
    <s v="Normal"/>
    <s v="Normal"/>
    <x v="5"/>
    <s v="March"/>
  </r>
  <r>
    <d v="2022-03-11T00:00:00"/>
    <n v="25.2"/>
    <n v="17.2"/>
    <n v="32.799999999999997"/>
    <n v="0"/>
    <s v="Normal"/>
    <s v="Normal"/>
    <s v="Normal"/>
    <s v="Normal"/>
    <x v="5"/>
    <s v="March"/>
  </r>
  <r>
    <d v="2022-03-12T00:00:00"/>
    <n v="25.5"/>
    <n v="18.100000000000001"/>
    <n v="33"/>
    <n v="0"/>
    <s v="Normal"/>
    <s v="Normal"/>
    <s v="Normal"/>
    <s v="Normal"/>
    <x v="5"/>
    <s v="March"/>
  </r>
  <r>
    <d v="2022-03-13T00:00:00"/>
    <n v="25.6"/>
    <n v="18.5"/>
    <n v="32.799999999999997"/>
    <n v="0"/>
    <s v="Normal"/>
    <s v="Normal"/>
    <s v="Normal"/>
    <s v="Normal"/>
    <x v="5"/>
    <s v="March"/>
  </r>
  <r>
    <d v="2022-03-14T00:00:00"/>
    <n v="26"/>
    <n v="18.399999999999999"/>
    <n v="32.799999999999997"/>
    <n v="0"/>
    <s v="Normal"/>
    <s v="Normal"/>
    <s v="Normal"/>
    <s v="Normal"/>
    <x v="5"/>
    <s v="March"/>
  </r>
  <r>
    <d v="2022-03-15T00:00:00"/>
    <n v="25.7"/>
    <n v="17.5"/>
    <n v="33.4"/>
    <n v="0"/>
    <s v="Normal"/>
    <s v="Normal"/>
    <s v="Normal"/>
    <s v="Normal"/>
    <x v="5"/>
    <s v="March"/>
  </r>
  <r>
    <d v="2022-03-16T00:00:00"/>
    <n v="25.7"/>
    <n v="17.600000000000001"/>
    <n v="34.200000000000003"/>
    <n v="0"/>
    <s v="Normal"/>
    <s v="Normal"/>
    <s v="Normal"/>
    <s v="Normal"/>
    <x v="5"/>
    <s v="March"/>
  </r>
  <r>
    <d v="2022-03-17T00:00:00"/>
    <n v="26.6"/>
    <n v="19.100000000000001"/>
    <n v="34.200000000000003"/>
    <n v="0"/>
    <s v="Normal"/>
    <s v="Normal"/>
    <s v="Normal"/>
    <s v="Normal"/>
    <x v="5"/>
    <s v="March"/>
  </r>
  <r>
    <d v="2022-03-18T00:00:00"/>
    <n v="26.6"/>
    <n v="18.7"/>
    <n v="34"/>
    <n v="0"/>
    <s v="Normal"/>
    <s v="Normal"/>
    <s v="Normal"/>
    <s v="Normal"/>
    <x v="5"/>
    <s v="March"/>
  </r>
  <r>
    <d v="2022-03-19T00:00:00"/>
    <n v="26.2"/>
    <n v="18.899999999999999"/>
    <n v="33.4"/>
    <n v="0.1"/>
    <s v="Normal"/>
    <s v="Normal"/>
    <s v="Normal"/>
    <s v="Normal"/>
    <x v="5"/>
    <s v="March"/>
  </r>
  <r>
    <d v="2022-03-20T00:00:00"/>
    <n v="24.9"/>
    <n v="22"/>
    <n v="34.1"/>
    <n v="0"/>
    <s v="Normal"/>
    <s v="Normal"/>
    <s v="Normal"/>
    <s v="Normal"/>
    <x v="5"/>
    <s v="March"/>
  </r>
  <r>
    <d v="2022-03-21T00:00:00"/>
    <n v="24.7"/>
    <n v="21.3"/>
    <n v="33.200000000000003"/>
    <n v="6.1"/>
    <s v="Normal"/>
    <s v="Normal"/>
    <s v="Normal"/>
    <s v="Normal"/>
    <x v="5"/>
    <s v="March"/>
  </r>
  <r>
    <d v="2022-03-22T00:00:00"/>
    <n v="25.6"/>
    <n v="21.8"/>
    <n v="33.5"/>
    <n v="7.9"/>
    <s v="Normal"/>
    <s v="Normal"/>
    <s v="Normal"/>
    <s v="Normal"/>
    <x v="5"/>
    <s v="March"/>
  </r>
  <r>
    <d v="2022-03-23T00:00:00"/>
    <n v="27"/>
    <n v="21.4"/>
    <n v="32.799999999999997"/>
    <n v="2"/>
    <s v="Normal"/>
    <s v="Normal"/>
    <s v="Normal"/>
    <s v="Normal"/>
    <x v="5"/>
    <s v="March"/>
  </r>
  <r>
    <d v="2022-03-24T00:00:00"/>
    <n v="27.1"/>
    <n v="23.4"/>
    <n v="33.6"/>
    <n v="0"/>
    <s v="Normal"/>
    <s v="Outlier"/>
    <s v="Normal"/>
    <s v="Normal"/>
    <x v="5"/>
    <s v="March"/>
  </r>
  <r>
    <d v="2022-03-25T00:00:00"/>
    <n v="26.4"/>
    <n v="19.399999999999999"/>
    <n v="32.299999999999997"/>
    <n v="0.2"/>
    <s v="Normal"/>
    <s v="Normal"/>
    <s v="Normal"/>
    <s v="Normal"/>
    <x v="5"/>
    <s v="March"/>
  </r>
  <r>
    <d v="2022-03-26T00:00:00"/>
    <n v="26.7"/>
    <n v="19.899999999999999"/>
    <n v="32.9"/>
    <n v="0"/>
    <s v="Normal"/>
    <s v="Normal"/>
    <s v="Normal"/>
    <s v="Normal"/>
    <x v="5"/>
    <s v="March"/>
  </r>
  <r>
    <d v="2022-03-27T00:00:00"/>
    <n v="27.1"/>
    <n v="20.399999999999999"/>
    <n v="33.799999999999997"/>
    <n v="0"/>
    <s v="Normal"/>
    <s v="Normal"/>
    <s v="Normal"/>
    <s v="Normal"/>
    <x v="5"/>
    <s v="March"/>
  </r>
  <r>
    <d v="2022-03-28T00:00:00"/>
    <n v="27.3"/>
    <n v="20.100000000000001"/>
    <n v="33.799999999999997"/>
    <n v="0"/>
    <s v="Normal"/>
    <s v="Normal"/>
    <s v="Normal"/>
    <s v="Normal"/>
    <x v="5"/>
    <s v="March"/>
  </r>
  <r>
    <d v="2022-03-29T00:00:00"/>
    <n v="27.5"/>
    <n v="20.399999999999999"/>
    <n v="34.200000000000003"/>
    <n v="0.1"/>
    <s v="Normal"/>
    <s v="Normal"/>
    <s v="Normal"/>
    <s v="Normal"/>
    <x v="5"/>
    <s v="March"/>
  </r>
  <r>
    <d v="2022-03-30T00:00:00"/>
    <n v="27.6"/>
    <n v="21.8"/>
    <n v="33.799999999999997"/>
    <n v="0.1"/>
    <s v="Normal"/>
    <s v="Normal"/>
    <s v="Normal"/>
    <s v="Normal"/>
    <x v="5"/>
    <s v="March"/>
  </r>
  <r>
    <d v="2022-03-31T00:00:00"/>
    <n v="27.5"/>
    <n v="20.9"/>
    <n v="34"/>
    <n v="0"/>
    <s v="Normal"/>
    <s v="Normal"/>
    <s v="Normal"/>
    <s v="Normal"/>
    <x v="5"/>
    <s v="March"/>
  </r>
  <r>
    <d v="2022-04-01T00:00:00"/>
    <n v="27.2"/>
    <n v="21.2"/>
    <n v="33"/>
    <n v="0"/>
    <s v="Normal"/>
    <s v="Normal"/>
    <s v="Normal"/>
    <s v="Normal"/>
    <x v="5"/>
    <s v="March"/>
  </r>
  <r>
    <d v="2022-04-02T00:00:00"/>
    <n v="26.8"/>
    <n v="20"/>
    <n v="33"/>
    <n v="0"/>
    <s v="Normal"/>
    <s v="Normal"/>
    <s v="Normal"/>
    <s v="Normal"/>
    <x v="5"/>
    <s v="April"/>
  </r>
  <r>
    <d v="2022-04-03T00:00:00"/>
    <n v="26.6"/>
    <n v="18.600000000000001"/>
    <n v="33.6"/>
    <n v="0"/>
    <s v="Normal"/>
    <s v="Normal"/>
    <s v="Normal"/>
    <s v="Normal"/>
    <x v="5"/>
    <s v="April"/>
  </r>
  <r>
    <d v="2022-04-04T00:00:00"/>
    <n v="26.5"/>
    <n v="19"/>
    <n v="33.799999999999997"/>
    <n v="0"/>
    <s v="Normal"/>
    <s v="Normal"/>
    <s v="Normal"/>
    <s v="Normal"/>
    <x v="5"/>
    <s v="April"/>
  </r>
  <r>
    <d v="2022-04-05T00:00:00"/>
    <n v="26.3"/>
    <n v="19"/>
    <n v="33.200000000000003"/>
    <n v="0"/>
    <s v="Normal"/>
    <s v="Normal"/>
    <s v="Normal"/>
    <s v="Normal"/>
    <x v="5"/>
    <s v="April"/>
  </r>
  <r>
    <d v="2022-04-06T00:00:00"/>
    <n v="26.7"/>
    <n v="18.399999999999999"/>
    <n v="35"/>
    <n v="0"/>
    <s v="Normal"/>
    <s v="Normal"/>
    <s v="Normal"/>
    <s v="Normal"/>
    <x v="5"/>
    <s v="April"/>
  </r>
  <r>
    <d v="2022-04-07T00:00:00"/>
    <n v="27.1"/>
    <n v="19.100000000000001"/>
    <n v="34.799999999999997"/>
    <n v="0"/>
    <s v="Normal"/>
    <s v="Normal"/>
    <s v="Normal"/>
    <s v="Normal"/>
    <x v="5"/>
    <s v="April"/>
  </r>
  <r>
    <d v="2022-04-08T00:00:00"/>
    <n v="26.7"/>
    <n v="19.3"/>
    <n v="33.200000000000003"/>
    <n v="0"/>
    <s v="Normal"/>
    <s v="Normal"/>
    <s v="Normal"/>
    <s v="Normal"/>
    <x v="5"/>
    <s v="April"/>
  </r>
  <r>
    <d v="2022-04-09T00:00:00"/>
    <n v="27.1"/>
    <n v="19.899999999999999"/>
    <n v="33.6"/>
    <n v="0"/>
    <s v="Normal"/>
    <s v="Normal"/>
    <s v="Normal"/>
    <s v="Normal"/>
    <x v="5"/>
    <s v="April"/>
  </r>
  <r>
    <d v="2022-04-10T00:00:00"/>
    <n v="27"/>
    <n v="20.3"/>
    <n v="34"/>
    <n v="0"/>
    <s v="Normal"/>
    <s v="Normal"/>
    <s v="Normal"/>
    <s v="Normal"/>
    <x v="5"/>
    <s v="April"/>
  </r>
  <r>
    <d v="2022-04-11T00:00:00"/>
    <n v="27.2"/>
    <n v="20.100000000000001"/>
    <n v="34.200000000000003"/>
    <n v="0"/>
    <s v="Normal"/>
    <s v="Normal"/>
    <s v="Normal"/>
    <s v="Normal"/>
    <x v="5"/>
    <s v="April"/>
  </r>
  <r>
    <d v="2022-04-12T00:00:00"/>
    <n v="26.7"/>
    <n v="20.5"/>
    <n v="34"/>
    <n v="0"/>
    <s v="Normal"/>
    <s v="Normal"/>
    <s v="Normal"/>
    <s v="Normal"/>
    <x v="5"/>
    <s v="April"/>
  </r>
  <r>
    <d v="2022-04-13T00:00:00"/>
    <n v="25"/>
    <n v="21.5"/>
    <n v="32.799999999999997"/>
    <n v="3.5"/>
    <s v="Normal"/>
    <s v="Normal"/>
    <s v="Normal"/>
    <s v="Normal"/>
    <x v="5"/>
    <s v="April"/>
  </r>
  <r>
    <d v="2022-04-14T00:00:00"/>
    <n v="24.8"/>
    <n v="20.7"/>
    <n v="32.1"/>
    <n v="13.6"/>
    <s v="Normal"/>
    <s v="Normal"/>
    <s v="Normal"/>
    <s v="Outlier"/>
    <x v="5"/>
    <s v="April"/>
  </r>
  <r>
    <d v="2022-04-15T00:00:00"/>
    <n v="25.4"/>
    <n v="19.100000000000001"/>
    <n v="33"/>
    <n v="37.6"/>
    <s v="Normal"/>
    <s v="Normal"/>
    <s v="Normal"/>
    <s v="Outlier"/>
    <x v="5"/>
    <s v="April"/>
  </r>
  <r>
    <d v="2022-04-16T00:00:00"/>
    <n v="26.3"/>
    <n v="19.7"/>
    <n v="34.1"/>
    <n v="0"/>
    <s v="Normal"/>
    <s v="Normal"/>
    <s v="Normal"/>
    <s v="Normal"/>
    <x v="5"/>
    <s v="April"/>
  </r>
  <r>
    <d v="2022-04-17T00:00:00"/>
    <n v="25.6"/>
    <n v="20"/>
    <n v="34.1"/>
    <n v="51.1"/>
    <s v="Normal"/>
    <s v="Normal"/>
    <s v="Normal"/>
    <s v="Outlier"/>
    <x v="5"/>
    <s v="April"/>
  </r>
  <r>
    <d v="2022-04-18T00:00:00"/>
    <n v="23.8"/>
    <n v="19.100000000000001"/>
    <n v="32.1"/>
    <n v="1"/>
    <s v="Normal"/>
    <s v="Normal"/>
    <s v="Normal"/>
    <s v="Normal"/>
    <x v="5"/>
    <s v="April"/>
  </r>
  <r>
    <d v="2022-04-19T00:00:00"/>
    <n v="26"/>
    <n v="20"/>
    <n v="32.4"/>
    <n v="32.799999999999997"/>
    <s v="Normal"/>
    <s v="Normal"/>
    <s v="Normal"/>
    <s v="Outlier"/>
    <x v="5"/>
    <s v="April"/>
  </r>
  <r>
    <d v="2022-04-20T00:00:00"/>
    <n v="27.9"/>
    <n v="21.8"/>
    <n v="34.1"/>
    <n v="0"/>
    <s v="Normal"/>
    <s v="Normal"/>
    <s v="Normal"/>
    <s v="Normal"/>
    <x v="5"/>
    <s v="April"/>
  </r>
  <r>
    <d v="2022-04-21T00:00:00"/>
    <n v="27.3"/>
    <n v="20.8"/>
    <n v="33.4"/>
    <n v="0"/>
    <s v="Normal"/>
    <s v="Normal"/>
    <s v="Normal"/>
    <s v="Normal"/>
    <x v="5"/>
    <s v="April"/>
  </r>
  <r>
    <d v="2022-04-22T00:00:00"/>
    <n v="26.7"/>
    <n v="20.3"/>
    <n v="33.200000000000003"/>
    <n v="0"/>
    <s v="Normal"/>
    <s v="Normal"/>
    <s v="Normal"/>
    <s v="Normal"/>
    <x v="5"/>
    <s v="April"/>
  </r>
  <r>
    <d v="2022-04-23T00:00:00"/>
    <n v="26.3"/>
    <n v="20.5"/>
    <n v="32.200000000000003"/>
    <n v="0"/>
    <s v="Normal"/>
    <s v="Normal"/>
    <s v="Normal"/>
    <s v="Normal"/>
    <x v="5"/>
    <s v="April"/>
  </r>
  <r>
    <d v="2022-04-24T00:00:00"/>
    <n v="27"/>
    <n v="20.399999999999999"/>
    <n v="33.700000000000003"/>
    <n v="0"/>
    <s v="Normal"/>
    <s v="Normal"/>
    <s v="Normal"/>
    <s v="Normal"/>
    <x v="5"/>
    <s v="April"/>
  </r>
  <r>
    <d v="2022-04-25T00:00:00"/>
    <n v="27.8"/>
    <n v="20.8"/>
    <n v="34.1"/>
    <n v="0"/>
    <s v="Normal"/>
    <s v="Normal"/>
    <s v="Normal"/>
    <s v="Normal"/>
    <x v="5"/>
    <s v="April"/>
  </r>
  <r>
    <d v="2022-04-26T00:00:00"/>
    <n v="27.9"/>
    <n v="20.6"/>
    <n v="34.5"/>
    <n v="0"/>
    <s v="Normal"/>
    <s v="Normal"/>
    <s v="Normal"/>
    <s v="Normal"/>
    <x v="5"/>
    <s v="April"/>
  </r>
  <r>
    <d v="2022-04-27T00:00:00"/>
    <n v="28.5"/>
    <n v="21.5"/>
    <n v="35.1"/>
    <n v="0"/>
    <s v="Outlier"/>
    <s v="Normal"/>
    <s v="Normal"/>
    <s v="Normal"/>
    <x v="5"/>
    <s v="April"/>
  </r>
  <r>
    <d v="2022-04-28T00:00:00"/>
    <n v="28.2"/>
    <n v="21.7"/>
    <n v="34.799999999999997"/>
    <n v="0"/>
    <s v="Normal"/>
    <s v="Normal"/>
    <s v="Normal"/>
    <s v="Normal"/>
    <x v="5"/>
    <s v="April"/>
  </r>
  <r>
    <d v="2022-04-29T00:00:00"/>
    <n v="29.1"/>
    <n v="21.2"/>
    <n v="36.9"/>
    <n v="0"/>
    <s v="Outlier"/>
    <s v="Normal"/>
    <s v="Outlier"/>
    <s v="Normal"/>
    <x v="5"/>
    <s v="April"/>
  </r>
  <r>
    <d v="2022-04-30T00:00:00"/>
    <n v="28.1"/>
    <n v="22.7"/>
    <n v="36.700000000000003"/>
    <n v="0"/>
    <s v="Normal"/>
    <s v="Normal"/>
    <s v="Outlier"/>
    <s v="Normal"/>
    <x v="5"/>
    <s v="April"/>
  </r>
  <r>
    <d v="2022-05-01T00:00:00"/>
    <n v="24.9"/>
    <n v="20.399999999999999"/>
    <n v="34.799999999999997"/>
    <n v="0"/>
    <s v="Normal"/>
    <s v="Normal"/>
    <s v="Normal"/>
    <s v="Normal"/>
    <x v="5"/>
    <s v="April"/>
  </r>
  <r>
    <d v="2022-05-02T00:00:00"/>
    <n v="26.3"/>
    <n v="20.2"/>
    <n v="33.9"/>
    <n v="54.1"/>
    <s v="Normal"/>
    <s v="Normal"/>
    <s v="Normal"/>
    <s v="Outlier"/>
    <x v="5"/>
    <s v="May"/>
  </r>
  <r>
    <d v="2022-05-03T00:00:00"/>
    <n v="26.3"/>
    <n v="21.8"/>
    <n v="34"/>
    <n v="0"/>
    <s v="Normal"/>
    <s v="Normal"/>
    <s v="Normal"/>
    <s v="Normal"/>
    <x v="5"/>
    <s v="May"/>
  </r>
  <r>
    <d v="2022-05-04T00:00:00"/>
    <n v="25.5"/>
    <n v="20.9"/>
    <n v="34.200000000000003"/>
    <n v="8.9"/>
    <s v="Normal"/>
    <s v="Normal"/>
    <s v="Normal"/>
    <s v="Normal"/>
    <x v="5"/>
    <s v="May"/>
  </r>
  <r>
    <d v="2022-05-05T00:00:00"/>
    <n v="23.9"/>
    <n v="20.399999999999999"/>
    <n v="34.200000000000003"/>
    <n v="4.3"/>
    <s v="Normal"/>
    <s v="Normal"/>
    <s v="Normal"/>
    <s v="Normal"/>
    <x v="5"/>
    <s v="May"/>
  </r>
  <r>
    <d v="2022-05-06T00:00:00"/>
    <n v="25.2"/>
    <n v="21.3"/>
    <n v="31.8"/>
    <n v="0.3"/>
    <s v="Normal"/>
    <s v="Normal"/>
    <s v="Normal"/>
    <s v="Normal"/>
    <x v="5"/>
    <s v="May"/>
  </r>
  <r>
    <d v="2022-05-07T00:00:00"/>
    <n v="26"/>
    <n v="21.2"/>
    <n v="33.5"/>
    <n v="5.0999999999999996"/>
    <s v="Normal"/>
    <s v="Normal"/>
    <s v="Normal"/>
    <s v="Normal"/>
    <x v="5"/>
    <s v="May"/>
  </r>
  <r>
    <d v="2022-05-08T00:00:00"/>
    <n v="26.1"/>
    <n v="21"/>
    <n v="33.200000000000003"/>
    <n v="0"/>
    <s v="Normal"/>
    <s v="Normal"/>
    <s v="Normal"/>
    <s v="Normal"/>
    <x v="5"/>
    <s v="May"/>
  </r>
  <r>
    <d v="2022-05-09T00:00:00"/>
    <n v="25.3"/>
    <n v="21"/>
    <n v="33.200000000000003"/>
    <n v="2"/>
    <s v="Normal"/>
    <s v="Normal"/>
    <s v="Normal"/>
    <s v="Normal"/>
    <x v="5"/>
    <s v="May"/>
  </r>
  <r>
    <d v="2022-05-10T00:00:00"/>
    <n v="22.6"/>
    <n v="20.2"/>
    <n v="31.5"/>
    <n v="22.9"/>
    <s v="Normal"/>
    <s v="Normal"/>
    <s v="Normal"/>
    <s v="Outlier"/>
    <x v="5"/>
    <s v="May"/>
  </r>
  <r>
    <d v="2022-05-11T00:00:00"/>
    <n v="22.1"/>
    <n v="20.399999999999999"/>
    <n v="25"/>
    <n v="5.0999999999999996"/>
    <s v="Normal"/>
    <s v="Normal"/>
    <s v="Normal"/>
    <s v="Normal"/>
    <x v="5"/>
    <s v="May"/>
  </r>
  <r>
    <d v="2022-05-12T00:00:00"/>
    <n v="21.3"/>
    <n v="19.5"/>
    <n v="25"/>
    <n v="5.3"/>
    <s v="Normal"/>
    <s v="Normal"/>
    <s v="Normal"/>
    <s v="Normal"/>
    <x v="5"/>
    <s v="May"/>
  </r>
  <r>
    <d v="2022-05-13T00:00:00"/>
    <n v="22.9"/>
    <n v="20"/>
    <n v="26.3"/>
    <n v="2"/>
    <s v="Normal"/>
    <s v="Normal"/>
    <s v="Normal"/>
    <s v="Normal"/>
    <x v="5"/>
    <s v="May"/>
  </r>
  <r>
    <d v="2022-05-14T00:00:00"/>
    <n v="25.2"/>
    <n v="20.3"/>
    <n v="29.7"/>
    <n v="0"/>
    <s v="Normal"/>
    <s v="Normal"/>
    <s v="Normal"/>
    <s v="Normal"/>
    <x v="5"/>
    <s v="May"/>
  </r>
  <r>
    <d v="2022-05-15T00:00:00"/>
    <n v="25.2"/>
    <n v="20.9"/>
    <n v="29.7"/>
    <n v="21.1"/>
    <s v="Normal"/>
    <s v="Normal"/>
    <s v="Normal"/>
    <s v="Outlier"/>
    <x v="5"/>
    <s v="May"/>
  </r>
  <r>
    <d v="2022-05-16T00:00:00"/>
    <n v="23.9"/>
    <n v="20.8"/>
    <n v="29.5"/>
    <n v="0.3"/>
    <s v="Normal"/>
    <s v="Normal"/>
    <s v="Normal"/>
    <s v="Normal"/>
    <x v="5"/>
    <s v="May"/>
  </r>
  <r>
    <d v="2022-05-17T00:00:00"/>
    <n v="23.8"/>
    <n v="21.1"/>
    <n v="30.1"/>
    <n v="6.4"/>
    <s v="Normal"/>
    <s v="Normal"/>
    <s v="Normal"/>
    <s v="Normal"/>
    <x v="5"/>
    <s v="May"/>
  </r>
  <r>
    <d v="2022-05-18T00:00:00"/>
    <n v="24.3"/>
    <n v="20.2"/>
    <n v="29"/>
    <n v="114.6"/>
    <s v="Normal"/>
    <s v="Normal"/>
    <s v="Normal"/>
    <s v="Outlier"/>
    <x v="5"/>
    <s v="May"/>
  </r>
  <r>
    <d v="2022-05-19T00:00:00"/>
    <n v="20.6"/>
    <n v="19.399999999999999"/>
    <n v="29"/>
    <n v="0.8"/>
    <s v="Normal"/>
    <s v="Normal"/>
    <s v="Normal"/>
    <s v="Normal"/>
    <x v="5"/>
    <s v="May"/>
  </r>
  <r>
    <d v="2022-05-20T00:00:00"/>
    <n v="21.8"/>
    <n v="17.899999999999999"/>
    <n v="27"/>
    <n v="4.8"/>
    <s v="Normal"/>
    <s v="Normal"/>
    <s v="Normal"/>
    <s v="Normal"/>
    <x v="5"/>
    <s v="May"/>
  </r>
  <r>
    <d v="2022-05-21T00:00:00"/>
    <n v="22.8"/>
    <n v="18.8"/>
    <n v="27"/>
    <n v="3.8"/>
    <s v="Normal"/>
    <s v="Normal"/>
    <s v="Normal"/>
    <s v="Normal"/>
    <x v="5"/>
    <s v="May"/>
  </r>
  <r>
    <d v="2022-05-22T00:00:00"/>
    <n v="23.8"/>
    <n v="20.7"/>
    <n v="28.5"/>
    <n v="0"/>
    <s v="Normal"/>
    <s v="Normal"/>
    <s v="Normal"/>
    <s v="Normal"/>
    <x v="5"/>
    <s v="May"/>
  </r>
  <r>
    <d v="2022-05-23T00:00:00"/>
    <n v="24.5"/>
    <n v="19.899999999999999"/>
    <n v="29.6"/>
    <n v="0"/>
    <s v="Normal"/>
    <s v="Normal"/>
    <s v="Normal"/>
    <s v="Normal"/>
    <x v="5"/>
    <s v="May"/>
  </r>
  <r>
    <d v="2022-05-24T00:00:00"/>
    <n v="26.2"/>
    <n v="22.1"/>
    <n v="30.7"/>
    <n v="0"/>
    <s v="Normal"/>
    <s v="Normal"/>
    <s v="Normal"/>
    <s v="Normal"/>
    <x v="5"/>
    <s v="May"/>
  </r>
  <r>
    <d v="2022-05-25T00:00:00"/>
    <n v="24.6"/>
    <n v="20.100000000000001"/>
    <n v="30"/>
    <n v="0"/>
    <s v="Normal"/>
    <s v="Normal"/>
    <s v="Normal"/>
    <s v="Normal"/>
    <x v="5"/>
    <s v="May"/>
  </r>
  <r>
    <d v="2022-05-26T00:00:00"/>
    <n v="24.9"/>
    <n v="21.8"/>
    <n v="31.7"/>
    <n v="1.1000000000000001"/>
    <s v="Normal"/>
    <s v="Normal"/>
    <s v="Normal"/>
    <s v="Normal"/>
    <x v="5"/>
    <s v="May"/>
  </r>
  <r>
    <d v="2022-05-27T00:00:00"/>
    <n v="26.1"/>
    <n v="21.6"/>
    <n v="31.9"/>
    <n v="0"/>
    <s v="Normal"/>
    <s v="Normal"/>
    <s v="Normal"/>
    <s v="Normal"/>
    <x v="5"/>
    <s v="May"/>
  </r>
  <r>
    <d v="2022-05-28T00:00:00"/>
    <n v="24.5"/>
    <n v="19.2"/>
    <n v="30"/>
    <n v="0.3"/>
    <s v="Normal"/>
    <s v="Normal"/>
    <s v="Normal"/>
    <s v="Normal"/>
    <x v="5"/>
    <s v="May"/>
  </r>
  <r>
    <d v="2022-05-29T00:00:00"/>
    <n v="24.8"/>
    <n v="19.5"/>
    <n v="30"/>
    <n v="0"/>
    <s v="Normal"/>
    <s v="Normal"/>
    <s v="Normal"/>
    <s v="Normal"/>
    <x v="5"/>
    <s v="May"/>
  </r>
  <r>
    <d v="2022-05-30T00:00:00"/>
    <n v="23.9"/>
    <n v="19.600000000000001"/>
    <n v="29.6"/>
    <n v="12.6"/>
    <s v="Normal"/>
    <s v="Normal"/>
    <s v="Normal"/>
    <s v="Outlier"/>
    <x v="5"/>
    <s v="May"/>
  </r>
  <r>
    <d v="2022-05-31T00:00:00"/>
    <n v="24.1"/>
    <n v="20.6"/>
    <n v="30.4"/>
    <n v="6.9"/>
    <s v="Normal"/>
    <s v="Normal"/>
    <s v="Normal"/>
    <s v="Normal"/>
    <x v="5"/>
    <s v="May"/>
  </r>
  <r>
    <d v="2022-06-01T00:00:00"/>
    <n v="25.2"/>
    <n v="21.2"/>
    <n v="30.4"/>
    <n v="3.3"/>
    <s v="Normal"/>
    <s v="Normal"/>
    <s v="Normal"/>
    <s v="Normal"/>
    <x v="5"/>
    <s v="May"/>
  </r>
  <r>
    <d v="2022-06-02T00:00:00"/>
    <n v="25.7"/>
    <n v="22"/>
    <n v="31"/>
    <n v="0"/>
    <s v="Normal"/>
    <s v="Normal"/>
    <s v="Normal"/>
    <s v="Normal"/>
    <x v="5"/>
    <s v="June"/>
  </r>
  <r>
    <d v="2022-06-03T00:00:00"/>
    <n v="24.1"/>
    <n v="20.2"/>
    <n v="31.2"/>
    <n v="10.7"/>
    <s v="Normal"/>
    <s v="Normal"/>
    <s v="Normal"/>
    <s v="Outlier"/>
    <x v="5"/>
    <s v="June"/>
  </r>
  <r>
    <d v="2022-06-04T00:00:00"/>
    <n v="24.2"/>
    <n v="19.7"/>
    <n v="32.200000000000003"/>
    <n v="7.2"/>
    <s v="Normal"/>
    <s v="Normal"/>
    <s v="Normal"/>
    <s v="Normal"/>
    <x v="5"/>
    <s v="June"/>
  </r>
  <r>
    <d v="2022-06-05T00:00:00"/>
    <n v="24.4"/>
    <n v="20.399999999999999"/>
    <n v="31.6"/>
    <n v="17.3"/>
    <s v="Normal"/>
    <s v="Normal"/>
    <s v="Normal"/>
    <s v="Outlier"/>
    <x v="5"/>
    <s v="June"/>
  </r>
  <r>
    <d v="2022-06-06T00:00:00"/>
    <n v="24.8"/>
    <n v="19.100000000000001"/>
    <n v="32.5"/>
    <n v="32"/>
    <s v="Normal"/>
    <s v="Normal"/>
    <s v="Normal"/>
    <s v="Outlier"/>
    <x v="5"/>
    <s v="June"/>
  </r>
  <r>
    <d v="2022-06-07T00:00:00"/>
    <n v="24.9"/>
    <n v="21.1"/>
    <n v="30.6"/>
    <n v="0.8"/>
    <s v="Normal"/>
    <s v="Normal"/>
    <s v="Normal"/>
    <s v="Normal"/>
    <x v="5"/>
    <s v="June"/>
  </r>
  <r>
    <d v="2022-06-08T00:00:00"/>
    <n v="25.1"/>
    <n v="21.2"/>
    <n v="30.6"/>
    <n v="0"/>
    <s v="Normal"/>
    <s v="Normal"/>
    <s v="Normal"/>
    <s v="Normal"/>
    <x v="5"/>
    <s v="June"/>
  </r>
  <r>
    <d v="2022-06-09T00:00:00"/>
    <n v="24.3"/>
    <n v="19.8"/>
    <n v="29.4"/>
    <n v="1"/>
    <s v="Normal"/>
    <s v="Normal"/>
    <s v="Normal"/>
    <s v="Normal"/>
    <x v="5"/>
    <s v="June"/>
  </r>
  <r>
    <d v="2022-06-10T00:00:00"/>
    <n v="24"/>
    <n v="19.5"/>
    <n v="29.2"/>
    <n v="1.6"/>
    <s v="Normal"/>
    <s v="Normal"/>
    <s v="Normal"/>
    <s v="Normal"/>
    <x v="5"/>
    <s v="June"/>
  </r>
  <r>
    <d v="2022-06-11T00:00:00"/>
    <n v="23.6"/>
    <n v="19.3"/>
    <n v="29.2"/>
    <n v="2"/>
    <s v="Normal"/>
    <s v="Normal"/>
    <s v="Normal"/>
    <s v="Normal"/>
    <x v="5"/>
    <s v="June"/>
  </r>
  <r>
    <d v="2022-06-12T00:00:00"/>
    <n v="23"/>
    <n v="19.7"/>
    <n v="28.8"/>
    <n v="10"/>
    <s v="Normal"/>
    <s v="Normal"/>
    <s v="Normal"/>
    <s v="Normal"/>
    <x v="5"/>
    <s v="June"/>
  </r>
  <r>
    <d v="2022-06-13T00:00:00"/>
    <n v="23.6"/>
    <n v="19.2"/>
    <n v="28.9"/>
    <n v="0.1"/>
    <s v="Normal"/>
    <s v="Normal"/>
    <s v="Normal"/>
    <s v="Normal"/>
    <x v="5"/>
    <s v="June"/>
  </r>
  <r>
    <d v="2022-06-14T00:00:00"/>
    <n v="23.6"/>
    <n v="19.399999999999999"/>
    <n v="29.5"/>
    <n v="0.6"/>
    <s v="Normal"/>
    <s v="Normal"/>
    <s v="Normal"/>
    <s v="Normal"/>
    <x v="5"/>
    <s v="June"/>
  </r>
  <r>
    <d v="2022-06-15T00:00:00"/>
    <n v="23.7"/>
    <n v="20.2"/>
    <n v="31.9"/>
    <n v="31"/>
    <s v="Normal"/>
    <s v="Normal"/>
    <s v="Normal"/>
    <s v="Outlier"/>
    <x v="5"/>
    <s v="June"/>
  </r>
  <r>
    <d v="2022-06-16T00:00:00"/>
    <n v="24.5"/>
    <n v="20"/>
    <n v="30.6"/>
    <n v="0"/>
    <s v="Normal"/>
    <s v="Normal"/>
    <s v="Normal"/>
    <s v="Normal"/>
    <x v="5"/>
    <s v="June"/>
  </r>
  <r>
    <d v="2022-06-17T00:00:00"/>
    <n v="24.6"/>
    <n v="19.7"/>
    <n v="30.6"/>
    <n v="38.9"/>
    <s v="Normal"/>
    <s v="Normal"/>
    <s v="Normal"/>
    <s v="Outlier"/>
    <x v="5"/>
    <s v="June"/>
  </r>
  <r>
    <d v="2022-06-18T00:00:00"/>
    <n v="23.8"/>
    <n v="21.2"/>
    <n v="30.5"/>
    <n v="42.9"/>
    <s v="Normal"/>
    <s v="Normal"/>
    <s v="Normal"/>
    <s v="Outlier"/>
    <x v="5"/>
    <s v="June"/>
  </r>
  <r>
    <d v="2022-06-19T00:00:00"/>
    <n v="24.2"/>
    <n v="21.1"/>
    <n v="29.5"/>
    <n v="1"/>
    <s v="Normal"/>
    <s v="Normal"/>
    <s v="Normal"/>
    <s v="Normal"/>
    <x v="5"/>
    <s v="June"/>
  </r>
  <r>
    <d v="2022-06-20T00:00:00"/>
    <n v="24.1"/>
    <n v="20.7"/>
    <n v="29.5"/>
    <n v="2"/>
    <s v="Normal"/>
    <s v="Normal"/>
    <s v="Normal"/>
    <s v="Normal"/>
    <x v="5"/>
    <s v="June"/>
  </r>
  <r>
    <d v="2022-06-21T00:00:00"/>
    <n v="23.2"/>
    <n v="19.8"/>
    <n v="27.8"/>
    <n v="15"/>
    <s v="Normal"/>
    <s v="Normal"/>
    <s v="Normal"/>
    <s v="Outlier"/>
    <x v="5"/>
    <s v="June"/>
  </r>
  <r>
    <d v="2022-06-22T00:00:00"/>
    <n v="22.7"/>
    <n v="20.399999999999999"/>
    <n v="27.8"/>
    <n v="0.3"/>
    <s v="Normal"/>
    <s v="Normal"/>
    <s v="Normal"/>
    <s v="Normal"/>
    <x v="5"/>
    <s v="June"/>
  </r>
  <r>
    <d v="2022-06-23T00:00:00"/>
    <n v="23.1"/>
    <n v="20.399999999999999"/>
    <n v="26.2"/>
    <n v="0"/>
    <s v="Normal"/>
    <s v="Normal"/>
    <s v="Normal"/>
    <s v="Normal"/>
    <x v="5"/>
    <s v="June"/>
  </r>
  <r>
    <d v="2022-06-24T00:00:00"/>
    <n v="22.8"/>
    <n v="19.5"/>
    <n v="27.6"/>
    <n v="0.3"/>
    <s v="Normal"/>
    <s v="Normal"/>
    <s v="Normal"/>
    <s v="Normal"/>
    <x v="5"/>
    <s v="June"/>
  </r>
  <r>
    <d v="2022-06-25T00:00:00"/>
    <n v="22.4"/>
    <n v="19.7"/>
    <n v="27.7"/>
    <n v="4.2"/>
    <s v="Normal"/>
    <s v="Normal"/>
    <s v="Normal"/>
    <s v="Normal"/>
    <x v="5"/>
    <s v="June"/>
  </r>
  <r>
    <d v="2022-06-26T00:00:00"/>
    <n v="23.2"/>
    <n v="20.3"/>
    <n v="27.2"/>
    <n v="0.2"/>
    <s v="Normal"/>
    <s v="Normal"/>
    <s v="Normal"/>
    <s v="Normal"/>
    <x v="5"/>
    <s v="June"/>
  </r>
  <r>
    <d v="2022-06-27T00:00:00"/>
    <n v="23.7"/>
    <n v="20.100000000000001"/>
    <n v="28.3"/>
    <n v="0"/>
    <s v="Normal"/>
    <s v="Normal"/>
    <s v="Normal"/>
    <s v="Normal"/>
    <x v="5"/>
    <s v="June"/>
  </r>
  <r>
    <d v="2022-06-28T00:00:00"/>
    <n v="22.5"/>
    <n v="19.600000000000001"/>
    <n v="26.7"/>
    <n v="2.2000000000000002"/>
    <s v="Normal"/>
    <s v="Normal"/>
    <s v="Normal"/>
    <s v="Normal"/>
    <x v="5"/>
    <s v="June"/>
  </r>
  <r>
    <d v="2022-06-29T00:00:00"/>
    <n v="23.9"/>
    <n v="21.1"/>
    <n v="29.5"/>
    <n v="0"/>
    <s v="Normal"/>
    <s v="Normal"/>
    <s v="Normal"/>
    <s v="Normal"/>
    <x v="5"/>
    <s v="June"/>
  </r>
  <r>
    <d v="2022-06-30T00:00:00"/>
    <n v="23.2"/>
    <n v="20.5"/>
    <n v="29.5"/>
    <n v="5.8"/>
    <s v="Normal"/>
    <s v="Normal"/>
    <s v="Normal"/>
    <s v="Normal"/>
    <x v="5"/>
    <s v="June"/>
  </r>
  <r>
    <d v="2022-07-01T00:00:00"/>
    <n v="23.6"/>
    <n v="20.5"/>
    <n v="28.7"/>
    <n v="3.6"/>
    <s v="Normal"/>
    <s v="Normal"/>
    <s v="Normal"/>
    <s v="Normal"/>
    <x v="5"/>
    <s v="June"/>
  </r>
  <r>
    <d v="2022-07-02T00:00:00"/>
    <n v="24.1"/>
    <n v="20.9"/>
    <n v="28.7"/>
    <n v="0"/>
    <s v="Normal"/>
    <s v="Normal"/>
    <s v="Normal"/>
    <s v="Normal"/>
    <x v="5"/>
    <s v="July"/>
  </r>
  <r>
    <d v="2022-07-03T00:00:00"/>
    <n v="23.5"/>
    <n v="21.1"/>
    <n v="28.5"/>
    <n v="0"/>
    <s v="Normal"/>
    <s v="Normal"/>
    <s v="Normal"/>
    <s v="Normal"/>
    <x v="5"/>
    <s v="July"/>
  </r>
  <r>
    <d v="2022-07-04T00:00:00"/>
    <n v="22.5"/>
    <n v="20.2"/>
    <n v="27"/>
    <n v="0"/>
    <s v="Normal"/>
    <s v="Normal"/>
    <s v="Normal"/>
    <s v="Normal"/>
    <x v="5"/>
    <s v="July"/>
  </r>
  <r>
    <d v="2022-07-05T00:00:00"/>
    <n v="22.9"/>
    <n v="20.100000000000001"/>
    <n v="26.5"/>
    <n v="2"/>
    <s v="Normal"/>
    <s v="Normal"/>
    <s v="Normal"/>
    <s v="Normal"/>
    <x v="5"/>
    <s v="July"/>
  </r>
  <r>
    <d v="2022-07-06T00:00:00"/>
    <n v="22.1"/>
    <n v="20.6"/>
    <n v="26.5"/>
    <n v="0.3"/>
    <s v="Normal"/>
    <s v="Normal"/>
    <s v="Normal"/>
    <s v="Normal"/>
    <x v="5"/>
    <s v="July"/>
  </r>
  <r>
    <d v="2022-07-07T00:00:00"/>
    <n v="21.4"/>
    <n v="19.7"/>
    <n v="25"/>
    <n v="1"/>
    <s v="Normal"/>
    <s v="Normal"/>
    <s v="Normal"/>
    <s v="Normal"/>
    <x v="5"/>
    <s v="July"/>
  </r>
  <r>
    <d v="2022-07-08T00:00:00"/>
    <n v="21.4"/>
    <n v="19.7"/>
    <n v="25.5"/>
    <n v="6.1"/>
    <s v="Normal"/>
    <s v="Normal"/>
    <s v="Normal"/>
    <s v="Normal"/>
    <x v="5"/>
    <s v="July"/>
  </r>
  <r>
    <d v="2022-07-09T00:00:00"/>
    <n v="21.7"/>
    <n v="19.8"/>
    <n v="25.5"/>
    <n v="7.1"/>
    <s v="Normal"/>
    <s v="Normal"/>
    <s v="Normal"/>
    <s v="Normal"/>
    <x v="5"/>
    <s v="July"/>
  </r>
  <r>
    <d v="2022-07-10T00:00:00"/>
    <n v="22.4"/>
    <n v="20"/>
    <n v="26.2"/>
    <n v="15"/>
    <s v="Normal"/>
    <s v="Normal"/>
    <s v="Normal"/>
    <s v="Outlier"/>
    <x v="5"/>
    <s v="July"/>
  </r>
  <r>
    <d v="2022-07-11T00:00:00"/>
    <n v="21.7"/>
    <n v="20.2"/>
    <n v="26.2"/>
    <n v="0.8"/>
    <s v="Normal"/>
    <s v="Normal"/>
    <s v="Normal"/>
    <s v="Normal"/>
    <x v="5"/>
    <s v="July"/>
  </r>
  <r>
    <d v="2022-07-12T00:00:00"/>
    <n v="23.2"/>
    <n v="19.8"/>
    <n v="27.5"/>
    <n v="4.5999999999999996"/>
    <s v="Normal"/>
    <s v="Normal"/>
    <s v="Normal"/>
    <s v="Normal"/>
    <x v="5"/>
    <s v="July"/>
  </r>
  <r>
    <d v="2022-07-13T00:00:00"/>
    <n v="21.6"/>
    <n v="19.7"/>
    <n v="27.5"/>
    <n v="1"/>
    <s v="Normal"/>
    <s v="Normal"/>
    <s v="Normal"/>
    <s v="Normal"/>
    <x v="5"/>
    <s v="July"/>
  </r>
  <r>
    <d v="2022-07-14T00:00:00"/>
    <n v="21.2"/>
    <n v="19.5"/>
    <n v="24.3"/>
    <n v="2"/>
    <s v="Normal"/>
    <s v="Normal"/>
    <s v="Normal"/>
    <s v="Normal"/>
    <x v="5"/>
    <s v="July"/>
  </r>
  <r>
    <d v="2022-07-15T00:00:00"/>
    <n v="22.3"/>
    <n v="19.5"/>
    <n v="25.6"/>
    <n v="2.2999999999999998"/>
    <s v="Normal"/>
    <s v="Normal"/>
    <s v="Normal"/>
    <s v="Normal"/>
    <x v="5"/>
    <s v="July"/>
  </r>
  <r>
    <d v="2022-07-16T00:00:00"/>
    <n v="22"/>
    <n v="20.100000000000001"/>
    <n v="25.6"/>
    <n v="0.5"/>
    <s v="Normal"/>
    <s v="Normal"/>
    <s v="Normal"/>
    <s v="Normal"/>
    <x v="5"/>
    <s v="July"/>
  </r>
  <r>
    <d v="2022-07-17T00:00:00"/>
    <n v="23.2"/>
    <n v="20.2"/>
    <n v="25.3"/>
    <n v="0"/>
    <s v="Normal"/>
    <s v="Normal"/>
    <s v="Normal"/>
    <s v="Normal"/>
    <x v="5"/>
    <s v="July"/>
  </r>
  <r>
    <d v="2022-07-18T00:00:00"/>
    <n v="22.6"/>
    <n v="20.9"/>
    <n v="27.5"/>
    <n v="0.3"/>
    <s v="Normal"/>
    <s v="Normal"/>
    <s v="Normal"/>
    <s v="Normal"/>
    <x v="5"/>
    <s v="July"/>
  </r>
  <r>
    <d v="2022-07-19T00:00:00"/>
    <n v="24.7"/>
    <n v="20.100000000000001"/>
    <n v="29.6"/>
    <n v="0.3"/>
    <s v="Normal"/>
    <s v="Normal"/>
    <s v="Normal"/>
    <s v="Normal"/>
    <x v="5"/>
    <s v="July"/>
  </r>
  <r>
    <d v="2022-07-20T00:00:00"/>
    <n v="24.9"/>
    <n v="19.8"/>
    <n v="30.8"/>
    <n v="0"/>
    <s v="Normal"/>
    <s v="Normal"/>
    <s v="Normal"/>
    <s v="Normal"/>
    <x v="5"/>
    <s v="July"/>
  </r>
  <r>
    <d v="2022-07-21T00:00:00"/>
    <n v="23.7"/>
    <n v="20.5"/>
    <n v="30.8"/>
    <n v="82.5"/>
    <s v="Normal"/>
    <s v="Normal"/>
    <s v="Normal"/>
    <s v="Outlier"/>
    <x v="5"/>
    <s v="July"/>
  </r>
  <r>
    <d v="2022-07-22T00:00:00"/>
    <n v="23.2"/>
    <n v="21.1"/>
    <n v="27.9"/>
    <n v="0"/>
    <s v="Normal"/>
    <s v="Normal"/>
    <s v="Normal"/>
    <s v="Normal"/>
    <x v="5"/>
    <s v="July"/>
  </r>
  <r>
    <d v="2022-07-23T00:00:00"/>
    <n v="23.1"/>
    <n v="20.9"/>
    <n v="26.7"/>
    <n v="0"/>
    <s v="Normal"/>
    <s v="Normal"/>
    <s v="Normal"/>
    <s v="Normal"/>
    <x v="5"/>
    <s v="July"/>
  </r>
  <r>
    <d v="2022-07-24T00:00:00"/>
    <n v="22.8"/>
    <n v="20"/>
    <n v="26.7"/>
    <n v="0.3"/>
    <s v="Normal"/>
    <s v="Normal"/>
    <s v="Normal"/>
    <s v="Normal"/>
    <x v="5"/>
    <s v="July"/>
  </r>
  <r>
    <d v="2022-07-25T00:00:00"/>
    <n v="24.1"/>
    <n v="20.2"/>
    <n v="28.5"/>
    <n v="0.5"/>
    <s v="Normal"/>
    <s v="Normal"/>
    <s v="Normal"/>
    <s v="Normal"/>
    <x v="5"/>
    <s v="Jul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A0619F-DC23-4BF3-AD02-F4FB240FAD02}" name="PivotTable10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Q79:S86" firstHeaderRow="0" firstDataRow="1" firstDataCol="1"/>
  <pivotFields count="11">
    <pivotField numFmtId="14"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avg" fld="1" subtotal="average" baseField="9" baseItem="0"/>
    <dataField name="Sum of prcp" fld="4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6EC869-71B4-4E15-86C8-42A96D3B0055}" name="PivotTable9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Q60:S73" firstHeaderRow="0" firstDataRow="1" firstDataCol="1"/>
  <pivotFields count="11">
    <pivotField showAll="0"/>
    <pivotField dataField="1" showAll="0">
      <items count="93">
        <item x="88"/>
        <item x="82"/>
        <item x="83"/>
        <item x="62"/>
        <item x="84"/>
        <item x="89"/>
        <item x="79"/>
        <item x="85"/>
        <item x="80"/>
        <item x="87"/>
        <item x="72"/>
        <item x="86"/>
        <item x="63"/>
        <item x="71"/>
        <item x="81"/>
        <item x="78"/>
        <item x="77"/>
        <item x="58"/>
        <item x="76"/>
        <item x="61"/>
        <item x="70"/>
        <item x="60"/>
        <item x="69"/>
        <item x="1"/>
        <item x="59"/>
        <item x="2"/>
        <item x="50"/>
        <item x="36"/>
        <item x="56"/>
        <item x="57"/>
        <item x="54"/>
        <item x="3"/>
        <item x="48"/>
        <item x="49"/>
        <item x="55"/>
        <item x="28"/>
        <item x="46"/>
        <item x="0"/>
        <item x="35"/>
        <item x="53"/>
        <item x="43"/>
        <item x="4"/>
        <item x="38"/>
        <item x="33"/>
        <item x="42"/>
        <item x="39"/>
        <item x="37"/>
        <item x="44"/>
        <item x="41"/>
        <item x="47"/>
        <item x="40"/>
        <item x="52"/>
        <item x="29"/>
        <item x="31"/>
        <item x="34"/>
        <item x="9"/>
        <item x="45"/>
        <item x="10"/>
        <item x="51"/>
        <item x="30"/>
        <item x="6"/>
        <item x="14"/>
        <item x="32"/>
        <item x="65"/>
        <item x="23"/>
        <item x="26"/>
        <item x="5"/>
        <item x="68"/>
        <item x="27"/>
        <item x="64"/>
        <item x="15"/>
        <item x="7"/>
        <item x="16"/>
        <item x="22"/>
        <item x="24"/>
        <item x="25"/>
        <item x="8"/>
        <item x="11"/>
        <item x="73"/>
        <item x="75"/>
        <item x="20"/>
        <item x="67"/>
        <item x="12"/>
        <item x="74"/>
        <item x="21"/>
        <item x="66"/>
        <item x="19"/>
        <item x="13"/>
        <item x="17"/>
        <item x="18"/>
        <item x="90"/>
        <item h="1" x="91"/>
        <item t="default"/>
      </items>
    </pivotField>
    <pivotField showAll="0"/>
    <pivotField showAll="0"/>
    <pivotField dataField="1" showAll="0">
      <items count="184">
        <item x="0"/>
        <item x="132"/>
        <item x="131"/>
        <item x="1"/>
        <item x="128"/>
        <item x="5"/>
        <item x="146"/>
        <item x="140"/>
        <item x="19"/>
        <item x="147"/>
        <item x="7"/>
        <item x="174"/>
        <item x="8"/>
        <item x="151"/>
        <item x="26"/>
        <item x="149"/>
        <item x="133"/>
        <item x="10"/>
        <item x="60"/>
        <item x="137"/>
        <item x="180"/>
        <item x="23"/>
        <item x="167"/>
        <item x="11"/>
        <item x="143"/>
        <item x="102"/>
        <item x="80"/>
        <item x="38"/>
        <item x="168"/>
        <item x="4"/>
        <item x="164"/>
        <item x="22"/>
        <item x="142"/>
        <item x="30"/>
        <item x="134"/>
        <item x="76"/>
        <item x="83"/>
        <item x="135"/>
        <item x="71"/>
        <item x="162"/>
        <item x="25"/>
        <item x="36"/>
        <item x="72"/>
        <item x="154"/>
        <item x="9"/>
        <item x="87"/>
        <item x="47"/>
        <item x="112"/>
        <item x="81"/>
        <item x="176"/>
        <item x="120"/>
        <item x="129"/>
        <item x="90"/>
        <item x="35"/>
        <item x="136"/>
        <item x="2"/>
        <item x="153"/>
        <item x="20"/>
        <item x="163"/>
        <item x="66"/>
        <item x="130"/>
        <item x="52"/>
        <item x="27"/>
        <item x="122"/>
        <item x="12"/>
        <item x="178"/>
        <item x="24"/>
        <item x="161"/>
        <item x="79"/>
        <item x="29"/>
        <item x="39"/>
        <item x="101"/>
        <item x="86"/>
        <item x="69"/>
        <item x="28"/>
        <item x="82"/>
        <item x="175"/>
        <item x="145"/>
        <item x="16"/>
        <item x="37"/>
        <item x="65"/>
        <item x="169"/>
        <item x="68"/>
        <item x="78"/>
        <item x="85"/>
        <item x="58"/>
        <item x="6"/>
        <item x="54"/>
        <item x="46"/>
        <item x="31"/>
        <item x="95"/>
        <item x="50"/>
        <item x="105"/>
        <item x="75"/>
        <item x="158"/>
        <item x="56"/>
        <item x="98"/>
        <item x="70"/>
        <item x="89"/>
        <item x="13"/>
        <item x="100"/>
        <item x="118"/>
        <item x="96"/>
        <item x="103"/>
        <item x="138"/>
        <item x="44"/>
        <item x="109"/>
        <item x="61"/>
        <item x="127"/>
        <item x="21"/>
        <item x="108"/>
        <item x="104"/>
        <item x="117"/>
        <item x="77"/>
        <item x="92"/>
        <item x="141"/>
        <item x="34"/>
        <item x="159"/>
        <item x="93"/>
        <item x="15"/>
        <item x="121"/>
        <item x="107"/>
        <item x="114"/>
        <item x="33"/>
        <item x="106"/>
        <item x="67"/>
        <item x="41"/>
        <item x="177"/>
        <item x="84"/>
        <item x="157"/>
        <item x="171"/>
        <item x="43"/>
        <item x="115"/>
        <item x="63"/>
        <item x="74"/>
        <item x="97"/>
        <item x="116"/>
        <item x="3"/>
        <item x="111"/>
        <item x="99"/>
        <item x="170"/>
        <item x="156"/>
        <item x="110"/>
        <item x="73"/>
        <item x="119"/>
        <item x="18"/>
        <item x="64"/>
        <item x="14"/>
        <item x="88"/>
        <item x="160"/>
        <item x="40"/>
        <item x="179"/>
        <item x="150"/>
        <item x="55"/>
        <item x="59"/>
        <item x="94"/>
        <item x="113"/>
        <item x="125"/>
        <item x="165"/>
        <item x="144"/>
        <item x="91"/>
        <item x="152"/>
        <item x="172"/>
        <item x="51"/>
        <item x="53"/>
        <item x="45"/>
        <item x="148"/>
        <item x="123"/>
        <item x="155"/>
        <item x="124"/>
        <item x="139"/>
        <item x="49"/>
        <item x="126"/>
        <item x="62"/>
        <item x="48"/>
        <item x="42"/>
        <item x="166"/>
        <item x="57"/>
        <item x="181"/>
        <item x="17"/>
        <item x="173"/>
        <item x="32"/>
        <item h="1" x="18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5">
        <item x="1"/>
        <item x="12"/>
        <item x="2"/>
        <item x="3"/>
        <item x="4"/>
        <item x="5"/>
        <item x="6"/>
        <item x="7"/>
        <item x="8"/>
        <item x="9"/>
        <item x="10"/>
        <item x="11"/>
        <item h="1" x="0"/>
        <item h="1" x="13"/>
        <item t="default"/>
      </items>
    </pivotField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avg" fld="1" baseField="0" baseItem="0"/>
    <dataField name="Sum of prcp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1C2046-FAAF-495B-A8DA-8AD759BF23F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3:D9" firstHeaderRow="0" firstDataRow="1" firstDataCol="1"/>
  <pivotFields count="10">
    <pivotField numFmtId="14"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6">
        <item n="1" x="0"/>
        <item n="2" x="1"/>
        <item n="3" x="2"/>
        <item n="4" x="3"/>
        <item n="5" x="4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avg" fld="1" baseField="0" baseItem="0"/>
    <dataField name="Sum of prcp" fld="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A01C0C-C095-43DC-84FB-8C693BA7A41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3:C145" firstHeaderRow="0" firstDataRow="1" firstDataCol="1"/>
  <pivotFields count="10">
    <pivotField numFmtId="14"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2">
        <item n="6" x="0"/>
        <item t="default"/>
      </items>
    </pivotField>
  </pivotFields>
  <rowFields count="1">
    <field x="9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avg" fld="1" baseField="0" baseItem="0"/>
    <dataField name="Sum of prcp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91B869-E958-447C-A8C4-6E3BBE667CB4}" name="PivotTable2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1:C29" firstHeaderRow="0" firstDataRow="1" firstDataCol="1"/>
  <pivotFields count="11">
    <pivotField numFmtId="14"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avg" fld="1" baseField="0" baseItem="0"/>
    <dataField name="Sum of prcp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99BE2C-C18D-4FDF-AD68-A844CDC1C76E}" name="PivotTable2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6" firstHeaderRow="0" firstDataRow="1" firstDataCol="1"/>
  <pivotFields count="11">
    <pivotField numFmtId="14"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3">
        <item x="0"/>
        <item x="11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avg" fld="1" baseField="0" baseItem="0"/>
    <dataField name="Sum of prcp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700865-557A-4852-B29A-282726A29DDE}" name="Table1" displayName="Table1" ref="A1:K1326" totalsRowShown="0">
  <autoFilter ref="A1:K1326" xr:uid="{7F700865-557A-4852-B29A-282726A29DDE}">
    <filterColumn colId="5">
      <filters>
        <filter val="Normal"/>
      </filters>
    </filterColumn>
    <filterColumn colId="6">
      <filters>
        <filter val="Normal"/>
      </filters>
    </filterColumn>
    <filterColumn colId="7">
      <filters>
        <filter val="Normal"/>
      </filters>
    </filterColumn>
    <filterColumn colId="8">
      <filters>
        <filter val="Normal"/>
      </filters>
    </filterColumn>
  </autoFilter>
  <tableColumns count="11">
    <tableColumn id="1" xr3:uid="{543C9AA2-F75B-445F-98D1-8CC15A76B522}" name="time" dataDxfId="29"/>
    <tableColumn id="2" xr3:uid="{3AAFDAA2-8DCA-40F3-9DD4-AA5F8F1AB2C5}" name="tavg"/>
    <tableColumn id="3" xr3:uid="{3B427B10-4A0D-4F09-A6E5-E3BB832F643E}" name="tmin"/>
    <tableColumn id="4" xr3:uid="{500DE84E-7CAB-409F-A7DA-7E083B725C50}" name="tmax"/>
    <tableColumn id="5" xr3:uid="{925EDC5C-229F-40ED-BCDA-23064C9F4D88}" name="prcp"/>
    <tableColumn id="6" xr3:uid="{E44E1CAA-963A-4735-8D08-3509CED2EB7D}" name="is outlier B">
      <calculatedColumnFormula>IF(OR(B2&lt;outliers!$B$7,B2&gt;outliers!$B$6),"Outlier","Normal")</calculatedColumnFormula>
    </tableColumn>
    <tableColumn id="7" xr3:uid="{DA24802C-42C1-4B30-AFB7-0F3E3C7E31EA}" name="is outlier C">
      <calculatedColumnFormula>IF(OR(C2&lt;outliers!$B$14,C2&gt;outliers!$B$13),"Outlier","Normal")</calculatedColumnFormula>
    </tableColumn>
    <tableColumn id="8" xr3:uid="{DDCB5939-BC8B-48AD-B527-EB93D8C8F5CD}" name="is outlier D">
      <calculatedColumnFormula>IF(OR(D2&lt;outliers!$B$21,D2&gt;outliers!$B$20),"Outlier","Normal")</calculatedColumnFormula>
    </tableColumn>
    <tableColumn id="9" xr3:uid="{939C463B-4E1D-4414-9D70-B593F0E1DF3B}" name="is outlier E">
      <calculatedColumnFormula>IF(OR(E2&lt;outliers!$C$28,E2&gt;outliers!$B$27),"Outlier","Normal")</calculatedColumnFormula>
    </tableColumn>
    <tableColumn id="10" xr3:uid="{334BDAE9-6C3E-43ED-B020-2438D6E2B570}" name="Year">
      <calculatedColumnFormula>YEAR(A2)</calculatedColumnFormula>
    </tableColumn>
    <tableColumn id="11" xr3:uid="{355E992C-6EA8-4E3F-ADC9-054F1F911489}" name="Month" dataDxfId="0">
      <calculatedColumnFormula>TEXT(A1,"mmmm")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7738F9-E3FC-4323-B857-5E03644CDCE4}" name="Table4" displayName="Table4" ref="A2:K140" totalsRowShown="0" headerRowDxfId="42" dataDxfId="41" tableBorderDxfId="40">
  <autoFilter ref="A2:K140" xr:uid="{D07738F9-E3FC-4323-B857-5E03644CDCE4}"/>
  <tableColumns count="11">
    <tableColumn id="1" xr3:uid="{3F7A2FA1-56D2-4ABB-ABFD-B133F36057D1}" name="time" dataDxfId="39"/>
    <tableColumn id="2" xr3:uid="{D4F0B790-AC9D-4F74-B8E3-EC9318A242CB}" name="tavg" dataDxfId="38"/>
    <tableColumn id="3" xr3:uid="{71792518-0061-479E-A125-D19209124B6E}" name="tmin" dataDxfId="37"/>
    <tableColumn id="4" xr3:uid="{F161384D-4CB7-4648-9211-4329E225B977}" name="tmax" dataDxfId="36"/>
    <tableColumn id="5" xr3:uid="{26898E2D-F366-4252-A0FB-D4463A70C1CE}" name="prcp" dataDxfId="35"/>
    <tableColumn id="6" xr3:uid="{3F3E81D6-7026-435F-8466-17A0F2986C1B}" name="is outlier B" dataDxfId="34"/>
    <tableColumn id="7" xr3:uid="{DC3B2320-B9BF-48DA-BA0E-34EAC01C9FD9}" name="is outlier C" dataDxfId="33"/>
    <tableColumn id="8" xr3:uid="{B8999DDB-7201-4DF2-9D1C-C0042863EFDE}" name="is outlier D" dataDxfId="32"/>
    <tableColumn id="9" xr3:uid="{83D07C9F-66C3-40C3-BADB-15558FAD3681}" name="is outlier E" dataDxfId="31"/>
    <tableColumn id="10" xr3:uid="{BF227F6F-E3F3-4F74-BFCC-B1F6254130B7}" name="Year" dataDxfId="30"/>
    <tableColumn id="11" xr3:uid="{E2A9CCAA-1552-42C1-9E31-E6764228A4B5}" name="MONTH">
      <calculatedColumnFormula>MONTH(A3)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D336BF-3E5B-48CD-B0B4-774C6D39992A}" name="Table2" displayName="Table2" ref="A3:K1122" totalsRowShown="0" headerRowDxfId="28" dataDxfId="27" tableBorderDxfId="26">
  <autoFilter ref="A3:K1122" xr:uid="{66D336BF-3E5B-48CD-B0B4-774C6D39992A}">
    <filterColumn colId="5">
      <filters>
        <filter val="Normal"/>
      </filters>
    </filterColumn>
    <filterColumn colId="6">
      <filters>
        <filter val="Normal"/>
      </filters>
    </filterColumn>
    <filterColumn colId="7">
      <filters>
        <filter val="Normal"/>
      </filters>
    </filterColumn>
    <filterColumn colId="8">
      <filters>
        <filter val="Normal"/>
      </filters>
    </filterColumn>
  </autoFilter>
  <tableColumns count="11">
    <tableColumn id="1" xr3:uid="{E758DB42-CAA4-4291-88AE-A50C1E901552}" name="time" dataDxfId="25"/>
    <tableColumn id="2" xr3:uid="{32CD6092-447D-454E-8A9D-33171B575A75}" name="tavg" dataDxfId="24"/>
    <tableColumn id="3" xr3:uid="{84DE4B6F-1A4A-41A6-ADDA-7385226CDC3B}" name="tmin" dataDxfId="23"/>
    <tableColumn id="4" xr3:uid="{99FC2FA6-7C8A-4CE1-98A7-4F5E6FC853F8}" name="tmax" dataDxfId="22"/>
    <tableColumn id="5" xr3:uid="{BBC32D39-5A0C-410E-90CE-33E40CD35699}" name="prcp" dataDxfId="21"/>
    <tableColumn id="6" xr3:uid="{1EDF4443-80C8-446B-BCE8-BAFE425B90B7}" name="is outlier B" dataDxfId="20">
      <calculatedColumnFormula>IF(OR(B4&lt;outliers!$B$7,B4&gt;outliers!$B$6),"Outlier","Normal")</calculatedColumnFormula>
    </tableColumn>
    <tableColumn id="7" xr3:uid="{8B55AF8A-5965-4EF0-9F38-F50A9378F0F6}" name="is outlier C" dataDxfId="19">
      <calculatedColumnFormula>IF(OR(C4&lt;outliers!$B$14,C4&gt;outliers!$B$13),"Outlier","Normal")</calculatedColumnFormula>
    </tableColumn>
    <tableColumn id="8" xr3:uid="{0DA420A8-26EF-4E8C-AF1C-4043435EC58F}" name="is outlier D" dataDxfId="18">
      <calculatedColumnFormula>IF(OR(D4&lt;outliers!$B$21,D4&gt;outliers!$B$20),"Outlier","Normal")</calculatedColumnFormula>
    </tableColumn>
    <tableColumn id="9" xr3:uid="{22B9CC4C-699A-442C-BBA9-7A574772B5ED}" name="is outlier E" dataDxfId="17">
      <calculatedColumnFormula>IF(OR(E4&lt;outliers!$C$28,E4&gt;outliers!$B$27),"Outlier","Normal")</calculatedColumnFormula>
    </tableColumn>
    <tableColumn id="10" xr3:uid="{7BF6FA78-CD76-4FA1-A279-C24A122F042B}" name="month" dataDxfId="16">
      <calculatedColumnFormula>YEAR(A4)</calculatedColumnFormula>
    </tableColumn>
    <tableColumn id="11" xr3:uid="{E08886CF-61F9-4525-9EE5-2615160D0DC3}" name="month2" dataDxfId="15">
      <calculatedColumnFormula>MONTH(A4)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EA1E82-31C2-444E-8888-6B067DFD3793}" name="Table3" displayName="Table3" ref="A2:K886" totalsRowShown="0" headerRowDxfId="14" dataDxfId="13" tableBorderDxfId="12">
  <autoFilter ref="A2:K886" xr:uid="{85EA1E82-31C2-444E-8888-6B067DFD3793}"/>
  <tableColumns count="11">
    <tableColumn id="1" xr3:uid="{F9D569F1-2AE9-4189-9247-A91585B3CA9A}" name="time" dataDxfId="11"/>
    <tableColumn id="2" xr3:uid="{08C7471C-A5E2-4B1D-AF90-EB0A937CFDEA}" name="tavg" dataDxfId="10"/>
    <tableColumn id="3" xr3:uid="{40A4EC5E-AEAF-408E-89B9-BE810056A38C}" name="tmin" dataDxfId="9"/>
    <tableColumn id="4" xr3:uid="{006A4081-51B6-4692-95FB-D3A61BC0D752}" name="tmax" dataDxfId="8"/>
    <tableColumn id="5" xr3:uid="{82FA986A-220F-4D87-8C16-60B1885F02F8}" name="prcp" dataDxfId="7"/>
    <tableColumn id="6" xr3:uid="{26211438-8E0F-42E9-8BA2-830F04346238}" name="is outlier B" dataDxfId="6"/>
    <tableColumn id="7" xr3:uid="{E87DF151-60C0-4BC3-A0FE-373916E2E189}" name="is outlier C" dataDxfId="5"/>
    <tableColumn id="8" xr3:uid="{4AAD5BA7-EB08-4522-BC64-1A7FEF6865FC}" name="is outlier D" dataDxfId="4"/>
    <tableColumn id="9" xr3:uid="{478735CB-6977-494E-BDDF-A296E90023E0}" name="is outlier E" dataDxfId="3"/>
    <tableColumn id="10" xr3:uid="{9AA05B75-631D-4287-8E8E-8A73CC4D4E8D}" name="year" dataDxfId="2"/>
    <tableColumn id="11" xr3:uid="{72CE87E1-C0A8-4F6C-9CA9-59D8723E7318}" name="month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8CC98-66C2-4EB4-8F94-994FC1711B13}">
  <dimension ref="A1:S1326"/>
  <sheetViews>
    <sheetView tabSelected="1" topLeftCell="P66" zoomScale="95" workbookViewId="0">
      <selection activeCell="S97" sqref="S97"/>
    </sheetView>
  </sheetViews>
  <sheetFormatPr defaultRowHeight="14.5" x14ac:dyDescent="0.35"/>
  <cols>
    <col min="1" max="1" width="12.36328125" customWidth="1"/>
    <col min="6" max="7" width="11.453125" customWidth="1"/>
    <col min="8" max="8" width="11.54296875" customWidth="1"/>
    <col min="9" max="9" width="11.36328125" customWidth="1"/>
    <col min="11" max="11" width="10.26953125" bestFit="1" customWidth="1"/>
    <col min="17" max="17" width="13.90625" bestFit="1" customWidth="1"/>
    <col min="18" max="18" width="14.26953125" bestFit="1" customWidth="1"/>
    <col min="19" max="19" width="11" bestFit="1" customWidth="1"/>
  </cols>
  <sheetData>
    <row r="1" spans="1:11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45</v>
      </c>
    </row>
    <row r="2" spans="1:11" hidden="1" x14ac:dyDescent="0.35">
      <c r="A2" s="1">
        <v>42757</v>
      </c>
      <c r="B2">
        <v>23.3</v>
      </c>
      <c r="C2">
        <v>16.8</v>
      </c>
      <c r="D2">
        <v>29.1</v>
      </c>
      <c r="E2">
        <v>0</v>
      </c>
      <c r="F2" t="str">
        <f>IF(OR(B2&lt;outliers!$B$7,B2&gt;outliers!$B$6),"Outlier","Normal")</f>
        <v>Normal</v>
      </c>
      <c r="G2" t="str">
        <f>IF(OR(C2&lt;outliers!$B$14,C2&gt;outliers!$B$13),"Outlier","Normal")</f>
        <v>Outlier</v>
      </c>
      <c r="H2" t="str">
        <f>IF(OR(D2&lt;outliers!$B$21,D2&gt;outliers!$B$20),"Outlier","Normal")</f>
        <v>Normal</v>
      </c>
      <c r="I2" t="str">
        <f>IF(OR(E2&lt;outliers!$C$28,E2&gt;outliers!$B$27),"Outlier","Normal")</f>
        <v>Normal</v>
      </c>
      <c r="J2">
        <f>YEAR(A2)</f>
        <v>2017</v>
      </c>
      <c r="K2" t="str">
        <f t="shared" ref="K2:K65" si="0">TEXT(A1,"mmmm")</f>
        <v>time</v>
      </c>
    </row>
    <row r="3" spans="1:11" x14ac:dyDescent="0.35">
      <c r="A3" s="1">
        <v>42761</v>
      </c>
      <c r="B3">
        <v>21.9</v>
      </c>
      <c r="C3">
        <v>18.3</v>
      </c>
      <c r="D3">
        <v>29.2</v>
      </c>
      <c r="E3">
        <v>0</v>
      </c>
      <c r="F3" t="str">
        <f>IF(OR(B3&lt;outliers!$B$7,B3&gt;outliers!$B$6),"Outlier","Normal")</f>
        <v>Normal</v>
      </c>
      <c r="G3" t="str">
        <f>IF(OR(C3&lt;outliers!$B$14,C3&gt;outliers!$B$13),"Outlier","Normal")</f>
        <v>Normal</v>
      </c>
      <c r="H3" t="str">
        <f>IF(OR(D3&lt;outliers!$B$21,D3&gt;outliers!$B$20),"Outlier","Normal")</f>
        <v>Normal</v>
      </c>
      <c r="I3" t="str">
        <f>IF(OR(E3&lt;outliers!$C$28,E3&gt;outliers!$B$27),"Outlier","Normal")</f>
        <v>Normal</v>
      </c>
      <c r="J3">
        <f t="shared" ref="J3:J14" si="1">YEAR(A3)</f>
        <v>2017</v>
      </c>
      <c r="K3" t="str">
        <f>TEXT(A2,"mmmm")</f>
        <v>January</v>
      </c>
    </row>
    <row r="4" spans="1:11" x14ac:dyDescent="0.35">
      <c r="A4" s="1">
        <v>42762</v>
      </c>
      <c r="B4">
        <v>22.1</v>
      </c>
      <c r="C4">
        <v>19.7</v>
      </c>
      <c r="D4">
        <v>26</v>
      </c>
      <c r="E4">
        <v>0.3</v>
      </c>
      <c r="F4" t="str">
        <f>IF(OR(B4&lt;outliers!$B$7,B4&gt;outliers!$B$6),"Outlier","Normal")</f>
        <v>Normal</v>
      </c>
      <c r="G4" t="str">
        <f>IF(OR(C4&lt;outliers!$B$14,C4&gt;outliers!$B$13),"Outlier","Normal")</f>
        <v>Normal</v>
      </c>
      <c r="H4" t="str">
        <f>IF(OR(D4&lt;outliers!$B$21,D4&gt;outliers!$B$20),"Outlier","Normal")</f>
        <v>Normal</v>
      </c>
      <c r="I4" t="str">
        <f>IF(OR(E4&lt;outliers!$C$28,E4&gt;outliers!$B$27),"Outlier","Normal")</f>
        <v>Normal</v>
      </c>
      <c r="J4">
        <f t="shared" si="1"/>
        <v>2017</v>
      </c>
      <c r="K4" t="str">
        <f t="shared" si="0"/>
        <v>January</v>
      </c>
    </row>
    <row r="5" spans="1:11" x14ac:dyDescent="0.35">
      <c r="A5" s="1">
        <v>42763</v>
      </c>
      <c r="B5">
        <v>22.7</v>
      </c>
      <c r="C5">
        <v>20</v>
      </c>
      <c r="D5">
        <v>26.7</v>
      </c>
      <c r="E5">
        <v>0</v>
      </c>
      <c r="F5" t="str">
        <f>IF(OR(B5&lt;outliers!$B$7,B5&gt;outliers!$B$6),"Outlier","Normal")</f>
        <v>Normal</v>
      </c>
      <c r="G5" t="str">
        <f>IF(OR(C5&lt;outliers!$B$14,C5&gt;outliers!$B$13),"Outlier","Normal")</f>
        <v>Normal</v>
      </c>
      <c r="H5" t="str">
        <f>IF(OR(D5&lt;outliers!$B$21,D5&gt;outliers!$B$20),"Outlier","Normal")</f>
        <v>Normal</v>
      </c>
      <c r="I5" t="str">
        <f>IF(OR(E5&lt;outliers!$C$28,E5&gt;outliers!$B$27),"Outlier","Normal")</f>
        <v>Normal</v>
      </c>
      <c r="J5">
        <f t="shared" si="1"/>
        <v>2017</v>
      </c>
      <c r="K5" t="str">
        <f t="shared" si="0"/>
        <v>January</v>
      </c>
    </row>
    <row r="6" spans="1:11" x14ac:dyDescent="0.35">
      <c r="A6" s="1">
        <v>42764</v>
      </c>
      <c r="B6">
        <v>23.7</v>
      </c>
      <c r="C6">
        <v>19.2</v>
      </c>
      <c r="D6">
        <v>29</v>
      </c>
      <c r="E6">
        <v>0</v>
      </c>
      <c r="F6" t="str">
        <f>IF(OR(B6&lt;outliers!$B$7,B6&gt;outliers!$B$6),"Outlier","Normal")</f>
        <v>Normal</v>
      </c>
      <c r="G6" t="str">
        <f>IF(OR(C6&lt;outliers!$B$14,C6&gt;outliers!$B$13),"Outlier","Normal")</f>
        <v>Normal</v>
      </c>
      <c r="H6" t="str">
        <f>IF(OR(D6&lt;outliers!$B$21,D6&gt;outliers!$B$20),"Outlier","Normal")</f>
        <v>Normal</v>
      </c>
      <c r="I6" t="str">
        <f>IF(OR(E6&lt;outliers!$C$28,E6&gt;outliers!$B$27),"Outlier","Normal")</f>
        <v>Normal</v>
      </c>
      <c r="J6">
        <f t="shared" si="1"/>
        <v>2017</v>
      </c>
      <c r="K6" t="str">
        <f t="shared" si="0"/>
        <v>January</v>
      </c>
    </row>
    <row r="7" spans="1:11" x14ac:dyDescent="0.35">
      <c r="A7" s="1">
        <v>42801</v>
      </c>
      <c r="B7">
        <v>26.2</v>
      </c>
      <c r="C7">
        <v>21.5</v>
      </c>
      <c r="D7">
        <v>33.1</v>
      </c>
      <c r="E7">
        <v>8.4</v>
      </c>
      <c r="F7" t="str">
        <f>IF(OR(B7&lt;outliers!$B$7,B7&gt;outliers!$B$6),"Outlier","Normal")</f>
        <v>Normal</v>
      </c>
      <c r="G7" t="str">
        <f>IF(OR(C7&lt;outliers!$B$14,C7&gt;outliers!$B$13),"Outlier","Normal")</f>
        <v>Normal</v>
      </c>
      <c r="H7" t="str">
        <f>IF(OR(D7&lt;outliers!$B$21,D7&gt;outliers!$B$20),"Outlier","Normal")</f>
        <v>Normal</v>
      </c>
      <c r="I7" t="str">
        <f>IF(OR(E7&lt;outliers!$C$28,E7&gt;outliers!$B$27),"Outlier","Normal")</f>
        <v>Normal</v>
      </c>
      <c r="J7">
        <f t="shared" si="1"/>
        <v>2017</v>
      </c>
      <c r="K7" t="str">
        <f t="shared" si="0"/>
        <v>January</v>
      </c>
    </row>
    <row r="8" spans="1:11" hidden="1" x14ac:dyDescent="0.35">
      <c r="A8" s="1">
        <v>42802</v>
      </c>
      <c r="B8">
        <v>25.6</v>
      </c>
      <c r="C8">
        <v>21.1</v>
      </c>
      <c r="D8">
        <v>33.799999999999997</v>
      </c>
      <c r="E8">
        <v>36.799999999999997</v>
      </c>
      <c r="F8" t="str">
        <f>IF(OR(B8&lt;outliers!$B$7,B8&gt;outliers!$B$6),"Outlier","Normal")</f>
        <v>Normal</v>
      </c>
      <c r="G8" t="str">
        <f>IF(OR(C8&lt;outliers!$B$14,C8&gt;outliers!$B$13),"Outlier","Normal")</f>
        <v>Normal</v>
      </c>
      <c r="H8" t="str">
        <f>IF(OR(D8&lt;outliers!$B$21,D8&gt;outliers!$B$20),"Outlier","Normal")</f>
        <v>Normal</v>
      </c>
      <c r="I8" t="str">
        <f>IF(OR(E8&lt;outliers!$C$28,E8&gt;outliers!$B$27),"Outlier","Normal")</f>
        <v>Outlier</v>
      </c>
      <c r="J8">
        <f t="shared" si="1"/>
        <v>2017</v>
      </c>
      <c r="K8" t="str">
        <f t="shared" si="0"/>
        <v>March</v>
      </c>
    </row>
    <row r="9" spans="1:11" x14ac:dyDescent="0.35">
      <c r="A9" s="1">
        <v>42803</v>
      </c>
      <c r="B9">
        <v>26.7</v>
      </c>
      <c r="C9">
        <v>21.2</v>
      </c>
      <c r="D9">
        <v>32.1</v>
      </c>
      <c r="E9">
        <v>0</v>
      </c>
      <c r="F9" t="str">
        <f>IF(OR(B9&lt;outliers!$B$7,B9&gt;outliers!$B$6),"Outlier","Normal")</f>
        <v>Normal</v>
      </c>
      <c r="G9" t="str">
        <f>IF(OR(C9&lt;outliers!$B$14,C9&gt;outliers!$B$13),"Outlier","Normal")</f>
        <v>Normal</v>
      </c>
      <c r="H9" t="str">
        <f>IF(OR(D9&lt;outliers!$B$21,D9&gt;outliers!$B$20),"Outlier","Normal")</f>
        <v>Normal</v>
      </c>
      <c r="I9" t="str">
        <f>IF(OR(E9&lt;outliers!$C$28,E9&gt;outliers!$B$27),"Outlier","Normal")</f>
        <v>Normal</v>
      </c>
      <c r="J9">
        <f t="shared" si="1"/>
        <v>2017</v>
      </c>
      <c r="K9" t="str">
        <f t="shared" si="0"/>
        <v>March</v>
      </c>
    </row>
    <row r="10" spans="1:11" x14ac:dyDescent="0.35">
      <c r="A10" s="1">
        <v>42805</v>
      </c>
      <c r="B10">
        <v>27.2</v>
      </c>
      <c r="C10">
        <v>21</v>
      </c>
      <c r="D10">
        <v>33.5</v>
      </c>
      <c r="E10">
        <v>0</v>
      </c>
      <c r="F10" t="str">
        <f>IF(OR(B10&lt;outliers!$B$7,B10&gt;outliers!$B$6),"Outlier","Normal")</f>
        <v>Normal</v>
      </c>
      <c r="G10" t="str">
        <f>IF(OR(C10&lt;outliers!$B$14,C10&gt;outliers!$B$13),"Outlier","Normal")</f>
        <v>Normal</v>
      </c>
      <c r="H10" t="str">
        <f>IF(OR(D10&lt;outliers!$B$21,D10&gt;outliers!$B$20),"Outlier","Normal")</f>
        <v>Normal</v>
      </c>
      <c r="I10" t="str">
        <f>IF(OR(E10&lt;outliers!$C$28,E10&gt;outliers!$B$27),"Outlier","Normal")</f>
        <v>Normal</v>
      </c>
      <c r="J10">
        <f t="shared" si="1"/>
        <v>2017</v>
      </c>
      <c r="K10" t="str">
        <f t="shared" si="0"/>
        <v>March</v>
      </c>
    </row>
    <row r="11" spans="1:11" x14ac:dyDescent="0.35">
      <c r="A11" s="1">
        <v>42808</v>
      </c>
      <c r="B11">
        <v>25.1</v>
      </c>
      <c r="C11">
        <v>22</v>
      </c>
      <c r="D11">
        <v>34</v>
      </c>
      <c r="E11">
        <v>0</v>
      </c>
      <c r="F11" t="str">
        <f>IF(OR(B11&lt;outliers!$B$7,B11&gt;outliers!$B$6),"Outlier","Normal")</f>
        <v>Normal</v>
      </c>
      <c r="G11" t="str">
        <f>IF(OR(C11&lt;outliers!$B$14,C11&gt;outliers!$B$13),"Outlier","Normal")</f>
        <v>Normal</v>
      </c>
      <c r="H11" t="str">
        <f>IF(OR(D11&lt;outliers!$B$21,D11&gt;outliers!$B$20),"Outlier","Normal")</f>
        <v>Normal</v>
      </c>
      <c r="I11" t="str">
        <f>IF(OR(E11&lt;outliers!$C$28,E11&gt;outliers!$B$27),"Outlier","Normal")</f>
        <v>Normal</v>
      </c>
      <c r="J11">
        <f t="shared" si="1"/>
        <v>2017</v>
      </c>
      <c r="K11" t="str">
        <f t="shared" si="0"/>
        <v>March</v>
      </c>
    </row>
    <row r="12" spans="1:11" x14ac:dyDescent="0.35">
      <c r="A12" s="1">
        <v>42809</v>
      </c>
      <c r="B12">
        <v>25.3</v>
      </c>
      <c r="C12">
        <v>20.8</v>
      </c>
      <c r="D12">
        <v>30.4</v>
      </c>
      <c r="E12">
        <v>0</v>
      </c>
      <c r="F12" t="str">
        <f>IF(OR(B12&lt;outliers!$B$7,B12&gt;outliers!$B$6),"Outlier","Normal")</f>
        <v>Normal</v>
      </c>
      <c r="G12" t="str">
        <f>IF(OR(C12&lt;outliers!$B$14,C12&gt;outliers!$B$13),"Outlier","Normal")</f>
        <v>Normal</v>
      </c>
      <c r="H12" t="str">
        <f>IF(OR(D12&lt;outliers!$B$21,D12&gt;outliers!$B$20),"Outlier","Normal")</f>
        <v>Normal</v>
      </c>
      <c r="I12" t="str">
        <f>IF(OR(E12&lt;outliers!$C$28,E12&gt;outliers!$B$27),"Outlier","Normal")</f>
        <v>Normal</v>
      </c>
      <c r="J12">
        <f t="shared" si="1"/>
        <v>2017</v>
      </c>
      <c r="K12" t="str">
        <f t="shared" si="0"/>
        <v>March</v>
      </c>
    </row>
    <row r="13" spans="1:11" x14ac:dyDescent="0.35">
      <c r="A13" s="1">
        <v>42830</v>
      </c>
      <c r="B13">
        <v>27.3</v>
      </c>
      <c r="C13">
        <v>21.2</v>
      </c>
      <c r="D13">
        <v>36.1</v>
      </c>
      <c r="E13">
        <v>0</v>
      </c>
      <c r="F13" t="str">
        <f>IF(OR(B13&lt;outliers!$B$7,B13&gt;outliers!$B$6),"Outlier","Normal")</f>
        <v>Normal</v>
      </c>
      <c r="G13" t="str">
        <f>IF(OR(C13&lt;outliers!$B$14,C13&gt;outliers!$B$13),"Outlier","Normal")</f>
        <v>Normal</v>
      </c>
      <c r="H13" t="str">
        <f>IF(OR(D13&lt;outliers!$B$21,D13&gt;outliers!$B$20),"Outlier","Normal")</f>
        <v>Normal</v>
      </c>
      <c r="I13" t="str">
        <f>IF(OR(E13&lt;outliers!$C$28,E13&gt;outliers!$B$27),"Outlier","Normal")</f>
        <v>Normal</v>
      </c>
      <c r="J13">
        <f t="shared" si="1"/>
        <v>2017</v>
      </c>
      <c r="K13" t="str">
        <f t="shared" si="0"/>
        <v>March</v>
      </c>
    </row>
    <row r="14" spans="1:11" x14ac:dyDescent="0.35">
      <c r="A14" s="1">
        <v>42831</v>
      </c>
      <c r="B14">
        <v>27.8</v>
      </c>
      <c r="C14">
        <v>22.4</v>
      </c>
      <c r="D14">
        <v>35.5</v>
      </c>
      <c r="E14">
        <v>3.6</v>
      </c>
      <c r="F14" t="str">
        <f>IF(OR(B14&lt;outliers!$B$7,B14&gt;outliers!$B$6),"Outlier","Normal")</f>
        <v>Normal</v>
      </c>
      <c r="G14" t="str">
        <f>IF(OR(C14&lt;outliers!$B$14,C14&gt;outliers!$B$13),"Outlier","Normal")</f>
        <v>Normal</v>
      </c>
      <c r="H14" t="str">
        <f>IF(OR(D14&lt;outliers!$B$21,D14&gt;outliers!$B$20),"Outlier","Normal")</f>
        <v>Normal</v>
      </c>
      <c r="I14" t="str">
        <f>IF(OR(E14&lt;outliers!$C$28,E14&gt;outliers!$B$27),"Outlier","Normal")</f>
        <v>Normal</v>
      </c>
      <c r="J14">
        <f t="shared" si="1"/>
        <v>2017</v>
      </c>
      <c r="K14" t="str">
        <f t="shared" si="0"/>
        <v>April</v>
      </c>
    </row>
    <row r="15" spans="1:11" hidden="1" x14ac:dyDescent="0.35">
      <c r="A15" s="1">
        <v>42832</v>
      </c>
      <c r="B15">
        <v>28.5</v>
      </c>
      <c r="C15">
        <v>22.5</v>
      </c>
      <c r="D15">
        <v>35.5</v>
      </c>
      <c r="E15">
        <v>0.5</v>
      </c>
      <c r="F15" t="str">
        <f>IF(OR(B15&lt;outliers!$B$7,B15&gt;outliers!$B$6),"Outlier","Normal")</f>
        <v>Outlier</v>
      </c>
      <c r="G15" t="str">
        <f>IF(OR(C15&lt;outliers!$B$14,C15&gt;outliers!$B$13),"Outlier","Normal")</f>
        <v>Normal</v>
      </c>
      <c r="H15" t="str">
        <f>IF(OR(D15&lt;outliers!$B$21,D15&gt;outliers!$B$20),"Outlier","Normal")</f>
        <v>Normal</v>
      </c>
      <c r="I15" t="str">
        <f>IF(OR(E15&lt;outliers!$C$28,E15&gt;outliers!$B$27),"Outlier","Normal")</f>
        <v>Normal</v>
      </c>
      <c r="J15">
        <f>YEAR(A15)</f>
        <v>2017</v>
      </c>
      <c r="K15" t="str">
        <f t="shared" si="0"/>
        <v>April</v>
      </c>
    </row>
    <row r="16" spans="1:11" x14ac:dyDescent="0.35">
      <c r="A16" s="1">
        <v>42842</v>
      </c>
      <c r="B16">
        <v>25.7</v>
      </c>
      <c r="C16">
        <v>22.2</v>
      </c>
      <c r="D16">
        <v>36.200000000000003</v>
      </c>
      <c r="E16">
        <v>0.5</v>
      </c>
      <c r="F16" t="str">
        <f>IF(OR(B16&lt;outliers!$B$7,B16&gt;outliers!$B$6),"Outlier","Normal")</f>
        <v>Normal</v>
      </c>
      <c r="G16" t="str">
        <f>IF(OR(C16&lt;outliers!$B$14,C16&gt;outliers!$B$13),"Outlier","Normal")</f>
        <v>Normal</v>
      </c>
      <c r="H16" t="str">
        <f>IF(OR(D16&lt;outliers!$B$21,D16&gt;outliers!$B$20),"Outlier","Normal")</f>
        <v>Normal</v>
      </c>
      <c r="I16" t="str">
        <f>IF(OR(E16&lt;outliers!$C$28,E16&gt;outliers!$B$27),"Outlier","Normal")</f>
        <v>Normal</v>
      </c>
      <c r="J16">
        <f>YEAR(A16)</f>
        <v>2017</v>
      </c>
      <c r="K16" t="str">
        <f t="shared" si="0"/>
        <v>April</v>
      </c>
    </row>
    <row r="17" spans="1:11" hidden="1" x14ac:dyDescent="0.35">
      <c r="A17" s="1">
        <v>42843</v>
      </c>
      <c r="B17">
        <v>28.5</v>
      </c>
      <c r="C17">
        <v>20.6</v>
      </c>
      <c r="D17">
        <v>35</v>
      </c>
      <c r="E17">
        <v>15</v>
      </c>
      <c r="F17" t="str">
        <f>IF(OR(B17&lt;outliers!$B$7,B17&gt;outliers!$B$6),"Outlier","Normal")</f>
        <v>Outlier</v>
      </c>
      <c r="G17" t="str">
        <f>IF(OR(C17&lt;outliers!$B$14,C17&gt;outliers!$B$13),"Outlier","Normal")</f>
        <v>Normal</v>
      </c>
      <c r="H17" t="str">
        <f>IF(OR(D17&lt;outliers!$B$21,D17&gt;outliers!$B$20),"Outlier","Normal")</f>
        <v>Normal</v>
      </c>
      <c r="I17" t="str">
        <f>IF(OR(E17&lt;outliers!$C$28,E17&gt;outliers!$B$27),"Outlier","Normal")</f>
        <v>Outlier</v>
      </c>
      <c r="J17">
        <f t="shared" ref="J17:J80" si="2">YEAR(A17)</f>
        <v>2017</v>
      </c>
      <c r="K17" t="str">
        <f t="shared" si="0"/>
        <v>April</v>
      </c>
    </row>
    <row r="18" spans="1:11" x14ac:dyDescent="0.35">
      <c r="A18" s="1">
        <v>42845</v>
      </c>
      <c r="B18">
        <v>26.6</v>
      </c>
      <c r="C18">
        <v>22.8</v>
      </c>
      <c r="D18">
        <v>35.700000000000003</v>
      </c>
      <c r="E18">
        <v>0.3</v>
      </c>
      <c r="F18" t="str">
        <f>IF(OR(B18&lt;outliers!$B$7,B18&gt;outliers!$B$6),"Outlier","Normal")</f>
        <v>Normal</v>
      </c>
      <c r="G18" t="str">
        <f>IF(OR(C18&lt;outliers!$B$14,C18&gt;outliers!$B$13),"Outlier","Normal")</f>
        <v>Normal</v>
      </c>
      <c r="H18" t="str">
        <f>IF(OR(D18&lt;outliers!$B$21,D18&gt;outliers!$B$20),"Outlier","Normal")</f>
        <v>Normal</v>
      </c>
      <c r="I18" t="str">
        <f>IF(OR(E18&lt;outliers!$C$28,E18&gt;outliers!$B$27),"Outlier","Normal")</f>
        <v>Normal</v>
      </c>
      <c r="J18">
        <f t="shared" si="2"/>
        <v>2017</v>
      </c>
      <c r="K18" t="str">
        <f t="shared" si="0"/>
        <v>April</v>
      </c>
    </row>
    <row r="19" spans="1:11" x14ac:dyDescent="0.35">
      <c r="A19" s="1">
        <v>42846</v>
      </c>
      <c r="B19">
        <v>26.8</v>
      </c>
      <c r="C19">
        <v>21.7</v>
      </c>
      <c r="D19">
        <v>35.200000000000003</v>
      </c>
      <c r="E19">
        <v>1</v>
      </c>
      <c r="F19" t="str">
        <f>IF(OR(B19&lt;outliers!$B$7,B19&gt;outliers!$B$6),"Outlier","Normal")</f>
        <v>Normal</v>
      </c>
      <c r="G19" t="str">
        <f>IF(OR(C19&lt;outliers!$B$14,C19&gt;outliers!$B$13),"Outlier","Normal")</f>
        <v>Normal</v>
      </c>
      <c r="H19" t="str">
        <f>IF(OR(D19&lt;outliers!$B$21,D19&gt;outliers!$B$20),"Outlier","Normal")</f>
        <v>Normal</v>
      </c>
      <c r="I19" t="str">
        <f>IF(OR(E19&lt;outliers!$C$28,E19&gt;outliers!$B$27),"Outlier","Normal")</f>
        <v>Normal</v>
      </c>
      <c r="J19">
        <f t="shared" si="2"/>
        <v>2017</v>
      </c>
      <c r="K19" t="str">
        <f t="shared" si="0"/>
        <v>April</v>
      </c>
    </row>
    <row r="20" spans="1:11" hidden="1" x14ac:dyDescent="0.35">
      <c r="A20" s="1">
        <v>42847</v>
      </c>
      <c r="B20">
        <v>28.6</v>
      </c>
      <c r="C20">
        <v>22.8</v>
      </c>
      <c r="D20">
        <v>34.799999999999997</v>
      </c>
      <c r="E20">
        <v>0</v>
      </c>
      <c r="F20" t="str">
        <f>IF(OR(B20&lt;outliers!$B$7,B20&gt;outliers!$B$6),"Outlier","Normal")</f>
        <v>Outlier</v>
      </c>
      <c r="G20" t="str">
        <f>IF(OR(C20&lt;outliers!$B$14,C20&gt;outliers!$B$13),"Outlier","Normal")</f>
        <v>Normal</v>
      </c>
      <c r="H20" t="str">
        <f>IF(OR(D20&lt;outliers!$B$21,D20&gt;outliers!$B$20),"Outlier","Normal")</f>
        <v>Normal</v>
      </c>
      <c r="I20" t="str">
        <f>IF(OR(E20&lt;outliers!$C$28,E20&gt;outliers!$B$27),"Outlier","Normal")</f>
        <v>Normal</v>
      </c>
      <c r="J20">
        <f t="shared" si="2"/>
        <v>2017</v>
      </c>
      <c r="K20" t="str">
        <f t="shared" si="0"/>
        <v>April</v>
      </c>
    </row>
    <row r="21" spans="1:11" hidden="1" x14ac:dyDescent="0.35">
      <c r="A21" s="1">
        <v>42851</v>
      </c>
      <c r="B21">
        <v>28.7</v>
      </c>
      <c r="C21">
        <v>22.5</v>
      </c>
      <c r="D21">
        <v>37</v>
      </c>
      <c r="E21">
        <v>1</v>
      </c>
      <c r="F21" t="str">
        <f>IF(OR(B21&lt;outliers!$B$7,B21&gt;outliers!$B$6),"Outlier","Normal")</f>
        <v>Outlier</v>
      </c>
      <c r="G21" t="str">
        <f>IF(OR(C21&lt;outliers!$B$14,C21&gt;outliers!$B$13),"Outlier","Normal")</f>
        <v>Normal</v>
      </c>
      <c r="H21" t="str">
        <f>IF(OR(D21&lt;outliers!$B$21,D21&gt;outliers!$B$20),"Outlier","Normal")</f>
        <v>Outlier</v>
      </c>
      <c r="I21" t="str">
        <f>IF(OR(E21&lt;outliers!$C$28,E21&gt;outliers!$B$27),"Outlier","Normal")</f>
        <v>Normal</v>
      </c>
      <c r="J21">
        <f t="shared" si="2"/>
        <v>2017</v>
      </c>
      <c r="K21" t="str">
        <f t="shared" si="0"/>
        <v>April</v>
      </c>
    </row>
    <row r="22" spans="1:11" x14ac:dyDescent="0.35">
      <c r="A22" s="1">
        <v>42854</v>
      </c>
      <c r="B22">
        <v>25.6</v>
      </c>
      <c r="C22">
        <v>21.8</v>
      </c>
      <c r="D22">
        <v>35.299999999999997</v>
      </c>
      <c r="E22">
        <v>1.3</v>
      </c>
      <c r="F22" t="str">
        <f>IF(OR(B22&lt;outliers!$B$7,B22&gt;outliers!$B$6),"Outlier","Normal")</f>
        <v>Normal</v>
      </c>
      <c r="G22" t="str">
        <f>IF(OR(C22&lt;outliers!$B$14,C22&gt;outliers!$B$13),"Outlier","Normal")</f>
        <v>Normal</v>
      </c>
      <c r="H22" t="str">
        <f>IF(OR(D22&lt;outliers!$B$21,D22&gt;outliers!$B$20),"Outlier","Normal")</f>
        <v>Normal</v>
      </c>
      <c r="I22" t="str">
        <f>IF(OR(E22&lt;outliers!$C$28,E22&gt;outliers!$B$27),"Outlier","Normal")</f>
        <v>Normal</v>
      </c>
      <c r="J22">
        <f t="shared" si="2"/>
        <v>2017</v>
      </c>
      <c r="K22" t="str">
        <f t="shared" si="0"/>
        <v>April</v>
      </c>
    </row>
    <row r="23" spans="1:11" x14ac:dyDescent="0.35">
      <c r="A23" s="1">
        <v>42855</v>
      </c>
      <c r="B23">
        <v>28.3</v>
      </c>
      <c r="C23">
        <v>20.100000000000001</v>
      </c>
      <c r="D23">
        <v>35.6</v>
      </c>
      <c r="E23">
        <v>6.1</v>
      </c>
      <c r="F23" t="str">
        <f>IF(OR(B23&lt;outliers!$B$7,B23&gt;outliers!$B$6),"Outlier","Normal")</f>
        <v>Normal</v>
      </c>
      <c r="G23" t="str">
        <f>IF(OR(C23&lt;outliers!$B$14,C23&gt;outliers!$B$13),"Outlier","Normal")</f>
        <v>Normal</v>
      </c>
      <c r="H23" t="str">
        <f>IF(OR(D23&lt;outliers!$B$21,D23&gt;outliers!$B$20),"Outlier","Normal")</f>
        <v>Normal</v>
      </c>
      <c r="I23" t="str">
        <f>IF(OR(E23&lt;outliers!$C$28,E23&gt;outliers!$B$27),"Outlier","Normal")</f>
        <v>Normal</v>
      </c>
      <c r="J23">
        <f t="shared" si="2"/>
        <v>2017</v>
      </c>
      <c r="K23" t="str">
        <f t="shared" si="0"/>
        <v>April</v>
      </c>
    </row>
    <row r="24" spans="1:11" x14ac:dyDescent="0.35">
      <c r="A24" s="1">
        <v>42856</v>
      </c>
      <c r="B24">
        <v>26.8</v>
      </c>
      <c r="C24">
        <v>20.5</v>
      </c>
      <c r="D24">
        <v>35.6</v>
      </c>
      <c r="E24">
        <v>1</v>
      </c>
      <c r="F24" t="str">
        <f>IF(OR(B24&lt;outliers!$B$7,B24&gt;outliers!$B$6),"Outlier","Normal")</f>
        <v>Normal</v>
      </c>
      <c r="G24" t="str">
        <f>IF(OR(C24&lt;outliers!$B$14,C24&gt;outliers!$B$13),"Outlier","Normal")</f>
        <v>Normal</v>
      </c>
      <c r="H24" t="str">
        <f>IF(OR(D24&lt;outliers!$B$21,D24&gt;outliers!$B$20),"Outlier","Normal")</f>
        <v>Normal</v>
      </c>
      <c r="I24" t="str">
        <f>IF(OR(E24&lt;outliers!$C$28,E24&gt;outliers!$B$27),"Outlier","Normal")</f>
        <v>Normal</v>
      </c>
      <c r="J24">
        <f t="shared" si="2"/>
        <v>2017</v>
      </c>
      <c r="K24" t="str">
        <f t="shared" si="0"/>
        <v>April</v>
      </c>
    </row>
    <row r="25" spans="1:11" x14ac:dyDescent="0.35">
      <c r="A25" s="1">
        <v>42857</v>
      </c>
      <c r="B25">
        <v>27.6</v>
      </c>
      <c r="C25">
        <v>22.3</v>
      </c>
      <c r="D25">
        <v>35.1</v>
      </c>
      <c r="E25">
        <v>0</v>
      </c>
      <c r="F25" t="str">
        <f>IF(OR(B25&lt;outliers!$B$7,B25&gt;outliers!$B$6),"Outlier","Normal")</f>
        <v>Normal</v>
      </c>
      <c r="G25" t="str">
        <f>IF(OR(C25&lt;outliers!$B$14,C25&gt;outliers!$B$13),"Outlier","Normal")</f>
        <v>Normal</v>
      </c>
      <c r="H25" t="str">
        <f>IF(OR(D25&lt;outliers!$B$21,D25&gt;outliers!$B$20),"Outlier","Normal")</f>
        <v>Normal</v>
      </c>
      <c r="I25" t="str">
        <f>IF(OR(E25&lt;outliers!$C$28,E25&gt;outliers!$B$27),"Outlier","Normal")</f>
        <v>Normal</v>
      </c>
      <c r="J25">
        <f t="shared" si="2"/>
        <v>2017</v>
      </c>
      <c r="K25" t="str">
        <f t="shared" si="0"/>
        <v>May</v>
      </c>
    </row>
    <row r="26" spans="1:11" x14ac:dyDescent="0.35">
      <c r="A26" s="1">
        <v>42858</v>
      </c>
      <c r="B26">
        <v>28.1</v>
      </c>
      <c r="C26">
        <v>23.3</v>
      </c>
      <c r="D26">
        <v>34.200000000000003</v>
      </c>
      <c r="E26">
        <v>0</v>
      </c>
      <c r="F26" t="str">
        <f>IF(OR(B26&lt;outliers!$B$7,B26&gt;outliers!$B$6),"Outlier","Normal")</f>
        <v>Normal</v>
      </c>
      <c r="G26" t="str">
        <f>IF(OR(C26&lt;outliers!$B$14,C26&gt;outliers!$B$13),"Outlier","Normal")</f>
        <v>Normal</v>
      </c>
      <c r="H26" t="str">
        <f>IF(OR(D26&lt;outliers!$B$21,D26&gt;outliers!$B$20),"Outlier","Normal")</f>
        <v>Normal</v>
      </c>
      <c r="I26" t="str">
        <f>IF(OR(E26&lt;outliers!$C$28,E26&gt;outliers!$B$27),"Outlier","Normal")</f>
        <v>Normal</v>
      </c>
      <c r="J26">
        <f t="shared" si="2"/>
        <v>2017</v>
      </c>
      <c r="K26" t="str">
        <f t="shared" si="0"/>
        <v>May</v>
      </c>
    </row>
    <row r="27" spans="1:11" x14ac:dyDescent="0.35">
      <c r="A27" s="1">
        <v>42862</v>
      </c>
      <c r="B27">
        <v>27.3</v>
      </c>
      <c r="C27">
        <v>20.9</v>
      </c>
      <c r="D27">
        <v>35.799999999999997</v>
      </c>
      <c r="E27">
        <v>0</v>
      </c>
      <c r="F27" t="str">
        <f>IF(OR(B27&lt;outliers!$B$7,B27&gt;outliers!$B$6),"Outlier","Normal")</f>
        <v>Normal</v>
      </c>
      <c r="G27" t="str">
        <f>IF(OR(C27&lt;outliers!$B$14,C27&gt;outliers!$B$13),"Outlier","Normal")</f>
        <v>Normal</v>
      </c>
      <c r="H27" t="str">
        <f>IF(OR(D27&lt;outliers!$B$21,D27&gt;outliers!$B$20),"Outlier","Normal")</f>
        <v>Normal</v>
      </c>
      <c r="I27" t="str">
        <f>IF(OR(E27&lt;outliers!$C$28,E27&gt;outliers!$B$27),"Outlier","Normal")</f>
        <v>Normal</v>
      </c>
      <c r="J27">
        <f t="shared" si="2"/>
        <v>2017</v>
      </c>
      <c r="K27" t="str">
        <f t="shared" si="0"/>
        <v>May</v>
      </c>
    </row>
    <row r="28" spans="1:11" hidden="1" x14ac:dyDescent="0.35">
      <c r="A28" s="1">
        <v>42863</v>
      </c>
      <c r="B28">
        <v>26.9</v>
      </c>
      <c r="C28">
        <v>20.8</v>
      </c>
      <c r="D28">
        <v>37</v>
      </c>
      <c r="E28">
        <v>1</v>
      </c>
      <c r="F28" t="str">
        <f>IF(OR(B28&lt;outliers!$B$7,B28&gt;outliers!$B$6),"Outlier","Normal")</f>
        <v>Normal</v>
      </c>
      <c r="G28" t="str">
        <f>IF(OR(C28&lt;outliers!$B$14,C28&gt;outliers!$B$13),"Outlier","Normal")</f>
        <v>Normal</v>
      </c>
      <c r="H28" t="str">
        <f>IF(OR(D28&lt;outliers!$B$21,D28&gt;outliers!$B$20),"Outlier","Normal")</f>
        <v>Outlier</v>
      </c>
      <c r="I28" t="str">
        <f>IF(OR(E28&lt;outliers!$C$28,E28&gt;outliers!$B$27),"Outlier","Normal")</f>
        <v>Normal</v>
      </c>
      <c r="J28">
        <f t="shared" si="2"/>
        <v>2017</v>
      </c>
      <c r="K28" t="str">
        <f t="shared" si="0"/>
        <v>May</v>
      </c>
    </row>
    <row r="29" spans="1:11" x14ac:dyDescent="0.35">
      <c r="A29" s="1">
        <v>42864</v>
      </c>
      <c r="B29">
        <v>26</v>
      </c>
      <c r="C29">
        <v>21.9</v>
      </c>
      <c r="D29">
        <v>33.200000000000003</v>
      </c>
      <c r="E29">
        <v>0</v>
      </c>
      <c r="F29" t="str">
        <f>IF(OR(B29&lt;outliers!$B$7,B29&gt;outliers!$B$6),"Outlier","Normal")</f>
        <v>Normal</v>
      </c>
      <c r="G29" t="str">
        <f>IF(OR(C29&lt;outliers!$B$14,C29&gt;outliers!$B$13),"Outlier","Normal")</f>
        <v>Normal</v>
      </c>
      <c r="H29" t="str">
        <f>IF(OR(D29&lt;outliers!$B$21,D29&gt;outliers!$B$20),"Outlier","Normal")</f>
        <v>Normal</v>
      </c>
      <c r="I29" t="str">
        <f>IF(OR(E29&lt;outliers!$C$28,E29&gt;outliers!$B$27),"Outlier","Normal")</f>
        <v>Normal</v>
      </c>
      <c r="J29">
        <f t="shared" si="2"/>
        <v>2017</v>
      </c>
      <c r="K29" t="str">
        <f t="shared" si="0"/>
        <v>May</v>
      </c>
    </row>
    <row r="30" spans="1:11" x14ac:dyDescent="0.35">
      <c r="A30" s="1">
        <v>42865</v>
      </c>
      <c r="B30">
        <v>27</v>
      </c>
      <c r="C30">
        <v>21.5</v>
      </c>
      <c r="D30">
        <v>33.200000000000003</v>
      </c>
      <c r="E30">
        <v>0</v>
      </c>
      <c r="F30" t="str">
        <f>IF(OR(B30&lt;outliers!$B$7,B30&gt;outliers!$B$6),"Outlier","Normal")</f>
        <v>Normal</v>
      </c>
      <c r="G30" t="str">
        <f>IF(OR(C30&lt;outliers!$B$14,C30&gt;outliers!$B$13),"Outlier","Normal")</f>
        <v>Normal</v>
      </c>
      <c r="H30" t="str">
        <f>IF(OR(D30&lt;outliers!$B$21,D30&gt;outliers!$B$20),"Outlier","Normal")</f>
        <v>Normal</v>
      </c>
      <c r="I30" t="str">
        <f>IF(OR(E30&lt;outliers!$C$28,E30&gt;outliers!$B$27),"Outlier","Normal")</f>
        <v>Normal</v>
      </c>
      <c r="J30">
        <f t="shared" si="2"/>
        <v>2017</v>
      </c>
      <c r="K30" t="str">
        <f t="shared" si="0"/>
        <v>May</v>
      </c>
    </row>
    <row r="31" spans="1:11" x14ac:dyDescent="0.35">
      <c r="A31" s="1">
        <v>42866</v>
      </c>
      <c r="B31">
        <v>26.9</v>
      </c>
      <c r="C31">
        <v>22</v>
      </c>
      <c r="D31">
        <v>34.4</v>
      </c>
      <c r="E31">
        <v>0</v>
      </c>
      <c r="F31" t="str">
        <f>IF(OR(B31&lt;outliers!$B$7,B31&gt;outliers!$B$6),"Outlier","Normal")</f>
        <v>Normal</v>
      </c>
      <c r="G31" t="str">
        <f>IF(OR(C31&lt;outliers!$B$14,C31&gt;outliers!$B$13),"Outlier","Normal")</f>
        <v>Normal</v>
      </c>
      <c r="H31" t="str">
        <f>IF(OR(D31&lt;outliers!$B$21,D31&gt;outliers!$B$20),"Outlier","Normal")</f>
        <v>Normal</v>
      </c>
      <c r="I31" t="str">
        <f>IF(OR(E31&lt;outliers!$C$28,E31&gt;outliers!$B$27),"Outlier","Normal")</f>
        <v>Normal</v>
      </c>
      <c r="J31">
        <f t="shared" si="2"/>
        <v>2017</v>
      </c>
      <c r="K31" t="str">
        <f t="shared" si="0"/>
        <v>May</v>
      </c>
    </row>
    <row r="32" spans="1:11" x14ac:dyDescent="0.35">
      <c r="A32" s="1">
        <v>42867</v>
      </c>
      <c r="B32">
        <v>27.6</v>
      </c>
      <c r="C32">
        <v>23</v>
      </c>
      <c r="D32">
        <v>32.5</v>
      </c>
      <c r="E32">
        <v>1.8</v>
      </c>
      <c r="F32" t="str">
        <f>IF(OR(B32&lt;outliers!$B$7,B32&gt;outliers!$B$6),"Outlier","Normal")</f>
        <v>Normal</v>
      </c>
      <c r="G32" t="str">
        <f>IF(OR(C32&lt;outliers!$B$14,C32&gt;outliers!$B$13),"Outlier","Normal")</f>
        <v>Normal</v>
      </c>
      <c r="H32" t="str">
        <f>IF(OR(D32&lt;outliers!$B$21,D32&gt;outliers!$B$20),"Outlier","Normal")</f>
        <v>Normal</v>
      </c>
      <c r="I32" t="str">
        <f>IF(OR(E32&lt;outliers!$C$28,E32&gt;outliers!$B$27),"Outlier","Normal")</f>
        <v>Normal</v>
      </c>
      <c r="J32">
        <f t="shared" si="2"/>
        <v>2017</v>
      </c>
      <c r="K32" t="str">
        <f t="shared" si="0"/>
        <v>May</v>
      </c>
    </row>
    <row r="33" spans="1:11" hidden="1" x14ac:dyDescent="0.35">
      <c r="A33" s="1">
        <v>42868</v>
      </c>
      <c r="B33">
        <v>28.1</v>
      </c>
      <c r="C33">
        <v>23.8</v>
      </c>
      <c r="D33">
        <v>33</v>
      </c>
      <c r="E33">
        <v>0</v>
      </c>
      <c r="F33" t="str">
        <f>IF(OR(B33&lt;outliers!$B$7,B33&gt;outliers!$B$6),"Outlier","Normal")</f>
        <v>Normal</v>
      </c>
      <c r="G33" t="str">
        <f>IF(OR(C33&lt;outliers!$B$14,C33&gt;outliers!$B$13),"Outlier","Normal")</f>
        <v>Outlier</v>
      </c>
      <c r="H33" t="str">
        <f>IF(OR(D33&lt;outliers!$B$21,D33&gt;outliers!$B$20),"Outlier","Normal")</f>
        <v>Normal</v>
      </c>
      <c r="I33" t="str">
        <f>IF(OR(E33&lt;outliers!$C$28,E33&gt;outliers!$B$27),"Outlier","Normal")</f>
        <v>Normal</v>
      </c>
      <c r="J33">
        <f t="shared" si="2"/>
        <v>2017</v>
      </c>
      <c r="K33" t="str">
        <f t="shared" si="0"/>
        <v>May</v>
      </c>
    </row>
    <row r="34" spans="1:11" x14ac:dyDescent="0.35">
      <c r="A34" s="1">
        <v>42870</v>
      </c>
      <c r="B34">
        <v>27.1</v>
      </c>
      <c r="C34">
        <v>21.8</v>
      </c>
      <c r="D34">
        <v>35</v>
      </c>
      <c r="E34">
        <v>2.5</v>
      </c>
      <c r="F34" t="str">
        <f>IF(OR(B34&lt;outliers!$B$7,B34&gt;outliers!$B$6),"Outlier","Normal")</f>
        <v>Normal</v>
      </c>
      <c r="G34" t="str">
        <f>IF(OR(C34&lt;outliers!$B$14,C34&gt;outliers!$B$13),"Outlier","Normal")</f>
        <v>Normal</v>
      </c>
      <c r="H34" t="str">
        <f>IF(OR(D34&lt;outliers!$B$21,D34&gt;outliers!$B$20),"Outlier","Normal")</f>
        <v>Normal</v>
      </c>
      <c r="I34" t="str">
        <f>IF(OR(E34&lt;outliers!$C$28,E34&gt;outliers!$B$27),"Outlier","Normal")</f>
        <v>Normal</v>
      </c>
      <c r="J34">
        <f t="shared" si="2"/>
        <v>2017</v>
      </c>
      <c r="K34" t="str">
        <f t="shared" si="0"/>
        <v>May</v>
      </c>
    </row>
    <row r="35" spans="1:11" x14ac:dyDescent="0.35">
      <c r="A35" s="1">
        <v>42873</v>
      </c>
      <c r="B35">
        <v>26</v>
      </c>
      <c r="C35">
        <v>19.8</v>
      </c>
      <c r="D35">
        <v>34.5</v>
      </c>
      <c r="E35">
        <v>9.9</v>
      </c>
      <c r="F35" t="str">
        <f>IF(OR(B35&lt;outliers!$B$7,B35&gt;outliers!$B$6),"Outlier","Normal")</f>
        <v>Normal</v>
      </c>
      <c r="G35" t="str">
        <f>IF(OR(C35&lt;outliers!$B$14,C35&gt;outliers!$B$13),"Outlier","Normal")</f>
        <v>Normal</v>
      </c>
      <c r="H35" t="str">
        <f>IF(OR(D35&lt;outliers!$B$21,D35&gt;outliers!$B$20),"Outlier","Normal")</f>
        <v>Normal</v>
      </c>
      <c r="I35" t="str">
        <f>IF(OR(E35&lt;outliers!$C$28,E35&gt;outliers!$B$27),"Outlier","Normal")</f>
        <v>Normal</v>
      </c>
      <c r="J35">
        <f t="shared" si="2"/>
        <v>2017</v>
      </c>
      <c r="K35" t="str">
        <f t="shared" si="0"/>
        <v>May</v>
      </c>
    </row>
    <row r="36" spans="1:11" hidden="1" x14ac:dyDescent="0.35">
      <c r="A36" s="1">
        <v>42874</v>
      </c>
      <c r="B36">
        <v>26.2</v>
      </c>
      <c r="C36">
        <v>19.399999999999999</v>
      </c>
      <c r="D36">
        <v>35.5</v>
      </c>
      <c r="E36">
        <v>20.100000000000001</v>
      </c>
      <c r="F36" t="str">
        <f>IF(OR(B36&lt;outliers!$B$7,B36&gt;outliers!$B$6),"Outlier","Normal")</f>
        <v>Normal</v>
      </c>
      <c r="G36" t="str">
        <f>IF(OR(C36&lt;outliers!$B$14,C36&gt;outliers!$B$13),"Outlier","Normal")</f>
        <v>Normal</v>
      </c>
      <c r="H36" t="str">
        <f>IF(OR(D36&lt;outliers!$B$21,D36&gt;outliers!$B$20),"Outlier","Normal")</f>
        <v>Normal</v>
      </c>
      <c r="I36" t="str">
        <f>IF(OR(E36&lt;outliers!$C$28,E36&gt;outliers!$B$27),"Outlier","Normal")</f>
        <v>Outlier</v>
      </c>
      <c r="J36">
        <f t="shared" si="2"/>
        <v>2017</v>
      </c>
      <c r="K36" t="str">
        <f t="shared" si="0"/>
        <v>May</v>
      </c>
    </row>
    <row r="37" spans="1:11" x14ac:dyDescent="0.35">
      <c r="A37" s="1">
        <v>42875</v>
      </c>
      <c r="B37">
        <v>26.8</v>
      </c>
      <c r="C37">
        <v>20.9</v>
      </c>
      <c r="D37">
        <v>34.4</v>
      </c>
      <c r="E37">
        <v>0</v>
      </c>
      <c r="F37" t="str">
        <f>IF(OR(B37&lt;outliers!$B$7,B37&gt;outliers!$B$6),"Outlier","Normal")</f>
        <v>Normal</v>
      </c>
      <c r="G37" t="str">
        <f>IF(OR(C37&lt;outliers!$B$14,C37&gt;outliers!$B$13),"Outlier","Normal")</f>
        <v>Normal</v>
      </c>
      <c r="H37" t="str">
        <f>IF(OR(D37&lt;outliers!$B$21,D37&gt;outliers!$B$20),"Outlier","Normal")</f>
        <v>Normal</v>
      </c>
      <c r="I37" t="str">
        <f>IF(OR(E37&lt;outliers!$C$28,E37&gt;outliers!$B$27),"Outlier","Normal")</f>
        <v>Normal</v>
      </c>
      <c r="J37">
        <f t="shared" si="2"/>
        <v>2017</v>
      </c>
      <c r="K37" t="str">
        <f t="shared" si="0"/>
        <v>May</v>
      </c>
    </row>
    <row r="38" spans="1:11" hidden="1" x14ac:dyDescent="0.35">
      <c r="A38" s="1">
        <v>42876</v>
      </c>
      <c r="B38">
        <v>26.1</v>
      </c>
      <c r="C38">
        <v>19.899999999999999</v>
      </c>
      <c r="D38">
        <v>35.1</v>
      </c>
      <c r="E38">
        <v>40.9</v>
      </c>
      <c r="F38" t="str">
        <f>IF(OR(B38&lt;outliers!$B$7,B38&gt;outliers!$B$6),"Outlier","Normal")</f>
        <v>Normal</v>
      </c>
      <c r="G38" t="str">
        <f>IF(OR(C38&lt;outliers!$B$14,C38&gt;outliers!$B$13),"Outlier","Normal")</f>
        <v>Normal</v>
      </c>
      <c r="H38" t="str">
        <f>IF(OR(D38&lt;outliers!$B$21,D38&gt;outliers!$B$20),"Outlier","Normal")</f>
        <v>Normal</v>
      </c>
      <c r="I38" t="str">
        <f>IF(OR(E38&lt;outliers!$C$28,E38&gt;outliers!$B$27),"Outlier","Normal")</f>
        <v>Outlier</v>
      </c>
      <c r="J38">
        <f t="shared" si="2"/>
        <v>2017</v>
      </c>
      <c r="K38" t="str">
        <f t="shared" si="0"/>
        <v>May</v>
      </c>
    </row>
    <row r="39" spans="1:11" x14ac:dyDescent="0.35">
      <c r="A39" s="1">
        <v>42877</v>
      </c>
      <c r="B39">
        <v>25.7</v>
      </c>
      <c r="C39">
        <v>23.2</v>
      </c>
      <c r="D39">
        <v>32</v>
      </c>
      <c r="E39">
        <v>0</v>
      </c>
      <c r="F39" t="str">
        <f>IF(OR(B39&lt;outliers!$B$7,B39&gt;outliers!$B$6),"Outlier","Normal")</f>
        <v>Normal</v>
      </c>
      <c r="G39" t="str">
        <f>IF(OR(C39&lt;outliers!$B$14,C39&gt;outliers!$B$13),"Outlier","Normal")</f>
        <v>Normal</v>
      </c>
      <c r="H39" t="str">
        <f>IF(OR(D39&lt;outliers!$B$21,D39&gt;outliers!$B$20),"Outlier","Normal")</f>
        <v>Normal</v>
      </c>
      <c r="I39" t="str">
        <f>IF(OR(E39&lt;outliers!$C$28,E39&gt;outliers!$B$27),"Outlier","Normal")</f>
        <v>Normal</v>
      </c>
      <c r="J39">
        <f t="shared" si="2"/>
        <v>2017</v>
      </c>
      <c r="K39" t="str">
        <f t="shared" si="0"/>
        <v>May</v>
      </c>
    </row>
    <row r="40" spans="1:11" hidden="1" x14ac:dyDescent="0.35">
      <c r="A40" s="1">
        <v>42878</v>
      </c>
      <c r="B40">
        <v>26.7</v>
      </c>
      <c r="C40">
        <v>19.399999999999999</v>
      </c>
      <c r="D40">
        <v>32.9</v>
      </c>
      <c r="E40">
        <v>28.7</v>
      </c>
      <c r="F40" t="str">
        <f>IF(OR(B40&lt;outliers!$B$7,B40&gt;outliers!$B$6),"Outlier","Normal")</f>
        <v>Normal</v>
      </c>
      <c r="G40" t="str">
        <f>IF(OR(C40&lt;outliers!$B$14,C40&gt;outliers!$B$13),"Outlier","Normal")</f>
        <v>Normal</v>
      </c>
      <c r="H40" t="str">
        <f>IF(OR(D40&lt;outliers!$B$21,D40&gt;outliers!$B$20),"Outlier","Normal")</f>
        <v>Normal</v>
      </c>
      <c r="I40" t="str">
        <f>IF(OR(E40&lt;outliers!$C$28,E40&gt;outliers!$B$27),"Outlier","Normal")</f>
        <v>Outlier</v>
      </c>
      <c r="J40">
        <f t="shared" si="2"/>
        <v>2017</v>
      </c>
      <c r="K40" t="str">
        <f t="shared" si="0"/>
        <v>May</v>
      </c>
    </row>
    <row r="41" spans="1:11" hidden="1" x14ac:dyDescent="0.35">
      <c r="A41" s="1">
        <v>42879</v>
      </c>
      <c r="B41">
        <v>26.4</v>
      </c>
      <c r="C41">
        <v>20.5</v>
      </c>
      <c r="D41">
        <v>33.5</v>
      </c>
      <c r="E41">
        <v>13</v>
      </c>
      <c r="F41" t="str">
        <f>IF(OR(B41&lt;outliers!$B$7,B41&gt;outliers!$B$6),"Outlier","Normal")</f>
        <v>Normal</v>
      </c>
      <c r="G41" t="str">
        <f>IF(OR(C41&lt;outliers!$B$14,C41&gt;outliers!$B$13),"Outlier","Normal")</f>
        <v>Normal</v>
      </c>
      <c r="H41" t="str">
        <f>IF(OR(D41&lt;outliers!$B$21,D41&gt;outliers!$B$20),"Outlier","Normal")</f>
        <v>Normal</v>
      </c>
      <c r="I41" t="str">
        <f>IF(OR(E41&lt;outliers!$C$28,E41&gt;outliers!$B$27),"Outlier","Normal")</f>
        <v>Outlier</v>
      </c>
      <c r="J41">
        <f t="shared" si="2"/>
        <v>2017</v>
      </c>
      <c r="K41" t="str">
        <f t="shared" si="0"/>
        <v>May</v>
      </c>
    </row>
    <row r="42" spans="1:11" x14ac:dyDescent="0.35">
      <c r="A42" s="1">
        <v>42880</v>
      </c>
      <c r="B42">
        <v>27.6</v>
      </c>
      <c r="C42">
        <v>21.9</v>
      </c>
      <c r="D42">
        <v>34</v>
      </c>
      <c r="E42">
        <v>0</v>
      </c>
      <c r="F42" t="str">
        <f>IF(OR(B42&lt;outliers!$B$7,B42&gt;outliers!$B$6),"Outlier","Normal")</f>
        <v>Normal</v>
      </c>
      <c r="G42" t="str">
        <f>IF(OR(C42&lt;outliers!$B$14,C42&gt;outliers!$B$13),"Outlier","Normal")</f>
        <v>Normal</v>
      </c>
      <c r="H42" t="str">
        <f>IF(OR(D42&lt;outliers!$B$21,D42&gt;outliers!$B$20),"Outlier","Normal")</f>
        <v>Normal</v>
      </c>
      <c r="I42" t="str">
        <f>IF(OR(E42&lt;outliers!$C$28,E42&gt;outliers!$B$27),"Outlier","Normal")</f>
        <v>Normal</v>
      </c>
      <c r="J42">
        <f t="shared" si="2"/>
        <v>2017</v>
      </c>
      <c r="K42" t="str">
        <f t="shared" si="0"/>
        <v>May</v>
      </c>
    </row>
    <row r="43" spans="1:11" x14ac:dyDescent="0.35">
      <c r="A43" s="1">
        <v>42881</v>
      </c>
      <c r="B43">
        <v>26.2</v>
      </c>
      <c r="C43">
        <v>20.9</v>
      </c>
      <c r="D43">
        <v>33.299999999999997</v>
      </c>
      <c r="E43">
        <v>0</v>
      </c>
      <c r="F43" t="str">
        <f>IF(OR(B43&lt;outliers!$B$7,B43&gt;outliers!$B$6),"Outlier","Normal")</f>
        <v>Normal</v>
      </c>
      <c r="G43" t="str">
        <f>IF(OR(C43&lt;outliers!$B$14,C43&gt;outliers!$B$13),"Outlier","Normal")</f>
        <v>Normal</v>
      </c>
      <c r="H43" t="str">
        <f>IF(OR(D43&lt;outliers!$B$21,D43&gt;outliers!$B$20),"Outlier","Normal")</f>
        <v>Normal</v>
      </c>
      <c r="I43" t="str">
        <f>IF(OR(E43&lt;outliers!$C$28,E43&gt;outliers!$B$27),"Outlier","Normal")</f>
        <v>Normal</v>
      </c>
      <c r="J43">
        <f t="shared" si="2"/>
        <v>2017</v>
      </c>
      <c r="K43" t="str">
        <f t="shared" si="0"/>
        <v>May</v>
      </c>
    </row>
    <row r="44" spans="1:11" hidden="1" x14ac:dyDescent="0.35">
      <c r="A44" s="1">
        <v>42882</v>
      </c>
      <c r="B44">
        <v>23.1</v>
      </c>
      <c r="C44">
        <v>20</v>
      </c>
      <c r="D44">
        <v>33.1</v>
      </c>
      <c r="E44">
        <v>83.3</v>
      </c>
      <c r="F44" t="str">
        <f>IF(OR(B44&lt;outliers!$B$7,B44&gt;outliers!$B$6),"Outlier","Normal")</f>
        <v>Normal</v>
      </c>
      <c r="G44" t="str">
        <f>IF(OR(C44&lt;outliers!$B$14,C44&gt;outliers!$B$13),"Outlier","Normal")</f>
        <v>Normal</v>
      </c>
      <c r="H44" t="str">
        <f>IF(OR(D44&lt;outliers!$B$21,D44&gt;outliers!$B$20),"Outlier","Normal")</f>
        <v>Normal</v>
      </c>
      <c r="I44" t="str">
        <f>IF(OR(E44&lt;outliers!$C$28,E44&gt;outliers!$B$27),"Outlier","Normal")</f>
        <v>Outlier</v>
      </c>
      <c r="J44">
        <f t="shared" si="2"/>
        <v>2017</v>
      </c>
      <c r="K44" t="str">
        <f t="shared" si="0"/>
        <v>May</v>
      </c>
    </row>
    <row r="45" spans="1:11" hidden="1" x14ac:dyDescent="0.35">
      <c r="A45" s="1">
        <v>42883</v>
      </c>
      <c r="B45">
        <v>24.8</v>
      </c>
      <c r="C45">
        <v>20</v>
      </c>
      <c r="D45">
        <v>30</v>
      </c>
      <c r="E45">
        <v>39.9</v>
      </c>
      <c r="F45" t="str">
        <f>IF(OR(B45&lt;outliers!$B$7,B45&gt;outliers!$B$6),"Outlier","Normal")</f>
        <v>Normal</v>
      </c>
      <c r="G45" t="str">
        <f>IF(OR(C45&lt;outliers!$B$14,C45&gt;outliers!$B$13),"Outlier","Normal")</f>
        <v>Normal</v>
      </c>
      <c r="H45" t="str">
        <f>IF(OR(D45&lt;outliers!$B$21,D45&gt;outliers!$B$20),"Outlier","Normal")</f>
        <v>Normal</v>
      </c>
      <c r="I45" t="str">
        <f>IF(OR(E45&lt;outliers!$C$28,E45&gt;outliers!$B$27),"Outlier","Normal")</f>
        <v>Outlier</v>
      </c>
      <c r="J45">
        <f t="shared" si="2"/>
        <v>2017</v>
      </c>
      <c r="K45" t="str">
        <f t="shared" si="0"/>
        <v>May</v>
      </c>
    </row>
    <row r="46" spans="1:11" x14ac:dyDescent="0.35">
      <c r="A46" s="1">
        <v>42884</v>
      </c>
      <c r="B46">
        <v>25.5</v>
      </c>
      <c r="C46">
        <v>21.3</v>
      </c>
      <c r="D46">
        <v>29.7</v>
      </c>
      <c r="E46">
        <v>0</v>
      </c>
      <c r="F46" t="str">
        <f>IF(OR(B46&lt;outliers!$B$7,B46&gt;outliers!$B$6),"Outlier","Normal")</f>
        <v>Normal</v>
      </c>
      <c r="G46" t="str">
        <f>IF(OR(C46&lt;outliers!$B$14,C46&gt;outliers!$B$13),"Outlier","Normal")</f>
        <v>Normal</v>
      </c>
      <c r="H46" t="str">
        <f>IF(OR(D46&lt;outliers!$B$21,D46&gt;outliers!$B$20),"Outlier","Normal")</f>
        <v>Normal</v>
      </c>
      <c r="I46" t="str">
        <f>IF(OR(E46&lt;outliers!$C$28,E46&gt;outliers!$B$27),"Outlier","Normal")</f>
        <v>Normal</v>
      </c>
      <c r="J46">
        <f t="shared" si="2"/>
        <v>2017</v>
      </c>
      <c r="K46" t="str">
        <f t="shared" si="0"/>
        <v>May</v>
      </c>
    </row>
    <row r="47" spans="1:11" x14ac:dyDescent="0.35">
      <c r="A47" s="1">
        <v>42886</v>
      </c>
      <c r="B47">
        <v>24.9</v>
      </c>
      <c r="C47">
        <v>20.8</v>
      </c>
      <c r="D47">
        <v>31.2</v>
      </c>
      <c r="E47">
        <v>0</v>
      </c>
      <c r="F47" t="str">
        <f>IF(OR(B47&lt;outliers!$B$7,B47&gt;outliers!$B$6),"Outlier","Normal")</f>
        <v>Normal</v>
      </c>
      <c r="G47" t="str">
        <f>IF(OR(C47&lt;outliers!$B$14,C47&gt;outliers!$B$13),"Outlier","Normal")</f>
        <v>Normal</v>
      </c>
      <c r="H47" t="str">
        <f>IF(OR(D47&lt;outliers!$B$21,D47&gt;outliers!$B$20),"Outlier","Normal")</f>
        <v>Normal</v>
      </c>
      <c r="I47" t="str">
        <f>IF(OR(E47&lt;outliers!$C$28,E47&gt;outliers!$B$27),"Outlier","Normal")</f>
        <v>Normal</v>
      </c>
      <c r="J47">
        <f t="shared" si="2"/>
        <v>2017</v>
      </c>
      <c r="K47" t="str">
        <f t="shared" si="0"/>
        <v>May</v>
      </c>
    </row>
    <row r="48" spans="1:11" x14ac:dyDescent="0.35">
      <c r="A48" s="1">
        <v>42892</v>
      </c>
      <c r="B48">
        <v>25.8</v>
      </c>
      <c r="C48">
        <v>21.8</v>
      </c>
      <c r="D48">
        <v>32</v>
      </c>
      <c r="E48">
        <v>0</v>
      </c>
      <c r="F48" t="str">
        <f>IF(OR(B48&lt;outliers!$B$7,B48&gt;outliers!$B$6),"Outlier","Normal")</f>
        <v>Normal</v>
      </c>
      <c r="G48" t="str">
        <f>IF(OR(C48&lt;outliers!$B$14,C48&gt;outliers!$B$13),"Outlier","Normal")</f>
        <v>Normal</v>
      </c>
      <c r="H48" t="str">
        <f>IF(OR(D48&lt;outliers!$B$21,D48&gt;outliers!$B$20),"Outlier","Normal")</f>
        <v>Normal</v>
      </c>
      <c r="I48" t="str">
        <f>IF(OR(E48&lt;outliers!$C$28,E48&gt;outliers!$B$27),"Outlier","Normal")</f>
        <v>Normal</v>
      </c>
      <c r="J48">
        <f t="shared" si="2"/>
        <v>2017</v>
      </c>
      <c r="K48" t="str">
        <f t="shared" si="0"/>
        <v>May</v>
      </c>
    </row>
    <row r="49" spans="1:19" x14ac:dyDescent="0.35">
      <c r="A49" s="1">
        <v>42893</v>
      </c>
      <c r="B49">
        <v>23.9</v>
      </c>
      <c r="C49">
        <v>21.7</v>
      </c>
      <c r="D49">
        <v>31.2</v>
      </c>
      <c r="E49">
        <v>0</v>
      </c>
      <c r="F49" t="str">
        <f>IF(OR(B49&lt;outliers!$B$7,B49&gt;outliers!$B$6),"Outlier","Normal")</f>
        <v>Normal</v>
      </c>
      <c r="G49" t="str">
        <f>IF(OR(C49&lt;outliers!$B$14,C49&gt;outliers!$B$13),"Outlier","Normal")</f>
        <v>Normal</v>
      </c>
      <c r="H49" t="str">
        <f>IF(OR(D49&lt;outliers!$B$21,D49&gt;outliers!$B$20),"Outlier","Normal")</f>
        <v>Normal</v>
      </c>
      <c r="I49" t="str">
        <f>IF(OR(E49&lt;outliers!$C$28,E49&gt;outliers!$B$27),"Outlier","Normal")</f>
        <v>Normal</v>
      </c>
      <c r="J49">
        <f t="shared" si="2"/>
        <v>2017</v>
      </c>
      <c r="K49" t="str">
        <f t="shared" si="0"/>
        <v>June</v>
      </c>
    </row>
    <row r="50" spans="1:19" x14ac:dyDescent="0.35">
      <c r="A50" s="1">
        <v>42894</v>
      </c>
      <c r="B50">
        <v>25</v>
      </c>
      <c r="C50">
        <v>21.5</v>
      </c>
      <c r="D50">
        <v>28.9</v>
      </c>
      <c r="E50">
        <v>0.8</v>
      </c>
      <c r="F50" t="str">
        <f>IF(OR(B50&lt;outliers!$B$7,B50&gt;outliers!$B$6),"Outlier","Normal")</f>
        <v>Normal</v>
      </c>
      <c r="G50" t="str">
        <f>IF(OR(C50&lt;outliers!$B$14,C50&gt;outliers!$B$13),"Outlier","Normal")</f>
        <v>Normal</v>
      </c>
      <c r="H50" t="str">
        <f>IF(OR(D50&lt;outliers!$B$21,D50&gt;outliers!$B$20),"Outlier","Normal")</f>
        <v>Normal</v>
      </c>
      <c r="I50" t="str">
        <f>IF(OR(E50&lt;outliers!$C$28,E50&gt;outliers!$B$27),"Outlier","Normal")</f>
        <v>Normal</v>
      </c>
      <c r="J50">
        <f t="shared" si="2"/>
        <v>2017</v>
      </c>
      <c r="K50" t="str">
        <f t="shared" si="0"/>
        <v>June</v>
      </c>
    </row>
    <row r="51" spans="1:19" x14ac:dyDescent="0.35">
      <c r="A51" s="1">
        <v>42895</v>
      </c>
      <c r="B51">
        <v>23.3</v>
      </c>
      <c r="C51">
        <v>21.1</v>
      </c>
      <c r="D51">
        <v>29.6</v>
      </c>
      <c r="E51">
        <v>0</v>
      </c>
      <c r="F51" t="str">
        <f>IF(OR(B51&lt;outliers!$B$7,B51&gt;outliers!$B$6),"Outlier","Normal")</f>
        <v>Normal</v>
      </c>
      <c r="G51" t="str">
        <f>IF(OR(C51&lt;outliers!$B$14,C51&gt;outliers!$B$13),"Outlier","Normal")</f>
        <v>Normal</v>
      </c>
      <c r="H51" t="str">
        <f>IF(OR(D51&lt;outliers!$B$21,D51&gt;outliers!$B$20),"Outlier","Normal")</f>
        <v>Normal</v>
      </c>
      <c r="I51" t="str">
        <f>IF(OR(E51&lt;outliers!$C$28,E51&gt;outliers!$B$27),"Outlier","Normal")</f>
        <v>Normal</v>
      </c>
      <c r="J51">
        <f t="shared" si="2"/>
        <v>2017</v>
      </c>
      <c r="K51" t="str">
        <f t="shared" si="0"/>
        <v>June</v>
      </c>
    </row>
    <row r="52" spans="1:19" x14ac:dyDescent="0.35">
      <c r="A52" s="1">
        <v>42896</v>
      </c>
      <c r="B52">
        <v>23.9</v>
      </c>
      <c r="C52">
        <v>20.7</v>
      </c>
      <c r="D52">
        <v>28.1</v>
      </c>
      <c r="E52">
        <v>8.6</v>
      </c>
      <c r="F52" t="str">
        <f>IF(OR(B52&lt;outliers!$B$7,B52&gt;outliers!$B$6),"Outlier","Normal")</f>
        <v>Normal</v>
      </c>
      <c r="G52" t="str">
        <f>IF(OR(C52&lt;outliers!$B$14,C52&gt;outliers!$B$13),"Outlier","Normal")</f>
        <v>Normal</v>
      </c>
      <c r="H52" t="str">
        <f>IF(OR(D52&lt;outliers!$B$21,D52&gt;outliers!$B$20),"Outlier","Normal")</f>
        <v>Normal</v>
      </c>
      <c r="I52" t="str">
        <f>IF(OR(E52&lt;outliers!$C$28,E52&gt;outliers!$B$27),"Outlier","Normal")</f>
        <v>Normal</v>
      </c>
      <c r="J52">
        <f t="shared" si="2"/>
        <v>2017</v>
      </c>
      <c r="K52" t="str">
        <f t="shared" si="0"/>
        <v>June</v>
      </c>
    </row>
    <row r="53" spans="1:19" x14ac:dyDescent="0.35">
      <c r="A53" s="1">
        <v>42897</v>
      </c>
      <c r="B53">
        <v>23.4</v>
      </c>
      <c r="C53">
        <v>20.8</v>
      </c>
      <c r="D53">
        <v>27.9</v>
      </c>
      <c r="E53">
        <v>0</v>
      </c>
      <c r="F53" t="str">
        <f>IF(OR(B53&lt;outliers!$B$7,B53&gt;outliers!$B$6),"Outlier","Normal")</f>
        <v>Normal</v>
      </c>
      <c r="G53" t="str">
        <f>IF(OR(C53&lt;outliers!$B$14,C53&gt;outliers!$B$13),"Outlier","Normal")</f>
        <v>Normal</v>
      </c>
      <c r="H53" t="str">
        <f>IF(OR(D53&lt;outliers!$B$21,D53&gt;outliers!$B$20),"Outlier","Normal")</f>
        <v>Normal</v>
      </c>
      <c r="I53" t="str">
        <f>IF(OR(E53&lt;outliers!$C$28,E53&gt;outliers!$B$27),"Outlier","Normal")</f>
        <v>Normal</v>
      </c>
      <c r="J53">
        <f t="shared" si="2"/>
        <v>2017</v>
      </c>
      <c r="K53" t="str">
        <f t="shared" si="0"/>
        <v>June</v>
      </c>
    </row>
    <row r="54" spans="1:19" x14ac:dyDescent="0.35">
      <c r="A54" s="1">
        <v>42898</v>
      </c>
      <c r="B54">
        <v>22.3</v>
      </c>
      <c r="C54">
        <v>20.2</v>
      </c>
      <c r="D54">
        <v>28.3</v>
      </c>
      <c r="E54">
        <v>1.8</v>
      </c>
      <c r="F54" t="str">
        <f>IF(OR(B54&lt;outliers!$B$7,B54&gt;outliers!$B$6),"Outlier","Normal")</f>
        <v>Normal</v>
      </c>
      <c r="G54" t="str">
        <f>IF(OR(C54&lt;outliers!$B$14,C54&gt;outliers!$B$13),"Outlier","Normal")</f>
        <v>Normal</v>
      </c>
      <c r="H54" t="str">
        <f>IF(OR(D54&lt;outliers!$B$21,D54&gt;outliers!$B$20),"Outlier","Normal")</f>
        <v>Normal</v>
      </c>
      <c r="I54" t="str">
        <f>IF(OR(E54&lt;outliers!$C$28,E54&gt;outliers!$B$27),"Outlier","Normal")</f>
        <v>Normal</v>
      </c>
      <c r="J54">
        <f t="shared" si="2"/>
        <v>2017</v>
      </c>
      <c r="K54" t="str">
        <f t="shared" si="0"/>
        <v>June</v>
      </c>
    </row>
    <row r="55" spans="1:19" x14ac:dyDescent="0.35">
      <c r="A55" s="1">
        <v>42899</v>
      </c>
      <c r="B55">
        <v>24.2</v>
      </c>
      <c r="C55">
        <v>20.7</v>
      </c>
      <c r="D55">
        <v>29.2</v>
      </c>
      <c r="E55">
        <v>1</v>
      </c>
      <c r="F55" t="str">
        <f>IF(OR(B55&lt;outliers!$B$7,B55&gt;outliers!$B$6),"Outlier","Normal")</f>
        <v>Normal</v>
      </c>
      <c r="G55" t="str">
        <f>IF(OR(C55&lt;outliers!$B$14,C55&gt;outliers!$B$13),"Outlier","Normal")</f>
        <v>Normal</v>
      </c>
      <c r="H55" t="str">
        <f>IF(OR(D55&lt;outliers!$B$21,D55&gt;outliers!$B$20),"Outlier","Normal")</f>
        <v>Normal</v>
      </c>
      <c r="I55" t="str">
        <f>IF(OR(E55&lt;outliers!$C$28,E55&gt;outliers!$B$27),"Outlier","Normal")</f>
        <v>Normal</v>
      </c>
      <c r="J55">
        <f t="shared" si="2"/>
        <v>2017</v>
      </c>
      <c r="K55" t="str">
        <f t="shared" si="0"/>
        <v>June</v>
      </c>
    </row>
    <row r="56" spans="1:19" x14ac:dyDescent="0.35">
      <c r="A56" s="1">
        <v>42900</v>
      </c>
      <c r="B56">
        <v>25.8</v>
      </c>
      <c r="C56">
        <v>22</v>
      </c>
      <c r="D56">
        <v>30.9</v>
      </c>
      <c r="E56">
        <v>1</v>
      </c>
      <c r="F56" t="str">
        <f>IF(OR(B56&lt;outliers!$B$7,B56&gt;outliers!$B$6),"Outlier","Normal")</f>
        <v>Normal</v>
      </c>
      <c r="G56" t="str">
        <f>IF(OR(C56&lt;outliers!$B$14,C56&gt;outliers!$B$13),"Outlier","Normal")</f>
        <v>Normal</v>
      </c>
      <c r="H56" t="str">
        <f>IF(OR(D56&lt;outliers!$B$21,D56&gt;outliers!$B$20),"Outlier","Normal")</f>
        <v>Normal</v>
      </c>
      <c r="I56" t="str">
        <f>IF(OR(E56&lt;outliers!$C$28,E56&gt;outliers!$B$27),"Outlier","Normal")</f>
        <v>Normal</v>
      </c>
      <c r="J56">
        <f t="shared" si="2"/>
        <v>2017</v>
      </c>
      <c r="K56" t="str">
        <f t="shared" si="0"/>
        <v>June</v>
      </c>
    </row>
    <row r="57" spans="1:19" x14ac:dyDescent="0.35">
      <c r="A57" s="1">
        <v>42901</v>
      </c>
      <c r="B57">
        <v>25.1</v>
      </c>
      <c r="C57">
        <v>21.5</v>
      </c>
      <c r="D57">
        <v>31.2</v>
      </c>
      <c r="E57">
        <v>0</v>
      </c>
      <c r="F57" t="str">
        <f>IF(OR(B57&lt;outliers!$B$7,B57&gt;outliers!$B$6),"Outlier","Normal")</f>
        <v>Normal</v>
      </c>
      <c r="G57" t="str">
        <f>IF(OR(C57&lt;outliers!$B$14,C57&gt;outliers!$B$13),"Outlier","Normal")</f>
        <v>Normal</v>
      </c>
      <c r="H57" t="str">
        <f>IF(OR(D57&lt;outliers!$B$21,D57&gt;outliers!$B$20),"Outlier","Normal")</f>
        <v>Normal</v>
      </c>
      <c r="I57" t="str">
        <f>IF(OR(E57&lt;outliers!$C$28,E57&gt;outliers!$B$27),"Outlier","Normal")</f>
        <v>Normal</v>
      </c>
      <c r="J57">
        <f t="shared" si="2"/>
        <v>2017</v>
      </c>
      <c r="K57" t="str">
        <f t="shared" si="0"/>
        <v>June</v>
      </c>
    </row>
    <row r="58" spans="1:19" hidden="1" x14ac:dyDescent="0.35">
      <c r="A58" s="1">
        <v>42903</v>
      </c>
      <c r="B58">
        <v>23.1</v>
      </c>
      <c r="C58">
        <v>19.399999999999999</v>
      </c>
      <c r="D58">
        <v>28.4</v>
      </c>
      <c r="E58">
        <v>23.1</v>
      </c>
      <c r="F58" t="str">
        <f>IF(OR(B58&lt;outliers!$B$7,B58&gt;outliers!$B$6),"Outlier","Normal")</f>
        <v>Normal</v>
      </c>
      <c r="G58" t="str">
        <f>IF(OR(C58&lt;outliers!$B$14,C58&gt;outliers!$B$13),"Outlier","Normal")</f>
        <v>Normal</v>
      </c>
      <c r="H58" t="str">
        <f>IF(OR(D58&lt;outliers!$B$21,D58&gt;outliers!$B$20),"Outlier","Normal")</f>
        <v>Normal</v>
      </c>
      <c r="I58" t="str">
        <f>IF(OR(E58&lt;outliers!$C$28,E58&gt;outliers!$B$27),"Outlier","Normal")</f>
        <v>Outlier</v>
      </c>
      <c r="J58">
        <f t="shared" si="2"/>
        <v>2017</v>
      </c>
      <c r="K58" t="str">
        <f t="shared" si="0"/>
        <v>June</v>
      </c>
    </row>
    <row r="59" spans="1:19" x14ac:dyDescent="0.35">
      <c r="A59" s="1">
        <v>42904</v>
      </c>
      <c r="B59">
        <v>23.8</v>
      </c>
      <c r="C59">
        <v>20.2</v>
      </c>
      <c r="D59">
        <v>29.3</v>
      </c>
      <c r="E59">
        <v>0</v>
      </c>
      <c r="F59" t="str">
        <f>IF(OR(B59&lt;outliers!$B$7,B59&gt;outliers!$B$6),"Outlier","Normal")</f>
        <v>Normal</v>
      </c>
      <c r="G59" t="str">
        <f>IF(OR(C59&lt;outliers!$B$14,C59&gt;outliers!$B$13),"Outlier","Normal")</f>
        <v>Normal</v>
      </c>
      <c r="H59" t="str">
        <f>IF(OR(D59&lt;outliers!$B$21,D59&gt;outliers!$B$20),"Outlier","Normal")</f>
        <v>Normal</v>
      </c>
      <c r="I59" t="str">
        <f>IF(OR(E59&lt;outliers!$C$28,E59&gt;outliers!$B$27),"Outlier","Normal")</f>
        <v>Normal</v>
      </c>
      <c r="J59">
        <f t="shared" si="2"/>
        <v>2017</v>
      </c>
      <c r="K59" t="str">
        <f t="shared" si="0"/>
        <v>June</v>
      </c>
    </row>
    <row r="60" spans="1:19" x14ac:dyDescent="0.35">
      <c r="A60" s="1">
        <v>42905</v>
      </c>
      <c r="B60">
        <v>23.4</v>
      </c>
      <c r="C60">
        <v>20</v>
      </c>
      <c r="D60">
        <v>29</v>
      </c>
      <c r="E60">
        <v>3.6</v>
      </c>
      <c r="F60" t="str">
        <f>IF(OR(B60&lt;outliers!$B$7,B60&gt;outliers!$B$6),"Outlier","Normal")</f>
        <v>Normal</v>
      </c>
      <c r="G60" t="str">
        <f>IF(OR(C60&lt;outliers!$B$14,C60&gt;outliers!$B$13),"Outlier","Normal")</f>
        <v>Normal</v>
      </c>
      <c r="H60" t="str">
        <f>IF(OR(D60&lt;outliers!$B$21,D60&gt;outliers!$B$20),"Outlier","Normal")</f>
        <v>Normal</v>
      </c>
      <c r="I60" t="str">
        <f>IF(OR(E60&lt;outliers!$C$28,E60&gt;outliers!$B$27),"Outlier","Normal")</f>
        <v>Normal</v>
      </c>
      <c r="J60">
        <f t="shared" si="2"/>
        <v>2017</v>
      </c>
      <c r="K60" t="str">
        <f t="shared" si="0"/>
        <v>June</v>
      </c>
      <c r="Q60" s="3" t="s">
        <v>20</v>
      </c>
      <c r="R60" t="s">
        <v>22</v>
      </c>
      <c r="S60" t="s">
        <v>23</v>
      </c>
    </row>
    <row r="61" spans="1:19" x14ac:dyDescent="0.35">
      <c r="A61" s="1">
        <v>42906</v>
      </c>
      <c r="B61">
        <v>24.1</v>
      </c>
      <c r="C61">
        <v>21</v>
      </c>
      <c r="D61">
        <v>28</v>
      </c>
      <c r="E61">
        <v>0</v>
      </c>
      <c r="F61" t="str">
        <f>IF(OR(B61&lt;outliers!$B$7,B61&gt;outliers!$B$6),"Outlier","Normal")</f>
        <v>Normal</v>
      </c>
      <c r="G61" t="str">
        <f>IF(OR(C61&lt;outliers!$B$14,C61&gt;outliers!$B$13),"Outlier","Normal")</f>
        <v>Normal</v>
      </c>
      <c r="H61" t="str">
        <f>IF(OR(D61&lt;outliers!$B$21,D61&gt;outliers!$B$20),"Outlier","Normal")</f>
        <v>Normal</v>
      </c>
      <c r="I61" t="str">
        <f>IF(OR(E61&lt;outliers!$C$28,E61&gt;outliers!$B$27),"Outlier","Normal")</f>
        <v>Normal</v>
      </c>
      <c r="J61">
        <f t="shared" si="2"/>
        <v>2017</v>
      </c>
      <c r="K61" t="str">
        <f t="shared" si="0"/>
        <v>June</v>
      </c>
      <c r="Q61" s="4" t="s">
        <v>46</v>
      </c>
      <c r="R61" s="20">
        <v>1587.8999999999999</v>
      </c>
      <c r="S61" s="20">
        <v>30.400000000000006</v>
      </c>
    </row>
    <row r="62" spans="1:19" x14ac:dyDescent="0.35">
      <c r="A62" s="1">
        <v>42907</v>
      </c>
      <c r="B62">
        <v>24.6</v>
      </c>
      <c r="C62">
        <v>20.8</v>
      </c>
      <c r="D62">
        <v>29.8</v>
      </c>
      <c r="E62">
        <v>0.3</v>
      </c>
      <c r="F62" t="str">
        <f>IF(OR(B62&lt;outliers!$B$7,B62&gt;outliers!$B$6),"Outlier","Normal")</f>
        <v>Normal</v>
      </c>
      <c r="G62" t="str">
        <f>IF(OR(C62&lt;outliers!$B$14,C62&gt;outliers!$B$13),"Outlier","Normal")</f>
        <v>Normal</v>
      </c>
      <c r="H62" t="str">
        <f>IF(OR(D62&lt;outliers!$B$21,D62&gt;outliers!$B$20),"Outlier","Normal")</f>
        <v>Normal</v>
      </c>
      <c r="I62" t="str">
        <f>IF(OR(E62&lt;outliers!$C$28,E62&gt;outliers!$B$27),"Outlier","Normal")</f>
        <v>Normal</v>
      </c>
      <c r="J62">
        <f t="shared" si="2"/>
        <v>2017</v>
      </c>
      <c r="K62" t="str">
        <f t="shared" si="0"/>
        <v>June</v>
      </c>
      <c r="Q62" s="4" t="s">
        <v>47</v>
      </c>
      <c r="R62" s="20">
        <v>1378.5</v>
      </c>
      <c r="S62" s="20">
        <v>12.6</v>
      </c>
    </row>
    <row r="63" spans="1:19" x14ac:dyDescent="0.35">
      <c r="A63" s="1">
        <v>42908</v>
      </c>
      <c r="B63">
        <v>24.4</v>
      </c>
      <c r="C63">
        <v>20.5</v>
      </c>
      <c r="D63">
        <v>29.5</v>
      </c>
      <c r="E63">
        <v>0</v>
      </c>
      <c r="F63" t="str">
        <f>IF(OR(B63&lt;outliers!$B$7,B63&gt;outliers!$B$6),"Outlier","Normal")</f>
        <v>Normal</v>
      </c>
      <c r="G63" t="str">
        <f>IF(OR(C63&lt;outliers!$B$14,C63&gt;outliers!$B$13),"Outlier","Normal")</f>
        <v>Normal</v>
      </c>
      <c r="H63" t="str">
        <f>IF(OR(D63&lt;outliers!$B$21,D63&gt;outliers!$B$20),"Outlier","Normal")</f>
        <v>Normal</v>
      </c>
      <c r="I63" t="str">
        <f>IF(OR(E63&lt;outliers!$C$28,E63&gt;outliers!$B$27),"Outlier","Normal")</f>
        <v>Normal</v>
      </c>
      <c r="J63">
        <f t="shared" si="2"/>
        <v>2017</v>
      </c>
      <c r="K63" t="str">
        <f t="shared" si="0"/>
        <v>June</v>
      </c>
      <c r="Q63" s="4" t="s">
        <v>48</v>
      </c>
      <c r="R63" s="20">
        <v>2207.5000000000005</v>
      </c>
      <c r="S63" s="20">
        <v>105.69999999999997</v>
      </c>
    </row>
    <row r="64" spans="1:19" x14ac:dyDescent="0.35">
      <c r="A64" s="1">
        <v>42909</v>
      </c>
      <c r="B64">
        <v>24.9</v>
      </c>
      <c r="C64">
        <v>19.399999999999999</v>
      </c>
      <c r="D64">
        <v>30.6</v>
      </c>
      <c r="E64">
        <v>0.8</v>
      </c>
      <c r="F64" t="str">
        <f>IF(OR(B64&lt;outliers!$B$7,B64&gt;outliers!$B$6),"Outlier","Normal")</f>
        <v>Normal</v>
      </c>
      <c r="G64" t="str">
        <f>IF(OR(C64&lt;outliers!$B$14,C64&gt;outliers!$B$13),"Outlier","Normal")</f>
        <v>Normal</v>
      </c>
      <c r="H64" t="str">
        <f>IF(OR(D64&lt;outliers!$B$21,D64&gt;outliers!$B$20),"Outlier","Normal")</f>
        <v>Normal</v>
      </c>
      <c r="I64" t="str">
        <f>IF(OR(E64&lt;outliers!$C$28,E64&gt;outliers!$B$27),"Outlier","Normal")</f>
        <v>Normal</v>
      </c>
      <c r="J64">
        <f t="shared" si="2"/>
        <v>2017</v>
      </c>
      <c r="K64" t="str">
        <f t="shared" si="0"/>
        <v>June</v>
      </c>
      <c r="Q64" s="4" t="s">
        <v>49</v>
      </c>
      <c r="R64" s="20">
        <v>2746.7999999999993</v>
      </c>
      <c r="S64" s="20">
        <v>564.00000000000011</v>
      </c>
    </row>
    <row r="65" spans="1:19" x14ac:dyDescent="0.35">
      <c r="A65" s="1">
        <v>42910</v>
      </c>
      <c r="B65">
        <v>24.4</v>
      </c>
      <c r="C65">
        <v>21</v>
      </c>
      <c r="D65">
        <v>30.5</v>
      </c>
      <c r="E65">
        <v>0</v>
      </c>
      <c r="F65" t="str">
        <f>IF(OR(B65&lt;outliers!$B$7,B65&gt;outliers!$B$6),"Outlier","Normal")</f>
        <v>Normal</v>
      </c>
      <c r="G65" t="str">
        <f>IF(OR(C65&lt;outliers!$B$14,C65&gt;outliers!$B$13),"Outlier","Normal")</f>
        <v>Normal</v>
      </c>
      <c r="H65" t="str">
        <f>IF(OR(D65&lt;outliers!$B$21,D65&gt;outliers!$B$20),"Outlier","Normal")</f>
        <v>Normal</v>
      </c>
      <c r="I65" t="str">
        <f>IF(OR(E65&lt;outliers!$C$28,E65&gt;outliers!$B$27),"Outlier","Normal")</f>
        <v>Normal</v>
      </c>
      <c r="J65">
        <f t="shared" si="2"/>
        <v>2017</v>
      </c>
      <c r="K65" t="str">
        <f t="shared" si="0"/>
        <v>June</v>
      </c>
      <c r="Q65" s="4" t="s">
        <v>50</v>
      </c>
      <c r="R65" s="20">
        <v>3533.3000000000006</v>
      </c>
      <c r="S65" s="20">
        <v>1124.799999999999</v>
      </c>
    </row>
    <row r="66" spans="1:19" x14ac:dyDescent="0.35">
      <c r="A66" s="1">
        <v>42911</v>
      </c>
      <c r="B66">
        <v>23.8</v>
      </c>
      <c r="C66">
        <v>20.6</v>
      </c>
      <c r="D66">
        <v>29.4</v>
      </c>
      <c r="E66">
        <v>0</v>
      </c>
      <c r="F66" t="str">
        <f>IF(OR(B66&lt;outliers!$B$7,B66&gt;outliers!$B$6),"Outlier","Normal")</f>
        <v>Normal</v>
      </c>
      <c r="G66" t="str">
        <f>IF(OR(C66&lt;outliers!$B$14,C66&gt;outliers!$B$13),"Outlier","Normal")</f>
        <v>Normal</v>
      </c>
      <c r="H66" t="str">
        <f>IF(OR(D66&lt;outliers!$B$21,D66&gt;outliers!$B$20),"Outlier","Normal")</f>
        <v>Normal</v>
      </c>
      <c r="I66" t="str">
        <f>IF(OR(E66&lt;outliers!$C$28,E66&gt;outliers!$B$27),"Outlier","Normal")</f>
        <v>Normal</v>
      </c>
      <c r="J66">
        <f t="shared" si="2"/>
        <v>2017</v>
      </c>
      <c r="K66" t="str">
        <f t="shared" ref="K66:K129" si="3">TEXT(A65,"mmmm")</f>
        <v>June</v>
      </c>
      <c r="Q66" s="4" t="s">
        <v>51</v>
      </c>
      <c r="R66" s="20">
        <v>3742.7999999999979</v>
      </c>
      <c r="S66" s="20">
        <v>626.9000000000002</v>
      </c>
    </row>
    <row r="67" spans="1:19" x14ac:dyDescent="0.35">
      <c r="A67" s="1">
        <v>42912</v>
      </c>
      <c r="B67">
        <v>24</v>
      </c>
      <c r="C67">
        <v>20.399999999999999</v>
      </c>
      <c r="D67">
        <v>29</v>
      </c>
      <c r="E67">
        <v>0</v>
      </c>
      <c r="F67" t="str">
        <f>IF(OR(B67&lt;outliers!$B$7,B67&gt;outliers!$B$6),"Outlier","Normal")</f>
        <v>Normal</v>
      </c>
      <c r="G67" t="str">
        <f>IF(OR(C67&lt;outliers!$B$14,C67&gt;outliers!$B$13),"Outlier","Normal")</f>
        <v>Normal</v>
      </c>
      <c r="H67" t="str">
        <f>IF(OR(D67&lt;outliers!$B$21,D67&gt;outliers!$B$20),"Outlier","Normal")</f>
        <v>Normal</v>
      </c>
      <c r="I67" t="str">
        <f>IF(OR(E67&lt;outliers!$C$28,E67&gt;outliers!$B$27),"Outlier","Normal")</f>
        <v>Normal</v>
      </c>
      <c r="J67">
        <f t="shared" si="2"/>
        <v>2017</v>
      </c>
      <c r="K67" t="str">
        <f t="shared" si="3"/>
        <v>June</v>
      </c>
      <c r="Q67" s="4" t="s">
        <v>52</v>
      </c>
      <c r="R67" s="20">
        <v>3833.5999999999985</v>
      </c>
      <c r="S67" s="20">
        <v>717.80000000000007</v>
      </c>
    </row>
    <row r="68" spans="1:19" x14ac:dyDescent="0.35">
      <c r="A68" s="1">
        <v>42913</v>
      </c>
      <c r="B68">
        <v>23.6</v>
      </c>
      <c r="C68">
        <v>20.399999999999999</v>
      </c>
      <c r="D68">
        <v>30.6</v>
      </c>
      <c r="E68">
        <v>0</v>
      </c>
      <c r="F68" t="str">
        <f>IF(OR(B68&lt;outliers!$B$7,B68&gt;outliers!$B$6),"Outlier","Normal")</f>
        <v>Normal</v>
      </c>
      <c r="G68" t="str">
        <f>IF(OR(C68&lt;outliers!$B$14,C68&gt;outliers!$B$13),"Outlier","Normal")</f>
        <v>Normal</v>
      </c>
      <c r="H68" t="str">
        <f>IF(OR(D68&lt;outliers!$B$21,D68&gt;outliers!$B$20),"Outlier","Normal")</f>
        <v>Normal</v>
      </c>
      <c r="I68" t="str">
        <f>IF(OR(E68&lt;outliers!$C$28,E68&gt;outliers!$B$27),"Outlier","Normal")</f>
        <v>Normal</v>
      </c>
      <c r="J68">
        <f t="shared" si="2"/>
        <v>2017</v>
      </c>
      <c r="K68" t="str">
        <f t="shared" si="3"/>
        <v>June</v>
      </c>
      <c r="Q68" s="4" t="s">
        <v>53</v>
      </c>
      <c r="R68" s="20">
        <v>3294.8</v>
      </c>
      <c r="S68" s="20">
        <v>890.19999999999959</v>
      </c>
    </row>
    <row r="69" spans="1:19" x14ac:dyDescent="0.35">
      <c r="A69" s="1">
        <v>42914</v>
      </c>
      <c r="B69">
        <v>24.3</v>
      </c>
      <c r="C69">
        <v>20.3</v>
      </c>
      <c r="D69">
        <v>29.8</v>
      </c>
      <c r="E69">
        <v>0</v>
      </c>
      <c r="F69" t="str">
        <f>IF(OR(B69&lt;outliers!$B$7,B69&gt;outliers!$B$6),"Outlier","Normal")</f>
        <v>Normal</v>
      </c>
      <c r="G69" t="str">
        <f>IF(OR(C69&lt;outliers!$B$14,C69&gt;outliers!$B$13),"Outlier","Normal")</f>
        <v>Normal</v>
      </c>
      <c r="H69" t="str">
        <f>IF(OR(D69&lt;outliers!$B$21,D69&gt;outliers!$B$20),"Outlier","Normal")</f>
        <v>Normal</v>
      </c>
      <c r="I69" t="str">
        <f>IF(OR(E69&lt;outliers!$C$28,E69&gt;outliers!$B$27),"Outlier","Normal")</f>
        <v>Normal</v>
      </c>
      <c r="J69">
        <f t="shared" si="2"/>
        <v>2017</v>
      </c>
      <c r="K69" t="str">
        <f t="shared" si="3"/>
        <v>June</v>
      </c>
      <c r="Q69" s="4" t="s">
        <v>54</v>
      </c>
      <c r="R69" s="20">
        <v>3132.0000000000014</v>
      </c>
      <c r="S69" s="20">
        <v>1210.7999999999995</v>
      </c>
    </row>
    <row r="70" spans="1:19" x14ac:dyDescent="0.35">
      <c r="A70" s="1">
        <v>42915</v>
      </c>
      <c r="B70">
        <v>24.3</v>
      </c>
      <c r="C70">
        <v>20.399999999999999</v>
      </c>
      <c r="D70">
        <v>29.1</v>
      </c>
      <c r="E70">
        <v>0</v>
      </c>
      <c r="F70" t="str">
        <f>IF(OR(B70&lt;outliers!$B$7,B70&gt;outliers!$B$6),"Outlier","Normal")</f>
        <v>Normal</v>
      </c>
      <c r="G70" t="str">
        <f>IF(OR(C70&lt;outliers!$B$14,C70&gt;outliers!$B$13),"Outlier","Normal")</f>
        <v>Normal</v>
      </c>
      <c r="H70" t="str">
        <f>IF(OR(D70&lt;outliers!$B$21,D70&gt;outliers!$B$20),"Outlier","Normal")</f>
        <v>Normal</v>
      </c>
      <c r="I70" t="str">
        <f>IF(OR(E70&lt;outliers!$C$28,E70&gt;outliers!$B$27),"Outlier","Normal")</f>
        <v>Normal</v>
      </c>
      <c r="J70">
        <f t="shared" si="2"/>
        <v>2017</v>
      </c>
      <c r="K70" t="str">
        <f t="shared" si="3"/>
        <v>June</v>
      </c>
      <c r="Q70" s="4" t="s">
        <v>55</v>
      </c>
      <c r="R70" s="20">
        <v>2863.6000000000008</v>
      </c>
      <c r="S70" s="20">
        <v>1257.5999999999995</v>
      </c>
    </row>
    <row r="71" spans="1:19" x14ac:dyDescent="0.35">
      <c r="A71" s="1">
        <v>42917</v>
      </c>
      <c r="B71">
        <v>24.6</v>
      </c>
      <c r="C71">
        <v>19.3</v>
      </c>
      <c r="D71">
        <v>29.2</v>
      </c>
      <c r="E71">
        <v>0</v>
      </c>
      <c r="F71" t="str">
        <f>IF(OR(B71&lt;outliers!$B$7,B71&gt;outliers!$B$6),"Outlier","Normal")</f>
        <v>Normal</v>
      </c>
      <c r="G71" t="str">
        <f>IF(OR(C71&lt;outliers!$B$14,C71&gt;outliers!$B$13),"Outlier","Normal")</f>
        <v>Normal</v>
      </c>
      <c r="H71" t="str">
        <f>IF(OR(D71&lt;outliers!$B$21,D71&gt;outliers!$B$20),"Outlier","Normal")</f>
        <v>Normal</v>
      </c>
      <c r="I71" t="str">
        <f>IF(OR(E71&lt;outliers!$C$28,E71&gt;outliers!$B$27),"Outlier","Normal")</f>
        <v>Normal</v>
      </c>
      <c r="J71">
        <f t="shared" si="2"/>
        <v>2017</v>
      </c>
      <c r="K71" t="str">
        <f t="shared" si="3"/>
        <v>June</v>
      </c>
      <c r="Q71" s="4" t="s">
        <v>56</v>
      </c>
      <c r="R71" s="20">
        <v>1944.7999999999997</v>
      </c>
      <c r="S71" s="20">
        <v>463.90000000000009</v>
      </c>
    </row>
    <row r="72" spans="1:19" x14ac:dyDescent="0.35">
      <c r="A72" s="1">
        <v>42918</v>
      </c>
      <c r="B72">
        <v>25.2</v>
      </c>
      <c r="C72">
        <v>20.5</v>
      </c>
      <c r="D72">
        <v>30.3</v>
      </c>
      <c r="E72">
        <v>0</v>
      </c>
      <c r="F72" t="str">
        <f>IF(OR(B72&lt;outliers!$B$7,B72&gt;outliers!$B$6),"Outlier","Normal")</f>
        <v>Normal</v>
      </c>
      <c r="G72" t="str">
        <f>IF(OR(C72&lt;outliers!$B$14,C72&gt;outliers!$B$13),"Outlier","Normal")</f>
        <v>Normal</v>
      </c>
      <c r="H72" t="str">
        <f>IF(OR(D72&lt;outliers!$B$21,D72&gt;outliers!$B$20),"Outlier","Normal")</f>
        <v>Normal</v>
      </c>
      <c r="I72" t="str">
        <f>IF(OR(E72&lt;outliers!$C$28,E72&gt;outliers!$B$27),"Outlier","Normal")</f>
        <v>Normal</v>
      </c>
      <c r="J72">
        <f t="shared" si="2"/>
        <v>2017</v>
      </c>
      <c r="K72" t="str">
        <f t="shared" si="3"/>
        <v>July</v>
      </c>
      <c r="Q72" s="4" t="s">
        <v>57</v>
      </c>
      <c r="R72" s="20">
        <v>1321.8000000000009</v>
      </c>
      <c r="S72" s="20">
        <v>73.999999999999986</v>
      </c>
    </row>
    <row r="73" spans="1:19" x14ac:dyDescent="0.35">
      <c r="A73" s="1">
        <v>42920</v>
      </c>
      <c r="B73">
        <v>23.7</v>
      </c>
      <c r="C73">
        <v>20.399999999999999</v>
      </c>
      <c r="D73">
        <v>28.7</v>
      </c>
      <c r="E73">
        <v>3.8</v>
      </c>
      <c r="F73" t="str">
        <f>IF(OR(B73&lt;outliers!$B$7,B73&gt;outliers!$B$6),"Outlier","Normal")</f>
        <v>Normal</v>
      </c>
      <c r="G73" t="str">
        <f>IF(OR(C73&lt;outliers!$B$14,C73&gt;outliers!$B$13),"Outlier","Normal")</f>
        <v>Normal</v>
      </c>
      <c r="H73" t="str">
        <f>IF(OR(D73&lt;outliers!$B$21,D73&gt;outliers!$B$20),"Outlier","Normal")</f>
        <v>Normal</v>
      </c>
      <c r="I73" t="str">
        <f>IF(OR(E73&lt;outliers!$C$28,E73&gt;outliers!$B$27),"Outlier","Normal")</f>
        <v>Normal</v>
      </c>
      <c r="J73">
        <f t="shared" si="2"/>
        <v>2017</v>
      </c>
      <c r="K73" t="str">
        <f t="shared" si="3"/>
        <v>July</v>
      </c>
      <c r="Q73" s="4" t="s">
        <v>21</v>
      </c>
      <c r="R73" s="20">
        <v>31587.399999999994</v>
      </c>
      <c r="S73" s="20">
        <v>7078.6999999999971</v>
      </c>
    </row>
    <row r="74" spans="1:19" x14ac:dyDescent="0.35">
      <c r="A74" s="1">
        <v>42921</v>
      </c>
      <c r="B74">
        <v>23.2</v>
      </c>
      <c r="C74">
        <v>20</v>
      </c>
      <c r="D74">
        <v>29.6</v>
      </c>
      <c r="E74">
        <v>2.2999999999999998</v>
      </c>
      <c r="F74" t="str">
        <f>IF(OR(B74&lt;outliers!$B$7,B74&gt;outliers!$B$6),"Outlier","Normal")</f>
        <v>Normal</v>
      </c>
      <c r="G74" t="str">
        <f>IF(OR(C74&lt;outliers!$B$14,C74&gt;outliers!$B$13),"Outlier","Normal")</f>
        <v>Normal</v>
      </c>
      <c r="H74" t="str">
        <f>IF(OR(D74&lt;outliers!$B$21,D74&gt;outliers!$B$20),"Outlier","Normal")</f>
        <v>Normal</v>
      </c>
      <c r="I74" t="str">
        <f>IF(OR(E74&lt;outliers!$C$28,E74&gt;outliers!$B$27),"Outlier","Normal")</f>
        <v>Normal</v>
      </c>
      <c r="J74">
        <f t="shared" si="2"/>
        <v>2017</v>
      </c>
      <c r="K74" t="str">
        <f t="shared" si="3"/>
        <v>July</v>
      </c>
    </row>
    <row r="75" spans="1:19" x14ac:dyDescent="0.35">
      <c r="A75" s="1">
        <v>42922</v>
      </c>
      <c r="B75">
        <v>23.7</v>
      </c>
      <c r="C75">
        <v>20.2</v>
      </c>
      <c r="D75">
        <v>29.2</v>
      </c>
      <c r="E75">
        <v>10.199999999999999</v>
      </c>
      <c r="F75" t="str">
        <f>IF(OR(B75&lt;outliers!$B$7,B75&gt;outliers!$B$6),"Outlier","Normal")</f>
        <v>Normal</v>
      </c>
      <c r="G75" t="str">
        <f>IF(OR(C75&lt;outliers!$B$14,C75&gt;outliers!$B$13),"Outlier","Normal")</f>
        <v>Normal</v>
      </c>
      <c r="H75" t="str">
        <f>IF(OR(D75&lt;outliers!$B$21,D75&gt;outliers!$B$20),"Outlier","Normal")</f>
        <v>Normal</v>
      </c>
      <c r="I75" t="str">
        <f>IF(OR(E75&lt;outliers!$C$28,E75&gt;outliers!$B$27),"Outlier","Normal")</f>
        <v>Normal</v>
      </c>
      <c r="J75">
        <f t="shared" si="2"/>
        <v>2017</v>
      </c>
      <c r="K75" t="str">
        <f t="shared" si="3"/>
        <v>July</v>
      </c>
    </row>
    <row r="76" spans="1:19" x14ac:dyDescent="0.35">
      <c r="A76" s="1">
        <v>42923</v>
      </c>
      <c r="B76">
        <v>23.2</v>
      </c>
      <c r="C76">
        <v>20.5</v>
      </c>
      <c r="D76">
        <v>29.3</v>
      </c>
      <c r="E76">
        <v>5.0999999999999996</v>
      </c>
      <c r="F76" t="str">
        <f>IF(OR(B76&lt;outliers!$B$7,B76&gt;outliers!$B$6),"Outlier","Normal")</f>
        <v>Normal</v>
      </c>
      <c r="G76" t="str">
        <f>IF(OR(C76&lt;outliers!$B$14,C76&gt;outliers!$B$13),"Outlier","Normal")</f>
        <v>Normal</v>
      </c>
      <c r="H76" t="str">
        <f>IF(OR(D76&lt;outliers!$B$21,D76&gt;outliers!$B$20),"Outlier","Normal")</f>
        <v>Normal</v>
      </c>
      <c r="I76" t="str">
        <f>IF(OR(E76&lt;outliers!$C$28,E76&gt;outliers!$B$27),"Outlier","Normal")</f>
        <v>Normal</v>
      </c>
      <c r="J76">
        <f t="shared" si="2"/>
        <v>2017</v>
      </c>
      <c r="K76" t="str">
        <f t="shared" si="3"/>
        <v>July</v>
      </c>
    </row>
    <row r="77" spans="1:19" x14ac:dyDescent="0.35">
      <c r="A77" s="1">
        <v>42924</v>
      </c>
      <c r="B77">
        <v>23.3</v>
      </c>
      <c r="C77">
        <v>20.399999999999999</v>
      </c>
      <c r="D77">
        <v>27.4</v>
      </c>
      <c r="E77">
        <v>0</v>
      </c>
      <c r="F77" t="str">
        <f>IF(OR(B77&lt;outliers!$B$7,B77&gt;outliers!$B$6),"Outlier","Normal")</f>
        <v>Normal</v>
      </c>
      <c r="G77" t="str">
        <f>IF(OR(C77&lt;outliers!$B$14,C77&gt;outliers!$B$13),"Outlier","Normal")</f>
        <v>Normal</v>
      </c>
      <c r="H77" t="str">
        <f>IF(OR(D77&lt;outliers!$B$21,D77&gt;outliers!$B$20),"Outlier","Normal")</f>
        <v>Normal</v>
      </c>
      <c r="I77" t="str">
        <f>IF(OR(E77&lt;outliers!$C$28,E77&gt;outliers!$B$27),"Outlier","Normal")</f>
        <v>Normal</v>
      </c>
      <c r="J77">
        <f t="shared" si="2"/>
        <v>2017</v>
      </c>
      <c r="K77" t="str">
        <f t="shared" si="3"/>
        <v>July</v>
      </c>
    </row>
    <row r="78" spans="1:19" x14ac:dyDescent="0.35">
      <c r="A78" s="1">
        <v>42925</v>
      </c>
      <c r="B78">
        <v>24.5</v>
      </c>
      <c r="C78">
        <v>20.2</v>
      </c>
      <c r="D78">
        <v>30.3</v>
      </c>
      <c r="E78">
        <v>0</v>
      </c>
      <c r="F78" t="str">
        <f>IF(OR(B78&lt;outliers!$B$7,B78&gt;outliers!$B$6),"Outlier","Normal")</f>
        <v>Normal</v>
      </c>
      <c r="G78" t="str">
        <f>IF(OR(C78&lt;outliers!$B$14,C78&gt;outliers!$B$13),"Outlier","Normal")</f>
        <v>Normal</v>
      </c>
      <c r="H78" t="str">
        <f>IF(OR(D78&lt;outliers!$B$21,D78&gt;outliers!$B$20),"Outlier","Normal")</f>
        <v>Normal</v>
      </c>
      <c r="I78" t="str">
        <f>IF(OR(E78&lt;outliers!$C$28,E78&gt;outliers!$B$27),"Outlier","Normal")</f>
        <v>Normal</v>
      </c>
      <c r="J78">
        <f t="shared" si="2"/>
        <v>2017</v>
      </c>
      <c r="K78" t="str">
        <f t="shared" si="3"/>
        <v>July</v>
      </c>
    </row>
    <row r="79" spans="1:19" x14ac:dyDescent="0.35">
      <c r="A79" s="1">
        <v>42928</v>
      </c>
      <c r="B79">
        <v>23.7</v>
      </c>
      <c r="C79">
        <v>21</v>
      </c>
      <c r="D79">
        <v>29.5</v>
      </c>
      <c r="E79">
        <v>0</v>
      </c>
      <c r="F79" t="str">
        <f>IF(OR(B79&lt;outliers!$B$7,B79&gt;outliers!$B$6),"Outlier","Normal")</f>
        <v>Normal</v>
      </c>
      <c r="G79" t="str">
        <f>IF(OR(C79&lt;outliers!$B$14,C79&gt;outliers!$B$13),"Outlier","Normal")</f>
        <v>Normal</v>
      </c>
      <c r="H79" t="str">
        <f>IF(OR(D79&lt;outliers!$B$21,D79&gt;outliers!$B$20),"Outlier","Normal")</f>
        <v>Normal</v>
      </c>
      <c r="I79" t="str">
        <f>IF(OR(E79&lt;outliers!$C$28,E79&gt;outliers!$B$27),"Outlier","Normal")</f>
        <v>Normal</v>
      </c>
      <c r="J79">
        <f t="shared" si="2"/>
        <v>2017</v>
      </c>
      <c r="K79" t="str">
        <f t="shared" si="3"/>
        <v>July</v>
      </c>
      <c r="Q79" s="3" t="s">
        <v>20</v>
      </c>
      <c r="R79" t="s">
        <v>58</v>
      </c>
      <c r="S79" t="s">
        <v>23</v>
      </c>
    </row>
    <row r="80" spans="1:19" x14ac:dyDescent="0.35">
      <c r="A80" s="1">
        <v>42929</v>
      </c>
      <c r="B80">
        <v>22.8</v>
      </c>
      <c r="C80">
        <v>20</v>
      </c>
      <c r="D80">
        <v>28.5</v>
      </c>
      <c r="E80">
        <v>1.5</v>
      </c>
      <c r="F80" t="str">
        <f>IF(OR(B80&lt;outliers!$B$7,B80&gt;outliers!$B$6),"Outlier","Normal")</f>
        <v>Normal</v>
      </c>
      <c r="G80" t="str">
        <f>IF(OR(C80&lt;outliers!$B$14,C80&gt;outliers!$B$13),"Outlier","Normal")</f>
        <v>Normal</v>
      </c>
      <c r="H80" t="str">
        <f>IF(OR(D80&lt;outliers!$B$21,D80&gt;outliers!$B$20),"Outlier","Normal")</f>
        <v>Normal</v>
      </c>
      <c r="I80" t="str">
        <f>IF(OR(E80&lt;outliers!$C$28,E80&gt;outliers!$B$27),"Outlier","Normal")</f>
        <v>Normal</v>
      </c>
      <c r="J80">
        <f t="shared" si="2"/>
        <v>2017</v>
      </c>
      <c r="K80" t="str">
        <f t="shared" si="3"/>
        <v>July</v>
      </c>
      <c r="Q80" s="4">
        <v>2017</v>
      </c>
      <c r="R80" s="20">
        <v>24.202162162162157</v>
      </c>
      <c r="S80" s="20">
        <v>1693.3999999999999</v>
      </c>
    </row>
    <row r="81" spans="1:19" x14ac:dyDescent="0.35">
      <c r="A81" s="1">
        <v>42930</v>
      </c>
      <c r="B81">
        <v>22.9</v>
      </c>
      <c r="C81">
        <v>20</v>
      </c>
      <c r="D81">
        <v>25.9</v>
      </c>
      <c r="E81">
        <v>0</v>
      </c>
      <c r="F81" t="str">
        <f>IF(OR(B81&lt;outliers!$B$7,B81&gt;outliers!$B$6),"Outlier","Normal")</f>
        <v>Normal</v>
      </c>
      <c r="G81" t="str">
        <f>IF(OR(C81&lt;outliers!$B$14,C81&gt;outliers!$B$13),"Outlier","Normal")</f>
        <v>Normal</v>
      </c>
      <c r="H81" t="str">
        <f>IF(OR(D81&lt;outliers!$B$21,D81&gt;outliers!$B$20),"Outlier","Normal")</f>
        <v>Normal</v>
      </c>
      <c r="I81" t="str">
        <f>IF(OR(E81&lt;outliers!$C$28,E81&gt;outliers!$B$27),"Outlier","Normal")</f>
        <v>Normal</v>
      </c>
      <c r="J81">
        <f t="shared" ref="J81:J144" si="4">YEAR(A81)</f>
        <v>2017</v>
      </c>
      <c r="K81" t="str">
        <f t="shared" si="3"/>
        <v>July</v>
      </c>
      <c r="Q81" s="4">
        <v>2018</v>
      </c>
      <c r="R81" s="20">
        <v>23.969565217391313</v>
      </c>
      <c r="S81" s="20">
        <v>911.09999999999957</v>
      </c>
    </row>
    <row r="82" spans="1:19" x14ac:dyDescent="0.35">
      <c r="A82" s="1">
        <v>42931</v>
      </c>
      <c r="B82">
        <v>22.2</v>
      </c>
      <c r="C82">
        <v>20.2</v>
      </c>
      <c r="D82">
        <v>27.2</v>
      </c>
      <c r="E82">
        <v>0</v>
      </c>
      <c r="F82" t="str">
        <f>IF(OR(B82&lt;outliers!$B$7,B82&gt;outliers!$B$6),"Outlier","Normal")</f>
        <v>Normal</v>
      </c>
      <c r="G82" t="str">
        <f>IF(OR(C82&lt;outliers!$B$14,C82&gt;outliers!$B$13),"Outlier","Normal")</f>
        <v>Normal</v>
      </c>
      <c r="H82" t="str">
        <f>IF(OR(D82&lt;outliers!$B$21,D82&gt;outliers!$B$20),"Outlier","Normal")</f>
        <v>Normal</v>
      </c>
      <c r="I82" t="str">
        <f>IF(OR(E82&lt;outliers!$C$28,E82&gt;outliers!$B$27),"Outlier","Normal")</f>
        <v>Normal</v>
      </c>
      <c r="J82">
        <f t="shared" si="4"/>
        <v>2017</v>
      </c>
      <c r="K82" t="str">
        <f t="shared" si="3"/>
        <v>July</v>
      </c>
      <c r="Q82" s="4">
        <v>2019</v>
      </c>
      <c r="R82" s="20">
        <v>23.965240641711219</v>
      </c>
      <c r="S82" s="20">
        <v>897.49999999999977</v>
      </c>
    </row>
    <row r="83" spans="1:19" x14ac:dyDescent="0.35">
      <c r="A83" s="1">
        <v>42932</v>
      </c>
      <c r="B83">
        <v>23.2</v>
      </c>
      <c r="C83">
        <v>19.7</v>
      </c>
      <c r="D83">
        <v>28.4</v>
      </c>
      <c r="E83">
        <v>0</v>
      </c>
      <c r="F83" t="str">
        <f>IF(OR(B83&lt;outliers!$B$7,B83&gt;outliers!$B$6),"Outlier","Normal")</f>
        <v>Normal</v>
      </c>
      <c r="G83" t="str">
        <f>IF(OR(C83&lt;outliers!$B$14,C83&gt;outliers!$B$13),"Outlier","Normal")</f>
        <v>Normal</v>
      </c>
      <c r="H83" t="str">
        <f>IF(OR(D83&lt;outliers!$B$21,D83&gt;outliers!$B$20),"Outlier","Normal")</f>
        <v>Normal</v>
      </c>
      <c r="I83" t="str">
        <f>IF(OR(E83&lt;outliers!$C$28,E83&gt;outliers!$B$27),"Outlier","Normal")</f>
        <v>Normal</v>
      </c>
      <c r="J83">
        <f t="shared" si="4"/>
        <v>2017</v>
      </c>
      <c r="K83" t="str">
        <f t="shared" si="3"/>
        <v>July</v>
      </c>
      <c r="Q83" s="4">
        <v>2020</v>
      </c>
      <c r="R83" s="20">
        <v>23.687192118226605</v>
      </c>
      <c r="S83" s="20">
        <v>1175.1999999999994</v>
      </c>
    </row>
    <row r="84" spans="1:19" x14ac:dyDescent="0.35">
      <c r="A84" s="1">
        <v>42933</v>
      </c>
      <c r="B84">
        <v>23.8</v>
      </c>
      <c r="C84">
        <v>20</v>
      </c>
      <c r="D84">
        <v>28.8</v>
      </c>
      <c r="E84">
        <v>0</v>
      </c>
      <c r="F84" t="str">
        <f>IF(OR(B84&lt;outliers!$B$7,B84&gt;outliers!$B$6),"Outlier","Normal")</f>
        <v>Normal</v>
      </c>
      <c r="G84" t="str">
        <f>IF(OR(C84&lt;outliers!$B$14,C84&gt;outliers!$B$13),"Outlier","Normal")</f>
        <v>Normal</v>
      </c>
      <c r="H84" t="str">
        <f>IF(OR(D84&lt;outliers!$B$21,D84&gt;outliers!$B$20),"Outlier","Normal")</f>
        <v>Normal</v>
      </c>
      <c r="I84" t="str">
        <f>IF(OR(E84&lt;outliers!$C$28,E84&gt;outliers!$B$27),"Outlier","Normal")</f>
        <v>Normal</v>
      </c>
      <c r="J84">
        <f t="shared" si="4"/>
        <v>2017</v>
      </c>
      <c r="K84" t="str">
        <f t="shared" si="3"/>
        <v>July</v>
      </c>
      <c r="Q84" s="4">
        <v>2021</v>
      </c>
      <c r="R84" s="20">
        <v>23.58194444444446</v>
      </c>
      <c r="S84" s="20">
        <v>1592.9999999999995</v>
      </c>
    </row>
    <row r="85" spans="1:19" x14ac:dyDescent="0.35">
      <c r="A85" s="1">
        <v>42934</v>
      </c>
      <c r="B85">
        <v>22.8</v>
      </c>
      <c r="C85">
        <v>20.7</v>
      </c>
      <c r="D85">
        <v>28.3</v>
      </c>
      <c r="E85">
        <v>0</v>
      </c>
      <c r="F85" t="str">
        <f>IF(OR(B85&lt;outliers!$B$7,B85&gt;outliers!$B$6),"Outlier","Normal")</f>
        <v>Normal</v>
      </c>
      <c r="G85" t="str">
        <f>IF(OR(C85&lt;outliers!$B$14,C85&gt;outliers!$B$13),"Outlier","Normal")</f>
        <v>Normal</v>
      </c>
      <c r="H85" t="str">
        <f>IF(OR(D85&lt;outliers!$B$21,D85&gt;outliers!$B$20),"Outlier","Normal")</f>
        <v>Normal</v>
      </c>
      <c r="I85" t="str">
        <f>IF(OR(E85&lt;outliers!$C$28,E85&gt;outliers!$B$27),"Outlier","Normal")</f>
        <v>Normal</v>
      </c>
      <c r="J85">
        <f t="shared" si="4"/>
        <v>2017</v>
      </c>
      <c r="K85" t="str">
        <f t="shared" si="3"/>
        <v>July</v>
      </c>
      <c r="Q85" s="4">
        <v>2022</v>
      </c>
      <c r="R85" s="20">
        <v>23.997087378640774</v>
      </c>
      <c r="S85" s="20">
        <v>808.49999999999989</v>
      </c>
    </row>
    <row r="86" spans="1:19" x14ac:dyDescent="0.35">
      <c r="A86" s="1">
        <v>42935</v>
      </c>
      <c r="B86">
        <v>22.2</v>
      </c>
      <c r="C86">
        <v>20.6</v>
      </c>
      <c r="D86">
        <v>26.6</v>
      </c>
      <c r="E86">
        <v>0</v>
      </c>
      <c r="F86" t="str">
        <f>IF(OR(B86&lt;outliers!$B$7,B86&gt;outliers!$B$6),"Outlier","Normal")</f>
        <v>Normal</v>
      </c>
      <c r="G86" t="str">
        <f>IF(OR(C86&lt;outliers!$B$14,C86&gt;outliers!$B$13),"Outlier","Normal")</f>
        <v>Normal</v>
      </c>
      <c r="H86" t="str">
        <f>IF(OR(D86&lt;outliers!$B$21,D86&gt;outliers!$B$20),"Outlier","Normal")</f>
        <v>Normal</v>
      </c>
      <c r="I86" t="str">
        <f>IF(OR(E86&lt;outliers!$C$28,E86&gt;outliers!$B$27),"Outlier","Normal")</f>
        <v>Normal</v>
      </c>
      <c r="J86">
        <f t="shared" si="4"/>
        <v>2017</v>
      </c>
      <c r="K86" t="str">
        <f t="shared" si="3"/>
        <v>July</v>
      </c>
      <c r="Q86" s="4" t="s">
        <v>21</v>
      </c>
      <c r="R86" s="20">
        <v>23.857132075471661</v>
      </c>
      <c r="S86" s="20">
        <v>7078.7000000000307</v>
      </c>
    </row>
    <row r="87" spans="1:19" x14ac:dyDescent="0.35">
      <c r="A87" s="1">
        <v>42936</v>
      </c>
      <c r="B87">
        <v>23.6</v>
      </c>
      <c r="C87">
        <v>20.6</v>
      </c>
      <c r="D87">
        <v>29.1</v>
      </c>
      <c r="E87">
        <v>9.4</v>
      </c>
      <c r="F87" t="str">
        <f>IF(OR(B87&lt;outliers!$B$7,B87&gt;outliers!$B$6),"Outlier","Normal")</f>
        <v>Normal</v>
      </c>
      <c r="G87" t="str">
        <f>IF(OR(C87&lt;outliers!$B$14,C87&gt;outliers!$B$13),"Outlier","Normal")</f>
        <v>Normal</v>
      </c>
      <c r="H87" t="str">
        <f>IF(OR(D87&lt;outliers!$B$21,D87&gt;outliers!$B$20),"Outlier","Normal")</f>
        <v>Normal</v>
      </c>
      <c r="I87" t="str">
        <f>IF(OR(E87&lt;outliers!$C$28,E87&gt;outliers!$B$27),"Outlier","Normal")</f>
        <v>Normal</v>
      </c>
      <c r="J87">
        <f t="shared" si="4"/>
        <v>2017</v>
      </c>
      <c r="K87" t="str">
        <f t="shared" si="3"/>
        <v>July</v>
      </c>
    </row>
    <row r="88" spans="1:19" x14ac:dyDescent="0.35">
      <c r="A88" s="1">
        <v>42937</v>
      </c>
      <c r="B88">
        <v>23.8</v>
      </c>
      <c r="C88">
        <v>19.7</v>
      </c>
      <c r="D88">
        <v>28.7</v>
      </c>
      <c r="E88">
        <v>0.8</v>
      </c>
      <c r="F88" t="str">
        <f>IF(OR(B88&lt;outliers!$B$7,B88&gt;outliers!$B$6),"Outlier","Normal")</f>
        <v>Normal</v>
      </c>
      <c r="G88" t="str">
        <f>IF(OR(C88&lt;outliers!$B$14,C88&gt;outliers!$B$13),"Outlier","Normal")</f>
        <v>Normal</v>
      </c>
      <c r="H88" t="str">
        <f>IF(OR(D88&lt;outliers!$B$21,D88&gt;outliers!$B$20),"Outlier","Normal")</f>
        <v>Normal</v>
      </c>
      <c r="I88" t="str">
        <f>IF(OR(E88&lt;outliers!$C$28,E88&gt;outliers!$B$27),"Outlier","Normal")</f>
        <v>Normal</v>
      </c>
      <c r="J88">
        <f t="shared" si="4"/>
        <v>2017</v>
      </c>
      <c r="K88" t="str">
        <f t="shared" si="3"/>
        <v>July</v>
      </c>
    </row>
    <row r="89" spans="1:19" x14ac:dyDescent="0.35">
      <c r="A89" s="1">
        <v>42938</v>
      </c>
      <c r="B89">
        <v>24.8</v>
      </c>
      <c r="C89">
        <v>20</v>
      </c>
      <c r="D89">
        <v>30.8</v>
      </c>
      <c r="E89">
        <v>0</v>
      </c>
      <c r="F89" t="str">
        <f>IF(OR(B89&lt;outliers!$B$7,B89&gt;outliers!$B$6),"Outlier","Normal")</f>
        <v>Normal</v>
      </c>
      <c r="G89" t="str">
        <f>IF(OR(C89&lt;outliers!$B$14,C89&gt;outliers!$B$13),"Outlier","Normal")</f>
        <v>Normal</v>
      </c>
      <c r="H89" t="str">
        <f>IF(OR(D89&lt;outliers!$B$21,D89&gt;outliers!$B$20),"Outlier","Normal")</f>
        <v>Normal</v>
      </c>
      <c r="I89" t="str">
        <f>IF(OR(E89&lt;outliers!$C$28,E89&gt;outliers!$B$27),"Outlier","Normal")</f>
        <v>Normal</v>
      </c>
      <c r="J89">
        <f t="shared" si="4"/>
        <v>2017</v>
      </c>
      <c r="K89" t="str">
        <f t="shared" si="3"/>
        <v>July</v>
      </c>
    </row>
    <row r="90" spans="1:19" x14ac:dyDescent="0.35">
      <c r="A90" s="1">
        <v>42941</v>
      </c>
      <c r="B90">
        <v>25.2</v>
      </c>
      <c r="C90">
        <v>20.5</v>
      </c>
      <c r="D90">
        <v>30.3</v>
      </c>
      <c r="E90">
        <v>0</v>
      </c>
      <c r="F90" t="str">
        <f>IF(OR(B90&lt;outliers!$B$7,B90&gt;outliers!$B$6),"Outlier","Normal")</f>
        <v>Normal</v>
      </c>
      <c r="G90" t="str">
        <f>IF(OR(C90&lt;outliers!$B$14,C90&gt;outliers!$B$13),"Outlier","Normal")</f>
        <v>Normal</v>
      </c>
      <c r="H90" t="str">
        <f>IF(OR(D90&lt;outliers!$B$21,D90&gt;outliers!$B$20),"Outlier","Normal")</f>
        <v>Normal</v>
      </c>
      <c r="I90" t="str">
        <f>IF(OR(E90&lt;outliers!$C$28,E90&gt;outliers!$B$27),"Outlier","Normal")</f>
        <v>Normal</v>
      </c>
      <c r="J90">
        <f t="shared" si="4"/>
        <v>2017</v>
      </c>
      <c r="K90" t="str">
        <f t="shared" si="3"/>
        <v>July</v>
      </c>
    </row>
    <row r="91" spans="1:19" x14ac:dyDescent="0.35">
      <c r="A91" s="1">
        <v>42942</v>
      </c>
      <c r="B91">
        <v>25.4</v>
      </c>
      <c r="C91">
        <v>20.5</v>
      </c>
      <c r="D91">
        <v>30.5</v>
      </c>
      <c r="E91">
        <v>0</v>
      </c>
      <c r="F91" t="str">
        <f>IF(OR(B91&lt;outliers!$B$7,B91&gt;outliers!$B$6),"Outlier","Normal")</f>
        <v>Normal</v>
      </c>
      <c r="G91" t="str">
        <f>IF(OR(C91&lt;outliers!$B$14,C91&gt;outliers!$B$13),"Outlier","Normal")</f>
        <v>Normal</v>
      </c>
      <c r="H91" t="str">
        <f>IF(OR(D91&lt;outliers!$B$21,D91&gt;outliers!$B$20),"Outlier","Normal")</f>
        <v>Normal</v>
      </c>
      <c r="I91" t="str">
        <f>IF(OR(E91&lt;outliers!$C$28,E91&gt;outliers!$B$27),"Outlier","Normal")</f>
        <v>Normal</v>
      </c>
      <c r="J91">
        <f t="shared" si="4"/>
        <v>2017</v>
      </c>
      <c r="K91" t="str">
        <f t="shared" si="3"/>
        <v>July</v>
      </c>
    </row>
    <row r="92" spans="1:19" hidden="1" x14ac:dyDescent="0.35">
      <c r="A92" s="1">
        <v>42944</v>
      </c>
      <c r="B92">
        <v>24.7</v>
      </c>
      <c r="C92">
        <v>21</v>
      </c>
      <c r="D92">
        <v>31.1</v>
      </c>
      <c r="E92">
        <v>11.9</v>
      </c>
      <c r="F92" t="str">
        <f>IF(OR(B92&lt;outliers!$B$7,B92&gt;outliers!$B$6),"Outlier","Normal")</f>
        <v>Normal</v>
      </c>
      <c r="G92" t="str">
        <f>IF(OR(C92&lt;outliers!$B$14,C92&gt;outliers!$B$13),"Outlier","Normal")</f>
        <v>Normal</v>
      </c>
      <c r="H92" t="str">
        <f>IF(OR(D92&lt;outliers!$B$21,D92&gt;outliers!$B$20),"Outlier","Normal")</f>
        <v>Normal</v>
      </c>
      <c r="I92" t="str">
        <f>IF(OR(E92&lt;outliers!$C$28,E92&gt;outliers!$B$27),"Outlier","Normal")</f>
        <v>Outlier</v>
      </c>
      <c r="J92">
        <f t="shared" si="4"/>
        <v>2017</v>
      </c>
      <c r="K92" t="str">
        <f t="shared" si="3"/>
        <v>July</v>
      </c>
    </row>
    <row r="93" spans="1:19" hidden="1" x14ac:dyDescent="0.35">
      <c r="A93" s="1">
        <v>42945</v>
      </c>
      <c r="B93">
        <v>24.7</v>
      </c>
      <c r="C93">
        <v>20.6</v>
      </c>
      <c r="D93">
        <v>31.3</v>
      </c>
      <c r="E93">
        <v>10.7</v>
      </c>
      <c r="F93" t="str">
        <f>IF(OR(B93&lt;outliers!$B$7,B93&gt;outliers!$B$6),"Outlier","Normal")</f>
        <v>Normal</v>
      </c>
      <c r="G93" t="str">
        <f>IF(OR(C93&lt;outliers!$B$14,C93&gt;outliers!$B$13),"Outlier","Normal")</f>
        <v>Normal</v>
      </c>
      <c r="H93" t="str">
        <f>IF(OR(D93&lt;outliers!$B$21,D93&gt;outliers!$B$20),"Outlier","Normal")</f>
        <v>Normal</v>
      </c>
      <c r="I93" t="str">
        <f>IF(OR(E93&lt;outliers!$C$28,E93&gt;outliers!$B$27),"Outlier","Normal")</f>
        <v>Outlier</v>
      </c>
      <c r="J93">
        <f t="shared" si="4"/>
        <v>2017</v>
      </c>
      <c r="K93" t="str">
        <f t="shared" si="3"/>
        <v>July</v>
      </c>
    </row>
    <row r="94" spans="1:19" x14ac:dyDescent="0.35">
      <c r="A94" s="1">
        <v>42946</v>
      </c>
      <c r="B94">
        <v>25.2</v>
      </c>
      <c r="C94">
        <v>21.3</v>
      </c>
      <c r="D94">
        <v>30.7</v>
      </c>
      <c r="E94">
        <v>0</v>
      </c>
      <c r="F94" t="str">
        <f>IF(OR(B94&lt;outliers!$B$7,B94&gt;outliers!$B$6),"Outlier","Normal")</f>
        <v>Normal</v>
      </c>
      <c r="G94" t="str">
        <f>IF(OR(C94&lt;outliers!$B$14,C94&gt;outliers!$B$13),"Outlier","Normal")</f>
        <v>Normal</v>
      </c>
      <c r="H94" t="str">
        <f>IF(OR(D94&lt;outliers!$B$21,D94&gt;outliers!$B$20),"Outlier","Normal")</f>
        <v>Normal</v>
      </c>
      <c r="I94" t="str">
        <f>IF(OR(E94&lt;outliers!$C$28,E94&gt;outliers!$B$27),"Outlier","Normal")</f>
        <v>Normal</v>
      </c>
      <c r="J94">
        <f t="shared" si="4"/>
        <v>2017</v>
      </c>
      <c r="K94" t="str">
        <f t="shared" si="3"/>
        <v>July</v>
      </c>
    </row>
    <row r="95" spans="1:19" x14ac:dyDescent="0.35">
      <c r="A95" s="1">
        <v>42947</v>
      </c>
      <c r="B95">
        <v>24.9</v>
      </c>
      <c r="C95">
        <v>22</v>
      </c>
      <c r="D95">
        <v>30.7</v>
      </c>
      <c r="E95">
        <v>1.3</v>
      </c>
      <c r="F95" t="str">
        <f>IF(OR(B95&lt;outliers!$B$7,B95&gt;outliers!$B$6),"Outlier","Normal")</f>
        <v>Normal</v>
      </c>
      <c r="G95" t="str">
        <f>IF(OR(C95&lt;outliers!$B$14,C95&gt;outliers!$B$13),"Outlier","Normal")</f>
        <v>Normal</v>
      </c>
      <c r="H95" t="str">
        <f>IF(OR(D95&lt;outliers!$B$21,D95&gt;outliers!$B$20),"Outlier","Normal")</f>
        <v>Normal</v>
      </c>
      <c r="I95" t="str">
        <f>IF(OR(E95&lt;outliers!$C$28,E95&gt;outliers!$B$27),"Outlier","Normal")</f>
        <v>Normal</v>
      </c>
      <c r="J95">
        <f t="shared" si="4"/>
        <v>2017</v>
      </c>
      <c r="K95" t="str">
        <f t="shared" si="3"/>
        <v>July</v>
      </c>
    </row>
    <row r="96" spans="1:19" x14ac:dyDescent="0.35">
      <c r="A96" s="1">
        <v>42948</v>
      </c>
      <c r="B96">
        <v>25.2</v>
      </c>
      <c r="C96">
        <v>21.4</v>
      </c>
      <c r="D96">
        <v>30.5</v>
      </c>
      <c r="E96">
        <v>8.4</v>
      </c>
      <c r="F96" t="str">
        <f>IF(OR(B96&lt;outliers!$B$7,B96&gt;outliers!$B$6),"Outlier","Normal")</f>
        <v>Normal</v>
      </c>
      <c r="G96" t="str">
        <f>IF(OR(C96&lt;outliers!$B$14,C96&gt;outliers!$B$13),"Outlier","Normal")</f>
        <v>Normal</v>
      </c>
      <c r="H96" t="str">
        <f>IF(OR(D96&lt;outliers!$B$21,D96&gt;outliers!$B$20),"Outlier","Normal")</f>
        <v>Normal</v>
      </c>
      <c r="I96" t="str">
        <f>IF(OR(E96&lt;outliers!$C$28,E96&gt;outliers!$B$27),"Outlier","Normal")</f>
        <v>Normal</v>
      </c>
      <c r="J96">
        <f t="shared" si="4"/>
        <v>2017</v>
      </c>
      <c r="K96" t="str">
        <f t="shared" si="3"/>
        <v>July</v>
      </c>
    </row>
    <row r="97" spans="1:11" x14ac:dyDescent="0.35">
      <c r="A97" s="1">
        <v>42949</v>
      </c>
      <c r="B97">
        <v>25.1</v>
      </c>
      <c r="C97">
        <v>21.6</v>
      </c>
      <c r="D97">
        <v>31.5</v>
      </c>
      <c r="E97">
        <v>1.8</v>
      </c>
      <c r="F97" t="str">
        <f>IF(OR(B97&lt;outliers!$B$7,B97&gt;outliers!$B$6),"Outlier","Normal")</f>
        <v>Normal</v>
      </c>
      <c r="G97" t="str">
        <f>IF(OR(C97&lt;outliers!$B$14,C97&gt;outliers!$B$13),"Outlier","Normal")</f>
        <v>Normal</v>
      </c>
      <c r="H97" t="str">
        <f>IF(OR(D97&lt;outliers!$B$21,D97&gt;outliers!$B$20),"Outlier","Normal")</f>
        <v>Normal</v>
      </c>
      <c r="I97" t="str">
        <f>IF(OR(E97&lt;outliers!$C$28,E97&gt;outliers!$B$27),"Outlier","Normal")</f>
        <v>Normal</v>
      </c>
      <c r="J97">
        <f t="shared" si="4"/>
        <v>2017</v>
      </c>
      <c r="K97" t="str">
        <f t="shared" si="3"/>
        <v>August</v>
      </c>
    </row>
    <row r="98" spans="1:11" x14ac:dyDescent="0.35">
      <c r="A98" s="1">
        <v>42950</v>
      </c>
      <c r="B98">
        <v>24.3</v>
      </c>
      <c r="C98">
        <v>20.3</v>
      </c>
      <c r="D98">
        <v>31.2</v>
      </c>
      <c r="E98">
        <v>0</v>
      </c>
      <c r="F98" t="str">
        <f>IF(OR(B98&lt;outliers!$B$7,B98&gt;outliers!$B$6),"Outlier","Normal")</f>
        <v>Normal</v>
      </c>
      <c r="G98" t="str">
        <f>IF(OR(C98&lt;outliers!$B$14,C98&gt;outliers!$B$13),"Outlier","Normal")</f>
        <v>Normal</v>
      </c>
      <c r="H98" t="str">
        <f>IF(OR(D98&lt;outliers!$B$21,D98&gt;outliers!$B$20),"Outlier","Normal")</f>
        <v>Normal</v>
      </c>
      <c r="I98" t="str">
        <f>IF(OR(E98&lt;outliers!$C$28,E98&gt;outliers!$B$27),"Outlier","Normal")</f>
        <v>Normal</v>
      </c>
      <c r="J98">
        <f t="shared" si="4"/>
        <v>2017</v>
      </c>
      <c r="K98" t="str">
        <f t="shared" si="3"/>
        <v>August</v>
      </c>
    </row>
    <row r="99" spans="1:11" x14ac:dyDescent="0.35">
      <c r="A99" s="1">
        <v>42951</v>
      </c>
      <c r="B99">
        <v>23.8</v>
      </c>
      <c r="C99">
        <v>20.3</v>
      </c>
      <c r="D99">
        <v>29.5</v>
      </c>
      <c r="E99">
        <v>0</v>
      </c>
      <c r="F99" t="str">
        <f>IF(OR(B99&lt;outliers!$B$7,B99&gt;outliers!$B$6),"Outlier","Normal")</f>
        <v>Normal</v>
      </c>
      <c r="G99" t="str">
        <f>IF(OR(C99&lt;outliers!$B$14,C99&gt;outliers!$B$13),"Outlier","Normal")</f>
        <v>Normal</v>
      </c>
      <c r="H99" t="str">
        <f>IF(OR(D99&lt;outliers!$B$21,D99&gt;outliers!$B$20),"Outlier","Normal")</f>
        <v>Normal</v>
      </c>
      <c r="I99" t="str">
        <f>IF(OR(E99&lt;outliers!$C$28,E99&gt;outliers!$B$27),"Outlier","Normal")</f>
        <v>Normal</v>
      </c>
      <c r="J99">
        <f t="shared" si="4"/>
        <v>2017</v>
      </c>
      <c r="K99" t="str">
        <f t="shared" si="3"/>
        <v>August</v>
      </c>
    </row>
    <row r="100" spans="1:11" x14ac:dyDescent="0.35">
      <c r="A100" s="1">
        <v>42952</v>
      </c>
      <c r="B100">
        <v>24.4</v>
      </c>
      <c r="C100">
        <v>21.3</v>
      </c>
      <c r="D100">
        <v>29.5</v>
      </c>
      <c r="E100">
        <v>0</v>
      </c>
      <c r="F100" t="str">
        <f>IF(OR(B100&lt;outliers!$B$7,B100&gt;outliers!$B$6),"Outlier","Normal")</f>
        <v>Normal</v>
      </c>
      <c r="G100" t="str">
        <f>IF(OR(C100&lt;outliers!$B$14,C100&gt;outliers!$B$13),"Outlier","Normal")</f>
        <v>Normal</v>
      </c>
      <c r="H100" t="str">
        <f>IF(OR(D100&lt;outliers!$B$21,D100&gt;outliers!$B$20),"Outlier","Normal")</f>
        <v>Normal</v>
      </c>
      <c r="I100" t="str">
        <f>IF(OR(E100&lt;outliers!$C$28,E100&gt;outliers!$B$27),"Outlier","Normal")</f>
        <v>Normal</v>
      </c>
      <c r="J100">
        <f t="shared" si="4"/>
        <v>2017</v>
      </c>
      <c r="K100" t="str">
        <f t="shared" si="3"/>
        <v>August</v>
      </c>
    </row>
    <row r="101" spans="1:11" x14ac:dyDescent="0.35">
      <c r="A101" s="1">
        <v>42953</v>
      </c>
      <c r="B101">
        <v>24.8</v>
      </c>
      <c r="C101">
        <v>21.3</v>
      </c>
      <c r="D101">
        <v>29.5</v>
      </c>
      <c r="E101">
        <v>0</v>
      </c>
      <c r="F101" t="str">
        <f>IF(OR(B101&lt;outliers!$B$7,B101&gt;outliers!$B$6),"Outlier","Normal")</f>
        <v>Normal</v>
      </c>
      <c r="G101" t="str">
        <f>IF(OR(C101&lt;outliers!$B$14,C101&gt;outliers!$B$13),"Outlier","Normal")</f>
        <v>Normal</v>
      </c>
      <c r="H101" t="str">
        <f>IF(OR(D101&lt;outliers!$B$21,D101&gt;outliers!$B$20),"Outlier","Normal")</f>
        <v>Normal</v>
      </c>
      <c r="I101" t="str">
        <f>IF(OR(E101&lt;outliers!$C$28,E101&gt;outliers!$B$27),"Outlier","Normal")</f>
        <v>Normal</v>
      </c>
      <c r="J101">
        <f t="shared" si="4"/>
        <v>2017</v>
      </c>
      <c r="K101" t="str">
        <f t="shared" si="3"/>
        <v>August</v>
      </c>
    </row>
    <row r="102" spans="1:11" x14ac:dyDescent="0.35">
      <c r="A102" s="1">
        <v>42954</v>
      </c>
      <c r="B102">
        <v>25.7</v>
      </c>
      <c r="C102">
        <v>21.2</v>
      </c>
      <c r="D102">
        <v>30.2</v>
      </c>
      <c r="E102">
        <v>0</v>
      </c>
      <c r="F102" t="str">
        <f>IF(OR(B102&lt;outliers!$B$7,B102&gt;outliers!$B$6),"Outlier","Normal")</f>
        <v>Normal</v>
      </c>
      <c r="G102" t="str">
        <f>IF(OR(C102&lt;outliers!$B$14,C102&gt;outliers!$B$13),"Outlier","Normal")</f>
        <v>Normal</v>
      </c>
      <c r="H102" t="str">
        <f>IF(OR(D102&lt;outliers!$B$21,D102&gt;outliers!$B$20),"Outlier","Normal")</f>
        <v>Normal</v>
      </c>
      <c r="I102" t="str">
        <f>IF(OR(E102&lt;outliers!$C$28,E102&gt;outliers!$B$27),"Outlier","Normal")</f>
        <v>Normal</v>
      </c>
      <c r="J102">
        <f t="shared" si="4"/>
        <v>2017</v>
      </c>
      <c r="K102" t="str">
        <f t="shared" si="3"/>
        <v>August</v>
      </c>
    </row>
    <row r="103" spans="1:11" x14ac:dyDescent="0.35">
      <c r="A103" s="1">
        <v>42956</v>
      </c>
      <c r="B103">
        <v>23.7</v>
      </c>
      <c r="C103">
        <v>21.9</v>
      </c>
      <c r="D103">
        <v>31.3</v>
      </c>
      <c r="E103">
        <v>1</v>
      </c>
      <c r="F103" t="str">
        <f>IF(OR(B103&lt;outliers!$B$7,B103&gt;outliers!$B$6),"Outlier","Normal")</f>
        <v>Normal</v>
      </c>
      <c r="G103" t="str">
        <f>IF(OR(C103&lt;outliers!$B$14,C103&gt;outliers!$B$13),"Outlier","Normal")</f>
        <v>Normal</v>
      </c>
      <c r="H103" t="str">
        <f>IF(OR(D103&lt;outliers!$B$21,D103&gt;outliers!$B$20),"Outlier","Normal")</f>
        <v>Normal</v>
      </c>
      <c r="I103" t="str">
        <f>IF(OR(E103&lt;outliers!$C$28,E103&gt;outliers!$B$27),"Outlier","Normal")</f>
        <v>Normal</v>
      </c>
      <c r="J103">
        <f t="shared" si="4"/>
        <v>2017</v>
      </c>
      <c r="K103" t="str">
        <f t="shared" si="3"/>
        <v>August</v>
      </c>
    </row>
    <row r="104" spans="1:11" hidden="1" x14ac:dyDescent="0.35">
      <c r="A104" s="1">
        <v>42957</v>
      </c>
      <c r="B104">
        <v>23.9</v>
      </c>
      <c r="C104">
        <v>20.7</v>
      </c>
      <c r="D104">
        <v>27.5</v>
      </c>
      <c r="E104">
        <v>13</v>
      </c>
      <c r="F104" t="str">
        <f>IF(OR(B104&lt;outliers!$B$7,B104&gt;outliers!$B$6),"Outlier","Normal")</f>
        <v>Normal</v>
      </c>
      <c r="G104" t="str">
        <f>IF(OR(C104&lt;outliers!$B$14,C104&gt;outliers!$B$13),"Outlier","Normal")</f>
        <v>Normal</v>
      </c>
      <c r="H104" t="str">
        <f>IF(OR(D104&lt;outliers!$B$21,D104&gt;outliers!$B$20),"Outlier","Normal")</f>
        <v>Normal</v>
      </c>
      <c r="I104" t="str">
        <f>IF(OR(E104&lt;outliers!$C$28,E104&gt;outliers!$B$27),"Outlier","Normal")</f>
        <v>Outlier</v>
      </c>
      <c r="J104">
        <f t="shared" si="4"/>
        <v>2017</v>
      </c>
      <c r="K104" t="str">
        <f t="shared" si="3"/>
        <v>August</v>
      </c>
    </row>
    <row r="105" spans="1:11" x14ac:dyDescent="0.35">
      <c r="A105" s="1">
        <v>42958</v>
      </c>
      <c r="B105">
        <v>23.5</v>
      </c>
      <c r="C105">
        <v>19.8</v>
      </c>
      <c r="D105">
        <v>28</v>
      </c>
      <c r="E105">
        <v>4.0999999999999996</v>
      </c>
      <c r="F105" t="str">
        <f>IF(OR(B105&lt;outliers!$B$7,B105&gt;outliers!$B$6),"Outlier","Normal")</f>
        <v>Normal</v>
      </c>
      <c r="G105" t="str">
        <f>IF(OR(C105&lt;outliers!$B$14,C105&gt;outliers!$B$13),"Outlier","Normal")</f>
        <v>Normal</v>
      </c>
      <c r="H105" t="str">
        <f>IF(OR(D105&lt;outliers!$B$21,D105&gt;outliers!$B$20),"Outlier","Normal")</f>
        <v>Normal</v>
      </c>
      <c r="I105" t="str">
        <f>IF(OR(E105&lt;outliers!$C$28,E105&gt;outliers!$B$27),"Outlier","Normal")</f>
        <v>Normal</v>
      </c>
      <c r="J105">
        <f t="shared" si="4"/>
        <v>2017</v>
      </c>
      <c r="K105" t="str">
        <f t="shared" si="3"/>
        <v>August</v>
      </c>
    </row>
    <row r="106" spans="1:11" hidden="1" x14ac:dyDescent="0.35">
      <c r="A106" s="1">
        <v>42959</v>
      </c>
      <c r="B106">
        <v>23.6</v>
      </c>
      <c r="C106">
        <v>20.5</v>
      </c>
      <c r="D106">
        <v>28.2</v>
      </c>
      <c r="E106">
        <v>16.5</v>
      </c>
      <c r="F106" t="str">
        <f>IF(OR(B106&lt;outliers!$B$7,B106&gt;outliers!$B$6),"Outlier","Normal")</f>
        <v>Normal</v>
      </c>
      <c r="G106" t="str">
        <f>IF(OR(C106&lt;outliers!$B$14,C106&gt;outliers!$B$13),"Outlier","Normal")</f>
        <v>Normal</v>
      </c>
      <c r="H106" t="str">
        <f>IF(OR(D106&lt;outliers!$B$21,D106&gt;outliers!$B$20),"Outlier","Normal")</f>
        <v>Normal</v>
      </c>
      <c r="I106" t="str">
        <f>IF(OR(E106&lt;outliers!$C$28,E106&gt;outliers!$B$27),"Outlier","Normal")</f>
        <v>Outlier</v>
      </c>
      <c r="J106">
        <f t="shared" si="4"/>
        <v>2017</v>
      </c>
      <c r="K106" t="str">
        <f t="shared" si="3"/>
        <v>August</v>
      </c>
    </row>
    <row r="107" spans="1:11" x14ac:dyDescent="0.35">
      <c r="A107" s="1">
        <v>42960</v>
      </c>
      <c r="B107">
        <v>23.3</v>
      </c>
      <c r="C107">
        <v>21.2</v>
      </c>
      <c r="D107">
        <v>27.6</v>
      </c>
      <c r="E107">
        <v>0</v>
      </c>
      <c r="F107" t="str">
        <f>IF(OR(B107&lt;outliers!$B$7,B107&gt;outliers!$B$6),"Outlier","Normal")</f>
        <v>Normal</v>
      </c>
      <c r="G107" t="str">
        <f>IF(OR(C107&lt;outliers!$B$14,C107&gt;outliers!$B$13),"Outlier","Normal")</f>
        <v>Normal</v>
      </c>
      <c r="H107" t="str">
        <f>IF(OR(D107&lt;outliers!$B$21,D107&gt;outliers!$B$20),"Outlier","Normal")</f>
        <v>Normal</v>
      </c>
      <c r="I107" t="str">
        <f>IF(OR(E107&lt;outliers!$C$28,E107&gt;outliers!$B$27),"Outlier","Normal")</f>
        <v>Normal</v>
      </c>
      <c r="J107">
        <f t="shared" si="4"/>
        <v>2017</v>
      </c>
      <c r="K107" t="str">
        <f t="shared" si="3"/>
        <v>August</v>
      </c>
    </row>
    <row r="108" spans="1:11" x14ac:dyDescent="0.35">
      <c r="A108" s="1">
        <v>42961</v>
      </c>
      <c r="B108">
        <v>24.7</v>
      </c>
      <c r="C108">
        <v>21.6</v>
      </c>
      <c r="D108">
        <v>28.8</v>
      </c>
      <c r="E108">
        <v>0</v>
      </c>
      <c r="F108" t="str">
        <f>IF(OR(B108&lt;outliers!$B$7,B108&gt;outliers!$B$6),"Outlier","Normal")</f>
        <v>Normal</v>
      </c>
      <c r="G108" t="str">
        <f>IF(OR(C108&lt;outliers!$B$14,C108&gt;outliers!$B$13),"Outlier","Normal")</f>
        <v>Normal</v>
      </c>
      <c r="H108" t="str">
        <f>IF(OR(D108&lt;outliers!$B$21,D108&gt;outliers!$B$20),"Outlier","Normal")</f>
        <v>Normal</v>
      </c>
      <c r="I108" t="str">
        <f>IF(OR(E108&lt;outliers!$C$28,E108&gt;outliers!$B$27),"Outlier","Normal")</f>
        <v>Normal</v>
      </c>
      <c r="J108">
        <f t="shared" si="4"/>
        <v>2017</v>
      </c>
      <c r="K108" t="str">
        <f t="shared" si="3"/>
        <v>August</v>
      </c>
    </row>
    <row r="109" spans="1:11" hidden="1" x14ac:dyDescent="0.35">
      <c r="A109" s="1">
        <v>42962</v>
      </c>
      <c r="B109">
        <v>22.6</v>
      </c>
      <c r="C109">
        <v>19.2</v>
      </c>
      <c r="D109">
        <v>28.3</v>
      </c>
      <c r="E109">
        <v>128.80000000000001</v>
      </c>
      <c r="F109" t="str">
        <f>IF(OR(B109&lt;outliers!$B$7,B109&gt;outliers!$B$6),"Outlier","Normal")</f>
        <v>Normal</v>
      </c>
      <c r="G109" t="str">
        <f>IF(OR(C109&lt;outliers!$B$14,C109&gt;outliers!$B$13),"Outlier","Normal")</f>
        <v>Normal</v>
      </c>
      <c r="H109" t="str">
        <f>IF(OR(D109&lt;outliers!$B$21,D109&gt;outliers!$B$20),"Outlier","Normal")</f>
        <v>Normal</v>
      </c>
      <c r="I109" t="str">
        <f>IF(OR(E109&lt;outliers!$C$28,E109&gt;outliers!$B$27),"Outlier","Normal")</f>
        <v>Outlier</v>
      </c>
      <c r="J109">
        <f t="shared" si="4"/>
        <v>2017</v>
      </c>
      <c r="K109" t="str">
        <f t="shared" si="3"/>
        <v>August</v>
      </c>
    </row>
    <row r="110" spans="1:11" hidden="1" x14ac:dyDescent="0.35">
      <c r="A110" s="1">
        <v>42963</v>
      </c>
      <c r="B110">
        <v>23</v>
      </c>
      <c r="C110">
        <v>20</v>
      </c>
      <c r="D110">
        <v>27.4</v>
      </c>
      <c r="E110">
        <v>30.5</v>
      </c>
      <c r="F110" t="str">
        <f>IF(OR(B110&lt;outliers!$B$7,B110&gt;outliers!$B$6),"Outlier","Normal")</f>
        <v>Normal</v>
      </c>
      <c r="G110" t="str">
        <f>IF(OR(C110&lt;outliers!$B$14,C110&gt;outliers!$B$13),"Outlier","Normal")</f>
        <v>Normal</v>
      </c>
      <c r="H110" t="str">
        <f>IF(OR(D110&lt;outliers!$B$21,D110&gt;outliers!$B$20),"Outlier","Normal")</f>
        <v>Normal</v>
      </c>
      <c r="I110" t="str">
        <f>IF(OR(E110&lt;outliers!$C$28,E110&gt;outliers!$B$27),"Outlier","Normal")</f>
        <v>Outlier</v>
      </c>
      <c r="J110">
        <f t="shared" si="4"/>
        <v>2017</v>
      </c>
      <c r="K110" t="str">
        <f t="shared" si="3"/>
        <v>August</v>
      </c>
    </row>
    <row r="111" spans="1:11" hidden="1" x14ac:dyDescent="0.35">
      <c r="A111" s="1">
        <v>42964</v>
      </c>
      <c r="B111">
        <v>23.2</v>
      </c>
      <c r="C111">
        <v>19.8</v>
      </c>
      <c r="D111">
        <v>28.5</v>
      </c>
      <c r="E111">
        <v>26.4</v>
      </c>
      <c r="F111" t="str">
        <f>IF(OR(B111&lt;outliers!$B$7,B111&gt;outliers!$B$6),"Outlier","Normal")</f>
        <v>Normal</v>
      </c>
      <c r="G111" t="str">
        <f>IF(OR(C111&lt;outliers!$B$14,C111&gt;outliers!$B$13),"Outlier","Normal")</f>
        <v>Normal</v>
      </c>
      <c r="H111" t="str">
        <f>IF(OR(D111&lt;outliers!$B$21,D111&gt;outliers!$B$20),"Outlier","Normal")</f>
        <v>Normal</v>
      </c>
      <c r="I111" t="str">
        <f>IF(OR(E111&lt;outliers!$C$28,E111&gt;outliers!$B$27),"Outlier","Normal")</f>
        <v>Outlier</v>
      </c>
      <c r="J111">
        <f t="shared" si="4"/>
        <v>2017</v>
      </c>
      <c r="K111" t="str">
        <f t="shared" si="3"/>
        <v>August</v>
      </c>
    </row>
    <row r="112" spans="1:11" x14ac:dyDescent="0.35">
      <c r="A112" s="1">
        <v>42965</v>
      </c>
      <c r="B112">
        <v>23.2</v>
      </c>
      <c r="C112">
        <v>20.399999999999999</v>
      </c>
      <c r="D112">
        <v>29.2</v>
      </c>
      <c r="E112">
        <v>7.9</v>
      </c>
      <c r="F112" t="str">
        <f>IF(OR(B112&lt;outliers!$B$7,B112&gt;outliers!$B$6),"Outlier","Normal")</f>
        <v>Normal</v>
      </c>
      <c r="G112" t="str">
        <f>IF(OR(C112&lt;outliers!$B$14,C112&gt;outliers!$B$13),"Outlier","Normal")</f>
        <v>Normal</v>
      </c>
      <c r="H112" t="str">
        <f>IF(OR(D112&lt;outliers!$B$21,D112&gt;outliers!$B$20),"Outlier","Normal")</f>
        <v>Normal</v>
      </c>
      <c r="I112" t="str">
        <f>IF(OR(E112&lt;outliers!$C$28,E112&gt;outliers!$B$27),"Outlier","Normal")</f>
        <v>Normal</v>
      </c>
      <c r="J112">
        <f t="shared" si="4"/>
        <v>2017</v>
      </c>
      <c r="K112" t="str">
        <f t="shared" si="3"/>
        <v>August</v>
      </c>
    </row>
    <row r="113" spans="1:11" x14ac:dyDescent="0.35">
      <c r="A113" s="1">
        <v>42966</v>
      </c>
      <c r="B113">
        <v>22.6</v>
      </c>
      <c r="C113">
        <v>20.3</v>
      </c>
      <c r="D113">
        <v>28.9</v>
      </c>
      <c r="E113">
        <v>5.3</v>
      </c>
      <c r="F113" t="str">
        <f>IF(OR(B113&lt;outliers!$B$7,B113&gt;outliers!$B$6),"Outlier","Normal")</f>
        <v>Normal</v>
      </c>
      <c r="G113" t="str">
        <f>IF(OR(C113&lt;outliers!$B$14,C113&gt;outliers!$B$13),"Outlier","Normal")</f>
        <v>Normal</v>
      </c>
      <c r="H113" t="str">
        <f>IF(OR(D113&lt;outliers!$B$21,D113&gt;outliers!$B$20),"Outlier","Normal")</f>
        <v>Normal</v>
      </c>
      <c r="I113" t="str">
        <f>IF(OR(E113&lt;outliers!$C$28,E113&gt;outliers!$B$27),"Outlier","Normal")</f>
        <v>Normal</v>
      </c>
      <c r="J113">
        <f t="shared" si="4"/>
        <v>2017</v>
      </c>
      <c r="K113" t="str">
        <f t="shared" si="3"/>
        <v>August</v>
      </c>
    </row>
    <row r="114" spans="1:11" hidden="1" x14ac:dyDescent="0.35">
      <c r="A114" s="1">
        <v>42967</v>
      </c>
      <c r="B114">
        <v>22.3</v>
      </c>
      <c r="C114">
        <v>20.3</v>
      </c>
      <c r="D114">
        <v>28.6</v>
      </c>
      <c r="E114">
        <v>13.2</v>
      </c>
      <c r="F114" t="str">
        <f>IF(OR(B114&lt;outliers!$B$7,B114&gt;outliers!$B$6),"Outlier","Normal")</f>
        <v>Normal</v>
      </c>
      <c r="G114" t="str">
        <f>IF(OR(C114&lt;outliers!$B$14,C114&gt;outliers!$B$13),"Outlier","Normal")</f>
        <v>Normal</v>
      </c>
      <c r="H114" t="str">
        <f>IF(OR(D114&lt;outliers!$B$21,D114&gt;outliers!$B$20),"Outlier","Normal")</f>
        <v>Normal</v>
      </c>
      <c r="I114" t="str">
        <f>IF(OR(E114&lt;outliers!$C$28,E114&gt;outliers!$B$27),"Outlier","Normal")</f>
        <v>Outlier</v>
      </c>
      <c r="J114">
        <f t="shared" si="4"/>
        <v>2017</v>
      </c>
      <c r="K114" t="str">
        <f t="shared" si="3"/>
        <v>August</v>
      </c>
    </row>
    <row r="115" spans="1:11" x14ac:dyDescent="0.35">
      <c r="A115" s="1">
        <v>42968</v>
      </c>
      <c r="B115">
        <v>23.6</v>
      </c>
      <c r="C115">
        <v>20.3</v>
      </c>
      <c r="D115">
        <v>28.8</v>
      </c>
      <c r="E115">
        <v>3.3</v>
      </c>
      <c r="F115" t="str">
        <f>IF(OR(B115&lt;outliers!$B$7,B115&gt;outliers!$B$6),"Outlier","Normal")</f>
        <v>Normal</v>
      </c>
      <c r="G115" t="str">
        <f>IF(OR(C115&lt;outliers!$B$14,C115&gt;outliers!$B$13),"Outlier","Normal")</f>
        <v>Normal</v>
      </c>
      <c r="H115" t="str">
        <f>IF(OR(D115&lt;outliers!$B$21,D115&gt;outliers!$B$20),"Outlier","Normal")</f>
        <v>Normal</v>
      </c>
      <c r="I115" t="str">
        <f>IF(OR(E115&lt;outliers!$C$28,E115&gt;outliers!$B$27),"Outlier","Normal")</f>
        <v>Normal</v>
      </c>
      <c r="J115">
        <f t="shared" si="4"/>
        <v>2017</v>
      </c>
      <c r="K115" t="str">
        <f t="shared" si="3"/>
        <v>August</v>
      </c>
    </row>
    <row r="116" spans="1:11" x14ac:dyDescent="0.35">
      <c r="A116" s="1">
        <v>42969</v>
      </c>
      <c r="B116">
        <v>23.4</v>
      </c>
      <c r="C116">
        <v>20.2</v>
      </c>
      <c r="D116">
        <v>28</v>
      </c>
      <c r="E116">
        <v>0</v>
      </c>
      <c r="F116" t="str">
        <f>IF(OR(B116&lt;outliers!$B$7,B116&gt;outliers!$B$6),"Outlier","Normal")</f>
        <v>Normal</v>
      </c>
      <c r="G116" t="str">
        <f>IF(OR(C116&lt;outliers!$B$14,C116&gt;outliers!$B$13),"Outlier","Normal")</f>
        <v>Normal</v>
      </c>
      <c r="H116" t="str">
        <f>IF(OR(D116&lt;outliers!$B$21,D116&gt;outliers!$B$20),"Outlier","Normal")</f>
        <v>Normal</v>
      </c>
      <c r="I116" t="str">
        <f>IF(OR(E116&lt;outliers!$C$28,E116&gt;outliers!$B$27),"Outlier","Normal")</f>
        <v>Normal</v>
      </c>
      <c r="J116">
        <f t="shared" si="4"/>
        <v>2017</v>
      </c>
      <c r="K116" t="str">
        <f t="shared" si="3"/>
        <v>August</v>
      </c>
    </row>
    <row r="117" spans="1:11" hidden="1" x14ac:dyDescent="0.35">
      <c r="A117" s="1">
        <v>42970</v>
      </c>
      <c r="B117">
        <v>24</v>
      </c>
      <c r="C117">
        <v>20.6</v>
      </c>
      <c r="D117">
        <v>28</v>
      </c>
      <c r="E117">
        <v>10.9</v>
      </c>
      <c r="F117" t="str">
        <f>IF(OR(B117&lt;outliers!$B$7,B117&gt;outliers!$B$6),"Outlier","Normal")</f>
        <v>Normal</v>
      </c>
      <c r="G117" t="str">
        <f>IF(OR(C117&lt;outliers!$B$14,C117&gt;outliers!$B$13),"Outlier","Normal")</f>
        <v>Normal</v>
      </c>
      <c r="H117" t="str">
        <f>IF(OR(D117&lt;outliers!$B$21,D117&gt;outliers!$B$20),"Outlier","Normal")</f>
        <v>Normal</v>
      </c>
      <c r="I117" t="str">
        <f>IF(OR(E117&lt;outliers!$C$28,E117&gt;outliers!$B$27),"Outlier","Normal")</f>
        <v>Outlier</v>
      </c>
      <c r="J117">
        <f t="shared" si="4"/>
        <v>2017</v>
      </c>
      <c r="K117" t="str">
        <f t="shared" si="3"/>
        <v>August</v>
      </c>
    </row>
    <row r="118" spans="1:11" hidden="1" x14ac:dyDescent="0.35">
      <c r="A118" s="1">
        <v>42971</v>
      </c>
      <c r="B118">
        <v>23</v>
      </c>
      <c r="C118">
        <v>20.6</v>
      </c>
      <c r="D118">
        <v>28.6</v>
      </c>
      <c r="E118">
        <v>42.4</v>
      </c>
      <c r="F118" t="str">
        <f>IF(OR(B118&lt;outliers!$B$7,B118&gt;outliers!$B$6),"Outlier","Normal")</f>
        <v>Normal</v>
      </c>
      <c r="G118" t="str">
        <f>IF(OR(C118&lt;outliers!$B$14,C118&gt;outliers!$B$13),"Outlier","Normal")</f>
        <v>Normal</v>
      </c>
      <c r="H118" t="str">
        <f>IF(OR(D118&lt;outliers!$B$21,D118&gt;outliers!$B$20),"Outlier","Normal")</f>
        <v>Normal</v>
      </c>
      <c r="I118" t="str">
        <f>IF(OR(E118&lt;outliers!$C$28,E118&gt;outliers!$B$27),"Outlier","Normal")</f>
        <v>Outlier</v>
      </c>
      <c r="J118">
        <f t="shared" si="4"/>
        <v>2017</v>
      </c>
      <c r="K118" t="str">
        <f t="shared" si="3"/>
        <v>August</v>
      </c>
    </row>
    <row r="119" spans="1:11" hidden="1" x14ac:dyDescent="0.35">
      <c r="A119" s="1">
        <v>42972</v>
      </c>
      <c r="B119">
        <v>22.8</v>
      </c>
      <c r="C119">
        <v>20.5</v>
      </c>
      <c r="D119">
        <v>26.8</v>
      </c>
      <c r="E119">
        <v>31.8</v>
      </c>
      <c r="F119" t="str">
        <f>IF(OR(B119&lt;outliers!$B$7,B119&gt;outliers!$B$6),"Outlier","Normal")</f>
        <v>Normal</v>
      </c>
      <c r="G119" t="str">
        <f>IF(OR(C119&lt;outliers!$B$14,C119&gt;outliers!$B$13),"Outlier","Normal")</f>
        <v>Normal</v>
      </c>
      <c r="H119" t="str">
        <f>IF(OR(D119&lt;outliers!$B$21,D119&gt;outliers!$B$20),"Outlier","Normal")</f>
        <v>Normal</v>
      </c>
      <c r="I119" t="str">
        <f>IF(OR(E119&lt;outliers!$C$28,E119&gt;outliers!$B$27),"Outlier","Normal")</f>
        <v>Outlier</v>
      </c>
      <c r="J119">
        <f t="shared" si="4"/>
        <v>2017</v>
      </c>
      <c r="K119" t="str">
        <f t="shared" si="3"/>
        <v>August</v>
      </c>
    </row>
    <row r="120" spans="1:11" x14ac:dyDescent="0.35">
      <c r="A120" s="1">
        <v>42973</v>
      </c>
      <c r="B120">
        <v>23.8</v>
      </c>
      <c r="C120">
        <v>20.8</v>
      </c>
      <c r="D120">
        <v>29.8</v>
      </c>
      <c r="E120">
        <v>0.3</v>
      </c>
      <c r="F120" t="str">
        <f>IF(OR(B120&lt;outliers!$B$7,B120&gt;outliers!$B$6),"Outlier","Normal")</f>
        <v>Normal</v>
      </c>
      <c r="G120" t="str">
        <f>IF(OR(C120&lt;outliers!$B$14,C120&gt;outliers!$B$13),"Outlier","Normal")</f>
        <v>Normal</v>
      </c>
      <c r="H120" t="str">
        <f>IF(OR(D120&lt;outliers!$B$21,D120&gt;outliers!$B$20),"Outlier","Normal")</f>
        <v>Normal</v>
      </c>
      <c r="I120" t="str">
        <f>IF(OR(E120&lt;outliers!$C$28,E120&gt;outliers!$B$27),"Outlier","Normal")</f>
        <v>Normal</v>
      </c>
      <c r="J120">
        <f t="shared" si="4"/>
        <v>2017</v>
      </c>
      <c r="K120" t="str">
        <f t="shared" si="3"/>
        <v>August</v>
      </c>
    </row>
    <row r="121" spans="1:11" x14ac:dyDescent="0.35">
      <c r="A121" s="1">
        <v>42974</v>
      </c>
      <c r="B121">
        <v>22.3</v>
      </c>
      <c r="C121">
        <v>21</v>
      </c>
      <c r="D121">
        <v>28.5</v>
      </c>
      <c r="E121">
        <v>0.3</v>
      </c>
      <c r="F121" t="str">
        <f>IF(OR(B121&lt;outliers!$B$7,B121&gt;outliers!$B$6),"Outlier","Normal")</f>
        <v>Normal</v>
      </c>
      <c r="G121" t="str">
        <f>IF(OR(C121&lt;outliers!$B$14,C121&gt;outliers!$B$13),"Outlier","Normal")</f>
        <v>Normal</v>
      </c>
      <c r="H121" t="str">
        <f>IF(OR(D121&lt;outliers!$B$21,D121&gt;outliers!$B$20),"Outlier","Normal")</f>
        <v>Normal</v>
      </c>
      <c r="I121" t="str">
        <f>IF(OR(E121&lt;outliers!$C$28,E121&gt;outliers!$B$27),"Outlier","Normal")</f>
        <v>Normal</v>
      </c>
      <c r="J121">
        <f t="shared" si="4"/>
        <v>2017</v>
      </c>
      <c r="K121" t="str">
        <f t="shared" si="3"/>
        <v>August</v>
      </c>
    </row>
    <row r="122" spans="1:11" x14ac:dyDescent="0.35">
      <c r="A122" s="1">
        <v>42975</v>
      </c>
      <c r="B122">
        <v>22.8</v>
      </c>
      <c r="C122">
        <v>20.5</v>
      </c>
      <c r="D122">
        <v>26.5</v>
      </c>
      <c r="E122">
        <v>6.1</v>
      </c>
      <c r="F122" t="str">
        <f>IF(OR(B122&lt;outliers!$B$7,B122&gt;outliers!$B$6),"Outlier","Normal")</f>
        <v>Normal</v>
      </c>
      <c r="G122" t="str">
        <f>IF(OR(C122&lt;outliers!$B$14,C122&gt;outliers!$B$13),"Outlier","Normal")</f>
        <v>Normal</v>
      </c>
      <c r="H122" t="str">
        <f>IF(OR(D122&lt;outliers!$B$21,D122&gt;outliers!$B$20),"Outlier","Normal")</f>
        <v>Normal</v>
      </c>
      <c r="I122" t="str">
        <f>IF(OR(E122&lt;outliers!$C$28,E122&gt;outliers!$B$27),"Outlier","Normal")</f>
        <v>Normal</v>
      </c>
      <c r="J122">
        <f t="shared" si="4"/>
        <v>2017</v>
      </c>
      <c r="K122" t="str">
        <f t="shared" si="3"/>
        <v>August</v>
      </c>
    </row>
    <row r="123" spans="1:11" x14ac:dyDescent="0.35">
      <c r="A123" s="1">
        <v>42976</v>
      </c>
      <c r="B123">
        <v>22.4</v>
      </c>
      <c r="C123">
        <v>20.5</v>
      </c>
      <c r="D123">
        <v>26.2</v>
      </c>
      <c r="E123">
        <v>0</v>
      </c>
      <c r="F123" t="str">
        <f>IF(OR(B123&lt;outliers!$B$7,B123&gt;outliers!$B$6),"Outlier","Normal")</f>
        <v>Normal</v>
      </c>
      <c r="G123" t="str">
        <f>IF(OR(C123&lt;outliers!$B$14,C123&gt;outliers!$B$13),"Outlier","Normal")</f>
        <v>Normal</v>
      </c>
      <c r="H123" t="str">
        <f>IF(OR(D123&lt;outliers!$B$21,D123&gt;outliers!$B$20),"Outlier","Normal")</f>
        <v>Normal</v>
      </c>
      <c r="I123" t="str">
        <f>IF(OR(E123&lt;outliers!$C$28,E123&gt;outliers!$B$27),"Outlier","Normal")</f>
        <v>Normal</v>
      </c>
      <c r="J123">
        <f t="shared" si="4"/>
        <v>2017</v>
      </c>
      <c r="K123" t="str">
        <f t="shared" si="3"/>
        <v>August</v>
      </c>
    </row>
    <row r="124" spans="1:11" x14ac:dyDescent="0.35">
      <c r="A124" s="1">
        <v>42977</v>
      </c>
      <c r="B124">
        <v>24.5</v>
      </c>
      <c r="C124">
        <v>21.1</v>
      </c>
      <c r="D124">
        <v>29.7</v>
      </c>
      <c r="E124">
        <v>0</v>
      </c>
      <c r="F124" t="str">
        <f>IF(OR(B124&lt;outliers!$B$7,B124&gt;outliers!$B$6),"Outlier","Normal")</f>
        <v>Normal</v>
      </c>
      <c r="G124" t="str">
        <f>IF(OR(C124&lt;outliers!$B$14,C124&gt;outliers!$B$13),"Outlier","Normal")</f>
        <v>Normal</v>
      </c>
      <c r="H124" t="str">
        <f>IF(OR(D124&lt;outliers!$B$21,D124&gt;outliers!$B$20),"Outlier","Normal")</f>
        <v>Normal</v>
      </c>
      <c r="I124" t="str">
        <f>IF(OR(E124&lt;outliers!$C$28,E124&gt;outliers!$B$27),"Outlier","Normal")</f>
        <v>Normal</v>
      </c>
      <c r="J124">
        <f t="shared" si="4"/>
        <v>2017</v>
      </c>
      <c r="K124" t="str">
        <f t="shared" si="3"/>
        <v>August</v>
      </c>
    </row>
    <row r="125" spans="1:11" x14ac:dyDescent="0.35">
      <c r="A125" s="1">
        <v>42978</v>
      </c>
      <c r="B125">
        <v>24.8</v>
      </c>
      <c r="C125">
        <v>21</v>
      </c>
      <c r="D125">
        <v>29.9</v>
      </c>
      <c r="E125">
        <v>0</v>
      </c>
      <c r="F125" t="str">
        <f>IF(OR(B125&lt;outliers!$B$7,B125&gt;outliers!$B$6),"Outlier","Normal")</f>
        <v>Normal</v>
      </c>
      <c r="G125" t="str">
        <f>IF(OR(C125&lt;outliers!$B$14,C125&gt;outliers!$B$13),"Outlier","Normal")</f>
        <v>Normal</v>
      </c>
      <c r="H125" t="str">
        <f>IF(OR(D125&lt;outliers!$B$21,D125&gt;outliers!$B$20),"Outlier","Normal")</f>
        <v>Normal</v>
      </c>
      <c r="I125" t="str">
        <f>IF(OR(E125&lt;outliers!$C$28,E125&gt;outliers!$B$27),"Outlier","Normal")</f>
        <v>Normal</v>
      </c>
      <c r="J125">
        <f t="shared" si="4"/>
        <v>2017</v>
      </c>
      <c r="K125" t="str">
        <f t="shared" si="3"/>
        <v>August</v>
      </c>
    </row>
    <row r="126" spans="1:11" hidden="1" x14ac:dyDescent="0.35">
      <c r="A126" s="1">
        <v>42979</v>
      </c>
      <c r="B126">
        <v>23.7</v>
      </c>
      <c r="C126">
        <v>19.8</v>
      </c>
      <c r="D126">
        <v>30.6</v>
      </c>
      <c r="E126">
        <v>71.900000000000006</v>
      </c>
      <c r="F126" t="str">
        <f>IF(OR(B126&lt;outliers!$B$7,B126&gt;outliers!$B$6),"Outlier","Normal")</f>
        <v>Normal</v>
      </c>
      <c r="G126" t="str">
        <f>IF(OR(C126&lt;outliers!$B$14,C126&gt;outliers!$B$13),"Outlier","Normal")</f>
        <v>Normal</v>
      </c>
      <c r="H126" t="str">
        <f>IF(OR(D126&lt;outliers!$B$21,D126&gt;outliers!$B$20),"Outlier","Normal")</f>
        <v>Normal</v>
      </c>
      <c r="I126" t="str">
        <f>IF(OR(E126&lt;outliers!$C$28,E126&gt;outliers!$B$27),"Outlier","Normal")</f>
        <v>Outlier</v>
      </c>
      <c r="J126">
        <f t="shared" si="4"/>
        <v>2017</v>
      </c>
      <c r="K126" t="str">
        <f t="shared" si="3"/>
        <v>August</v>
      </c>
    </row>
    <row r="127" spans="1:11" hidden="1" x14ac:dyDescent="0.35">
      <c r="A127" s="1">
        <v>42980</v>
      </c>
      <c r="B127">
        <v>22.5</v>
      </c>
      <c r="C127">
        <v>20.8</v>
      </c>
      <c r="D127">
        <v>27.8</v>
      </c>
      <c r="E127">
        <v>33</v>
      </c>
      <c r="F127" t="str">
        <f>IF(OR(B127&lt;outliers!$B$7,B127&gt;outliers!$B$6),"Outlier","Normal")</f>
        <v>Normal</v>
      </c>
      <c r="G127" t="str">
        <f>IF(OR(C127&lt;outliers!$B$14,C127&gt;outliers!$B$13),"Outlier","Normal")</f>
        <v>Normal</v>
      </c>
      <c r="H127" t="str">
        <f>IF(OR(D127&lt;outliers!$B$21,D127&gt;outliers!$B$20),"Outlier","Normal")</f>
        <v>Normal</v>
      </c>
      <c r="I127" t="str">
        <f>IF(OR(E127&lt;outliers!$C$28,E127&gt;outliers!$B$27),"Outlier","Normal")</f>
        <v>Outlier</v>
      </c>
      <c r="J127">
        <f t="shared" si="4"/>
        <v>2017</v>
      </c>
      <c r="K127" t="str">
        <f t="shared" si="3"/>
        <v>September</v>
      </c>
    </row>
    <row r="128" spans="1:11" hidden="1" x14ac:dyDescent="0.35">
      <c r="A128" s="1">
        <v>42981</v>
      </c>
      <c r="B128">
        <v>23.2</v>
      </c>
      <c r="C128">
        <v>19.899999999999999</v>
      </c>
      <c r="D128">
        <v>27.3</v>
      </c>
      <c r="E128">
        <v>21.8</v>
      </c>
      <c r="F128" t="str">
        <f>IF(OR(B128&lt;outliers!$B$7,B128&gt;outliers!$B$6),"Outlier","Normal")</f>
        <v>Normal</v>
      </c>
      <c r="G128" t="str">
        <f>IF(OR(C128&lt;outliers!$B$14,C128&gt;outliers!$B$13),"Outlier","Normal")</f>
        <v>Normal</v>
      </c>
      <c r="H128" t="str">
        <f>IF(OR(D128&lt;outliers!$B$21,D128&gt;outliers!$B$20),"Outlier","Normal")</f>
        <v>Normal</v>
      </c>
      <c r="I128" t="str">
        <f>IF(OR(E128&lt;outliers!$C$28,E128&gt;outliers!$B$27),"Outlier","Normal")</f>
        <v>Outlier</v>
      </c>
      <c r="J128">
        <f t="shared" si="4"/>
        <v>2017</v>
      </c>
      <c r="K128" t="str">
        <f t="shared" si="3"/>
        <v>September</v>
      </c>
    </row>
    <row r="129" spans="1:11" hidden="1" x14ac:dyDescent="0.35">
      <c r="A129" s="1">
        <v>42982</v>
      </c>
      <c r="B129">
        <v>24.7</v>
      </c>
      <c r="C129">
        <v>18.7</v>
      </c>
      <c r="D129">
        <v>29.8</v>
      </c>
      <c r="E129">
        <v>56.9</v>
      </c>
      <c r="F129" t="str">
        <f>IF(OR(B129&lt;outliers!$B$7,B129&gt;outliers!$B$6),"Outlier","Normal")</f>
        <v>Normal</v>
      </c>
      <c r="G129" t="str">
        <f>IF(OR(C129&lt;outliers!$B$14,C129&gt;outliers!$B$13),"Outlier","Normal")</f>
        <v>Normal</v>
      </c>
      <c r="H129" t="str">
        <f>IF(OR(D129&lt;outliers!$B$21,D129&gt;outliers!$B$20),"Outlier","Normal")</f>
        <v>Normal</v>
      </c>
      <c r="I129" t="str">
        <f>IF(OR(E129&lt;outliers!$C$28,E129&gt;outliers!$B$27),"Outlier","Normal")</f>
        <v>Outlier</v>
      </c>
      <c r="J129">
        <f t="shared" si="4"/>
        <v>2017</v>
      </c>
      <c r="K129" t="str">
        <f t="shared" si="3"/>
        <v>September</v>
      </c>
    </row>
    <row r="130" spans="1:11" x14ac:dyDescent="0.35">
      <c r="A130" s="1">
        <v>42983</v>
      </c>
      <c r="B130">
        <v>24.8</v>
      </c>
      <c r="C130">
        <v>19.899999999999999</v>
      </c>
      <c r="D130">
        <v>30.2</v>
      </c>
      <c r="E130">
        <v>2.5</v>
      </c>
      <c r="F130" t="str">
        <f>IF(OR(B130&lt;outliers!$B$7,B130&gt;outliers!$B$6),"Outlier","Normal")</f>
        <v>Normal</v>
      </c>
      <c r="G130" t="str">
        <f>IF(OR(C130&lt;outliers!$B$14,C130&gt;outliers!$B$13),"Outlier","Normal")</f>
        <v>Normal</v>
      </c>
      <c r="H130" t="str">
        <f>IF(OR(D130&lt;outliers!$B$21,D130&gt;outliers!$B$20),"Outlier","Normal")</f>
        <v>Normal</v>
      </c>
      <c r="I130" t="str">
        <f>IF(OR(E130&lt;outliers!$C$28,E130&gt;outliers!$B$27),"Outlier","Normal")</f>
        <v>Normal</v>
      </c>
      <c r="J130">
        <f t="shared" si="4"/>
        <v>2017</v>
      </c>
      <c r="K130" t="str">
        <f t="shared" ref="K130:K193" si="5">TEXT(A129,"mmmm")</f>
        <v>September</v>
      </c>
    </row>
    <row r="131" spans="1:11" hidden="1" x14ac:dyDescent="0.35">
      <c r="A131" s="1">
        <v>42984</v>
      </c>
      <c r="B131">
        <v>23</v>
      </c>
      <c r="C131">
        <v>19.8</v>
      </c>
      <c r="D131">
        <v>29.8</v>
      </c>
      <c r="E131">
        <v>15.5</v>
      </c>
      <c r="F131" t="str">
        <f>IF(OR(B131&lt;outliers!$B$7,B131&gt;outliers!$B$6),"Outlier","Normal")</f>
        <v>Normal</v>
      </c>
      <c r="G131" t="str">
        <f>IF(OR(C131&lt;outliers!$B$14,C131&gt;outliers!$B$13),"Outlier","Normal")</f>
        <v>Normal</v>
      </c>
      <c r="H131" t="str">
        <f>IF(OR(D131&lt;outliers!$B$21,D131&gt;outliers!$B$20),"Outlier","Normal")</f>
        <v>Normal</v>
      </c>
      <c r="I131" t="str">
        <f>IF(OR(E131&lt;outliers!$C$28,E131&gt;outliers!$B$27),"Outlier","Normal")</f>
        <v>Outlier</v>
      </c>
      <c r="J131">
        <f t="shared" si="4"/>
        <v>2017</v>
      </c>
      <c r="K131" t="str">
        <f t="shared" si="5"/>
        <v>September</v>
      </c>
    </row>
    <row r="132" spans="1:11" x14ac:dyDescent="0.35">
      <c r="A132" s="1">
        <v>42985</v>
      </c>
      <c r="B132">
        <v>24.1</v>
      </c>
      <c r="C132">
        <v>21.3</v>
      </c>
      <c r="D132">
        <v>28.5</v>
      </c>
      <c r="E132">
        <v>6.6</v>
      </c>
      <c r="F132" t="str">
        <f>IF(OR(B132&lt;outliers!$B$7,B132&gt;outliers!$B$6),"Outlier","Normal")</f>
        <v>Normal</v>
      </c>
      <c r="G132" t="str">
        <f>IF(OR(C132&lt;outliers!$B$14,C132&gt;outliers!$B$13),"Outlier","Normal")</f>
        <v>Normal</v>
      </c>
      <c r="H132" t="str">
        <f>IF(OR(D132&lt;outliers!$B$21,D132&gt;outliers!$B$20),"Outlier","Normal")</f>
        <v>Normal</v>
      </c>
      <c r="I132" t="str">
        <f>IF(OR(E132&lt;outliers!$C$28,E132&gt;outliers!$B$27),"Outlier","Normal")</f>
        <v>Normal</v>
      </c>
      <c r="J132">
        <f t="shared" si="4"/>
        <v>2017</v>
      </c>
      <c r="K132" t="str">
        <f t="shared" si="5"/>
        <v>September</v>
      </c>
    </row>
    <row r="133" spans="1:11" x14ac:dyDescent="0.35">
      <c r="A133" s="1">
        <v>42986</v>
      </c>
      <c r="B133">
        <v>23.2</v>
      </c>
      <c r="C133">
        <v>19.8</v>
      </c>
      <c r="D133">
        <v>29.3</v>
      </c>
      <c r="E133">
        <v>1.3</v>
      </c>
      <c r="F133" t="str">
        <f>IF(OR(B133&lt;outliers!$B$7,B133&gt;outliers!$B$6),"Outlier","Normal")</f>
        <v>Normal</v>
      </c>
      <c r="G133" t="str">
        <f>IF(OR(C133&lt;outliers!$B$14,C133&gt;outliers!$B$13),"Outlier","Normal")</f>
        <v>Normal</v>
      </c>
      <c r="H133" t="str">
        <f>IF(OR(D133&lt;outliers!$B$21,D133&gt;outliers!$B$20),"Outlier","Normal")</f>
        <v>Normal</v>
      </c>
      <c r="I133" t="str">
        <f>IF(OR(E133&lt;outliers!$C$28,E133&gt;outliers!$B$27),"Outlier","Normal")</f>
        <v>Normal</v>
      </c>
      <c r="J133">
        <f t="shared" si="4"/>
        <v>2017</v>
      </c>
      <c r="K133" t="str">
        <f t="shared" si="5"/>
        <v>September</v>
      </c>
    </row>
    <row r="134" spans="1:11" hidden="1" x14ac:dyDescent="0.35">
      <c r="A134" s="1">
        <v>42987</v>
      </c>
      <c r="B134">
        <v>23.6</v>
      </c>
      <c r="C134">
        <v>20</v>
      </c>
      <c r="D134">
        <v>28.2</v>
      </c>
      <c r="E134">
        <v>68.3</v>
      </c>
      <c r="F134" t="str">
        <f>IF(OR(B134&lt;outliers!$B$7,B134&gt;outliers!$B$6),"Outlier","Normal")</f>
        <v>Normal</v>
      </c>
      <c r="G134" t="str">
        <f>IF(OR(C134&lt;outliers!$B$14,C134&gt;outliers!$B$13),"Outlier","Normal")</f>
        <v>Normal</v>
      </c>
      <c r="H134" t="str">
        <f>IF(OR(D134&lt;outliers!$B$21,D134&gt;outliers!$B$20),"Outlier","Normal")</f>
        <v>Normal</v>
      </c>
      <c r="I134" t="str">
        <f>IF(OR(E134&lt;outliers!$C$28,E134&gt;outliers!$B$27),"Outlier","Normal")</f>
        <v>Outlier</v>
      </c>
      <c r="J134">
        <f t="shared" si="4"/>
        <v>2017</v>
      </c>
      <c r="K134" t="str">
        <f t="shared" si="5"/>
        <v>September</v>
      </c>
    </row>
    <row r="135" spans="1:11" hidden="1" x14ac:dyDescent="0.35">
      <c r="A135" s="1">
        <v>42988</v>
      </c>
      <c r="B135">
        <v>24.1</v>
      </c>
      <c r="C135">
        <v>20.3</v>
      </c>
      <c r="D135">
        <v>28</v>
      </c>
      <c r="E135">
        <v>66</v>
      </c>
      <c r="F135" t="str">
        <f>IF(OR(B135&lt;outliers!$B$7,B135&gt;outliers!$B$6),"Outlier","Normal")</f>
        <v>Normal</v>
      </c>
      <c r="G135" t="str">
        <f>IF(OR(C135&lt;outliers!$B$14,C135&gt;outliers!$B$13),"Outlier","Normal")</f>
        <v>Normal</v>
      </c>
      <c r="H135" t="str">
        <f>IF(OR(D135&lt;outliers!$B$21,D135&gt;outliers!$B$20),"Outlier","Normal")</f>
        <v>Normal</v>
      </c>
      <c r="I135" t="str">
        <f>IF(OR(E135&lt;outliers!$C$28,E135&gt;outliers!$B$27),"Outlier","Normal")</f>
        <v>Outlier</v>
      </c>
      <c r="J135">
        <f t="shared" si="4"/>
        <v>2017</v>
      </c>
      <c r="K135" t="str">
        <f t="shared" si="5"/>
        <v>September</v>
      </c>
    </row>
    <row r="136" spans="1:11" x14ac:dyDescent="0.35">
      <c r="A136" s="1">
        <v>42989</v>
      </c>
      <c r="B136">
        <v>24.8</v>
      </c>
      <c r="C136">
        <v>21.9</v>
      </c>
      <c r="D136">
        <v>27.8</v>
      </c>
      <c r="E136">
        <v>0</v>
      </c>
      <c r="F136" t="str">
        <f>IF(OR(B136&lt;outliers!$B$7,B136&gt;outliers!$B$6),"Outlier","Normal")</f>
        <v>Normal</v>
      </c>
      <c r="G136" t="str">
        <f>IF(OR(C136&lt;outliers!$B$14,C136&gt;outliers!$B$13),"Outlier","Normal")</f>
        <v>Normal</v>
      </c>
      <c r="H136" t="str">
        <f>IF(OR(D136&lt;outliers!$B$21,D136&gt;outliers!$B$20),"Outlier","Normal")</f>
        <v>Normal</v>
      </c>
      <c r="I136" t="str">
        <f>IF(OR(E136&lt;outliers!$C$28,E136&gt;outliers!$B$27),"Outlier","Normal")</f>
        <v>Normal</v>
      </c>
      <c r="J136">
        <f t="shared" si="4"/>
        <v>2017</v>
      </c>
      <c r="K136" t="str">
        <f t="shared" si="5"/>
        <v>September</v>
      </c>
    </row>
    <row r="137" spans="1:11" x14ac:dyDescent="0.35">
      <c r="A137" s="1">
        <v>42993</v>
      </c>
      <c r="B137">
        <v>23.7</v>
      </c>
      <c r="C137">
        <v>21</v>
      </c>
      <c r="D137">
        <v>31.1</v>
      </c>
      <c r="E137">
        <v>2.2999999999999998</v>
      </c>
      <c r="F137" t="str">
        <f>IF(OR(B137&lt;outliers!$B$7,B137&gt;outliers!$B$6),"Outlier","Normal")</f>
        <v>Normal</v>
      </c>
      <c r="G137" t="str">
        <f>IF(OR(C137&lt;outliers!$B$14,C137&gt;outliers!$B$13),"Outlier","Normal")</f>
        <v>Normal</v>
      </c>
      <c r="H137" t="str">
        <f>IF(OR(D137&lt;outliers!$B$21,D137&gt;outliers!$B$20),"Outlier","Normal")</f>
        <v>Normal</v>
      </c>
      <c r="I137" t="str">
        <f>IF(OR(E137&lt;outliers!$C$28,E137&gt;outliers!$B$27),"Outlier","Normal")</f>
        <v>Normal</v>
      </c>
      <c r="J137">
        <f t="shared" si="4"/>
        <v>2017</v>
      </c>
      <c r="K137" t="str">
        <f t="shared" si="5"/>
        <v>September</v>
      </c>
    </row>
    <row r="138" spans="1:11" x14ac:dyDescent="0.35">
      <c r="A138" s="1">
        <v>42994</v>
      </c>
      <c r="B138">
        <v>23.7</v>
      </c>
      <c r="C138">
        <v>20.8</v>
      </c>
      <c r="D138">
        <v>29.4</v>
      </c>
      <c r="E138">
        <v>0</v>
      </c>
      <c r="F138" t="str">
        <f>IF(OR(B138&lt;outliers!$B$7,B138&gt;outliers!$B$6),"Outlier","Normal")</f>
        <v>Normal</v>
      </c>
      <c r="G138" t="str">
        <f>IF(OR(C138&lt;outliers!$B$14,C138&gt;outliers!$B$13),"Outlier","Normal")</f>
        <v>Normal</v>
      </c>
      <c r="H138" t="str">
        <f>IF(OR(D138&lt;outliers!$B$21,D138&gt;outliers!$B$20),"Outlier","Normal")</f>
        <v>Normal</v>
      </c>
      <c r="I138" t="str">
        <f>IF(OR(E138&lt;outliers!$C$28,E138&gt;outliers!$B$27),"Outlier","Normal")</f>
        <v>Normal</v>
      </c>
      <c r="J138">
        <f t="shared" si="4"/>
        <v>2017</v>
      </c>
      <c r="K138" t="str">
        <f t="shared" si="5"/>
        <v>September</v>
      </c>
    </row>
    <row r="139" spans="1:11" hidden="1" x14ac:dyDescent="0.35">
      <c r="A139" s="1">
        <v>42995</v>
      </c>
      <c r="B139">
        <v>21.3</v>
      </c>
      <c r="C139">
        <v>19.8</v>
      </c>
      <c r="D139">
        <v>29.4</v>
      </c>
      <c r="E139">
        <v>17.3</v>
      </c>
      <c r="F139" t="str">
        <f>IF(OR(B139&lt;outliers!$B$7,B139&gt;outliers!$B$6),"Outlier","Normal")</f>
        <v>Normal</v>
      </c>
      <c r="G139" t="str">
        <f>IF(OR(C139&lt;outliers!$B$14,C139&gt;outliers!$B$13),"Outlier","Normal")</f>
        <v>Normal</v>
      </c>
      <c r="H139" t="str">
        <f>IF(OR(D139&lt;outliers!$B$21,D139&gt;outliers!$B$20),"Outlier","Normal")</f>
        <v>Normal</v>
      </c>
      <c r="I139" t="str">
        <f>IF(OR(E139&lt;outliers!$C$28,E139&gt;outliers!$B$27),"Outlier","Normal")</f>
        <v>Outlier</v>
      </c>
      <c r="J139">
        <f t="shared" si="4"/>
        <v>2017</v>
      </c>
      <c r="K139" t="str">
        <f t="shared" si="5"/>
        <v>September</v>
      </c>
    </row>
    <row r="140" spans="1:11" x14ac:dyDescent="0.35">
      <c r="A140" s="1">
        <v>42996</v>
      </c>
      <c r="B140">
        <v>22.6</v>
      </c>
      <c r="C140">
        <v>19.3</v>
      </c>
      <c r="D140">
        <v>27.3</v>
      </c>
      <c r="E140">
        <v>0.5</v>
      </c>
      <c r="F140" t="str">
        <f>IF(OR(B140&lt;outliers!$B$7,B140&gt;outliers!$B$6),"Outlier","Normal")</f>
        <v>Normal</v>
      </c>
      <c r="G140" t="str">
        <f>IF(OR(C140&lt;outliers!$B$14,C140&gt;outliers!$B$13),"Outlier","Normal")</f>
        <v>Normal</v>
      </c>
      <c r="H140" t="str">
        <f>IF(OR(D140&lt;outliers!$B$21,D140&gt;outliers!$B$20),"Outlier","Normal")</f>
        <v>Normal</v>
      </c>
      <c r="I140" t="str">
        <f>IF(OR(E140&lt;outliers!$C$28,E140&gt;outliers!$B$27),"Outlier","Normal")</f>
        <v>Normal</v>
      </c>
      <c r="J140">
        <f t="shared" si="4"/>
        <v>2017</v>
      </c>
      <c r="K140" t="str">
        <f t="shared" si="5"/>
        <v>September</v>
      </c>
    </row>
    <row r="141" spans="1:11" x14ac:dyDescent="0.35">
      <c r="A141" s="1">
        <v>42997</v>
      </c>
      <c r="B141">
        <v>23.1</v>
      </c>
      <c r="C141">
        <v>20.399999999999999</v>
      </c>
      <c r="D141">
        <v>28.3</v>
      </c>
      <c r="E141">
        <v>0</v>
      </c>
      <c r="F141" t="str">
        <f>IF(OR(B141&lt;outliers!$B$7,B141&gt;outliers!$B$6),"Outlier","Normal")</f>
        <v>Normal</v>
      </c>
      <c r="G141" t="str">
        <f>IF(OR(C141&lt;outliers!$B$14,C141&gt;outliers!$B$13),"Outlier","Normal")</f>
        <v>Normal</v>
      </c>
      <c r="H141" t="str">
        <f>IF(OR(D141&lt;outliers!$B$21,D141&gt;outliers!$B$20),"Outlier","Normal")</f>
        <v>Normal</v>
      </c>
      <c r="I141" t="str">
        <f>IF(OR(E141&lt;outliers!$C$28,E141&gt;outliers!$B$27),"Outlier","Normal")</f>
        <v>Normal</v>
      </c>
      <c r="J141">
        <f t="shared" si="4"/>
        <v>2017</v>
      </c>
      <c r="K141" t="str">
        <f t="shared" si="5"/>
        <v>September</v>
      </c>
    </row>
    <row r="142" spans="1:11" x14ac:dyDescent="0.35">
      <c r="A142" s="1">
        <v>42998</v>
      </c>
      <c r="B142">
        <v>23.2</v>
      </c>
      <c r="C142">
        <v>19.399999999999999</v>
      </c>
      <c r="D142">
        <v>28.8</v>
      </c>
      <c r="E142">
        <v>0</v>
      </c>
      <c r="F142" t="str">
        <f>IF(OR(B142&lt;outliers!$B$7,B142&gt;outliers!$B$6),"Outlier","Normal")</f>
        <v>Normal</v>
      </c>
      <c r="G142" t="str">
        <f>IF(OR(C142&lt;outliers!$B$14,C142&gt;outliers!$B$13),"Outlier","Normal")</f>
        <v>Normal</v>
      </c>
      <c r="H142" t="str">
        <f>IF(OR(D142&lt;outliers!$B$21,D142&gt;outliers!$B$20),"Outlier","Normal")</f>
        <v>Normal</v>
      </c>
      <c r="I142" t="str">
        <f>IF(OR(E142&lt;outliers!$C$28,E142&gt;outliers!$B$27),"Outlier","Normal")</f>
        <v>Normal</v>
      </c>
      <c r="J142">
        <f t="shared" si="4"/>
        <v>2017</v>
      </c>
      <c r="K142" t="str">
        <f t="shared" si="5"/>
        <v>September</v>
      </c>
    </row>
    <row r="143" spans="1:11" x14ac:dyDescent="0.35">
      <c r="A143" s="1">
        <v>43000</v>
      </c>
      <c r="B143">
        <v>24.3</v>
      </c>
      <c r="C143">
        <v>20.5</v>
      </c>
      <c r="D143">
        <v>28.4</v>
      </c>
      <c r="E143">
        <v>0</v>
      </c>
      <c r="F143" t="str">
        <f>IF(OR(B143&lt;outliers!$B$7,B143&gt;outliers!$B$6),"Outlier","Normal")</f>
        <v>Normal</v>
      </c>
      <c r="G143" t="str">
        <f>IF(OR(C143&lt;outliers!$B$14,C143&gt;outliers!$B$13),"Outlier","Normal")</f>
        <v>Normal</v>
      </c>
      <c r="H143" t="str">
        <f>IF(OR(D143&lt;outliers!$B$21,D143&gt;outliers!$B$20),"Outlier","Normal")</f>
        <v>Normal</v>
      </c>
      <c r="I143" t="str">
        <f>IF(OR(E143&lt;outliers!$C$28,E143&gt;outliers!$B$27),"Outlier","Normal")</f>
        <v>Normal</v>
      </c>
      <c r="J143">
        <f t="shared" si="4"/>
        <v>2017</v>
      </c>
      <c r="K143" t="str">
        <f t="shared" si="5"/>
        <v>September</v>
      </c>
    </row>
    <row r="144" spans="1:11" x14ac:dyDescent="0.35">
      <c r="A144" s="1">
        <v>43001</v>
      </c>
      <c r="B144">
        <v>25.6</v>
      </c>
      <c r="C144">
        <v>20.6</v>
      </c>
      <c r="D144">
        <v>29.4</v>
      </c>
      <c r="E144">
        <v>0</v>
      </c>
      <c r="F144" t="str">
        <f>IF(OR(B144&lt;outliers!$B$7,B144&gt;outliers!$B$6),"Outlier","Normal")</f>
        <v>Normal</v>
      </c>
      <c r="G144" t="str">
        <f>IF(OR(C144&lt;outliers!$B$14,C144&gt;outliers!$B$13),"Outlier","Normal")</f>
        <v>Normal</v>
      </c>
      <c r="H144" t="str">
        <f>IF(OR(D144&lt;outliers!$B$21,D144&gt;outliers!$B$20),"Outlier","Normal")</f>
        <v>Normal</v>
      </c>
      <c r="I144" t="str">
        <f>IF(OR(E144&lt;outliers!$C$28,E144&gt;outliers!$B$27),"Outlier","Normal")</f>
        <v>Normal</v>
      </c>
      <c r="J144">
        <f t="shared" si="4"/>
        <v>2017</v>
      </c>
      <c r="K144" t="str">
        <f t="shared" si="5"/>
        <v>September</v>
      </c>
    </row>
    <row r="145" spans="1:11" x14ac:dyDescent="0.35">
      <c r="A145" s="1">
        <v>43002</v>
      </c>
      <c r="B145">
        <v>24.2</v>
      </c>
      <c r="C145">
        <v>20.9</v>
      </c>
      <c r="D145">
        <v>30.5</v>
      </c>
      <c r="E145">
        <v>0</v>
      </c>
      <c r="F145" t="str">
        <f>IF(OR(B145&lt;outliers!$B$7,B145&gt;outliers!$B$6),"Outlier","Normal")</f>
        <v>Normal</v>
      </c>
      <c r="G145" t="str">
        <f>IF(OR(C145&lt;outliers!$B$14,C145&gt;outliers!$B$13),"Outlier","Normal")</f>
        <v>Normal</v>
      </c>
      <c r="H145" t="str">
        <f>IF(OR(D145&lt;outliers!$B$21,D145&gt;outliers!$B$20),"Outlier","Normal")</f>
        <v>Normal</v>
      </c>
      <c r="I145" t="str">
        <f>IF(OR(E145&lt;outliers!$C$28,E145&gt;outliers!$B$27),"Outlier","Normal")</f>
        <v>Normal</v>
      </c>
      <c r="J145">
        <f t="shared" ref="J145:J208" si="6">YEAR(A145)</f>
        <v>2017</v>
      </c>
      <c r="K145" t="str">
        <f t="shared" si="5"/>
        <v>September</v>
      </c>
    </row>
    <row r="146" spans="1:11" hidden="1" x14ac:dyDescent="0.35">
      <c r="A146" s="1">
        <v>43003</v>
      </c>
      <c r="B146">
        <v>22.8</v>
      </c>
      <c r="C146">
        <v>19.399999999999999</v>
      </c>
      <c r="D146">
        <v>29</v>
      </c>
      <c r="E146">
        <v>54.4</v>
      </c>
      <c r="F146" t="str">
        <f>IF(OR(B146&lt;outliers!$B$7,B146&gt;outliers!$B$6),"Outlier","Normal")</f>
        <v>Normal</v>
      </c>
      <c r="G146" t="str">
        <f>IF(OR(C146&lt;outliers!$B$14,C146&gt;outliers!$B$13),"Outlier","Normal")</f>
        <v>Normal</v>
      </c>
      <c r="H146" t="str">
        <f>IF(OR(D146&lt;outliers!$B$21,D146&gt;outliers!$B$20),"Outlier","Normal")</f>
        <v>Normal</v>
      </c>
      <c r="I146" t="str">
        <f>IF(OR(E146&lt;outliers!$C$28,E146&gt;outliers!$B$27),"Outlier","Normal")</f>
        <v>Outlier</v>
      </c>
      <c r="J146">
        <f t="shared" si="6"/>
        <v>2017</v>
      </c>
      <c r="K146" t="str">
        <f t="shared" si="5"/>
        <v>September</v>
      </c>
    </row>
    <row r="147" spans="1:11" x14ac:dyDescent="0.35">
      <c r="A147" s="1">
        <v>43004</v>
      </c>
      <c r="B147">
        <v>23.8</v>
      </c>
      <c r="C147">
        <v>19.8</v>
      </c>
      <c r="D147">
        <v>27.6</v>
      </c>
      <c r="E147">
        <v>9.1</v>
      </c>
      <c r="F147" t="str">
        <f>IF(OR(B147&lt;outliers!$B$7,B147&gt;outliers!$B$6),"Outlier","Normal")</f>
        <v>Normal</v>
      </c>
      <c r="G147" t="str">
        <f>IF(OR(C147&lt;outliers!$B$14,C147&gt;outliers!$B$13),"Outlier","Normal")</f>
        <v>Normal</v>
      </c>
      <c r="H147" t="str">
        <f>IF(OR(D147&lt;outliers!$B$21,D147&gt;outliers!$B$20),"Outlier","Normal")</f>
        <v>Normal</v>
      </c>
      <c r="I147" t="str">
        <f>IF(OR(E147&lt;outliers!$C$28,E147&gt;outliers!$B$27),"Outlier","Normal")</f>
        <v>Normal</v>
      </c>
      <c r="J147">
        <f t="shared" si="6"/>
        <v>2017</v>
      </c>
      <c r="K147" t="str">
        <f t="shared" si="5"/>
        <v>September</v>
      </c>
    </row>
    <row r="148" spans="1:11" hidden="1" x14ac:dyDescent="0.35">
      <c r="A148" s="1">
        <v>43005</v>
      </c>
      <c r="B148">
        <v>21.9</v>
      </c>
      <c r="C148">
        <v>20</v>
      </c>
      <c r="D148">
        <v>28.1</v>
      </c>
      <c r="E148">
        <v>55.9</v>
      </c>
      <c r="F148" t="str">
        <f>IF(OR(B148&lt;outliers!$B$7,B148&gt;outliers!$B$6),"Outlier","Normal")</f>
        <v>Normal</v>
      </c>
      <c r="G148" t="str">
        <f>IF(OR(C148&lt;outliers!$B$14,C148&gt;outliers!$B$13),"Outlier","Normal")</f>
        <v>Normal</v>
      </c>
      <c r="H148" t="str">
        <f>IF(OR(D148&lt;outliers!$B$21,D148&gt;outliers!$B$20),"Outlier","Normal")</f>
        <v>Normal</v>
      </c>
      <c r="I148" t="str">
        <f>IF(OR(E148&lt;outliers!$C$28,E148&gt;outliers!$B$27),"Outlier","Normal")</f>
        <v>Outlier</v>
      </c>
      <c r="J148">
        <f t="shared" si="6"/>
        <v>2017</v>
      </c>
      <c r="K148" t="str">
        <f t="shared" si="5"/>
        <v>September</v>
      </c>
    </row>
    <row r="149" spans="1:11" x14ac:dyDescent="0.35">
      <c r="A149" s="1">
        <v>43006</v>
      </c>
      <c r="B149">
        <v>22.5</v>
      </c>
      <c r="C149">
        <v>19.399999999999999</v>
      </c>
      <c r="D149">
        <v>26.8</v>
      </c>
      <c r="E149">
        <v>1.8</v>
      </c>
      <c r="F149" t="str">
        <f>IF(OR(B149&lt;outliers!$B$7,B149&gt;outliers!$B$6),"Outlier","Normal")</f>
        <v>Normal</v>
      </c>
      <c r="G149" t="str">
        <f>IF(OR(C149&lt;outliers!$B$14,C149&gt;outliers!$B$13),"Outlier","Normal")</f>
        <v>Normal</v>
      </c>
      <c r="H149" t="str">
        <f>IF(OR(D149&lt;outliers!$B$21,D149&gt;outliers!$B$20),"Outlier","Normal")</f>
        <v>Normal</v>
      </c>
      <c r="I149" t="str">
        <f>IF(OR(E149&lt;outliers!$C$28,E149&gt;outliers!$B$27),"Outlier","Normal")</f>
        <v>Normal</v>
      </c>
      <c r="J149">
        <f t="shared" si="6"/>
        <v>2017</v>
      </c>
      <c r="K149" t="str">
        <f t="shared" si="5"/>
        <v>September</v>
      </c>
    </row>
    <row r="150" spans="1:11" x14ac:dyDescent="0.35">
      <c r="A150" s="1">
        <v>43007</v>
      </c>
      <c r="B150">
        <v>22.7</v>
      </c>
      <c r="C150">
        <v>20.3</v>
      </c>
      <c r="D150">
        <v>26.2</v>
      </c>
      <c r="E150">
        <v>0.5</v>
      </c>
      <c r="F150" t="str">
        <f>IF(OR(B150&lt;outliers!$B$7,B150&gt;outliers!$B$6),"Outlier","Normal")</f>
        <v>Normal</v>
      </c>
      <c r="G150" t="str">
        <f>IF(OR(C150&lt;outliers!$B$14,C150&gt;outliers!$B$13),"Outlier","Normal")</f>
        <v>Normal</v>
      </c>
      <c r="H150" t="str">
        <f>IF(OR(D150&lt;outliers!$B$21,D150&gt;outliers!$B$20),"Outlier","Normal")</f>
        <v>Normal</v>
      </c>
      <c r="I150" t="str">
        <f>IF(OR(E150&lt;outliers!$C$28,E150&gt;outliers!$B$27),"Outlier","Normal")</f>
        <v>Normal</v>
      </c>
      <c r="J150">
        <f t="shared" si="6"/>
        <v>2017</v>
      </c>
      <c r="K150" t="str">
        <f t="shared" si="5"/>
        <v>September</v>
      </c>
    </row>
    <row r="151" spans="1:11" hidden="1" x14ac:dyDescent="0.35">
      <c r="A151" s="1">
        <v>43008</v>
      </c>
      <c r="B151">
        <v>22.7</v>
      </c>
      <c r="C151">
        <v>20.399999999999999</v>
      </c>
      <c r="D151">
        <v>27</v>
      </c>
      <c r="E151">
        <v>15.2</v>
      </c>
      <c r="F151" t="str">
        <f>IF(OR(B151&lt;outliers!$B$7,B151&gt;outliers!$B$6),"Outlier","Normal")</f>
        <v>Normal</v>
      </c>
      <c r="G151" t="str">
        <f>IF(OR(C151&lt;outliers!$B$14,C151&gt;outliers!$B$13),"Outlier","Normal")</f>
        <v>Normal</v>
      </c>
      <c r="H151" t="str">
        <f>IF(OR(D151&lt;outliers!$B$21,D151&gt;outliers!$B$20),"Outlier","Normal")</f>
        <v>Normal</v>
      </c>
      <c r="I151" t="str">
        <f>IF(OR(E151&lt;outliers!$C$28,E151&gt;outliers!$B$27),"Outlier","Normal")</f>
        <v>Outlier</v>
      </c>
      <c r="J151">
        <f t="shared" si="6"/>
        <v>2017</v>
      </c>
      <c r="K151" t="str">
        <f t="shared" si="5"/>
        <v>September</v>
      </c>
    </row>
    <row r="152" spans="1:11" x14ac:dyDescent="0.35">
      <c r="A152" s="1">
        <v>43009</v>
      </c>
      <c r="B152">
        <v>23.1</v>
      </c>
      <c r="C152">
        <v>20.3</v>
      </c>
      <c r="D152">
        <v>28.6</v>
      </c>
      <c r="E152">
        <v>0.5</v>
      </c>
      <c r="F152" t="str">
        <f>IF(OR(B152&lt;outliers!$B$7,B152&gt;outliers!$B$6),"Outlier","Normal")</f>
        <v>Normal</v>
      </c>
      <c r="G152" t="str">
        <f>IF(OR(C152&lt;outliers!$B$14,C152&gt;outliers!$B$13),"Outlier","Normal")</f>
        <v>Normal</v>
      </c>
      <c r="H152" t="str">
        <f>IF(OR(D152&lt;outliers!$B$21,D152&gt;outliers!$B$20),"Outlier","Normal")</f>
        <v>Normal</v>
      </c>
      <c r="I152" t="str">
        <f>IF(OR(E152&lt;outliers!$C$28,E152&gt;outliers!$B$27),"Outlier","Normal")</f>
        <v>Normal</v>
      </c>
      <c r="J152">
        <f t="shared" si="6"/>
        <v>2017</v>
      </c>
      <c r="K152" t="str">
        <f t="shared" si="5"/>
        <v>September</v>
      </c>
    </row>
    <row r="153" spans="1:11" hidden="1" x14ac:dyDescent="0.35">
      <c r="A153" s="1">
        <v>43010</v>
      </c>
      <c r="B153">
        <v>23.3</v>
      </c>
      <c r="C153">
        <v>19.399999999999999</v>
      </c>
      <c r="D153">
        <v>28.4</v>
      </c>
      <c r="E153">
        <v>46</v>
      </c>
      <c r="F153" t="str">
        <f>IF(OR(B153&lt;outliers!$B$7,B153&gt;outliers!$B$6),"Outlier","Normal")</f>
        <v>Normal</v>
      </c>
      <c r="G153" t="str">
        <f>IF(OR(C153&lt;outliers!$B$14,C153&gt;outliers!$B$13),"Outlier","Normal")</f>
        <v>Normal</v>
      </c>
      <c r="H153" t="str">
        <f>IF(OR(D153&lt;outliers!$B$21,D153&gt;outliers!$B$20),"Outlier","Normal")</f>
        <v>Normal</v>
      </c>
      <c r="I153" t="str">
        <f>IF(OR(E153&lt;outliers!$C$28,E153&gt;outliers!$B$27),"Outlier","Normal")</f>
        <v>Outlier</v>
      </c>
      <c r="J153">
        <f t="shared" si="6"/>
        <v>2017</v>
      </c>
      <c r="K153" t="str">
        <f t="shared" si="5"/>
        <v>October</v>
      </c>
    </row>
    <row r="154" spans="1:11" x14ac:dyDescent="0.35">
      <c r="A154" s="1">
        <v>43011</v>
      </c>
      <c r="B154">
        <v>24.9</v>
      </c>
      <c r="C154">
        <v>20.6</v>
      </c>
      <c r="D154">
        <v>28.8</v>
      </c>
      <c r="E154">
        <v>0</v>
      </c>
      <c r="F154" t="str">
        <f>IF(OR(B154&lt;outliers!$B$7,B154&gt;outliers!$B$6),"Outlier","Normal")</f>
        <v>Normal</v>
      </c>
      <c r="G154" t="str">
        <f>IF(OR(C154&lt;outliers!$B$14,C154&gt;outliers!$B$13),"Outlier","Normal")</f>
        <v>Normal</v>
      </c>
      <c r="H154" t="str">
        <f>IF(OR(D154&lt;outliers!$B$21,D154&gt;outliers!$B$20),"Outlier","Normal")</f>
        <v>Normal</v>
      </c>
      <c r="I154" t="str">
        <f>IF(OR(E154&lt;outliers!$C$28,E154&gt;outliers!$B$27),"Outlier","Normal")</f>
        <v>Normal</v>
      </c>
      <c r="J154">
        <f t="shared" si="6"/>
        <v>2017</v>
      </c>
      <c r="K154" t="str">
        <f t="shared" si="5"/>
        <v>October</v>
      </c>
    </row>
    <row r="155" spans="1:11" x14ac:dyDescent="0.35">
      <c r="A155" s="1">
        <v>43012</v>
      </c>
      <c r="B155">
        <v>24.3</v>
      </c>
      <c r="C155">
        <v>20.5</v>
      </c>
      <c r="D155">
        <v>29.3</v>
      </c>
      <c r="E155">
        <v>0</v>
      </c>
      <c r="F155" t="str">
        <f>IF(OR(B155&lt;outliers!$B$7,B155&gt;outliers!$B$6),"Outlier","Normal")</f>
        <v>Normal</v>
      </c>
      <c r="G155" t="str">
        <f>IF(OR(C155&lt;outliers!$B$14,C155&gt;outliers!$B$13),"Outlier","Normal")</f>
        <v>Normal</v>
      </c>
      <c r="H155" t="str">
        <f>IF(OR(D155&lt;outliers!$B$21,D155&gt;outliers!$B$20),"Outlier","Normal")</f>
        <v>Normal</v>
      </c>
      <c r="I155" t="str">
        <f>IF(OR(E155&lt;outliers!$C$28,E155&gt;outliers!$B$27),"Outlier","Normal")</f>
        <v>Normal</v>
      </c>
      <c r="J155">
        <f t="shared" si="6"/>
        <v>2017</v>
      </c>
      <c r="K155" t="str">
        <f t="shared" si="5"/>
        <v>October</v>
      </c>
    </row>
    <row r="156" spans="1:11" hidden="1" x14ac:dyDescent="0.35">
      <c r="A156" s="1">
        <v>43013</v>
      </c>
      <c r="B156">
        <v>22</v>
      </c>
      <c r="C156">
        <v>20.100000000000001</v>
      </c>
      <c r="D156">
        <v>29.6</v>
      </c>
      <c r="E156">
        <v>18.5</v>
      </c>
      <c r="F156" t="str">
        <f>IF(OR(B156&lt;outliers!$B$7,B156&gt;outliers!$B$6),"Outlier","Normal")</f>
        <v>Normal</v>
      </c>
      <c r="G156" t="str">
        <f>IF(OR(C156&lt;outliers!$B$14,C156&gt;outliers!$B$13),"Outlier","Normal")</f>
        <v>Normal</v>
      </c>
      <c r="H156" t="str">
        <f>IF(OR(D156&lt;outliers!$B$21,D156&gt;outliers!$B$20),"Outlier","Normal")</f>
        <v>Normal</v>
      </c>
      <c r="I156" t="str">
        <f>IF(OR(E156&lt;outliers!$C$28,E156&gt;outliers!$B$27),"Outlier","Normal")</f>
        <v>Outlier</v>
      </c>
      <c r="J156">
        <f t="shared" si="6"/>
        <v>2017</v>
      </c>
      <c r="K156" t="str">
        <f t="shared" si="5"/>
        <v>October</v>
      </c>
    </row>
    <row r="157" spans="1:11" hidden="1" x14ac:dyDescent="0.35">
      <c r="A157" s="1">
        <v>43014</v>
      </c>
      <c r="B157">
        <v>23.1</v>
      </c>
      <c r="C157">
        <v>20.7</v>
      </c>
      <c r="D157">
        <v>28.8</v>
      </c>
      <c r="E157">
        <v>76.7</v>
      </c>
      <c r="F157" t="str">
        <f>IF(OR(B157&lt;outliers!$B$7,B157&gt;outliers!$B$6),"Outlier","Normal")</f>
        <v>Normal</v>
      </c>
      <c r="G157" t="str">
        <f>IF(OR(C157&lt;outliers!$B$14,C157&gt;outliers!$B$13),"Outlier","Normal")</f>
        <v>Normal</v>
      </c>
      <c r="H157" t="str">
        <f>IF(OR(D157&lt;outliers!$B$21,D157&gt;outliers!$B$20),"Outlier","Normal")</f>
        <v>Normal</v>
      </c>
      <c r="I157" t="str">
        <f>IF(OR(E157&lt;outliers!$C$28,E157&gt;outliers!$B$27),"Outlier","Normal")</f>
        <v>Outlier</v>
      </c>
      <c r="J157">
        <f t="shared" si="6"/>
        <v>2017</v>
      </c>
      <c r="K157" t="str">
        <f t="shared" si="5"/>
        <v>October</v>
      </c>
    </row>
    <row r="158" spans="1:11" hidden="1" x14ac:dyDescent="0.35">
      <c r="A158" s="1">
        <v>43015</v>
      </c>
      <c r="B158">
        <v>23.7</v>
      </c>
      <c r="C158">
        <v>21.2</v>
      </c>
      <c r="D158">
        <v>29</v>
      </c>
      <c r="E158">
        <v>14.5</v>
      </c>
      <c r="F158" t="str">
        <f>IF(OR(B158&lt;outliers!$B$7,B158&gt;outliers!$B$6),"Outlier","Normal")</f>
        <v>Normal</v>
      </c>
      <c r="G158" t="str">
        <f>IF(OR(C158&lt;outliers!$B$14,C158&gt;outliers!$B$13),"Outlier","Normal")</f>
        <v>Normal</v>
      </c>
      <c r="H158" t="str">
        <f>IF(OR(D158&lt;outliers!$B$21,D158&gt;outliers!$B$20),"Outlier","Normal")</f>
        <v>Normal</v>
      </c>
      <c r="I158" t="str">
        <f>IF(OR(E158&lt;outliers!$C$28,E158&gt;outliers!$B$27),"Outlier","Normal")</f>
        <v>Outlier</v>
      </c>
      <c r="J158">
        <f t="shared" si="6"/>
        <v>2017</v>
      </c>
      <c r="K158" t="str">
        <f t="shared" si="5"/>
        <v>October</v>
      </c>
    </row>
    <row r="159" spans="1:11" hidden="1" x14ac:dyDescent="0.35">
      <c r="A159" s="1">
        <v>43016</v>
      </c>
      <c r="B159">
        <v>24.6</v>
      </c>
      <c r="C159">
        <v>21.3</v>
      </c>
      <c r="D159">
        <v>28.8</v>
      </c>
      <c r="E159">
        <v>48</v>
      </c>
      <c r="F159" t="str">
        <f>IF(OR(B159&lt;outliers!$B$7,B159&gt;outliers!$B$6),"Outlier","Normal")</f>
        <v>Normal</v>
      </c>
      <c r="G159" t="str">
        <f>IF(OR(C159&lt;outliers!$B$14,C159&gt;outliers!$B$13),"Outlier","Normal")</f>
        <v>Normal</v>
      </c>
      <c r="H159" t="str">
        <f>IF(OR(D159&lt;outliers!$B$21,D159&gt;outliers!$B$20),"Outlier","Normal")</f>
        <v>Normal</v>
      </c>
      <c r="I159" t="str">
        <f>IF(OR(E159&lt;outliers!$C$28,E159&gt;outliers!$B$27),"Outlier","Normal")</f>
        <v>Outlier</v>
      </c>
      <c r="J159">
        <f t="shared" si="6"/>
        <v>2017</v>
      </c>
      <c r="K159" t="str">
        <f t="shared" si="5"/>
        <v>October</v>
      </c>
    </row>
    <row r="160" spans="1:11" x14ac:dyDescent="0.35">
      <c r="A160" s="1">
        <v>43017</v>
      </c>
      <c r="B160">
        <v>24.8</v>
      </c>
      <c r="C160">
        <v>21.5</v>
      </c>
      <c r="D160">
        <v>29</v>
      </c>
      <c r="E160">
        <v>2</v>
      </c>
      <c r="F160" t="str">
        <f>IF(OR(B160&lt;outliers!$B$7,B160&gt;outliers!$B$6),"Outlier","Normal")</f>
        <v>Normal</v>
      </c>
      <c r="G160" t="str">
        <f>IF(OR(C160&lt;outliers!$B$14,C160&gt;outliers!$B$13),"Outlier","Normal")</f>
        <v>Normal</v>
      </c>
      <c r="H160" t="str">
        <f>IF(OR(D160&lt;outliers!$B$21,D160&gt;outliers!$B$20),"Outlier","Normal")</f>
        <v>Normal</v>
      </c>
      <c r="I160" t="str">
        <f>IF(OR(E160&lt;outliers!$C$28,E160&gt;outliers!$B$27),"Outlier","Normal")</f>
        <v>Normal</v>
      </c>
      <c r="J160">
        <f t="shared" si="6"/>
        <v>2017</v>
      </c>
      <c r="K160" t="str">
        <f t="shared" si="5"/>
        <v>October</v>
      </c>
    </row>
    <row r="161" spans="1:11" x14ac:dyDescent="0.35">
      <c r="A161" s="1">
        <v>43018</v>
      </c>
      <c r="B161">
        <v>24.5</v>
      </c>
      <c r="C161">
        <v>19.600000000000001</v>
      </c>
      <c r="D161">
        <v>29.3</v>
      </c>
      <c r="E161">
        <v>9.1</v>
      </c>
      <c r="F161" t="str">
        <f>IF(OR(B161&lt;outliers!$B$7,B161&gt;outliers!$B$6),"Outlier","Normal")</f>
        <v>Normal</v>
      </c>
      <c r="G161" t="str">
        <f>IF(OR(C161&lt;outliers!$B$14,C161&gt;outliers!$B$13),"Outlier","Normal")</f>
        <v>Normal</v>
      </c>
      <c r="H161" t="str">
        <f>IF(OR(D161&lt;outliers!$B$21,D161&gt;outliers!$B$20),"Outlier","Normal")</f>
        <v>Normal</v>
      </c>
      <c r="I161" t="str">
        <f>IF(OR(E161&lt;outliers!$C$28,E161&gt;outliers!$B$27),"Outlier","Normal")</f>
        <v>Normal</v>
      </c>
      <c r="J161">
        <f t="shared" si="6"/>
        <v>2017</v>
      </c>
      <c r="K161" t="str">
        <f t="shared" si="5"/>
        <v>October</v>
      </c>
    </row>
    <row r="162" spans="1:11" x14ac:dyDescent="0.35">
      <c r="A162" s="1">
        <v>43019</v>
      </c>
      <c r="B162">
        <v>23.8</v>
      </c>
      <c r="C162">
        <v>20.2</v>
      </c>
      <c r="D162">
        <v>29.9</v>
      </c>
      <c r="E162">
        <v>5.3</v>
      </c>
      <c r="F162" t="str">
        <f>IF(OR(B162&lt;outliers!$B$7,B162&gt;outliers!$B$6),"Outlier","Normal")</f>
        <v>Normal</v>
      </c>
      <c r="G162" t="str">
        <f>IF(OR(C162&lt;outliers!$B$14,C162&gt;outliers!$B$13),"Outlier","Normal")</f>
        <v>Normal</v>
      </c>
      <c r="H162" t="str">
        <f>IF(OR(D162&lt;outliers!$B$21,D162&gt;outliers!$B$20),"Outlier","Normal")</f>
        <v>Normal</v>
      </c>
      <c r="I162" t="str">
        <f>IF(OR(E162&lt;outliers!$C$28,E162&gt;outliers!$B$27),"Outlier","Normal")</f>
        <v>Normal</v>
      </c>
      <c r="J162">
        <f t="shared" si="6"/>
        <v>2017</v>
      </c>
      <c r="K162" t="str">
        <f t="shared" si="5"/>
        <v>October</v>
      </c>
    </row>
    <row r="163" spans="1:11" hidden="1" x14ac:dyDescent="0.35">
      <c r="A163" s="1">
        <v>43020</v>
      </c>
      <c r="B163">
        <v>23.2</v>
      </c>
      <c r="C163">
        <v>20.5</v>
      </c>
      <c r="D163">
        <v>30.7</v>
      </c>
      <c r="E163">
        <v>22.4</v>
      </c>
      <c r="F163" t="str">
        <f>IF(OR(B163&lt;outliers!$B$7,B163&gt;outliers!$B$6),"Outlier","Normal")</f>
        <v>Normal</v>
      </c>
      <c r="G163" t="str">
        <f>IF(OR(C163&lt;outliers!$B$14,C163&gt;outliers!$B$13),"Outlier","Normal")</f>
        <v>Normal</v>
      </c>
      <c r="H163" t="str">
        <f>IF(OR(D163&lt;outliers!$B$21,D163&gt;outliers!$B$20),"Outlier","Normal")</f>
        <v>Normal</v>
      </c>
      <c r="I163" t="str">
        <f>IF(OR(E163&lt;outliers!$C$28,E163&gt;outliers!$B$27),"Outlier","Normal")</f>
        <v>Outlier</v>
      </c>
      <c r="J163">
        <f t="shared" si="6"/>
        <v>2017</v>
      </c>
      <c r="K163" t="str">
        <f t="shared" si="5"/>
        <v>October</v>
      </c>
    </row>
    <row r="164" spans="1:11" hidden="1" x14ac:dyDescent="0.35">
      <c r="A164" s="1">
        <v>43021</v>
      </c>
      <c r="B164">
        <v>22.9</v>
      </c>
      <c r="C164">
        <v>20.5</v>
      </c>
      <c r="D164">
        <v>27.5</v>
      </c>
      <c r="E164">
        <v>68.099999999999994</v>
      </c>
      <c r="F164" t="str">
        <f>IF(OR(B164&lt;outliers!$B$7,B164&gt;outliers!$B$6),"Outlier","Normal")</f>
        <v>Normal</v>
      </c>
      <c r="G164" t="str">
        <f>IF(OR(C164&lt;outliers!$B$14,C164&gt;outliers!$B$13),"Outlier","Normal")</f>
        <v>Normal</v>
      </c>
      <c r="H164" t="str">
        <f>IF(OR(D164&lt;outliers!$B$21,D164&gt;outliers!$B$20),"Outlier","Normal")</f>
        <v>Normal</v>
      </c>
      <c r="I164" t="str">
        <f>IF(OR(E164&lt;outliers!$C$28,E164&gt;outliers!$B$27),"Outlier","Normal")</f>
        <v>Outlier</v>
      </c>
      <c r="J164">
        <f t="shared" si="6"/>
        <v>2017</v>
      </c>
      <c r="K164" t="str">
        <f t="shared" si="5"/>
        <v>October</v>
      </c>
    </row>
    <row r="165" spans="1:11" hidden="1" x14ac:dyDescent="0.35">
      <c r="A165" s="1">
        <v>43022</v>
      </c>
      <c r="B165">
        <v>22.1</v>
      </c>
      <c r="C165">
        <v>20.399999999999999</v>
      </c>
      <c r="D165">
        <v>27.6</v>
      </c>
      <c r="E165">
        <v>34</v>
      </c>
      <c r="F165" t="str">
        <f>IF(OR(B165&lt;outliers!$B$7,B165&gt;outliers!$B$6),"Outlier","Normal")</f>
        <v>Normal</v>
      </c>
      <c r="G165" t="str">
        <f>IF(OR(C165&lt;outliers!$B$14,C165&gt;outliers!$B$13),"Outlier","Normal")</f>
        <v>Normal</v>
      </c>
      <c r="H165" t="str">
        <f>IF(OR(D165&lt;outliers!$B$21,D165&gt;outliers!$B$20),"Outlier","Normal")</f>
        <v>Normal</v>
      </c>
      <c r="I165" t="str">
        <f>IF(OR(E165&lt;outliers!$C$28,E165&gt;outliers!$B$27),"Outlier","Normal")</f>
        <v>Outlier</v>
      </c>
      <c r="J165">
        <f t="shared" si="6"/>
        <v>2017</v>
      </c>
      <c r="K165" t="str">
        <f t="shared" si="5"/>
        <v>October</v>
      </c>
    </row>
    <row r="166" spans="1:11" hidden="1" x14ac:dyDescent="0.35">
      <c r="A166" s="1">
        <v>43023</v>
      </c>
      <c r="B166">
        <v>22.3</v>
      </c>
      <c r="C166">
        <v>19.600000000000001</v>
      </c>
      <c r="D166">
        <v>26.8</v>
      </c>
      <c r="E166">
        <v>40.4</v>
      </c>
      <c r="F166" t="str">
        <f>IF(OR(B166&lt;outliers!$B$7,B166&gt;outliers!$B$6),"Outlier","Normal")</f>
        <v>Normal</v>
      </c>
      <c r="G166" t="str">
        <f>IF(OR(C166&lt;outliers!$B$14,C166&gt;outliers!$B$13),"Outlier","Normal")</f>
        <v>Normal</v>
      </c>
      <c r="H166" t="str">
        <f>IF(OR(D166&lt;outliers!$B$21,D166&gt;outliers!$B$20),"Outlier","Normal")</f>
        <v>Normal</v>
      </c>
      <c r="I166" t="str">
        <f>IF(OR(E166&lt;outliers!$C$28,E166&gt;outliers!$B$27),"Outlier","Normal")</f>
        <v>Outlier</v>
      </c>
      <c r="J166">
        <f t="shared" si="6"/>
        <v>2017</v>
      </c>
      <c r="K166" t="str">
        <f t="shared" si="5"/>
        <v>October</v>
      </c>
    </row>
    <row r="167" spans="1:11" x14ac:dyDescent="0.35">
      <c r="A167" s="1">
        <v>43024</v>
      </c>
      <c r="B167">
        <v>22.4</v>
      </c>
      <c r="C167">
        <v>19.8</v>
      </c>
      <c r="D167">
        <v>26</v>
      </c>
      <c r="E167">
        <v>0</v>
      </c>
      <c r="F167" t="str">
        <f>IF(OR(B167&lt;outliers!$B$7,B167&gt;outliers!$B$6),"Outlier","Normal")</f>
        <v>Normal</v>
      </c>
      <c r="G167" t="str">
        <f>IF(OR(C167&lt;outliers!$B$14,C167&gt;outliers!$B$13),"Outlier","Normal")</f>
        <v>Normal</v>
      </c>
      <c r="H167" t="str">
        <f>IF(OR(D167&lt;outliers!$B$21,D167&gt;outliers!$B$20),"Outlier","Normal")</f>
        <v>Normal</v>
      </c>
      <c r="I167" t="str">
        <f>IF(OR(E167&lt;outliers!$C$28,E167&gt;outliers!$B$27),"Outlier","Normal")</f>
        <v>Normal</v>
      </c>
      <c r="J167">
        <f t="shared" si="6"/>
        <v>2017</v>
      </c>
      <c r="K167" t="str">
        <f t="shared" si="5"/>
        <v>October</v>
      </c>
    </row>
    <row r="168" spans="1:11" x14ac:dyDescent="0.35">
      <c r="A168" s="1">
        <v>43025</v>
      </c>
      <c r="B168">
        <v>23.1</v>
      </c>
      <c r="C168">
        <v>20.9</v>
      </c>
      <c r="D168">
        <v>26.8</v>
      </c>
      <c r="E168">
        <v>0</v>
      </c>
      <c r="F168" t="str">
        <f>IF(OR(B168&lt;outliers!$B$7,B168&gt;outliers!$B$6),"Outlier","Normal")</f>
        <v>Normal</v>
      </c>
      <c r="G168" t="str">
        <f>IF(OR(C168&lt;outliers!$B$14,C168&gt;outliers!$B$13),"Outlier","Normal")</f>
        <v>Normal</v>
      </c>
      <c r="H168" t="str">
        <f>IF(OR(D168&lt;outliers!$B$21,D168&gt;outliers!$B$20),"Outlier","Normal")</f>
        <v>Normal</v>
      </c>
      <c r="I168" t="str">
        <f>IF(OR(E168&lt;outliers!$C$28,E168&gt;outliers!$B$27),"Outlier","Normal")</f>
        <v>Normal</v>
      </c>
      <c r="J168">
        <f t="shared" si="6"/>
        <v>2017</v>
      </c>
      <c r="K168" t="str">
        <f t="shared" si="5"/>
        <v>October</v>
      </c>
    </row>
    <row r="169" spans="1:11" x14ac:dyDescent="0.35">
      <c r="A169" s="1">
        <v>43027</v>
      </c>
      <c r="B169">
        <v>23.7</v>
      </c>
      <c r="C169">
        <v>20.100000000000001</v>
      </c>
      <c r="D169">
        <v>29.8</v>
      </c>
      <c r="E169">
        <v>0</v>
      </c>
      <c r="F169" t="str">
        <f>IF(OR(B169&lt;outliers!$B$7,B169&gt;outliers!$B$6),"Outlier","Normal")</f>
        <v>Normal</v>
      </c>
      <c r="G169" t="str">
        <f>IF(OR(C169&lt;outliers!$B$14,C169&gt;outliers!$B$13),"Outlier","Normal")</f>
        <v>Normal</v>
      </c>
      <c r="H169" t="str">
        <f>IF(OR(D169&lt;outliers!$B$21,D169&gt;outliers!$B$20),"Outlier","Normal")</f>
        <v>Normal</v>
      </c>
      <c r="I169" t="str">
        <f>IF(OR(E169&lt;outliers!$C$28,E169&gt;outliers!$B$27),"Outlier","Normal")</f>
        <v>Normal</v>
      </c>
      <c r="J169">
        <f t="shared" si="6"/>
        <v>2017</v>
      </c>
      <c r="K169" t="str">
        <f t="shared" si="5"/>
        <v>October</v>
      </c>
    </row>
    <row r="170" spans="1:11" x14ac:dyDescent="0.35">
      <c r="A170" s="1">
        <v>43035</v>
      </c>
      <c r="B170">
        <v>23.9</v>
      </c>
      <c r="C170">
        <v>20.2</v>
      </c>
      <c r="D170">
        <v>28.1</v>
      </c>
      <c r="E170">
        <v>0</v>
      </c>
      <c r="F170" t="str">
        <f>IF(OR(B170&lt;outliers!$B$7,B170&gt;outliers!$B$6),"Outlier","Normal")</f>
        <v>Normal</v>
      </c>
      <c r="G170" t="str">
        <f>IF(OR(C170&lt;outliers!$B$14,C170&gt;outliers!$B$13),"Outlier","Normal")</f>
        <v>Normal</v>
      </c>
      <c r="H170" t="str">
        <f>IF(OR(D170&lt;outliers!$B$21,D170&gt;outliers!$B$20),"Outlier","Normal")</f>
        <v>Normal</v>
      </c>
      <c r="I170" t="str">
        <f>IF(OR(E170&lt;outliers!$C$28,E170&gt;outliers!$B$27),"Outlier","Normal")</f>
        <v>Normal</v>
      </c>
      <c r="J170">
        <f t="shared" si="6"/>
        <v>2017</v>
      </c>
      <c r="K170" t="str">
        <f t="shared" si="5"/>
        <v>October</v>
      </c>
    </row>
    <row r="171" spans="1:11" x14ac:dyDescent="0.35">
      <c r="A171" s="1">
        <v>43036</v>
      </c>
      <c r="B171">
        <v>23.9</v>
      </c>
      <c r="C171">
        <v>19.8</v>
      </c>
      <c r="D171">
        <v>30</v>
      </c>
      <c r="E171">
        <v>0</v>
      </c>
      <c r="F171" t="str">
        <f>IF(OR(B171&lt;outliers!$B$7,B171&gt;outliers!$B$6),"Outlier","Normal")</f>
        <v>Normal</v>
      </c>
      <c r="G171" t="str">
        <f>IF(OR(C171&lt;outliers!$B$14,C171&gt;outliers!$B$13),"Outlier","Normal")</f>
        <v>Normal</v>
      </c>
      <c r="H171" t="str">
        <f>IF(OR(D171&lt;outliers!$B$21,D171&gt;outliers!$B$20),"Outlier","Normal")</f>
        <v>Normal</v>
      </c>
      <c r="I171" t="str">
        <f>IF(OR(E171&lt;outliers!$C$28,E171&gt;outliers!$B$27),"Outlier","Normal")</f>
        <v>Normal</v>
      </c>
      <c r="J171">
        <f t="shared" si="6"/>
        <v>2017</v>
      </c>
      <c r="K171" t="str">
        <f t="shared" si="5"/>
        <v>October</v>
      </c>
    </row>
    <row r="172" spans="1:11" x14ac:dyDescent="0.35">
      <c r="A172" s="1">
        <v>43039</v>
      </c>
      <c r="B172">
        <v>22.2</v>
      </c>
      <c r="C172">
        <v>19.399999999999999</v>
      </c>
      <c r="D172">
        <v>26.7</v>
      </c>
      <c r="E172">
        <v>0</v>
      </c>
      <c r="F172" t="str">
        <f>IF(OR(B172&lt;outliers!$B$7,B172&gt;outliers!$B$6),"Outlier","Normal")</f>
        <v>Normal</v>
      </c>
      <c r="G172" t="str">
        <f>IF(OR(C172&lt;outliers!$B$14,C172&gt;outliers!$B$13),"Outlier","Normal")</f>
        <v>Normal</v>
      </c>
      <c r="H172" t="str">
        <f>IF(OR(D172&lt;outliers!$B$21,D172&gt;outliers!$B$20),"Outlier","Normal")</f>
        <v>Normal</v>
      </c>
      <c r="I172" t="str">
        <f>IF(OR(E172&lt;outliers!$C$28,E172&gt;outliers!$B$27),"Outlier","Normal")</f>
        <v>Normal</v>
      </c>
      <c r="J172">
        <f t="shared" si="6"/>
        <v>2017</v>
      </c>
      <c r="K172" t="str">
        <f t="shared" si="5"/>
        <v>October</v>
      </c>
    </row>
    <row r="173" spans="1:11" x14ac:dyDescent="0.35">
      <c r="A173" s="1">
        <v>43040</v>
      </c>
      <c r="B173">
        <v>21.7</v>
      </c>
      <c r="C173">
        <v>19.899999999999999</v>
      </c>
      <c r="D173">
        <v>25</v>
      </c>
      <c r="E173">
        <v>0</v>
      </c>
      <c r="F173" t="str">
        <f>IF(OR(B173&lt;outliers!$B$7,B173&gt;outliers!$B$6),"Outlier","Normal")</f>
        <v>Normal</v>
      </c>
      <c r="G173" t="str">
        <f>IF(OR(C173&lt;outliers!$B$14,C173&gt;outliers!$B$13),"Outlier","Normal")</f>
        <v>Normal</v>
      </c>
      <c r="H173" t="str">
        <f>IF(OR(D173&lt;outliers!$B$21,D173&gt;outliers!$B$20),"Outlier","Normal")</f>
        <v>Normal</v>
      </c>
      <c r="I173" t="str">
        <f>IF(OR(E173&lt;outliers!$C$28,E173&gt;outliers!$B$27),"Outlier","Normal")</f>
        <v>Normal</v>
      </c>
      <c r="J173">
        <f t="shared" si="6"/>
        <v>2017</v>
      </c>
      <c r="K173" t="str">
        <f t="shared" si="5"/>
        <v>October</v>
      </c>
    </row>
    <row r="174" spans="1:11" x14ac:dyDescent="0.35">
      <c r="A174" s="1">
        <v>43041</v>
      </c>
      <c r="B174">
        <v>22.9</v>
      </c>
      <c r="C174">
        <v>18.8</v>
      </c>
      <c r="D174">
        <v>26.8</v>
      </c>
      <c r="E174">
        <v>0.3</v>
      </c>
      <c r="F174" t="str">
        <f>IF(OR(B174&lt;outliers!$B$7,B174&gt;outliers!$B$6),"Outlier","Normal")</f>
        <v>Normal</v>
      </c>
      <c r="G174" t="str">
        <f>IF(OR(C174&lt;outliers!$B$14,C174&gt;outliers!$B$13),"Outlier","Normal")</f>
        <v>Normal</v>
      </c>
      <c r="H174" t="str">
        <f>IF(OR(D174&lt;outliers!$B$21,D174&gt;outliers!$B$20),"Outlier","Normal")</f>
        <v>Normal</v>
      </c>
      <c r="I174" t="str">
        <f>IF(OR(E174&lt;outliers!$C$28,E174&gt;outliers!$B$27),"Outlier","Normal")</f>
        <v>Normal</v>
      </c>
      <c r="J174">
        <f t="shared" si="6"/>
        <v>2017</v>
      </c>
      <c r="K174" t="str">
        <f t="shared" si="5"/>
        <v>November</v>
      </c>
    </row>
    <row r="175" spans="1:11" x14ac:dyDescent="0.35">
      <c r="A175" s="1">
        <v>43042</v>
      </c>
      <c r="B175">
        <v>23.2</v>
      </c>
      <c r="C175">
        <v>19.3</v>
      </c>
      <c r="D175">
        <v>27.8</v>
      </c>
      <c r="E175">
        <v>0</v>
      </c>
      <c r="F175" t="str">
        <f>IF(OR(B175&lt;outliers!$B$7,B175&gt;outliers!$B$6),"Outlier","Normal")</f>
        <v>Normal</v>
      </c>
      <c r="G175" t="str">
        <f>IF(OR(C175&lt;outliers!$B$14,C175&gt;outliers!$B$13),"Outlier","Normal")</f>
        <v>Normal</v>
      </c>
      <c r="H175" t="str">
        <f>IF(OR(D175&lt;outliers!$B$21,D175&gt;outliers!$B$20),"Outlier","Normal")</f>
        <v>Normal</v>
      </c>
      <c r="I175" t="str">
        <f>IF(OR(E175&lt;outliers!$C$28,E175&gt;outliers!$B$27),"Outlier","Normal")</f>
        <v>Normal</v>
      </c>
      <c r="J175">
        <f t="shared" si="6"/>
        <v>2017</v>
      </c>
      <c r="K175" t="str">
        <f t="shared" si="5"/>
        <v>November</v>
      </c>
    </row>
    <row r="176" spans="1:11" x14ac:dyDescent="0.35">
      <c r="A176" s="1">
        <v>43044</v>
      </c>
      <c r="B176">
        <v>21.5</v>
      </c>
      <c r="C176">
        <v>19.3</v>
      </c>
      <c r="D176">
        <v>25.6</v>
      </c>
      <c r="E176">
        <v>2</v>
      </c>
      <c r="F176" t="str">
        <f>IF(OR(B176&lt;outliers!$B$7,B176&gt;outliers!$B$6),"Outlier","Normal")</f>
        <v>Normal</v>
      </c>
      <c r="G176" t="str">
        <f>IF(OR(C176&lt;outliers!$B$14,C176&gt;outliers!$B$13),"Outlier","Normal")</f>
        <v>Normal</v>
      </c>
      <c r="H176" t="str">
        <f>IF(OR(D176&lt;outliers!$B$21,D176&gt;outliers!$B$20),"Outlier","Normal")</f>
        <v>Normal</v>
      </c>
      <c r="I176" t="str">
        <f>IF(OR(E176&lt;outliers!$C$28,E176&gt;outliers!$B$27),"Outlier","Normal")</f>
        <v>Normal</v>
      </c>
      <c r="J176">
        <f t="shared" si="6"/>
        <v>2017</v>
      </c>
      <c r="K176" t="str">
        <f t="shared" si="5"/>
        <v>November</v>
      </c>
    </row>
    <row r="177" spans="1:11" x14ac:dyDescent="0.35">
      <c r="A177" s="1">
        <v>43045</v>
      </c>
      <c r="B177">
        <v>21.7</v>
      </c>
      <c r="C177">
        <v>19.7</v>
      </c>
      <c r="D177">
        <v>25.4</v>
      </c>
      <c r="E177">
        <v>3.3</v>
      </c>
      <c r="F177" t="str">
        <f>IF(OR(B177&lt;outliers!$B$7,B177&gt;outliers!$B$6),"Outlier","Normal")</f>
        <v>Normal</v>
      </c>
      <c r="G177" t="str">
        <f>IF(OR(C177&lt;outliers!$B$14,C177&gt;outliers!$B$13),"Outlier","Normal")</f>
        <v>Normal</v>
      </c>
      <c r="H177" t="str">
        <f>IF(OR(D177&lt;outliers!$B$21,D177&gt;outliers!$B$20),"Outlier","Normal")</f>
        <v>Normal</v>
      </c>
      <c r="I177" t="str">
        <f>IF(OR(E177&lt;outliers!$C$28,E177&gt;outliers!$B$27),"Outlier","Normal")</f>
        <v>Normal</v>
      </c>
      <c r="J177">
        <f t="shared" si="6"/>
        <v>2017</v>
      </c>
      <c r="K177" t="str">
        <f t="shared" si="5"/>
        <v>November</v>
      </c>
    </row>
    <row r="178" spans="1:11" x14ac:dyDescent="0.35">
      <c r="A178" s="1">
        <v>43046</v>
      </c>
      <c r="B178">
        <v>21.5</v>
      </c>
      <c r="C178">
        <v>18.899999999999999</v>
      </c>
      <c r="D178">
        <v>25.6</v>
      </c>
      <c r="E178">
        <v>1.5</v>
      </c>
      <c r="F178" t="str">
        <f>IF(OR(B178&lt;outliers!$B$7,B178&gt;outliers!$B$6),"Outlier","Normal")</f>
        <v>Normal</v>
      </c>
      <c r="G178" t="str">
        <f>IF(OR(C178&lt;outliers!$B$14,C178&gt;outliers!$B$13),"Outlier","Normal")</f>
        <v>Normal</v>
      </c>
      <c r="H178" t="str">
        <f>IF(OR(D178&lt;outliers!$B$21,D178&gt;outliers!$B$20),"Outlier","Normal")</f>
        <v>Normal</v>
      </c>
      <c r="I178" t="str">
        <f>IF(OR(E178&lt;outliers!$C$28,E178&gt;outliers!$B$27),"Outlier","Normal")</f>
        <v>Normal</v>
      </c>
      <c r="J178">
        <f t="shared" si="6"/>
        <v>2017</v>
      </c>
      <c r="K178" t="str">
        <f t="shared" si="5"/>
        <v>November</v>
      </c>
    </row>
    <row r="179" spans="1:11" hidden="1" x14ac:dyDescent="0.35">
      <c r="A179" s="1">
        <v>43047</v>
      </c>
      <c r="B179">
        <v>22</v>
      </c>
      <c r="C179">
        <v>18.3</v>
      </c>
      <c r="D179">
        <v>26</v>
      </c>
      <c r="E179">
        <v>13.5</v>
      </c>
      <c r="F179" t="str">
        <f>IF(OR(B179&lt;outliers!$B$7,B179&gt;outliers!$B$6),"Outlier","Normal")</f>
        <v>Normal</v>
      </c>
      <c r="G179" t="str">
        <f>IF(OR(C179&lt;outliers!$B$14,C179&gt;outliers!$B$13),"Outlier","Normal")</f>
        <v>Normal</v>
      </c>
      <c r="H179" t="str">
        <f>IF(OR(D179&lt;outliers!$B$21,D179&gt;outliers!$B$20),"Outlier","Normal")</f>
        <v>Normal</v>
      </c>
      <c r="I179" t="str">
        <f>IF(OR(E179&lt;outliers!$C$28,E179&gt;outliers!$B$27),"Outlier","Normal")</f>
        <v>Outlier</v>
      </c>
      <c r="J179">
        <f t="shared" si="6"/>
        <v>2017</v>
      </c>
      <c r="K179" t="str">
        <f t="shared" si="5"/>
        <v>November</v>
      </c>
    </row>
    <row r="180" spans="1:11" x14ac:dyDescent="0.35">
      <c r="A180" s="1">
        <v>43048</v>
      </c>
      <c r="B180">
        <v>22.5</v>
      </c>
      <c r="C180">
        <v>18.600000000000001</v>
      </c>
      <c r="D180">
        <v>27</v>
      </c>
      <c r="E180">
        <v>0</v>
      </c>
      <c r="F180" t="str">
        <f>IF(OR(B180&lt;outliers!$B$7,B180&gt;outliers!$B$6),"Outlier","Normal")</f>
        <v>Normal</v>
      </c>
      <c r="G180" t="str">
        <f>IF(OR(C180&lt;outliers!$B$14,C180&gt;outliers!$B$13),"Outlier","Normal")</f>
        <v>Normal</v>
      </c>
      <c r="H180" t="str">
        <f>IF(OR(D180&lt;outliers!$B$21,D180&gt;outliers!$B$20),"Outlier","Normal")</f>
        <v>Normal</v>
      </c>
      <c r="I180" t="str">
        <f>IF(OR(E180&lt;outliers!$C$28,E180&gt;outliers!$B$27),"Outlier","Normal")</f>
        <v>Normal</v>
      </c>
      <c r="J180">
        <f t="shared" si="6"/>
        <v>2017</v>
      </c>
      <c r="K180" t="str">
        <f t="shared" si="5"/>
        <v>November</v>
      </c>
    </row>
    <row r="181" spans="1:11" x14ac:dyDescent="0.35">
      <c r="A181" s="1">
        <v>43056</v>
      </c>
      <c r="B181">
        <v>23.8</v>
      </c>
      <c r="C181">
        <v>21.3</v>
      </c>
      <c r="D181">
        <v>29.2</v>
      </c>
      <c r="E181">
        <v>0</v>
      </c>
      <c r="F181" t="str">
        <f>IF(OR(B181&lt;outliers!$B$7,B181&gt;outliers!$B$6),"Outlier","Normal")</f>
        <v>Normal</v>
      </c>
      <c r="G181" t="str">
        <f>IF(OR(C181&lt;outliers!$B$14,C181&gt;outliers!$B$13),"Outlier","Normal")</f>
        <v>Normal</v>
      </c>
      <c r="H181" t="str">
        <f>IF(OR(D181&lt;outliers!$B$21,D181&gt;outliers!$B$20),"Outlier","Normal")</f>
        <v>Normal</v>
      </c>
      <c r="I181" t="str">
        <f>IF(OR(E181&lt;outliers!$C$28,E181&gt;outliers!$B$27),"Outlier","Normal")</f>
        <v>Normal</v>
      </c>
      <c r="J181">
        <f t="shared" si="6"/>
        <v>2017</v>
      </c>
      <c r="K181" t="str">
        <f t="shared" si="5"/>
        <v>November</v>
      </c>
    </row>
    <row r="182" spans="1:11" x14ac:dyDescent="0.35">
      <c r="A182" s="1">
        <v>43069</v>
      </c>
      <c r="B182">
        <v>21.3</v>
      </c>
      <c r="C182">
        <v>19.3</v>
      </c>
      <c r="D182">
        <v>27.6</v>
      </c>
      <c r="E182">
        <v>0</v>
      </c>
      <c r="F182" t="str">
        <f>IF(OR(B182&lt;outliers!$B$7,B182&gt;outliers!$B$6),"Outlier","Normal")</f>
        <v>Normal</v>
      </c>
      <c r="G182" t="str">
        <f>IF(OR(C182&lt;outliers!$B$14,C182&gt;outliers!$B$13),"Outlier","Normal")</f>
        <v>Normal</v>
      </c>
      <c r="H182" t="str">
        <f>IF(OR(D182&lt;outliers!$B$21,D182&gt;outliers!$B$20),"Outlier","Normal")</f>
        <v>Normal</v>
      </c>
      <c r="I182" t="str">
        <f>IF(OR(E182&lt;outliers!$C$28,E182&gt;outliers!$B$27),"Outlier","Normal")</f>
        <v>Normal</v>
      </c>
      <c r="J182">
        <f t="shared" si="6"/>
        <v>2017</v>
      </c>
      <c r="K182" t="str">
        <f t="shared" si="5"/>
        <v>November</v>
      </c>
    </row>
    <row r="183" spans="1:11" hidden="1" x14ac:dyDescent="0.35">
      <c r="A183" s="1">
        <v>43070</v>
      </c>
      <c r="B183">
        <v>19.8</v>
      </c>
      <c r="C183">
        <v>18.399999999999999</v>
      </c>
      <c r="D183">
        <v>24.7</v>
      </c>
      <c r="E183">
        <v>10.7</v>
      </c>
      <c r="F183" t="str">
        <f>IF(OR(B183&lt;outliers!$B$7,B183&gt;outliers!$B$6),"Outlier","Normal")</f>
        <v>Normal</v>
      </c>
      <c r="G183" t="str">
        <f>IF(OR(C183&lt;outliers!$B$14,C183&gt;outliers!$B$13),"Outlier","Normal")</f>
        <v>Normal</v>
      </c>
      <c r="H183" t="str">
        <f>IF(OR(D183&lt;outliers!$B$21,D183&gt;outliers!$B$20),"Outlier","Normal")</f>
        <v>Normal</v>
      </c>
      <c r="I183" t="str">
        <f>IF(OR(E183&lt;outliers!$C$28,E183&gt;outliers!$B$27),"Outlier","Normal")</f>
        <v>Outlier</v>
      </c>
      <c r="J183">
        <f t="shared" si="6"/>
        <v>2017</v>
      </c>
      <c r="K183" t="str">
        <f t="shared" si="5"/>
        <v>November</v>
      </c>
    </row>
    <row r="184" spans="1:11" hidden="1" x14ac:dyDescent="0.35">
      <c r="A184" s="1">
        <v>43071</v>
      </c>
      <c r="B184">
        <v>19.8</v>
      </c>
      <c r="C184">
        <v>18.2</v>
      </c>
      <c r="D184">
        <v>22.2</v>
      </c>
      <c r="E184">
        <v>8.9</v>
      </c>
      <c r="F184" t="str">
        <f>IF(OR(B184&lt;outliers!$B$7,B184&gt;outliers!$B$6),"Outlier","Normal")</f>
        <v>Normal</v>
      </c>
      <c r="G184" t="str">
        <f>IF(OR(C184&lt;outliers!$B$14,C184&gt;outliers!$B$13),"Outlier","Normal")</f>
        <v>Normal</v>
      </c>
      <c r="H184" t="str">
        <f>IF(OR(D184&lt;outliers!$B$21,D184&gt;outliers!$B$20),"Outlier","Normal")</f>
        <v>Outlier</v>
      </c>
      <c r="I184" t="str">
        <f>IF(OR(E184&lt;outliers!$C$28,E184&gt;outliers!$B$27),"Outlier","Normal")</f>
        <v>Normal</v>
      </c>
      <c r="J184">
        <f t="shared" si="6"/>
        <v>2017</v>
      </c>
      <c r="K184" t="str">
        <f t="shared" si="5"/>
        <v>December</v>
      </c>
    </row>
    <row r="185" spans="1:11" x14ac:dyDescent="0.35">
      <c r="A185" s="1">
        <v>43072</v>
      </c>
      <c r="B185">
        <v>20.8</v>
      </c>
      <c r="C185">
        <v>18.3</v>
      </c>
      <c r="D185">
        <v>24.2</v>
      </c>
      <c r="E185">
        <v>0</v>
      </c>
      <c r="F185" t="str">
        <f>IF(OR(B185&lt;outliers!$B$7,B185&gt;outliers!$B$6),"Outlier","Normal")</f>
        <v>Normal</v>
      </c>
      <c r="G185" t="str">
        <f>IF(OR(C185&lt;outliers!$B$14,C185&gt;outliers!$B$13),"Outlier","Normal")</f>
        <v>Normal</v>
      </c>
      <c r="H185" t="str">
        <f>IF(OR(D185&lt;outliers!$B$21,D185&gt;outliers!$B$20),"Outlier","Normal")</f>
        <v>Normal</v>
      </c>
      <c r="I185" t="str">
        <f>IF(OR(E185&lt;outliers!$C$28,E185&gt;outliers!$B$27),"Outlier","Normal")</f>
        <v>Normal</v>
      </c>
      <c r="J185">
        <f t="shared" si="6"/>
        <v>2017</v>
      </c>
      <c r="K185" t="str">
        <f t="shared" si="5"/>
        <v>December</v>
      </c>
    </row>
    <row r="186" spans="1:11" x14ac:dyDescent="0.35">
      <c r="A186" s="1">
        <v>43082</v>
      </c>
      <c r="B186">
        <v>22.7</v>
      </c>
      <c r="C186">
        <v>18.100000000000001</v>
      </c>
      <c r="D186">
        <v>28.1</v>
      </c>
      <c r="E186">
        <v>0</v>
      </c>
      <c r="F186" t="str">
        <f>IF(OR(B186&lt;outliers!$B$7,B186&gt;outliers!$B$6),"Outlier","Normal")</f>
        <v>Normal</v>
      </c>
      <c r="G186" t="str">
        <f>IF(OR(C186&lt;outliers!$B$14,C186&gt;outliers!$B$13),"Outlier","Normal")</f>
        <v>Normal</v>
      </c>
      <c r="H186" t="str">
        <f>IF(OR(D186&lt;outliers!$B$21,D186&gt;outliers!$B$20),"Outlier","Normal")</f>
        <v>Normal</v>
      </c>
      <c r="I186" t="str">
        <f>IF(OR(E186&lt;outliers!$C$28,E186&gt;outliers!$B$27),"Outlier","Normal")</f>
        <v>Normal</v>
      </c>
      <c r="J186">
        <f t="shared" si="6"/>
        <v>2017</v>
      </c>
      <c r="K186" t="str">
        <f t="shared" si="5"/>
        <v>December</v>
      </c>
    </row>
    <row r="187" spans="1:11" x14ac:dyDescent="0.35">
      <c r="A187" s="1">
        <v>43139</v>
      </c>
      <c r="B187">
        <v>23.3</v>
      </c>
      <c r="C187">
        <v>19.2</v>
      </c>
      <c r="D187">
        <v>30</v>
      </c>
      <c r="E187">
        <v>1.5</v>
      </c>
      <c r="F187" t="str">
        <f>IF(OR(B187&lt;outliers!$B$7,B187&gt;outliers!$B$6),"Outlier","Normal")</f>
        <v>Normal</v>
      </c>
      <c r="G187" t="str">
        <f>IF(OR(C187&lt;outliers!$B$14,C187&gt;outliers!$B$13),"Outlier","Normal")</f>
        <v>Normal</v>
      </c>
      <c r="H187" t="str">
        <f>IF(OR(D187&lt;outliers!$B$21,D187&gt;outliers!$B$20),"Outlier","Normal")</f>
        <v>Normal</v>
      </c>
      <c r="I187" t="str">
        <f>IF(OR(E187&lt;outliers!$C$28,E187&gt;outliers!$B$27),"Outlier","Normal")</f>
        <v>Normal</v>
      </c>
      <c r="J187">
        <f t="shared" si="6"/>
        <v>2018</v>
      </c>
      <c r="K187" t="str">
        <f t="shared" si="5"/>
        <v>December</v>
      </c>
    </row>
    <row r="188" spans="1:11" x14ac:dyDescent="0.35">
      <c r="A188" s="1">
        <v>43140</v>
      </c>
      <c r="B188">
        <v>24.4</v>
      </c>
      <c r="C188">
        <v>19.7</v>
      </c>
      <c r="D188">
        <v>30.6</v>
      </c>
      <c r="E188">
        <v>0</v>
      </c>
      <c r="F188" t="str">
        <f>IF(OR(B188&lt;outliers!$B$7,B188&gt;outliers!$B$6),"Outlier","Normal")</f>
        <v>Normal</v>
      </c>
      <c r="G188" t="str">
        <f>IF(OR(C188&lt;outliers!$B$14,C188&gt;outliers!$B$13),"Outlier","Normal")</f>
        <v>Normal</v>
      </c>
      <c r="H188" t="str">
        <f>IF(OR(D188&lt;outliers!$B$21,D188&gt;outliers!$B$20),"Outlier","Normal")</f>
        <v>Normal</v>
      </c>
      <c r="I188" t="str">
        <f>IF(OR(E188&lt;outliers!$C$28,E188&gt;outliers!$B$27),"Outlier","Normal")</f>
        <v>Normal</v>
      </c>
      <c r="J188">
        <f t="shared" si="6"/>
        <v>2018</v>
      </c>
      <c r="K188" t="str">
        <f t="shared" si="5"/>
        <v>February</v>
      </c>
    </row>
    <row r="189" spans="1:11" x14ac:dyDescent="0.35">
      <c r="A189" s="1">
        <v>43141</v>
      </c>
      <c r="B189">
        <v>24.2</v>
      </c>
      <c r="C189">
        <v>19.7</v>
      </c>
      <c r="D189">
        <v>31.6</v>
      </c>
      <c r="E189">
        <v>1.5</v>
      </c>
      <c r="F189" t="str">
        <f>IF(OR(B189&lt;outliers!$B$7,B189&gt;outliers!$B$6),"Outlier","Normal")</f>
        <v>Normal</v>
      </c>
      <c r="G189" t="str">
        <f>IF(OR(C189&lt;outliers!$B$14,C189&gt;outliers!$B$13),"Outlier","Normal")</f>
        <v>Normal</v>
      </c>
      <c r="H189" t="str">
        <f>IF(OR(D189&lt;outliers!$B$21,D189&gt;outliers!$B$20),"Outlier","Normal")</f>
        <v>Normal</v>
      </c>
      <c r="I189" t="str">
        <f>IF(OR(E189&lt;outliers!$C$28,E189&gt;outliers!$B$27),"Outlier","Normal")</f>
        <v>Normal</v>
      </c>
      <c r="J189">
        <f t="shared" si="6"/>
        <v>2018</v>
      </c>
      <c r="K189" t="str">
        <f t="shared" si="5"/>
        <v>February</v>
      </c>
    </row>
    <row r="190" spans="1:11" x14ac:dyDescent="0.35">
      <c r="A190" s="1">
        <v>43142</v>
      </c>
      <c r="B190">
        <v>24</v>
      </c>
      <c r="C190">
        <v>17.7</v>
      </c>
      <c r="D190">
        <v>30.7</v>
      </c>
      <c r="E190">
        <v>0</v>
      </c>
      <c r="F190" t="str">
        <f>IF(OR(B190&lt;outliers!$B$7,B190&gt;outliers!$B$6),"Outlier","Normal")</f>
        <v>Normal</v>
      </c>
      <c r="G190" t="str">
        <f>IF(OR(C190&lt;outliers!$B$14,C190&gt;outliers!$B$13),"Outlier","Normal")</f>
        <v>Normal</v>
      </c>
      <c r="H190" t="str">
        <f>IF(OR(D190&lt;outliers!$B$21,D190&gt;outliers!$B$20),"Outlier","Normal")</f>
        <v>Normal</v>
      </c>
      <c r="I190" t="str">
        <f>IF(OR(E190&lt;outliers!$C$28,E190&gt;outliers!$B$27),"Outlier","Normal")</f>
        <v>Normal</v>
      </c>
      <c r="J190">
        <f t="shared" si="6"/>
        <v>2018</v>
      </c>
      <c r="K190" t="str">
        <f t="shared" si="5"/>
        <v>February</v>
      </c>
    </row>
    <row r="191" spans="1:11" x14ac:dyDescent="0.35">
      <c r="A191" s="1">
        <v>43173</v>
      </c>
      <c r="B191">
        <v>26.5</v>
      </c>
      <c r="C191">
        <v>22.4</v>
      </c>
      <c r="D191">
        <v>31.6</v>
      </c>
      <c r="E191">
        <v>0</v>
      </c>
      <c r="F191" t="str">
        <f>IF(OR(B191&lt;outliers!$B$7,B191&gt;outliers!$B$6),"Outlier","Normal")</f>
        <v>Normal</v>
      </c>
      <c r="G191" t="str">
        <f>IF(OR(C191&lt;outliers!$B$14,C191&gt;outliers!$B$13),"Outlier","Normal")</f>
        <v>Normal</v>
      </c>
      <c r="H191" t="str">
        <f>IF(OR(D191&lt;outliers!$B$21,D191&gt;outliers!$B$20),"Outlier","Normal")</f>
        <v>Normal</v>
      </c>
      <c r="I191" t="str">
        <f>IF(OR(E191&lt;outliers!$C$28,E191&gt;outliers!$B$27),"Outlier","Normal")</f>
        <v>Normal</v>
      </c>
      <c r="J191">
        <f t="shared" si="6"/>
        <v>2018</v>
      </c>
      <c r="K191" t="str">
        <f t="shared" si="5"/>
        <v>February</v>
      </c>
    </row>
    <row r="192" spans="1:11" x14ac:dyDescent="0.35">
      <c r="A192" s="1">
        <v>43174</v>
      </c>
      <c r="B192">
        <v>25.8</v>
      </c>
      <c r="C192">
        <v>21.9</v>
      </c>
      <c r="D192">
        <v>32.1</v>
      </c>
      <c r="E192">
        <v>0</v>
      </c>
      <c r="F192" t="str">
        <f>IF(OR(B192&lt;outliers!$B$7,B192&gt;outliers!$B$6),"Outlier","Normal")</f>
        <v>Normal</v>
      </c>
      <c r="G192" t="str">
        <f>IF(OR(C192&lt;outliers!$B$14,C192&gt;outliers!$B$13),"Outlier","Normal")</f>
        <v>Normal</v>
      </c>
      <c r="H192" t="str">
        <f>IF(OR(D192&lt;outliers!$B$21,D192&gt;outliers!$B$20),"Outlier","Normal")</f>
        <v>Normal</v>
      </c>
      <c r="I192" t="str">
        <f>IF(OR(E192&lt;outliers!$C$28,E192&gt;outliers!$B$27),"Outlier","Normal")</f>
        <v>Normal</v>
      </c>
      <c r="J192">
        <f t="shared" si="6"/>
        <v>2018</v>
      </c>
      <c r="K192" t="str">
        <f t="shared" si="5"/>
        <v>March</v>
      </c>
    </row>
    <row r="193" spans="1:11" hidden="1" x14ac:dyDescent="0.35">
      <c r="A193" s="1">
        <v>43175</v>
      </c>
      <c r="B193">
        <v>24.1</v>
      </c>
      <c r="C193">
        <v>19.8</v>
      </c>
      <c r="D193">
        <v>32.5</v>
      </c>
      <c r="E193">
        <v>31</v>
      </c>
      <c r="F193" t="str">
        <f>IF(OR(B193&lt;outliers!$B$7,B193&gt;outliers!$B$6),"Outlier","Normal")</f>
        <v>Normal</v>
      </c>
      <c r="G193" t="str">
        <f>IF(OR(C193&lt;outliers!$B$14,C193&gt;outliers!$B$13),"Outlier","Normal")</f>
        <v>Normal</v>
      </c>
      <c r="H193" t="str">
        <f>IF(OR(D193&lt;outliers!$B$21,D193&gt;outliers!$B$20),"Outlier","Normal")</f>
        <v>Normal</v>
      </c>
      <c r="I193" t="str">
        <f>IF(OR(E193&lt;outliers!$C$28,E193&gt;outliers!$B$27),"Outlier","Normal")</f>
        <v>Outlier</v>
      </c>
      <c r="J193">
        <f t="shared" si="6"/>
        <v>2018</v>
      </c>
      <c r="K193" t="str">
        <f t="shared" si="5"/>
        <v>March</v>
      </c>
    </row>
    <row r="194" spans="1:11" x14ac:dyDescent="0.35">
      <c r="A194" s="1">
        <v>43176</v>
      </c>
      <c r="B194">
        <v>23.7</v>
      </c>
      <c r="C194">
        <v>18.899999999999999</v>
      </c>
      <c r="D194">
        <v>32</v>
      </c>
      <c r="E194">
        <v>0</v>
      </c>
      <c r="F194" t="str">
        <f>IF(OR(B194&lt;outliers!$B$7,B194&gt;outliers!$B$6),"Outlier","Normal")</f>
        <v>Normal</v>
      </c>
      <c r="G194" t="str">
        <f>IF(OR(C194&lt;outliers!$B$14,C194&gt;outliers!$B$13),"Outlier","Normal")</f>
        <v>Normal</v>
      </c>
      <c r="H194" t="str">
        <f>IF(OR(D194&lt;outliers!$B$21,D194&gt;outliers!$B$20),"Outlier","Normal")</f>
        <v>Normal</v>
      </c>
      <c r="I194" t="str">
        <f>IF(OR(E194&lt;outliers!$C$28,E194&gt;outliers!$B$27),"Outlier","Normal")</f>
        <v>Normal</v>
      </c>
      <c r="J194">
        <f t="shared" si="6"/>
        <v>2018</v>
      </c>
      <c r="K194" t="str">
        <f t="shared" ref="K194:K257" si="7">TEXT(A193,"mmmm")</f>
        <v>March</v>
      </c>
    </row>
    <row r="195" spans="1:11" x14ac:dyDescent="0.35">
      <c r="A195" s="1">
        <v>43177</v>
      </c>
      <c r="B195">
        <v>24.7</v>
      </c>
      <c r="C195">
        <v>20.3</v>
      </c>
      <c r="D195">
        <v>29.1</v>
      </c>
      <c r="E195">
        <v>0</v>
      </c>
      <c r="F195" t="str">
        <f>IF(OR(B195&lt;outliers!$B$7,B195&gt;outliers!$B$6),"Outlier","Normal")</f>
        <v>Normal</v>
      </c>
      <c r="G195" t="str">
        <f>IF(OR(C195&lt;outliers!$B$14,C195&gt;outliers!$B$13),"Outlier","Normal")</f>
        <v>Normal</v>
      </c>
      <c r="H195" t="str">
        <f>IF(OR(D195&lt;outliers!$B$21,D195&gt;outliers!$B$20),"Outlier","Normal")</f>
        <v>Normal</v>
      </c>
      <c r="I195" t="str">
        <f>IF(OR(E195&lt;outliers!$C$28,E195&gt;outliers!$B$27),"Outlier","Normal")</f>
        <v>Normal</v>
      </c>
      <c r="J195">
        <f t="shared" si="6"/>
        <v>2018</v>
      </c>
      <c r="K195" t="str">
        <f t="shared" si="7"/>
        <v>March</v>
      </c>
    </row>
    <row r="196" spans="1:11" x14ac:dyDescent="0.35">
      <c r="A196" s="1">
        <v>43189</v>
      </c>
      <c r="B196">
        <v>25.7</v>
      </c>
      <c r="C196">
        <v>21.4</v>
      </c>
      <c r="D196">
        <v>34</v>
      </c>
      <c r="E196">
        <v>0</v>
      </c>
      <c r="F196" t="str">
        <f>IF(OR(B196&lt;outliers!$B$7,B196&gt;outliers!$B$6),"Outlier","Normal")</f>
        <v>Normal</v>
      </c>
      <c r="G196" t="str">
        <f>IF(OR(C196&lt;outliers!$B$14,C196&gt;outliers!$B$13),"Outlier","Normal")</f>
        <v>Normal</v>
      </c>
      <c r="H196" t="str">
        <f>IF(OR(D196&lt;outliers!$B$21,D196&gt;outliers!$B$20),"Outlier","Normal")</f>
        <v>Normal</v>
      </c>
      <c r="I196" t="str">
        <f>IF(OR(E196&lt;outliers!$C$28,E196&gt;outliers!$B$27),"Outlier","Normal")</f>
        <v>Normal</v>
      </c>
      <c r="J196">
        <f t="shared" si="6"/>
        <v>2018</v>
      </c>
      <c r="K196" t="str">
        <f t="shared" si="7"/>
        <v>March</v>
      </c>
    </row>
    <row r="197" spans="1:11" x14ac:dyDescent="0.35">
      <c r="A197" s="1">
        <v>43190</v>
      </c>
      <c r="B197">
        <v>25.9</v>
      </c>
      <c r="C197">
        <v>21.1</v>
      </c>
      <c r="D197">
        <v>34.799999999999997</v>
      </c>
      <c r="E197">
        <v>3.3</v>
      </c>
      <c r="F197" t="str">
        <f>IF(OR(B197&lt;outliers!$B$7,B197&gt;outliers!$B$6),"Outlier","Normal")</f>
        <v>Normal</v>
      </c>
      <c r="G197" t="str">
        <f>IF(OR(C197&lt;outliers!$B$14,C197&gt;outliers!$B$13),"Outlier","Normal")</f>
        <v>Normal</v>
      </c>
      <c r="H197" t="str">
        <f>IF(OR(D197&lt;outliers!$B$21,D197&gt;outliers!$B$20),"Outlier","Normal")</f>
        <v>Normal</v>
      </c>
      <c r="I197" t="str">
        <f>IF(OR(E197&lt;outliers!$C$28,E197&gt;outliers!$B$27),"Outlier","Normal")</f>
        <v>Normal</v>
      </c>
      <c r="J197">
        <f t="shared" si="6"/>
        <v>2018</v>
      </c>
      <c r="K197" t="str">
        <f t="shared" si="7"/>
        <v>March</v>
      </c>
    </row>
    <row r="198" spans="1:11" x14ac:dyDescent="0.35">
      <c r="A198" s="1">
        <v>43191</v>
      </c>
      <c r="B198">
        <v>27.6</v>
      </c>
      <c r="C198">
        <v>21.2</v>
      </c>
      <c r="D198">
        <v>33.200000000000003</v>
      </c>
      <c r="E198">
        <v>0</v>
      </c>
      <c r="F198" t="str">
        <f>IF(OR(B198&lt;outliers!$B$7,B198&gt;outliers!$B$6),"Outlier","Normal")</f>
        <v>Normal</v>
      </c>
      <c r="G198" t="str">
        <f>IF(OR(C198&lt;outliers!$B$14,C198&gt;outliers!$B$13),"Outlier","Normal")</f>
        <v>Normal</v>
      </c>
      <c r="H198" t="str">
        <f>IF(OR(D198&lt;outliers!$B$21,D198&gt;outliers!$B$20),"Outlier","Normal")</f>
        <v>Normal</v>
      </c>
      <c r="I198" t="str">
        <f>IF(OR(E198&lt;outliers!$C$28,E198&gt;outliers!$B$27),"Outlier","Normal")</f>
        <v>Normal</v>
      </c>
      <c r="J198">
        <f t="shared" si="6"/>
        <v>2018</v>
      </c>
      <c r="K198" t="str">
        <f t="shared" si="7"/>
        <v>March</v>
      </c>
    </row>
    <row r="199" spans="1:11" hidden="1" x14ac:dyDescent="0.35">
      <c r="A199" s="1">
        <v>43193</v>
      </c>
      <c r="B199">
        <v>26.1</v>
      </c>
      <c r="C199">
        <v>19.8</v>
      </c>
      <c r="D199">
        <v>33.1</v>
      </c>
      <c r="E199">
        <v>13.7</v>
      </c>
      <c r="F199" t="str">
        <f>IF(OR(B199&lt;outliers!$B$7,B199&gt;outliers!$B$6),"Outlier","Normal")</f>
        <v>Normal</v>
      </c>
      <c r="G199" t="str">
        <f>IF(OR(C199&lt;outliers!$B$14,C199&gt;outliers!$B$13),"Outlier","Normal")</f>
        <v>Normal</v>
      </c>
      <c r="H199" t="str">
        <f>IF(OR(D199&lt;outliers!$B$21,D199&gt;outliers!$B$20),"Outlier","Normal")</f>
        <v>Normal</v>
      </c>
      <c r="I199" t="str">
        <f>IF(OR(E199&lt;outliers!$C$28,E199&gt;outliers!$B$27),"Outlier","Normal")</f>
        <v>Outlier</v>
      </c>
      <c r="J199">
        <f t="shared" si="6"/>
        <v>2018</v>
      </c>
      <c r="K199" t="str">
        <f t="shared" si="7"/>
        <v>April</v>
      </c>
    </row>
    <row r="200" spans="1:11" x14ac:dyDescent="0.35">
      <c r="A200" s="1">
        <v>43194</v>
      </c>
      <c r="B200">
        <v>26.2</v>
      </c>
      <c r="C200">
        <v>21.4</v>
      </c>
      <c r="D200">
        <v>31.5</v>
      </c>
      <c r="E200">
        <v>0</v>
      </c>
      <c r="F200" t="str">
        <f>IF(OR(B200&lt;outliers!$B$7,B200&gt;outliers!$B$6),"Outlier","Normal")</f>
        <v>Normal</v>
      </c>
      <c r="G200" t="str">
        <f>IF(OR(C200&lt;outliers!$B$14,C200&gt;outliers!$B$13),"Outlier","Normal")</f>
        <v>Normal</v>
      </c>
      <c r="H200" t="str">
        <f>IF(OR(D200&lt;outliers!$B$21,D200&gt;outliers!$B$20),"Outlier","Normal")</f>
        <v>Normal</v>
      </c>
      <c r="I200" t="str">
        <f>IF(OR(E200&lt;outliers!$C$28,E200&gt;outliers!$B$27),"Outlier","Normal")</f>
        <v>Normal</v>
      </c>
      <c r="J200">
        <f t="shared" si="6"/>
        <v>2018</v>
      </c>
      <c r="K200" t="str">
        <f t="shared" si="7"/>
        <v>April</v>
      </c>
    </row>
    <row r="201" spans="1:11" hidden="1" x14ac:dyDescent="0.35">
      <c r="A201" s="1">
        <v>43207</v>
      </c>
      <c r="B201">
        <v>28.2</v>
      </c>
      <c r="C201">
        <v>22.3</v>
      </c>
      <c r="D201">
        <v>34.6</v>
      </c>
      <c r="E201">
        <v>11.7</v>
      </c>
      <c r="F201" t="str">
        <f>IF(OR(B201&lt;outliers!$B$7,B201&gt;outliers!$B$6),"Outlier","Normal")</f>
        <v>Normal</v>
      </c>
      <c r="G201" t="str">
        <f>IF(OR(C201&lt;outliers!$B$14,C201&gt;outliers!$B$13),"Outlier","Normal")</f>
        <v>Normal</v>
      </c>
      <c r="H201" t="str">
        <f>IF(OR(D201&lt;outliers!$B$21,D201&gt;outliers!$B$20),"Outlier","Normal")</f>
        <v>Normal</v>
      </c>
      <c r="I201" t="str">
        <f>IF(OR(E201&lt;outliers!$C$28,E201&gt;outliers!$B$27),"Outlier","Normal")</f>
        <v>Outlier</v>
      </c>
      <c r="J201">
        <f t="shared" si="6"/>
        <v>2018</v>
      </c>
      <c r="K201" t="str">
        <f t="shared" si="7"/>
        <v>April</v>
      </c>
    </row>
    <row r="202" spans="1:11" hidden="1" x14ac:dyDescent="0.35">
      <c r="A202" s="1">
        <v>43211</v>
      </c>
      <c r="B202">
        <v>28.2</v>
      </c>
      <c r="C202">
        <v>22.2</v>
      </c>
      <c r="D202">
        <v>34.799999999999997</v>
      </c>
      <c r="E202">
        <v>19.100000000000001</v>
      </c>
      <c r="F202" t="str">
        <f>IF(OR(B202&lt;outliers!$B$7,B202&gt;outliers!$B$6),"Outlier","Normal")</f>
        <v>Normal</v>
      </c>
      <c r="G202" t="str">
        <f>IF(OR(C202&lt;outliers!$B$14,C202&gt;outliers!$B$13),"Outlier","Normal")</f>
        <v>Normal</v>
      </c>
      <c r="H202" t="str">
        <f>IF(OR(D202&lt;outliers!$B$21,D202&gt;outliers!$B$20),"Outlier","Normal")</f>
        <v>Normal</v>
      </c>
      <c r="I202" t="str">
        <f>IF(OR(E202&lt;outliers!$C$28,E202&gt;outliers!$B$27),"Outlier","Normal")</f>
        <v>Outlier</v>
      </c>
      <c r="J202">
        <f t="shared" si="6"/>
        <v>2018</v>
      </c>
      <c r="K202" t="str">
        <f t="shared" si="7"/>
        <v>April</v>
      </c>
    </row>
    <row r="203" spans="1:11" hidden="1" x14ac:dyDescent="0.35">
      <c r="A203" s="1">
        <v>43212</v>
      </c>
      <c r="B203">
        <v>26.1</v>
      </c>
      <c r="C203">
        <v>23.4</v>
      </c>
      <c r="D203">
        <v>34.799999999999997</v>
      </c>
      <c r="E203">
        <v>0</v>
      </c>
      <c r="F203" t="str">
        <f>IF(OR(B203&lt;outliers!$B$7,B203&gt;outliers!$B$6),"Outlier","Normal")</f>
        <v>Normal</v>
      </c>
      <c r="G203" t="str">
        <f>IF(OR(C203&lt;outliers!$B$14,C203&gt;outliers!$B$13),"Outlier","Normal")</f>
        <v>Outlier</v>
      </c>
      <c r="H203" t="str">
        <f>IF(OR(D203&lt;outliers!$B$21,D203&gt;outliers!$B$20),"Outlier","Normal")</f>
        <v>Normal</v>
      </c>
      <c r="I203" t="str">
        <f>IF(OR(E203&lt;outliers!$C$28,E203&gt;outliers!$B$27),"Outlier","Normal")</f>
        <v>Normal</v>
      </c>
      <c r="J203">
        <f t="shared" si="6"/>
        <v>2018</v>
      </c>
      <c r="K203" t="str">
        <f t="shared" si="7"/>
        <v>April</v>
      </c>
    </row>
    <row r="204" spans="1:11" x14ac:dyDescent="0.35">
      <c r="A204" s="1">
        <v>43213</v>
      </c>
      <c r="B204">
        <v>27.2</v>
      </c>
      <c r="C204">
        <v>22</v>
      </c>
      <c r="D204">
        <v>33.799999999999997</v>
      </c>
      <c r="E204">
        <v>4.8</v>
      </c>
      <c r="F204" t="str">
        <f>IF(OR(B204&lt;outliers!$B$7,B204&gt;outliers!$B$6),"Outlier","Normal")</f>
        <v>Normal</v>
      </c>
      <c r="G204" t="str">
        <f>IF(OR(C204&lt;outliers!$B$14,C204&gt;outliers!$B$13),"Outlier","Normal")</f>
        <v>Normal</v>
      </c>
      <c r="H204" t="str">
        <f>IF(OR(D204&lt;outliers!$B$21,D204&gt;outliers!$B$20),"Outlier","Normal")</f>
        <v>Normal</v>
      </c>
      <c r="I204" t="str">
        <f>IF(OR(E204&lt;outliers!$C$28,E204&gt;outliers!$B$27),"Outlier","Normal")</f>
        <v>Normal</v>
      </c>
      <c r="J204">
        <f t="shared" si="6"/>
        <v>2018</v>
      </c>
      <c r="K204" t="str">
        <f t="shared" si="7"/>
        <v>April</v>
      </c>
    </row>
    <row r="205" spans="1:11" x14ac:dyDescent="0.35">
      <c r="A205" s="1">
        <v>43214</v>
      </c>
      <c r="B205">
        <v>25.1</v>
      </c>
      <c r="C205">
        <v>22.4</v>
      </c>
      <c r="D205">
        <v>34.200000000000003</v>
      </c>
      <c r="E205">
        <v>0</v>
      </c>
      <c r="F205" t="str">
        <f>IF(OR(B205&lt;outliers!$B$7,B205&gt;outliers!$B$6),"Outlier","Normal")</f>
        <v>Normal</v>
      </c>
      <c r="G205" t="str">
        <f>IF(OR(C205&lt;outliers!$B$14,C205&gt;outliers!$B$13),"Outlier","Normal")</f>
        <v>Normal</v>
      </c>
      <c r="H205" t="str">
        <f>IF(OR(D205&lt;outliers!$B$21,D205&gt;outliers!$B$20),"Outlier","Normal")</f>
        <v>Normal</v>
      </c>
      <c r="I205" t="str">
        <f>IF(OR(E205&lt;outliers!$C$28,E205&gt;outliers!$B$27),"Outlier","Normal")</f>
        <v>Normal</v>
      </c>
      <c r="J205">
        <f t="shared" si="6"/>
        <v>2018</v>
      </c>
      <c r="K205" t="str">
        <f t="shared" si="7"/>
        <v>April</v>
      </c>
    </row>
    <row r="206" spans="1:11" x14ac:dyDescent="0.35">
      <c r="A206" s="1">
        <v>43215</v>
      </c>
      <c r="B206">
        <v>26.6</v>
      </c>
      <c r="C206">
        <v>22.2</v>
      </c>
      <c r="D206">
        <v>34</v>
      </c>
      <c r="E206">
        <v>3.8</v>
      </c>
      <c r="F206" t="str">
        <f>IF(OR(B206&lt;outliers!$B$7,B206&gt;outliers!$B$6),"Outlier","Normal")</f>
        <v>Normal</v>
      </c>
      <c r="G206" t="str">
        <f>IF(OR(C206&lt;outliers!$B$14,C206&gt;outliers!$B$13),"Outlier","Normal")</f>
        <v>Normal</v>
      </c>
      <c r="H206" t="str">
        <f>IF(OR(D206&lt;outliers!$B$21,D206&gt;outliers!$B$20),"Outlier","Normal")</f>
        <v>Normal</v>
      </c>
      <c r="I206" t="str">
        <f>IF(OR(E206&lt;outliers!$C$28,E206&gt;outliers!$B$27),"Outlier","Normal")</f>
        <v>Normal</v>
      </c>
      <c r="J206">
        <f t="shared" si="6"/>
        <v>2018</v>
      </c>
      <c r="K206" t="str">
        <f t="shared" si="7"/>
        <v>April</v>
      </c>
    </row>
    <row r="207" spans="1:11" x14ac:dyDescent="0.35">
      <c r="A207" s="1">
        <v>43216</v>
      </c>
      <c r="B207">
        <v>27.2</v>
      </c>
      <c r="C207">
        <v>22.8</v>
      </c>
      <c r="D207">
        <v>34.4</v>
      </c>
      <c r="E207">
        <v>0.5</v>
      </c>
      <c r="F207" t="str">
        <f>IF(OR(B207&lt;outliers!$B$7,B207&gt;outliers!$B$6),"Outlier","Normal")</f>
        <v>Normal</v>
      </c>
      <c r="G207" t="str">
        <f>IF(OR(C207&lt;outliers!$B$14,C207&gt;outliers!$B$13),"Outlier","Normal")</f>
        <v>Normal</v>
      </c>
      <c r="H207" t="str">
        <f>IF(OR(D207&lt;outliers!$B$21,D207&gt;outliers!$B$20),"Outlier","Normal")</f>
        <v>Normal</v>
      </c>
      <c r="I207" t="str">
        <f>IF(OR(E207&lt;outliers!$C$28,E207&gt;outliers!$B$27),"Outlier","Normal")</f>
        <v>Normal</v>
      </c>
      <c r="J207">
        <f t="shared" si="6"/>
        <v>2018</v>
      </c>
      <c r="K207" t="str">
        <f t="shared" si="7"/>
        <v>April</v>
      </c>
    </row>
    <row r="208" spans="1:11" x14ac:dyDescent="0.35">
      <c r="A208" s="1">
        <v>43217</v>
      </c>
      <c r="B208">
        <v>28.3</v>
      </c>
      <c r="C208">
        <v>22</v>
      </c>
      <c r="D208">
        <v>34.700000000000003</v>
      </c>
      <c r="E208">
        <v>0.5</v>
      </c>
      <c r="F208" t="str">
        <f>IF(OR(B208&lt;outliers!$B$7,B208&gt;outliers!$B$6),"Outlier","Normal")</f>
        <v>Normal</v>
      </c>
      <c r="G208" t="str">
        <f>IF(OR(C208&lt;outliers!$B$14,C208&gt;outliers!$B$13),"Outlier","Normal")</f>
        <v>Normal</v>
      </c>
      <c r="H208" t="str">
        <f>IF(OR(D208&lt;outliers!$B$21,D208&gt;outliers!$B$20),"Outlier","Normal")</f>
        <v>Normal</v>
      </c>
      <c r="I208" t="str">
        <f>IF(OR(E208&lt;outliers!$C$28,E208&gt;outliers!$B$27),"Outlier","Normal")</f>
        <v>Normal</v>
      </c>
      <c r="J208">
        <f t="shared" si="6"/>
        <v>2018</v>
      </c>
      <c r="K208" t="str">
        <f t="shared" si="7"/>
        <v>April</v>
      </c>
    </row>
    <row r="209" spans="1:11" x14ac:dyDescent="0.35">
      <c r="A209" s="1">
        <v>43218</v>
      </c>
      <c r="B209">
        <v>27.7</v>
      </c>
      <c r="C209">
        <v>22.5</v>
      </c>
      <c r="D209">
        <v>34.200000000000003</v>
      </c>
      <c r="E209">
        <v>0</v>
      </c>
      <c r="F209" t="str">
        <f>IF(OR(B209&lt;outliers!$B$7,B209&gt;outliers!$B$6),"Outlier","Normal")</f>
        <v>Normal</v>
      </c>
      <c r="G209" t="str">
        <f>IF(OR(C209&lt;outliers!$B$14,C209&gt;outliers!$B$13),"Outlier","Normal")</f>
        <v>Normal</v>
      </c>
      <c r="H209" t="str">
        <f>IF(OR(D209&lt;outliers!$B$21,D209&gt;outliers!$B$20),"Outlier","Normal")</f>
        <v>Normal</v>
      </c>
      <c r="I209" t="str">
        <f>IF(OR(E209&lt;outliers!$C$28,E209&gt;outliers!$B$27),"Outlier","Normal")</f>
        <v>Normal</v>
      </c>
      <c r="J209">
        <f t="shared" ref="J209:J272" si="8">YEAR(A209)</f>
        <v>2018</v>
      </c>
      <c r="K209" t="str">
        <f t="shared" si="7"/>
        <v>April</v>
      </c>
    </row>
    <row r="210" spans="1:11" x14ac:dyDescent="0.35">
      <c r="A210" s="1">
        <v>43220</v>
      </c>
      <c r="B210">
        <v>27</v>
      </c>
      <c r="C210">
        <v>23.2</v>
      </c>
      <c r="D210">
        <v>34.9</v>
      </c>
      <c r="E210">
        <v>0.3</v>
      </c>
      <c r="F210" t="str">
        <f>IF(OR(B210&lt;outliers!$B$7,B210&gt;outliers!$B$6),"Outlier","Normal")</f>
        <v>Normal</v>
      </c>
      <c r="G210" t="str">
        <f>IF(OR(C210&lt;outliers!$B$14,C210&gt;outliers!$B$13),"Outlier","Normal")</f>
        <v>Normal</v>
      </c>
      <c r="H210" t="str">
        <f>IF(OR(D210&lt;outliers!$B$21,D210&gt;outliers!$B$20),"Outlier","Normal")</f>
        <v>Normal</v>
      </c>
      <c r="I210" t="str">
        <f>IF(OR(E210&lt;outliers!$C$28,E210&gt;outliers!$B$27),"Outlier","Normal")</f>
        <v>Normal</v>
      </c>
      <c r="J210">
        <f t="shared" si="8"/>
        <v>2018</v>
      </c>
      <c r="K210" t="str">
        <f t="shared" si="7"/>
        <v>April</v>
      </c>
    </row>
    <row r="211" spans="1:11" x14ac:dyDescent="0.35">
      <c r="A211" s="1">
        <v>43221</v>
      </c>
      <c r="B211">
        <v>26.9</v>
      </c>
      <c r="C211">
        <v>21.4</v>
      </c>
      <c r="D211">
        <v>35.200000000000003</v>
      </c>
      <c r="E211">
        <v>5.6</v>
      </c>
      <c r="F211" t="str">
        <f>IF(OR(B211&lt;outliers!$B$7,B211&gt;outliers!$B$6),"Outlier","Normal")</f>
        <v>Normal</v>
      </c>
      <c r="G211" t="str">
        <f>IF(OR(C211&lt;outliers!$B$14,C211&gt;outliers!$B$13),"Outlier","Normal")</f>
        <v>Normal</v>
      </c>
      <c r="H211" t="str">
        <f>IF(OR(D211&lt;outliers!$B$21,D211&gt;outliers!$B$20),"Outlier","Normal")</f>
        <v>Normal</v>
      </c>
      <c r="I211" t="str">
        <f>IF(OR(E211&lt;outliers!$C$28,E211&gt;outliers!$B$27),"Outlier","Normal")</f>
        <v>Normal</v>
      </c>
      <c r="J211">
        <f t="shared" si="8"/>
        <v>2018</v>
      </c>
      <c r="K211" t="str">
        <f t="shared" si="7"/>
        <v>April</v>
      </c>
    </row>
    <row r="212" spans="1:11" x14ac:dyDescent="0.35">
      <c r="A212" s="1">
        <v>43222</v>
      </c>
      <c r="B212">
        <v>26.5</v>
      </c>
      <c r="C212">
        <v>23.3</v>
      </c>
      <c r="D212">
        <v>33</v>
      </c>
      <c r="E212">
        <v>0</v>
      </c>
      <c r="F212" t="str">
        <f>IF(OR(B212&lt;outliers!$B$7,B212&gt;outliers!$B$6),"Outlier","Normal")</f>
        <v>Normal</v>
      </c>
      <c r="G212" t="str">
        <f>IF(OR(C212&lt;outliers!$B$14,C212&gt;outliers!$B$13),"Outlier","Normal")</f>
        <v>Normal</v>
      </c>
      <c r="H212" t="str">
        <f>IF(OR(D212&lt;outliers!$B$21,D212&gt;outliers!$B$20),"Outlier","Normal")</f>
        <v>Normal</v>
      </c>
      <c r="I212" t="str">
        <f>IF(OR(E212&lt;outliers!$C$28,E212&gt;outliers!$B$27),"Outlier","Normal")</f>
        <v>Normal</v>
      </c>
      <c r="J212">
        <f t="shared" si="8"/>
        <v>2018</v>
      </c>
      <c r="K212" t="str">
        <f t="shared" si="7"/>
        <v>May</v>
      </c>
    </row>
    <row r="213" spans="1:11" x14ac:dyDescent="0.35">
      <c r="A213" s="1">
        <v>43223</v>
      </c>
      <c r="B213">
        <v>25.9</v>
      </c>
      <c r="C213">
        <v>18.899999999999999</v>
      </c>
      <c r="D213">
        <v>34</v>
      </c>
      <c r="E213">
        <v>0.8</v>
      </c>
      <c r="F213" t="str">
        <f>IF(OR(B213&lt;outliers!$B$7,B213&gt;outliers!$B$6),"Outlier","Normal")</f>
        <v>Normal</v>
      </c>
      <c r="G213" t="str">
        <f>IF(OR(C213&lt;outliers!$B$14,C213&gt;outliers!$B$13),"Outlier","Normal")</f>
        <v>Normal</v>
      </c>
      <c r="H213" t="str">
        <f>IF(OR(D213&lt;outliers!$B$21,D213&gt;outliers!$B$20),"Outlier","Normal")</f>
        <v>Normal</v>
      </c>
      <c r="I213" t="str">
        <f>IF(OR(E213&lt;outliers!$C$28,E213&gt;outliers!$B$27),"Outlier","Normal")</f>
        <v>Normal</v>
      </c>
      <c r="J213">
        <f t="shared" si="8"/>
        <v>2018</v>
      </c>
      <c r="K213" t="str">
        <f t="shared" si="7"/>
        <v>May</v>
      </c>
    </row>
    <row r="214" spans="1:11" hidden="1" x14ac:dyDescent="0.35">
      <c r="A214" s="1">
        <v>43224</v>
      </c>
      <c r="B214">
        <v>26.1</v>
      </c>
      <c r="C214">
        <v>19.2</v>
      </c>
      <c r="D214">
        <v>33.200000000000003</v>
      </c>
      <c r="E214">
        <v>39.4</v>
      </c>
      <c r="F214" t="str">
        <f>IF(OR(B214&lt;outliers!$B$7,B214&gt;outliers!$B$6),"Outlier","Normal")</f>
        <v>Normal</v>
      </c>
      <c r="G214" t="str">
        <f>IF(OR(C214&lt;outliers!$B$14,C214&gt;outliers!$B$13),"Outlier","Normal")</f>
        <v>Normal</v>
      </c>
      <c r="H214" t="str">
        <f>IF(OR(D214&lt;outliers!$B$21,D214&gt;outliers!$B$20),"Outlier","Normal")</f>
        <v>Normal</v>
      </c>
      <c r="I214" t="str">
        <f>IF(OR(E214&lt;outliers!$C$28,E214&gt;outliers!$B$27),"Outlier","Normal")</f>
        <v>Outlier</v>
      </c>
      <c r="J214">
        <f t="shared" si="8"/>
        <v>2018</v>
      </c>
      <c r="K214" t="str">
        <f t="shared" si="7"/>
        <v>May</v>
      </c>
    </row>
    <row r="215" spans="1:11" x14ac:dyDescent="0.35">
      <c r="A215" s="1">
        <v>43225</v>
      </c>
      <c r="B215">
        <v>27</v>
      </c>
      <c r="C215">
        <v>23.1</v>
      </c>
      <c r="D215">
        <v>32</v>
      </c>
      <c r="E215">
        <v>0</v>
      </c>
      <c r="F215" t="str">
        <f>IF(OR(B215&lt;outliers!$B$7,B215&gt;outliers!$B$6),"Outlier","Normal")</f>
        <v>Normal</v>
      </c>
      <c r="G215" t="str">
        <f>IF(OR(C215&lt;outliers!$B$14,C215&gt;outliers!$B$13),"Outlier","Normal")</f>
        <v>Normal</v>
      </c>
      <c r="H215" t="str">
        <f>IF(OR(D215&lt;outliers!$B$21,D215&gt;outliers!$B$20),"Outlier","Normal")</f>
        <v>Normal</v>
      </c>
      <c r="I215" t="str">
        <f>IF(OR(E215&lt;outliers!$C$28,E215&gt;outliers!$B$27),"Outlier","Normal")</f>
        <v>Normal</v>
      </c>
      <c r="J215">
        <f t="shared" si="8"/>
        <v>2018</v>
      </c>
      <c r="K215" t="str">
        <f t="shared" si="7"/>
        <v>May</v>
      </c>
    </row>
    <row r="216" spans="1:11" x14ac:dyDescent="0.35">
      <c r="A216" s="1">
        <v>43229</v>
      </c>
      <c r="B216">
        <v>27.2</v>
      </c>
      <c r="C216">
        <v>21.8</v>
      </c>
      <c r="D216">
        <v>32.799999999999997</v>
      </c>
      <c r="E216">
        <v>0</v>
      </c>
      <c r="F216" t="str">
        <f>IF(OR(B216&lt;outliers!$B$7,B216&gt;outliers!$B$6),"Outlier","Normal")</f>
        <v>Normal</v>
      </c>
      <c r="G216" t="str">
        <f>IF(OR(C216&lt;outliers!$B$14,C216&gt;outliers!$B$13),"Outlier","Normal")</f>
        <v>Normal</v>
      </c>
      <c r="H216" t="str">
        <f>IF(OR(D216&lt;outliers!$B$21,D216&gt;outliers!$B$20),"Outlier","Normal")</f>
        <v>Normal</v>
      </c>
      <c r="I216" t="str">
        <f>IF(OR(E216&lt;outliers!$C$28,E216&gt;outliers!$B$27),"Outlier","Normal")</f>
        <v>Normal</v>
      </c>
      <c r="J216">
        <f t="shared" si="8"/>
        <v>2018</v>
      </c>
      <c r="K216" t="str">
        <f t="shared" si="7"/>
        <v>May</v>
      </c>
    </row>
    <row r="217" spans="1:11" hidden="1" x14ac:dyDescent="0.35">
      <c r="A217" s="1">
        <v>43232</v>
      </c>
      <c r="B217">
        <v>25.7</v>
      </c>
      <c r="C217">
        <v>19.8</v>
      </c>
      <c r="D217">
        <v>32.200000000000003</v>
      </c>
      <c r="E217">
        <v>34.299999999999997</v>
      </c>
      <c r="F217" t="str">
        <f>IF(OR(B217&lt;outliers!$B$7,B217&gt;outliers!$B$6),"Outlier","Normal")</f>
        <v>Normal</v>
      </c>
      <c r="G217" t="str">
        <f>IF(OR(C217&lt;outliers!$B$14,C217&gt;outliers!$B$13),"Outlier","Normal")</f>
        <v>Normal</v>
      </c>
      <c r="H217" t="str">
        <f>IF(OR(D217&lt;outliers!$B$21,D217&gt;outliers!$B$20),"Outlier","Normal")</f>
        <v>Normal</v>
      </c>
      <c r="I217" t="str">
        <f>IF(OR(E217&lt;outliers!$C$28,E217&gt;outliers!$B$27),"Outlier","Normal")</f>
        <v>Outlier</v>
      </c>
      <c r="J217">
        <f t="shared" si="8"/>
        <v>2018</v>
      </c>
      <c r="K217" t="str">
        <f t="shared" si="7"/>
        <v>May</v>
      </c>
    </row>
    <row r="218" spans="1:11" x14ac:dyDescent="0.35">
      <c r="A218" s="1">
        <v>43233</v>
      </c>
      <c r="B218">
        <v>24.9</v>
      </c>
      <c r="C218">
        <v>20.8</v>
      </c>
      <c r="D218">
        <v>32</v>
      </c>
      <c r="E218">
        <v>0</v>
      </c>
      <c r="F218" t="str">
        <f>IF(OR(B218&lt;outliers!$B$7,B218&gt;outliers!$B$6),"Outlier","Normal")</f>
        <v>Normal</v>
      </c>
      <c r="G218" t="str">
        <f>IF(OR(C218&lt;outliers!$B$14,C218&gt;outliers!$B$13),"Outlier","Normal")</f>
        <v>Normal</v>
      </c>
      <c r="H218" t="str">
        <f>IF(OR(D218&lt;outliers!$B$21,D218&gt;outliers!$B$20),"Outlier","Normal")</f>
        <v>Normal</v>
      </c>
      <c r="I218" t="str">
        <f>IF(OR(E218&lt;outliers!$C$28,E218&gt;outliers!$B$27),"Outlier","Normal")</f>
        <v>Normal</v>
      </c>
      <c r="J218">
        <f t="shared" si="8"/>
        <v>2018</v>
      </c>
      <c r="K218" t="str">
        <f t="shared" si="7"/>
        <v>May</v>
      </c>
    </row>
    <row r="219" spans="1:11" hidden="1" x14ac:dyDescent="0.35">
      <c r="A219" s="1">
        <v>43234</v>
      </c>
      <c r="B219">
        <v>23.8</v>
      </c>
      <c r="C219">
        <v>21</v>
      </c>
      <c r="D219">
        <v>32</v>
      </c>
      <c r="E219">
        <v>17.8</v>
      </c>
      <c r="F219" t="str">
        <f>IF(OR(B219&lt;outliers!$B$7,B219&gt;outliers!$B$6),"Outlier","Normal")</f>
        <v>Normal</v>
      </c>
      <c r="G219" t="str">
        <f>IF(OR(C219&lt;outliers!$B$14,C219&gt;outliers!$B$13),"Outlier","Normal")</f>
        <v>Normal</v>
      </c>
      <c r="H219" t="str">
        <f>IF(OR(D219&lt;outliers!$B$21,D219&gt;outliers!$B$20),"Outlier","Normal")</f>
        <v>Normal</v>
      </c>
      <c r="I219" t="str">
        <f>IF(OR(E219&lt;outliers!$C$28,E219&gt;outliers!$B$27),"Outlier","Normal")</f>
        <v>Outlier</v>
      </c>
      <c r="J219">
        <f t="shared" si="8"/>
        <v>2018</v>
      </c>
      <c r="K219" t="str">
        <f t="shared" si="7"/>
        <v>May</v>
      </c>
    </row>
    <row r="220" spans="1:11" hidden="1" x14ac:dyDescent="0.35">
      <c r="A220" s="1">
        <v>43235</v>
      </c>
      <c r="B220">
        <v>24.8</v>
      </c>
      <c r="C220">
        <v>20.6</v>
      </c>
      <c r="D220">
        <v>31.4</v>
      </c>
      <c r="E220">
        <v>16.5</v>
      </c>
      <c r="F220" t="str">
        <f>IF(OR(B220&lt;outliers!$B$7,B220&gt;outliers!$B$6),"Outlier","Normal")</f>
        <v>Normal</v>
      </c>
      <c r="G220" t="str">
        <f>IF(OR(C220&lt;outliers!$B$14,C220&gt;outliers!$B$13),"Outlier","Normal")</f>
        <v>Normal</v>
      </c>
      <c r="H220" t="str">
        <f>IF(OR(D220&lt;outliers!$B$21,D220&gt;outliers!$B$20),"Outlier","Normal")</f>
        <v>Normal</v>
      </c>
      <c r="I220" t="str">
        <f>IF(OR(E220&lt;outliers!$C$28,E220&gt;outliers!$B$27),"Outlier","Normal")</f>
        <v>Outlier</v>
      </c>
      <c r="J220">
        <f t="shared" si="8"/>
        <v>2018</v>
      </c>
      <c r="K220" t="str">
        <f t="shared" si="7"/>
        <v>May</v>
      </c>
    </row>
    <row r="221" spans="1:11" x14ac:dyDescent="0.35">
      <c r="A221" s="1">
        <v>43236</v>
      </c>
      <c r="B221">
        <v>26.2</v>
      </c>
      <c r="C221">
        <v>20.7</v>
      </c>
      <c r="D221">
        <v>32.4</v>
      </c>
      <c r="E221">
        <v>4.3</v>
      </c>
      <c r="F221" t="str">
        <f>IF(OR(B221&lt;outliers!$B$7,B221&gt;outliers!$B$6),"Outlier","Normal")</f>
        <v>Normal</v>
      </c>
      <c r="G221" t="str">
        <f>IF(OR(C221&lt;outliers!$B$14,C221&gt;outliers!$B$13),"Outlier","Normal")</f>
        <v>Normal</v>
      </c>
      <c r="H221" t="str">
        <f>IF(OR(D221&lt;outliers!$B$21,D221&gt;outliers!$B$20),"Outlier","Normal")</f>
        <v>Normal</v>
      </c>
      <c r="I221" t="str">
        <f>IF(OR(E221&lt;outliers!$C$28,E221&gt;outliers!$B$27),"Outlier","Normal")</f>
        <v>Normal</v>
      </c>
      <c r="J221">
        <f t="shared" si="8"/>
        <v>2018</v>
      </c>
      <c r="K221" t="str">
        <f t="shared" si="7"/>
        <v>May</v>
      </c>
    </row>
    <row r="222" spans="1:11" x14ac:dyDescent="0.35">
      <c r="A222" s="1">
        <v>43237</v>
      </c>
      <c r="B222">
        <v>26.7</v>
      </c>
      <c r="C222">
        <v>21.9</v>
      </c>
      <c r="D222">
        <v>31</v>
      </c>
      <c r="E222">
        <v>0</v>
      </c>
      <c r="F222" t="str">
        <f>IF(OR(B222&lt;outliers!$B$7,B222&gt;outliers!$B$6),"Outlier","Normal")</f>
        <v>Normal</v>
      </c>
      <c r="G222" t="str">
        <f>IF(OR(C222&lt;outliers!$B$14,C222&gt;outliers!$B$13),"Outlier","Normal")</f>
        <v>Normal</v>
      </c>
      <c r="H222" t="str">
        <f>IF(OR(D222&lt;outliers!$B$21,D222&gt;outliers!$B$20),"Outlier","Normal")</f>
        <v>Normal</v>
      </c>
      <c r="I222" t="str">
        <f>IF(OR(E222&lt;outliers!$C$28,E222&gt;outliers!$B$27),"Outlier","Normal")</f>
        <v>Normal</v>
      </c>
      <c r="J222">
        <f t="shared" si="8"/>
        <v>2018</v>
      </c>
      <c r="K222" t="str">
        <f t="shared" si="7"/>
        <v>May</v>
      </c>
    </row>
    <row r="223" spans="1:11" hidden="1" x14ac:dyDescent="0.35">
      <c r="A223" s="1">
        <v>43239</v>
      </c>
      <c r="B223">
        <v>25.9</v>
      </c>
      <c r="C223">
        <v>21.4</v>
      </c>
      <c r="D223">
        <v>32.799999999999997</v>
      </c>
      <c r="E223">
        <v>19.100000000000001</v>
      </c>
      <c r="F223" t="str">
        <f>IF(OR(B223&lt;outliers!$B$7,B223&gt;outliers!$B$6),"Outlier","Normal")</f>
        <v>Normal</v>
      </c>
      <c r="G223" t="str">
        <f>IF(OR(C223&lt;outliers!$B$14,C223&gt;outliers!$B$13),"Outlier","Normal")</f>
        <v>Normal</v>
      </c>
      <c r="H223" t="str">
        <f>IF(OR(D223&lt;outliers!$B$21,D223&gt;outliers!$B$20),"Outlier","Normal")</f>
        <v>Normal</v>
      </c>
      <c r="I223" t="str">
        <f>IF(OR(E223&lt;outliers!$C$28,E223&gt;outliers!$B$27),"Outlier","Normal")</f>
        <v>Outlier</v>
      </c>
      <c r="J223">
        <f t="shared" si="8"/>
        <v>2018</v>
      </c>
      <c r="K223" t="str">
        <f t="shared" si="7"/>
        <v>May</v>
      </c>
    </row>
    <row r="224" spans="1:11" x14ac:dyDescent="0.35">
      <c r="A224" s="1">
        <v>43240</v>
      </c>
      <c r="B224">
        <v>25.2</v>
      </c>
      <c r="C224">
        <v>20.5</v>
      </c>
      <c r="D224">
        <v>32.4</v>
      </c>
      <c r="E224">
        <v>8.6</v>
      </c>
      <c r="F224" t="str">
        <f>IF(OR(B224&lt;outliers!$B$7,B224&gt;outliers!$B$6),"Outlier","Normal")</f>
        <v>Normal</v>
      </c>
      <c r="G224" t="str">
        <f>IF(OR(C224&lt;outliers!$B$14,C224&gt;outliers!$B$13),"Outlier","Normal")</f>
        <v>Normal</v>
      </c>
      <c r="H224" t="str">
        <f>IF(OR(D224&lt;outliers!$B$21,D224&gt;outliers!$B$20),"Outlier","Normal")</f>
        <v>Normal</v>
      </c>
      <c r="I224" t="str">
        <f>IF(OR(E224&lt;outliers!$C$28,E224&gt;outliers!$B$27),"Outlier","Normal")</f>
        <v>Normal</v>
      </c>
      <c r="J224">
        <f t="shared" si="8"/>
        <v>2018</v>
      </c>
      <c r="K224" t="str">
        <f t="shared" si="7"/>
        <v>May</v>
      </c>
    </row>
    <row r="225" spans="1:11" x14ac:dyDescent="0.35">
      <c r="A225" s="1">
        <v>43241</v>
      </c>
      <c r="B225">
        <v>24</v>
      </c>
      <c r="C225">
        <v>21.6</v>
      </c>
      <c r="D225">
        <v>32.4</v>
      </c>
      <c r="E225">
        <v>0</v>
      </c>
      <c r="F225" t="str">
        <f>IF(OR(B225&lt;outliers!$B$7,B225&gt;outliers!$B$6),"Outlier","Normal")</f>
        <v>Normal</v>
      </c>
      <c r="G225" t="str">
        <f>IF(OR(C225&lt;outliers!$B$14,C225&gt;outliers!$B$13),"Outlier","Normal")</f>
        <v>Normal</v>
      </c>
      <c r="H225" t="str">
        <f>IF(OR(D225&lt;outliers!$B$21,D225&gt;outliers!$B$20),"Outlier","Normal")</f>
        <v>Normal</v>
      </c>
      <c r="I225" t="str">
        <f>IF(OR(E225&lt;outliers!$C$28,E225&gt;outliers!$B$27),"Outlier","Normal")</f>
        <v>Normal</v>
      </c>
      <c r="J225">
        <f t="shared" si="8"/>
        <v>2018</v>
      </c>
      <c r="K225" t="str">
        <f t="shared" si="7"/>
        <v>May</v>
      </c>
    </row>
    <row r="226" spans="1:11" x14ac:dyDescent="0.35">
      <c r="A226" s="1">
        <v>43242</v>
      </c>
      <c r="B226">
        <v>26.3</v>
      </c>
      <c r="C226">
        <v>20.5</v>
      </c>
      <c r="D226">
        <v>31.8</v>
      </c>
      <c r="E226">
        <v>9.4</v>
      </c>
      <c r="F226" t="str">
        <f>IF(OR(B226&lt;outliers!$B$7,B226&gt;outliers!$B$6),"Outlier","Normal")</f>
        <v>Normal</v>
      </c>
      <c r="G226" t="str">
        <f>IF(OR(C226&lt;outliers!$B$14,C226&gt;outliers!$B$13),"Outlier","Normal")</f>
        <v>Normal</v>
      </c>
      <c r="H226" t="str">
        <f>IF(OR(D226&lt;outliers!$B$21,D226&gt;outliers!$B$20),"Outlier","Normal")</f>
        <v>Normal</v>
      </c>
      <c r="I226" t="str">
        <f>IF(OR(E226&lt;outliers!$C$28,E226&gt;outliers!$B$27),"Outlier","Normal")</f>
        <v>Normal</v>
      </c>
      <c r="J226">
        <f t="shared" si="8"/>
        <v>2018</v>
      </c>
      <c r="K226" t="str">
        <f t="shared" si="7"/>
        <v>May</v>
      </c>
    </row>
    <row r="227" spans="1:11" hidden="1" x14ac:dyDescent="0.35">
      <c r="A227" s="1">
        <v>43244</v>
      </c>
      <c r="B227">
        <v>26.3</v>
      </c>
      <c r="C227">
        <v>20.399999999999999</v>
      </c>
      <c r="D227">
        <v>31.9</v>
      </c>
      <c r="E227">
        <v>24.9</v>
      </c>
      <c r="F227" t="str">
        <f>IF(OR(B227&lt;outliers!$B$7,B227&gt;outliers!$B$6),"Outlier","Normal")</f>
        <v>Normal</v>
      </c>
      <c r="G227" t="str">
        <f>IF(OR(C227&lt;outliers!$B$14,C227&gt;outliers!$B$13),"Outlier","Normal")</f>
        <v>Normal</v>
      </c>
      <c r="H227" t="str">
        <f>IF(OR(D227&lt;outliers!$B$21,D227&gt;outliers!$B$20),"Outlier","Normal")</f>
        <v>Normal</v>
      </c>
      <c r="I227" t="str">
        <f>IF(OR(E227&lt;outliers!$C$28,E227&gt;outliers!$B$27),"Outlier","Normal")</f>
        <v>Outlier</v>
      </c>
      <c r="J227">
        <f t="shared" si="8"/>
        <v>2018</v>
      </c>
      <c r="K227" t="str">
        <f t="shared" si="7"/>
        <v>May</v>
      </c>
    </row>
    <row r="228" spans="1:11" hidden="1" x14ac:dyDescent="0.35">
      <c r="A228" s="1">
        <v>43245</v>
      </c>
      <c r="B228">
        <v>23.5</v>
      </c>
      <c r="C228">
        <v>21.9</v>
      </c>
      <c r="D228">
        <v>32</v>
      </c>
      <c r="E228">
        <v>33</v>
      </c>
      <c r="F228" t="str">
        <f>IF(OR(B228&lt;outliers!$B$7,B228&gt;outliers!$B$6),"Outlier","Normal")</f>
        <v>Normal</v>
      </c>
      <c r="G228" t="str">
        <f>IF(OR(C228&lt;outliers!$B$14,C228&gt;outliers!$B$13),"Outlier","Normal")</f>
        <v>Normal</v>
      </c>
      <c r="H228" t="str">
        <f>IF(OR(D228&lt;outliers!$B$21,D228&gt;outliers!$B$20),"Outlier","Normal")</f>
        <v>Normal</v>
      </c>
      <c r="I228" t="str">
        <f>IF(OR(E228&lt;outliers!$C$28,E228&gt;outliers!$B$27),"Outlier","Normal")</f>
        <v>Outlier</v>
      </c>
      <c r="J228">
        <f t="shared" si="8"/>
        <v>2018</v>
      </c>
      <c r="K228" t="str">
        <f t="shared" si="7"/>
        <v>May</v>
      </c>
    </row>
    <row r="229" spans="1:11" hidden="1" x14ac:dyDescent="0.35">
      <c r="A229" s="1">
        <v>43246</v>
      </c>
      <c r="B229">
        <v>25</v>
      </c>
      <c r="C229">
        <v>21.1</v>
      </c>
      <c r="D229">
        <v>29.8</v>
      </c>
      <c r="E229">
        <v>14</v>
      </c>
      <c r="F229" t="str">
        <f>IF(OR(B229&lt;outliers!$B$7,B229&gt;outliers!$B$6),"Outlier","Normal")</f>
        <v>Normal</v>
      </c>
      <c r="G229" t="str">
        <f>IF(OR(C229&lt;outliers!$B$14,C229&gt;outliers!$B$13),"Outlier","Normal")</f>
        <v>Normal</v>
      </c>
      <c r="H229" t="str">
        <f>IF(OR(D229&lt;outliers!$B$21,D229&gt;outliers!$B$20),"Outlier","Normal")</f>
        <v>Normal</v>
      </c>
      <c r="I229" t="str">
        <f>IF(OR(E229&lt;outliers!$C$28,E229&gt;outliers!$B$27),"Outlier","Normal")</f>
        <v>Outlier</v>
      </c>
      <c r="J229">
        <f t="shared" si="8"/>
        <v>2018</v>
      </c>
      <c r="K229" t="str">
        <f t="shared" si="7"/>
        <v>May</v>
      </c>
    </row>
    <row r="230" spans="1:11" x14ac:dyDescent="0.35">
      <c r="A230" s="1">
        <v>43247</v>
      </c>
      <c r="B230">
        <v>26</v>
      </c>
      <c r="C230">
        <v>22.2</v>
      </c>
      <c r="D230">
        <v>30.8</v>
      </c>
      <c r="E230">
        <v>0</v>
      </c>
      <c r="F230" t="str">
        <f>IF(OR(B230&lt;outliers!$B$7,B230&gt;outliers!$B$6),"Outlier","Normal")</f>
        <v>Normal</v>
      </c>
      <c r="G230" t="str">
        <f>IF(OR(C230&lt;outliers!$B$14,C230&gt;outliers!$B$13),"Outlier","Normal")</f>
        <v>Normal</v>
      </c>
      <c r="H230" t="str">
        <f>IF(OR(D230&lt;outliers!$B$21,D230&gt;outliers!$B$20),"Outlier","Normal")</f>
        <v>Normal</v>
      </c>
      <c r="I230" t="str">
        <f>IF(OR(E230&lt;outliers!$C$28,E230&gt;outliers!$B$27),"Outlier","Normal")</f>
        <v>Normal</v>
      </c>
      <c r="J230">
        <f t="shared" si="8"/>
        <v>2018</v>
      </c>
      <c r="K230" t="str">
        <f t="shared" si="7"/>
        <v>May</v>
      </c>
    </row>
    <row r="231" spans="1:11" x14ac:dyDescent="0.35">
      <c r="A231" s="1">
        <v>43248</v>
      </c>
      <c r="B231">
        <v>26.3</v>
      </c>
      <c r="C231">
        <v>22.3</v>
      </c>
      <c r="D231">
        <v>32</v>
      </c>
      <c r="E231">
        <v>0</v>
      </c>
      <c r="F231" t="str">
        <f>IF(OR(B231&lt;outliers!$B$7,B231&gt;outliers!$B$6),"Outlier","Normal")</f>
        <v>Normal</v>
      </c>
      <c r="G231" t="str">
        <f>IF(OR(C231&lt;outliers!$B$14,C231&gt;outliers!$B$13),"Outlier","Normal")</f>
        <v>Normal</v>
      </c>
      <c r="H231" t="str">
        <f>IF(OR(D231&lt;outliers!$B$21,D231&gt;outliers!$B$20),"Outlier","Normal")</f>
        <v>Normal</v>
      </c>
      <c r="I231" t="str">
        <f>IF(OR(E231&lt;outliers!$C$28,E231&gt;outliers!$B$27),"Outlier","Normal")</f>
        <v>Normal</v>
      </c>
      <c r="J231">
        <f t="shared" si="8"/>
        <v>2018</v>
      </c>
      <c r="K231" t="str">
        <f t="shared" si="7"/>
        <v>May</v>
      </c>
    </row>
    <row r="232" spans="1:11" x14ac:dyDescent="0.35">
      <c r="A232" s="1">
        <v>43250</v>
      </c>
      <c r="B232">
        <v>24.5</v>
      </c>
      <c r="C232">
        <v>20.9</v>
      </c>
      <c r="D232">
        <v>30.5</v>
      </c>
      <c r="E232">
        <v>0</v>
      </c>
      <c r="F232" t="str">
        <f>IF(OR(B232&lt;outliers!$B$7,B232&gt;outliers!$B$6),"Outlier","Normal")</f>
        <v>Normal</v>
      </c>
      <c r="G232" t="str">
        <f>IF(OR(C232&lt;outliers!$B$14,C232&gt;outliers!$B$13),"Outlier","Normal")</f>
        <v>Normal</v>
      </c>
      <c r="H232" t="str">
        <f>IF(OR(D232&lt;outliers!$B$21,D232&gt;outliers!$B$20),"Outlier","Normal")</f>
        <v>Normal</v>
      </c>
      <c r="I232" t="str">
        <f>IF(OR(E232&lt;outliers!$C$28,E232&gt;outliers!$B$27),"Outlier","Normal")</f>
        <v>Normal</v>
      </c>
      <c r="J232">
        <f t="shared" si="8"/>
        <v>2018</v>
      </c>
      <c r="K232" t="str">
        <f t="shared" si="7"/>
        <v>May</v>
      </c>
    </row>
    <row r="233" spans="1:11" hidden="1" x14ac:dyDescent="0.35">
      <c r="A233" s="1">
        <v>43251</v>
      </c>
      <c r="B233">
        <v>25.6</v>
      </c>
      <c r="C233">
        <v>20.9</v>
      </c>
      <c r="D233">
        <v>29.7</v>
      </c>
      <c r="E233">
        <v>10.4</v>
      </c>
      <c r="F233" t="str">
        <f>IF(OR(B233&lt;outliers!$B$7,B233&gt;outliers!$B$6),"Outlier","Normal")</f>
        <v>Normal</v>
      </c>
      <c r="G233" t="str">
        <f>IF(OR(C233&lt;outliers!$B$14,C233&gt;outliers!$B$13),"Outlier","Normal")</f>
        <v>Normal</v>
      </c>
      <c r="H233" t="str">
        <f>IF(OR(D233&lt;outliers!$B$21,D233&gt;outliers!$B$20),"Outlier","Normal")</f>
        <v>Normal</v>
      </c>
      <c r="I233" t="str">
        <f>IF(OR(E233&lt;outliers!$C$28,E233&gt;outliers!$B$27),"Outlier","Normal")</f>
        <v>Outlier</v>
      </c>
      <c r="J233">
        <f t="shared" si="8"/>
        <v>2018</v>
      </c>
      <c r="K233" t="str">
        <f t="shared" si="7"/>
        <v>May</v>
      </c>
    </row>
    <row r="234" spans="1:11" x14ac:dyDescent="0.35">
      <c r="A234" s="1">
        <v>43252</v>
      </c>
      <c r="B234">
        <v>24.4</v>
      </c>
      <c r="C234">
        <v>21.9</v>
      </c>
      <c r="D234">
        <v>30.3</v>
      </c>
      <c r="E234">
        <v>0</v>
      </c>
      <c r="F234" t="str">
        <f>IF(OR(B234&lt;outliers!$B$7,B234&gt;outliers!$B$6),"Outlier","Normal")</f>
        <v>Normal</v>
      </c>
      <c r="G234" t="str">
        <f>IF(OR(C234&lt;outliers!$B$14,C234&gt;outliers!$B$13),"Outlier","Normal")</f>
        <v>Normal</v>
      </c>
      <c r="H234" t="str">
        <f>IF(OR(D234&lt;outliers!$B$21,D234&gt;outliers!$B$20),"Outlier","Normal")</f>
        <v>Normal</v>
      </c>
      <c r="I234" t="str">
        <f>IF(OR(E234&lt;outliers!$C$28,E234&gt;outliers!$B$27),"Outlier","Normal")</f>
        <v>Normal</v>
      </c>
      <c r="J234">
        <f t="shared" si="8"/>
        <v>2018</v>
      </c>
      <c r="K234" t="str">
        <f t="shared" si="7"/>
        <v>May</v>
      </c>
    </row>
    <row r="235" spans="1:11" x14ac:dyDescent="0.35">
      <c r="A235" s="1">
        <v>43253</v>
      </c>
      <c r="B235">
        <v>23.8</v>
      </c>
      <c r="C235">
        <v>20.9</v>
      </c>
      <c r="D235">
        <v>31</v>
      </c>
      <c r="E235">
        <v>1.5</v>
      </c>
      <c r="F235" t="str">
        <f>IF(OR(B235&lt;outliers!$B$7,B235&gt;outliers!$B$6),"Outlier","Normal")</f>
        <v>Normal</v>
      </c>
      <c r="G235" t="str">
        <f>IF(OR(C235&lt;outliers!$B$14,C235&gt;outliers!$B$13),"Outlier","Normal")</f>
        <v>Normal</v>
      </c>
      <c r="H235" t="str">
        <f>IF(OR(D235&lt;outliers!$B$21,D235&gt;outliers!$B$20),"Outlier","Normal")</f>
        <v>Normal</v>
      </c>
      <c r="I235" t="str">
        <f>IF(OR(E235&lt;outliers!$C$28,E235&gt;outliers!$B$27),"Outlier","Normal")</f>
        <v>Normal</v>
      </c>
      <c r="J235">
        <f t="shared" si="8"/>
        <v>2018</v>
      </c>
      <c r="K235" t="str">
        <f t="shared" si="7"/>
        <v>June</v>
      </c>
    </row>
    <row r="236" spans="1:11" x14ac:dyDescent="0.35">
      <c r="A236" s="1">
        <v>43254</v>
      </c>
      <c r="B236">
        <v>23.7</v>
      </c>
      <c r="C236">
        <v>20.8</v>
      </c>
      <c r="D236">
        <v>30.3</v>
      </c>
      <c r="E236">
        <v>1.8</v>
      </c>
      <c r="F236" t="str">
        <f>IF(OR(B236&lt;outliers!$B$7,B236&gt;outliers!$B$6),"Outlier","Normal")</f>
        <v>Normal</v>
      </c>
      <c r="G236" t="str">
        <f>IF(OR(C236&lt;outliers!$B$14,C236&gt;outliers!$B$13),"Outlier","Normal")</f>
        <v>Normal</v>
      </c>
      <c r="H236" t="str">
        <f>IF(OR(D236&lt;outliers!$B$21,D236&gt;outliers!$B$20),"Outlier","Normal")</f>
        <v>Normal</v>
      </c>
      <c r="I236" t="str">
        <f>IF(OR(E236&lt;outliers!$C$28,E236&gt;outliers!$B$27),"Outlier","Normal")</f>
        <v>Normal</v>
      </c>
      <c r="J236">
        <f t="shared" si="8"/>
        <v>2018</v>
      </c>
      <c r="K236" t="str">
        <f t="shared" si="7"/>
        <v>June</v>
      </c>
    </row>
    <row r="237" spans="1:11" x14ac:dyDescent="0.35">
      <c r="A237" s="1">
        <v>43255</v>
      </c>
      <c r="B237">
        <v>23.8</v>
      </c>
      <c r="C237">
        <v>21</v>
      </c>
      <c r="D237">
        <v>30.4</v>
      </c>
      <c r="E237">
        <v>6.1</v>
      </c>
      <c r="F237" t="str">
        <f>IF(OR(B237&lt;outliers!$B$7,B237&gt;outliers!$B$6),"Outlier","Normal")</f>
        <v>Normal</v>
      </c>
      <c r="G237" t="str">
        <f>IF(OR(C237&lt;outliers!$B$14,C237&gt;outliers!$B$13),"Outlier","Normal")</f>
        <v>Normal</v>
      </c>
      <c r="H237" t="str">
        <f>IF(OR(D237&lt;outliers!$B$21,D237&gt;outliers!$B$20),"Outlier","Normal")</f>
        <v>Normal</v>
      </c>
      <c r="I237" t="str">
        <f>IF(OR(E237&lt;outliers!$C$28,E237&gt;outliers!$B$27),"Outlier","Normal")</f>
        <v>Normal</v>
      </c>
      <c r="J237">
        <f t="shared" si="8"/>
        <v>2018</v>
      </c>
      <c r="K237" t="str">
        <f t="shared" si="7"/>
        <v>June</v>
      </c>
    </row>
    <row r="238" spans="1:11" x14ac:dyDescent="0.35">
      <c r="A238" s="1">
        <v>43256</v>
      </c>
      <c r="B238">
        <v>24.8</v>
      </c>
      <c r="C238">
        <v>21.2</v>
      </c>
      <c r="D238">
        <v>30</v>
      </c>
      <c r="E238">
        <v>0</v>
      </c>
      <c r="F238" t="str">
        <f>IF(OR(B238&lt;outliers!$B$7,B238&gt;outliers!$B$6),"Outlier","Normal")</f>
        <v>Normal</v>
      </c>
      <c r="G238" t="str">
        <f>IF(OR(C238&lt;outliers!$B$14,C238&gt;outliers!$B$13),"Outlier","Normal")</f>
        <v>Normal</v>
      </c>
      <c r="H238" t="str">
        <f>IF(OR(D238&lt;outliers!$B$21,D238&gt;outliers!$B$20),"Outlier","Normal")</f>
        <v>Normal</v>
      </c>
      <c r="I238" t="str">
        <f>IF(OR(E238&lt;outliers!$C$28,E238&gt;outliers!$B$27),"Outlier","Normal")</f>
        <v>Normal</v>
      </c>
      <c r="J238">
        <f t="shared" si="8"/>
        <v>2018</v>
      </c>
      <c r="K238" t="str">
        <f t="shared" si="7"/>
        <v>June</v>
      </c>
    </row>
    <row r="239" spans="1:11" x14ac:dyDescent="0.35">
      <c r="A239" s="1">
        <v>43257</v>
      </c>
      <c r="B239">
        <v>25.6</v>
      </c>
      <c r="C239">
        <v>21.9</v>
      </c>
      <c r="D239">
        <v>29.7</v>
      </c>
      <c r="E239">
        <v>0</v>
      </c>
      <c r="F239" t="str">
        <f>IF(OR(B239&lt;outliers!$B$7,B239&gt;outliers!$B$6),"Outlier","Normal")</f>
        <v>Normal</v>
      </c>
      <c r="G239" t="str">
        <f>IF(OR(C239&lt;outliers!$B$14,C239&gt;outliers!$B$13),"Outlier","Normal")</f>
        <v>Normal</v>
      </c>
      <c r="H239" t="str">
        <f>IF(OR(D239&lt;outliers!$B$21,D239&gt;outliers!$B$20),"Outlier","Normal")</f>
        <v>Normal</v>
      </c>
      <c r="I239" t="str">
        <f>IF(OR(E239&lt;outliers!$C$28,E239&gt;outliers!$B$27),"Outlier","Normal")</f>
        <v>Normal</v>
      </c>
      <c r="J239">
        <f t="shared" si="8"/>
        <v>2018</v>
      </c>
      <c r="K239" t="str">
        <f t="shared" si="7"/>
        <v>June</v>
      </c>
    </row>
    <row r="240" spans="1:11" x14ac:dyDescent="0.35">
      <c r="A240" s="1">
        <v>43258</v>
      </c>
      <c r="B240">
        <v>23.9</v>
      </c>
      <c r="C240">
        <v>21.7</v>
      </c>
      <c r="D240">
        <v>30.1</v>
      </c>
      <c r="E240">
        <v>0</v>
      </c>
      <c r="F240" t="str">
        <f>IF(OR(B240&lt;outliers!$B$7,B240&gt;outliers!$B$6),"Outlier","Normal")</f>
        <v>Normal</v>
      </c>
      <c r="G240" t="str">
        <f>IF(OR(C240&lt;outliers!$B$14,C240&gt;outliers!$B$13),"Outlier","Normal")</f>
        <v>Normal</v>
      </c>
      <c r="H240" t="str">
        <f>IF(OR(D240&lt;outliers!$B$21,D240&gt;outliers!$B$20),"Outlier","Normal")</f>
        <v>Normal</v>
      </c>
      <c r="I240" t="str">
        <f>IF(OR(E240&lt;outliers!$C$28,E240&gt;outliers!$B$27),"Outlier","Normal")</f>
        <v>Normal</v>
      </c>
      <c r="J240">
        <f t="shared" si="8"/>
        <v>2018</v>
      </c>
      <c r="K240" t="str">
        <f t="shared" si="7"/>
        <v>June</v>
      </c>
    </row>
    <row r="241" spans="1:11" x14ac:dyDescent="0.35">
      <c r="A241" s="1">
        <v>43259</v>
      </c>
      <c r="B241">
        <v>23.3</v>
      </c>
      <c r="C241">
        <v>21</v>
      </c>
      <c r="D241">
        <v>29</v>
      </c>
      <c r="E241">
        <v>0</v>
      </c>
      <c r="F241" t="str">
        <f>IF(OR(B241&lt;outliers!$B$7,B241&gt;outliers!$B$6),"Outlier","Normal")</f>
        <v>Normal</v>
      </c>
      <c r="G241" t="str">
        <f>IF(OR(C241&lt;outliers!$B$14,C241&gt;outliers!$B$13),"Outlier","Normal")</f>
        <v>Normal</v>
      </c>
      <c r="H241" t="str">
        <f>IF(OR(D241&lt;outliers!$B$21,D241&gt;outliers!$B$20),"Outlier","Normal")</f>
        <v>Normal</v>
      </c>
      <c r="I241" t="str">
        <f>IF(OR(E241&lt;outliers!$C$28,E241&gt;outliers!$B$27),"Outlier","Normal")</f>
        <v>Normal</v>
      </c>
      <c r="J241">
        <f t="shared" si="8"/>
        <v>2018</v>
      </c>
      <c r="K241" t="str">
        <f t="shared" si="7"/>
        <v>June</v>
      </c>
    </row>
    <row r="242" spans="1:11" x14ac:dyDescent="0.35">
      <c r="A242" s="1">
        <v>43260</v>
      </c>
      <c r="B242">
        <v>22</v>
      </c>
      <c r="C242">
        <v>20.7</v>
      </c>
      <c r="D242">
        <v>25.8</v>
      </c>
      <c r="E242">
        <v>3.8</v>
      </c>
      <c r="F242" t="str">
        <f>IF(OR(B242&lt;outliers!$B$7,B242&gt;outliers!$B$6),"Outlier","Normal")</f>
        <v>Normal</v>
      </c>
      <c r="G242" t="str">
        <f>IF(OR(C242&lt;outliers!$B$14,C242&gt;outliers!$B$13),"Outlier","Normal")</f>
        <v>Normal</v>
      </c>
      <c r="H242" t="str">
        <f>IF(OR(D242&lt;outliers!$B$21,D242&gt;outliers!$B$20),"Outlier","Normal")</f>
        <v>Normal</v>
      </c>
      <c r="I242" t="str">
        <f>IF(OR(E242&lt;outliers!$C$28,E242&gt;outliers!$B$27),"Outlier","Normal")</f>
        <v>Normal</v>
      </c>
      <c r="J242">
        <f t="shared" si="8"/>
        <v>2018</v>
      </c>
      <c r="K242" t="str">
        <f t="shared" si="7"/>
        <v>June</v>
      </c>
    </row>
    <row r="243" spans="1:11" x14ac:dyDescent="0.35">
      <c r="A243" s="1">
        <v>43261</v>
      </c>
      <c r="B243">
        <v>22.7</v>
      </c>
      <c r="C243">
        <v>20.5</v>
      </c>
      <c r="D243">
        <v>27</v>
      </c>
      <c r="E243">
        <v>1.3</v>
      </c>
      <c r="F243" t="str">
        <f>IF(OR(B243&lt;outliers!$B$7,B243&gt;outliers!$B$6),"Outlier","Normal")</f>
        <v>Normal</v>
      </c>
      <c r="G243" t="str">
        <f>IF(OR(C243&lt;outliers!$B$14,C243&gt;outliers!$B$13),"Outlier","Normal")</f>
        <v>Normal</v>
      </c>
      <c r="H243" t="str">
        <f>IF(OR(D243&lt;outliers!$B$21,D243&gt;outliers!$B$20),"Outlier","Normal")</f>
        <v>Normal</v>
      </c>
      <c r="I243" t="str">
        <f>IF(OR(E243&lt;outliers!$C$28,E243&gt;outliers!$B$27),"Outlier","Normal")</f>
        <v>Normal</v>
      </c>
      <c r="J243">
        <f t="shared" si="8"/>
        <v>2018</v>
      </c>
      <c r="K243" t="str">
        <f t="shared" si="7"/>
        <v>June</v>
      </c>
    </row>
    <row r="244" spans="1:11" x14ac:dyDescent="0.35">
      <c r="A244" s="1">
        <v>43262</v>
      </c>
      <c r="B244">
        <v>23.7</v>
      </c>
      <c r="C244">
        <v>21</v>
      </c>
      <c r="D244">
        <v>26.9</v>
      </c>
      <c r="E244">
        <v>2</v>
      </c>
      <c r="F244" t="str">
        <f>IF(OR(B244&lt;outliers!$B$7,B244&gt;outliers!$B$6),"Outlier","Normal")</f>
        <v>Normal</v>
      </c>
      <c r="G244" t="str">
        <f>IF(OR(C244&lt;outliers!$B$14,C244&gt;outliers!$B$13),"Outlier","Normal")</f>
        <v>Normal</v>
      </c>
      <c r="H244" t="str">
        <f>IF(OR(D244&lt;outliers!$B$21,D244&gt;outliers!$B$20),"Outlier","Normal")</f>
        <v>Normal</v>
      </c>
      <c r="I244" t="str">
        <f>IF(OR(E244&lt;outliers!$C$28,E244&gt;outliers!$B$27),"Outlier","Normal")</f>
        <v>Normal</v>
      </c>
      <c r="J244">
        <f t="shared" si="8"/>
        <v>2018</v>
      </c>
      <c r="K244" t="str">
        <f t="shared" si="7"/>
        <v>June</v>
      </c>
    </row>
    <row r="245" spans="1:11" x14ac:dyDescent="0.35">
      <c r="A245" s="1">
        <v>43265</v>
      </c>
      <c r="B245">
        <v>23.2</v>
      </c>
      <c r="C245">
        <v>21</v>
      </c>
      <c r="D245">
        <v>27.9</v>
      </c>
      <c r="E245">
        <v>0</v>
      </c>
      <c r="F245" t="str">
        <f>IF(OR(B245&lt;outliers!$B$7,B245&gt;outliers!$B$6),"Outlier","Normal")</f>
        <v>Normal</v>
      </c>
      <c r="G245" t="str">
        <f>IF(OR(C245&lt;outliers!$B$14,C245&gt;outliers!$B$13),"Outlier","Normal")</f>
        <v>Normal</v>
      </c>
      <c r="H245" t="str">
        <f>IF(OR(D245&lt;outliers!$B$21,D245&gt;outliers!$B$20),"Outlier","Normal")</f>
        <v>Normal</v>
      </c>
      <c r="I245" t="str">
        <f>IF(OR(E245&lt;outliers!$C$28,E245&gt;outliers!$B$27),"Outlier","Normal")</f>
        <v>Normal</v>
      </c>
      <c r="J245">
        <f t="shared" si="8"/>
        <v>2018</v>
      </c>
      <c r="K245" t="str">
        <f t="shared" si="7"/>
        <v>June</v>
      </c>
    </row>
    <row r="246" spans="1:11" x14ac:dyDescent="0.35">
      <c r="A246" s="1">
        <v>43266</v>
      </c>
      <c r="B246">
        <v>23.8</v>
      </c>
      <c r="C246">
        <v>20.5</v>
      </c>
      <c r="D246">
        <v>31.2</v>
      </c>
      <c r="E246">
        <v>3</v>
      </c>
      <c r="F246" t="str">
        <f>IF(OR(B246&lt;outliers!$B$7,B246&gt;outliers!$B$6),"Outlier","Normal")</f>
        <v>Normal</v>
      </c>
      <c r="G246" t="str">
        <f>IF(OR(C246&lt;outliers!$B$14,C246&gt;outliers!$B$13),"Outlier","Normal")</f>
        <v>Normal</v>
      </c>
      <c r="H246" t="str">
        <f>IF(OR(D246&lt;outliers!$B$21,D246&gt;outliers!$B$20),"Outlier","Normal")</f>
        <v>Normal</v>
      </c>
      <c r="I246" t="str">
        <f>IF(OR(E246&lt;outliers!$C$28,E246&gt;outliers!$B$27),"Outlier","Normal")</f>
        <v>Normal</v>
      </c>
      <c r="J246">
        <f t="shared" si="8"/>
        <v>2018</v>
      </c>
      <c r="K246" t="str">
        <f t="shared" si="7"/>
        <v>June</v>
      </c>
    </row>
    <row r="247" spans="1:11" x14ac:dyDescent="0.35">
      <c r="A247" s="1">
        <v>43267</v>
      </c>
      <c r="B247">
        <v>24.1</v>
      </c>
      <c r="C247">
        <v>20.100000000000001</v>
      </c>
      <c r="D247">
        <v>31</v>
      </c>
      <c r="E247">
        <v>5.6</v>
      </c>
      <c r="F247" t="str">
        <f>IF(OR(B247&lt;outliers!$B$7,B247&gt;outliers!$B$6),"Outlier","Normal")</f>
        <v>Normal</v>
      </c>
      <c r="G247" t="str">
        <f>IF(OR(C247&lt;outliers!$B$14,C247&gt;outliers!$B$13),"Outlier","Normal")</f>
        <v>Normal</v>
      </c>
      <c r="H247" t="str">
        <f>IF(OR(D247&lt;outliers!$B$21,D247&gt;outliers!$B$20),"Outlier","Normal")</f>
        <v>Normal</v>
      </c>
      <c r="I247" t="str">
        <f>IF(OR(E247&lt;outliers!$C$28,E247&gt;outliers!$B$27),"Outlier","Normal")</f>
        <v>Normal</v>
      </c>
      <c r="J247">
        <f t="shared" si="8"/>
        <v>2018</v>
      </c>
      <c r="K247" t="str">
        <f t="shared" si="7"/>
        <v>June</v>
      </c>
    </row>
    <row r="248" spans="1:11" x14ac:dyDescent="0.35">
      <c r="A248" s="1">
        <v>43268</v>
      </c>
      <c r="B248">
        <v>23.6</v>
      </c>
      <c r="C248">
        <v>20.9</v>
      </c>
      <c r="D248">
        <v>30</v>
      </c>
      <c r="E248">
        <v>0</v>
      </c>
      <c r="F248" t="str">
        <f>IF(OR(B248&lt;outliers!$B$7,B248&gt;outliers!$B$6),"Outlier","Normal")</f>
        <v>Normal</v>
      </c>
      <c r="G248" t="str">
        <f>IF(OR(C248&lt;outliers!$B$14,C248&gt;outliers!$B$13),"Outlier","Normal")</f>
        <v>Normal</v>
      </c>
      <c r="H248" t="str">
        <f>IF(OR(D248&lt;outliers!$B$21,D248&gt;outliers!$B$20),"Outlier","Normal")</f>
        <v>Normal</v>
      </c>
      <c r="I248" t="str">
        <f>IF(OR(E248&lt;outliers!$C$28,E248&gt;outliers!$B$27),"Outlier","Normal")</f>
        <v>Normal</v>
      </c>
      <c r="J248">
        <f t="shared" si="8"/>
        <v>2018</v>
      </c>
      <c r="K248" t="str">
        <f t="shared" si="7"/>
        <v>June</v>
      </c>
    </row>
    <row r="249" spans="1:11" x14ac:dyDescent="0.35">
      <c r="A249" s="1">
        <v>43270</v>
      </c>
      <c r="B249">
        <v>23.8</v>
      </c>
      <c r="C249">
        <v>20.100000000000001</v>
      </c>
      <c r="D249">
        <v>28.9</v>
      </c>
      <c r="E249">
        <v>7.1</v>
      </c>
      <c r="F249" t="str">
        <f>IF(OR(B249&lt;outliers!$B$7,B249&gt;outliers!$B$6),"Outlier","Normal")</f>
        <v>Normal</v>
      </c>
      <c r="G249" t="str">
        <f>IF(OR(C249&lt;outliers!$B$14,C249&gt;outliers!$B$13),"Outlier","Normal")</f>
        <v>Normal</v>
      </c>
      <c r="H249" t="str">
        <f>IF(OR(D249&lt;outliers!$B$21,D249&gt;outliers!$B$20),"Outlier","Normal")</f>
        <v>Normal</v>
      </c>
      <c r="I249" t="str">
        <f>IF(OR(E249&lt;outliers!$C$28,E249&gt;outliers!$B$27),"Outlier","Normal")</f>
        <v>Normal</v>
      </c>
      <c r="J249">
        <f t="shared" si="8"/>
        <v>2018</v>
      </c>
      <c r="K249" t="str">
        <f t="shared" si="7"/>
        <v>June</v>
      </c>
    </row>
    <row r="250" spans="1:11" x14ac:dyDescent="0.35">
      <c r="A250" s="1">
        <v>43271</v>
      </c>
      <c r="B250">
        <v>23.4</v>
      </c>
      <c r="C250">
        <v>20.7</v>
      </c>
      <c r="D250">
        <v>29.1</v>
      </c>
      <c r="E250">
        <v>0</v>
      </c>
      <c r="F250" t="str">
        <f>IF(OR(B250&lt;outliers!$B$7,B250&gt;outliers!$B$6),"Outlier","Normal")</f>
        <v>Normal</v>
      </c>
      <c r="G250" t="str">
        <f>IF(OR(C250&lt;outliers!$B$14,C250&gt;outliers!$B$13),"Outlier","Normal")</f>
        <v>Normal</v>
      </c>
      <c r="H250" t="str">
        <f>IF(OR(D250&lt;outliers!$B$21,D250&gt;outliers!$B$20),"Outlier","Normal")</f>
        <v>Normal</v>
      </c>
      <c r="I250" t="str">
        <f>IF(OR(E250&lt;outliers!$C$28,E250&gt;outliers!$B$27),"Outlier","Normal")</f>
        <v>Normal</v>
      </c>
      <c r="J250">
        <f t="shared" si="8"/>
        <v>2018</v>
      </c>
      <c r="K250" t="str">
        <f t="shared" si="7"/>
        <v>June</v>
      </c>
    </row>
    <row r="251" spans="1:11" x14ac:dyDescent="0.35">
      <c r="A251" s="1">
        <v>43273</v>
      </c>
      <c r="B251">
        <v>23.2</v>
      </c>
      <c r="C251">
        <v>19.7</v>
      </c>
      <c r="D251">
        <v>28</v>
      </c>
      <c r="E251">
        <v>0</v>
      </c>
      <c r="F251" t="str">
        <f>IF(OR(B251&lt;outliers!$B$7,B251&gt;outliers!$B$6),"Outlier","Normal")</f>
        <v>Normal</v>
      </c>
      <c r="G251" t="str">
        <f>IF(OR(C251&lt;outliers!$B$14,C251&gt;outliers!$B$13),"Outlier","Normal")</f>
        <v>Normal</v>
      </c>
      <c r="H251" t="str">
        <f>IF(OR(D251&lt;outliers!$B$21,D251&gt;outliers!$B$20),"Outlier","Normal")</f>
        <v>Normal</v>
      </c>
      <c r="I251" t="str">
        <f>IF(OR(E251&lt;outliers!$C$28,E251&gt;outliers!$B$27),"Outlier","Normal")</f>
        <v>Normal</v>
      </c>
      <c r="J251">
        <f t="shared" si="8"/>
        <v>2018</v>
      </c>
      <c r="K251" t="str">
        <f t="shared" si="7"/>
        <v>June</v>
      </c>
    </row>
    <row r="252" spans="1:11" x14ac:dyDescent="0.35">
      <c r="A252" s="1">
        <v>43274</v>
      </c>
      <c r="B252">
        <v>22.5</v>
      </c>
      <c r="C252">
        <v>20.3</v>
      </c>
      <c r="D252">
        <v>28</v>
      </c>
      <c r="E252">
        <v>1</v>
      </c>
      <c r="F252" t="str">
        <f>IF(OR(B252&lt;outliers!$B$7,B252&gt;outliers!$B$6),"Outlier","Normal")</f>
        <v>Normal</v>
      </c>
      <c r="G252" t="str">
        <f>IF(OR(C252&lt;outliers!$B$14,C252&gt;outliers!$B$13),"Outlier","Normal")</f>
        <v>Normal</v>
      </c>
      <c r="H252" t="str">
        <f>IF(OR(D252&lt;outliers!$B$21,D252&gt;outliers!$B$20),"Outlier","Normal")</f>
        <v>Normal</v>
      </c>
      <c r="I252" t="str">
        <f>IF(OR(E252&lt;outliers!$C$28,E252&gt;outliers!$B$27),"Outlier","Normal")</f>
        <v>Normal</v>
      </c>
      <c r="J252">
        <f t="shared" si="8"/>
        <v>2018</v>
      </c>
      <c r="K252" t="str">
        <f t="shared" si="7"/>
        <v>June</v>
      </c>
    </row>
    <row r="253" spans="1:11" hidden="1" x14ac:dyDescent="0.35">
      <c r="A253" s="1">
        <v>43275</v>
      </c>
      <c r="B253">
        <v>23.2</v>
      </c>
      <c r="C253">
        <v>19.7</v>
      </c>
      <c r="D253">
        <v>27.8</v>
      </c>
      <c r="E253">
        <v>12.2</v>
      </c>
      <c r="F253" t="str">
        <f>IF(OR(B253&lt;outliers!$B$7,B253&gt;outliers!$B$6),"Outlier","Normal")</f>
        <v>Normal</v>
      </c>
      <c r="G253" t="str">
        <f>IF(OR(C253&lt;outliers!$B$14,C253&gt;outliers!$B$13),"Outlier","Normal")</f>
        <v>Normal</v>
      </c>
      <c r="H253" t="str">
        <f>IF(OR(D253&lt;outliers!$B$21,D253&gt;outliers!$B$20),"Outlier","Normal")</f>
        <v>Normal</v>
      </c>
      <c r="I253" t="str">
        <f>IF(OR(E253&lt;outliers!$C$28,E253&gt;outliers!$B$27),"Outlier","Normal")</f>
        <v>Outlier</v>
      </c>
      <c r="J253">
        <f t="shared" si="8"/>
        <v>2018</v>
      </c>
      <c r="K253" t="str">
        <f t="shared" si="7"/>
        <v>June</v>
      </c>
    </row>
    <row r="254" spans="1:11" x14ac:dyDescent="0.35">
      <c r="A254" s="1">
        <v>43276</v>
      </c>
      <c r="B254">
        <v>23.5</v>
      </c>
      <c r="C254">
        <v>20.100000000000001</v>
      </c>
      <c r="D254">
        <v>27.8</v>
      </c>
      <c r="E254">
        <v>0</v>
      </c>
      <c r="F254" t="str">
        <f>IF(OR(B254&lt;outliers!$B$7,B254&gt;outliers!$B$6),"Outlier","Normal")</f>
        <v>Normal</v>
      </c>
      <c r="G254" t="str">
        <f>IF(OR(C254&lt;outliers!$B$14,C254&gt;outliers!$B$13),"Outlier","Normal")</f>
        <v>Normal</v>
      </c>
      <c r="H254" t="str">
        <f>IF(OR(D254&lt;outliers!$B$21,D254&gt;outliers!$B$20),"Outlier","Normal")</f>
        <v>Normal</v>
      </c>
      <c r="I254" t="str">
        <f>IF(OR(E254&lt;outliers!$C$28,E254&gt;outliers!$B$27),"Outlier","Normal")</f>
        <v>Normal</v>
      </c>
      <c r="J254">
        <f t="shared" si="8"/>
        <v>2018</v>
      </c>
      <c r="K254" t="str">
        <f t="shared" si="7"/>
        <v>June</v>
      </c>
    </row>
    <row r="255" spans="1:11" x14ac:dyDescent="0.35">
      <c r="A255" s="1">
        <v>43277</v>
      </c>
      <c r="B255">
        <v>23.1</v>
      </c>
      <c r="C255">
        <v>20.2</v>
      </c>
      <c r="D255">
        <v>28.1</v>
      </c>
      <c r="E255">
        <v>0</v>
      </c>
      <c r="F255" t="str">
        <f>IF(OR(B255&lt;outliers!$B$7,B255&gt;outliers!$B$6),"Outlier","Normal")</f>
        <v>Normal</v>
      </c>
      <c r="G255" t="str">
        <f>IF(OR(C255&lt;outliers!$B$14,C255&gt;outliers!$B$13),"Outlier","Normal")</f>
        <v>Normal</v>
      </c>
      <c r="H255" t="str">
        <f>IF(OR(D255&lt;outliers!$B$21,D255&gt;outliers!$B$20),"Outlier","Normal")</f>
        <v>Normal</v>
      </c>
      <c r="I255" t="str">
        <f>IF(OR(E255&lt;outliers!$C$28,E255&gt;outliers!$B$27),"Outlier","Normal")</f>
        <v>Normal</v>
      </c>
      <c r="J255">
        <f t="shared" si="8"/>
        <v>2018</v>
      </c>
      <c r="K255" t="str">
        <f t="shared" si="7"/>
        <v>June</v>
      </c>
    </row>
    <row r="256" spans="1:11" x14ac:dyDescent="0.35">
      <c r="A256" s="1">
        <v>43279</v>
      </c>
      <c r="B256">
        <v>22.4</v>
      </c>
      <c r="C256">
        <v>20</v>
      </c>
      <c r="D256">
        <v>26.2</v>
      </c>
      <c r="E256">
        <v>4.5999999999999996</v>
      </c>
      <c r="F256" t="str">
        <f>IF(OR(B256&lt;outliers!$B$7,B256&gt;outliers!$B$6),"Outlier","Normal")</f>
        <v>Normal</v>
      </c>
      <c r="G256" t="str">
        <f>IF(OR(C256&lt;outliers!$B$14,C256&gt;outliers!$B$13),"Outlier","Normal")</f>
        <v>Normal</v>
      </c>
      <c r="H256" t="str">
        <f>IF(OR(D256&lt;outliers!$B$21,D256&gt;outliers!$B$20),"Outlier","Normal")</f>
        <v>Normal</v>
      </c>
      <c r="I256" t="str">
        <f>IF(OR(E256&lt;outliers!$C$28,E256&gt;outliers!$B$27),"Outlier","Normal")</f>
        <v>Normal</v>
      </c>
      <c r="J256">
        <f t="shared" si="8"/>
        <v>2018</v>
      </c>
      <c r="K256" t="str">
        <f t="shared" si="7"/>
        <v>June</v>
      </c>
    </row>
    <row r="257" spans="1:11" x14ac:dyDescent="0.35">
      <c r="A257" s="1">
        <v>43280</v>
      </c>
      <c r="B257">
        <v>23.1</v>
      </c>
      <c r="C257">
        <v>20.100000000000001</v>
      </c>
      <c r="D257">
        <v>28.2</v>
      </c>
      <c r="E257">
        <v>0</v>
      </c>
      <c r="F257" t="str">
        <f>IF(OR(B257&lt;outliers!$B$7,B257&gt;outliers!$B$6),"Outlier","Normal")</f>
        <v>Normal</v>
      </c>
      <c r="G257" t="str">
        <f>IF(OR(C257&lt;outliers!$B$14,C257&gt;outliers!$B$13),"Outlier","Normal")</f>
        <v>Normal</v>
      </c>
      <c r="H257" t="str">
        <f>IF(OR(D257&lt;outliers!$B$21,D257&gt;outliers!$B$20),"Outlier","Normal")</f>
        <v>Normal</v>
      </c>
      <c r="I257" t="str">
        <f>IF(OR(E257&lt;outliers!$C$28,E257&gt;outliers!$B$27),"Outlier","Normal")</f>
        <v>Normal</v>
      </c>
      <c r="J257">
        <f t="shared" si="8"/>
        <v>2018</v>
      </c>
      <c r="K257" t="str">
        <f t="shared" si="7"/>
        <v>June</v>
      </c>
    </row>
    <row r="258" spans="1:11" x14ac:dyDescent="0.35">
      <c r="A258" s="1">
        <v>43281</v>
      </c>
      <c r="B258">
        <v>23.8</v>
      </c>
      <c r="C258">
        <v>19.5</v>
      </c>
      <c r="D258">
        <v>29.3</v>
      </c>
      <c r="E258">
        <v>0</v>
      </c>
      <c r="F258" t="str">
        <f>IF(OR(B258&lt;outliers!$B$7,B258&gt;outliers!$B$6),"Outlier","Normal")</f>
        <v>Normal</v>
      </c>
      <c r="G258" t="str">
        <f>IF(OR(C258&lt;outliers!$B$14,C258&gt;outliers!$B$13),"Outlier","Normal")</f>
        <v>Normal</v>
      </c>
      <c r="H258" t="str">
        <f>IF(OR(D258&lt;outliers!$B$21,D258&gt;outliers!$B$20),"Outlier","Normal")</f>
        <v>Normal</v>
      </c>
      <c r="I258" t="str">
        <f>IF(OR(E258&lt;outliers!$C$28,E258&gt;outliers!$B$27),"Outlier","Normal")</f>
        <v>Normal</v>
      </c>
      <c r="J258">
        <f t="shared" si="8"/>
        <v>2018</v>
      </c>
      <c r="K258" t="str">
        <f t="shared" ref="K258:K321" si="9">TEXT(A257,"mmmm")</f>
        <v>June</v>
      </c>
    </row>
    <row r="259" spans="1:11" x14ac:dyDescent="0.35">
      <c r="A259" s="1">
        <v>43282</v>
      </c>
      <c r="B259">
        <v>24.2</v>
      </c>
      <c r="C259">
        <v>20.6</v>
      </c>
      <c r="D259">
        <v>29.5</v>
      </c>
      <c r="E259">
        <v>0.5</v>
      </c>
      <c r="F259" t="str">
        <f>IF(OR(B259&lt;outliers!$B$7,B259&gt;outliers!$B$6),"Outlier","Normal")</f>
        <v>Normal</v>
      </c>
      <c r="G259" t="str">
        <f>IF(OR(C259&lt;outliers!$B$14,C259&gt;outliers!$B$13),"Outlier","Normal")</f>
        <v>Normal</v>
      </c>
      <c r="H259" t="str">
        <f>IF(OR(D259&lt;outliers!$B$21,D259&gt;outliers!$B$20),"Outlier","Normal")</f>
        <v>Normal</v>
      </c>
      <c r="I259" t="str">
        <f>IF(OR(E259&lt;outliers!$C$28,E259&gt;outliers!$B$27),"Outlier","Normal")</f>
        <v>Normal</v>
      </c>
      <c r="J259">
        <f t="shared" si="8"/>
        <v>2018</v>
      </c>
      <c r="K259" t="str">
        <f t="shared" si="9"/>
        <v>June</v>
      </c>
    </row>
    <row r="260" spans="1:11" x14ac:dyDescent="0.35">
      <c r="A260" s="1">
        <v>43283</v>
      </c>
      <c r="B260">
        <v>24.8</v>
      </c>
      <c r="C260">
        <v>20.9</v>
      </c>
      <c r="D260">
        <v>30.7</v>
      </c>
      <c r="E260">
        <v>0</v>
      </c>
      <c r="F260" t="str">
        <f>IF(OR(B260&lt;outliers!$B$7,B260&gt;outliers!$B$6),"Outlier","Normal")</f>
        <v>Normal</v>
      </c>
      <c r="G260" t="str">
        <f>IF(OR(C260&lt;outliers!$B$14,C260&gt;outliers!$B$13),"Outlier","Normal")</f>
        <v>Normal</v>
      </c>
      <c r="H260" t="str">
        <f>IF(OR(D260&lt;outliers!$B$21,D260&gt;outliers!$B$20),"Outlier","Normal")</f>
        <v>Normal</v>
      </c>
      <c r="I260" t="str">
        <f>IF(OR(E260&lt;outliers!$C$28,E260&gt;outliers!$B$27),"Outlier","Normal")</f>
        <v>Normal</v>
      </c>
      <c r="J260">
        <f t="shared" si="8"/>
        <v>2018</v>
      </c>
      <c r="K260" t="str">
        <f t="shared" si="9"/>
        <v>July</v>
      </c>
    </row>
    <row r="261" spans="1:11" x14ac:dyDescent="0.35">
      <c r="A261" s="1">
        <v>43284</v>
      </c>
      <c r="B261">
        <v>24.4</v>
      </c>
      <c r="C261">
        <v>20.7</v>
      </c>
      <c r="D261">
        <v>30.2</v>
      </c>
      <c r="E261">
        <v>0.5</v>
      </c>
      <c r="F261" t="str">
        <f>IF(OR(B261&lt;outliers!$B$7,B261&gt;outliers!$B$6),"Outlier","Normal")</f>
        <v>Normal</v>
      </c>
      <c r="G261" t="str">
        <f>IF(OR(C261&lt;outliers!$B$14,C261&gt;outliers!$B$13),"Outlier","Normal")</f>
        <v>Normal</v>
      </c>
      <c r="H261" t="str">
        <f>IF(OR(D261&lt;outliers!$B$21,D261&gt;outliers!$B$20),"Outlier","Normal")</f>
        <v>Normal</v>
      </c>
      <c r="I261" t="str">
        <f>IF(OR(E261&lt;outliers!$C$28,E261&gt;outliers!$B$27),"Outlier","Normal")</f>
        <v>Normal</v>
      </c>
      <c r="J261">
        <f t="shared" si="8"/>
        <v>2018</v>
      </c>
      <c r="K261" t="str">
        <f t="shared" si="9"/>
        <v>July</v>
      </c>
    </row>
    <row r="262" spans="1:11" x14ac:dyDescent="0.35">
      <c r="A262" s="1">
        <v>43285</v>
      </c>
      <c r="B262">
        <v>24.1</v>
      </c>
      <c r="C262">
        <v>20.5</v>
      </c>
      <c r="D262">
        <v>29</v>
      </c>
      <c r="E262">
        <v>0</v>
      </c>
      <c r="F262" t="str">
        <f>IF(OR(B262&lt;outliers!$B$7,B262&gt;outliers!$B$6),"Outlier","Normal")</f>
        <v>Normal</v>
      </c>
      <c r="G262" t="str">
        <f>IF(OR(C262&lt;outliers!$B$14,C262&gt;outliers!$B$13),"Outlier","Normal")</f>
        <v>Normal</v>
      </c>
      <c r="H262" t="str">
        <f>IF(OR(D262&lt;outliers!$B$21,D262&gt;outliers!$B$20),"Outlier","Normal")</f>
        <v>Normal</v>
      </c>
      <c r="I262" t="str">
        <f>IF(OR(E262&lt;outliers!$C$28,E262&gt;outliers!$B$27),"Outlier","Normal")</f>
        <v>Normal</v>
      </c>
      <c r="J262">
        <f t="shared" si="8"/>
        <v>2018</v>
      </c>
      <c r="K262" t="str">
        <f t="shared" si="9"/>
        <v>July</v>
      </c>
    </row>
    <row r="263" spans="1:11" x14ac:dyDescent="0.35">
      <c r="A263" s="1">
        <v>43288</v>
      </c>
      <c r="B263">
        <v>22.9</v>
      </c>
      <c r="C263">
        <v>20.5</v>
      </c>
      <c r="D263">
        <v>26.3</v>
      </c>
      <c r="E263">
        <v>0.3</v>
      </c>
      <c r="F263" t="str">
        <f>IF(OR(B263&lt;outliers!$B$7,B263&gt;outliers!$B$6),"Outlier","Normal")</f>
        <v>Normal</v>
      </c>
      <c r="G263" t="str">
        <f>IF(OR(C263&lt;outliers!$B$14,C263&gt;outliers!$B$13),"Outlier","Normal")</f>
        <v>Normal</v>
      </c>
      <c r="H263" t="str">
        <f>IF(OR(D263&lt;outliers!$B$21,D263&gt;outliers!$B$20),"Outlier","Normal")</f>
        <v>Normal</v>
      </c>
      <c r="I263" t="str">
        <f>IF(OR(E263&lt;outliers!$C$28,E263&gt;outliers!$B$27),"Outlier","Normal")</f>
        <v>Normal</v>
      </c>
      <c r="J263">
        <f t="shared" si="8"/>
        <v>2018</v>
      </c>
      <c r="K263" t="str">
        <f t="shared" si="9"/>
        <v>July</v>
      </c>
    </row>
    <row r="264" spans="1:11" x14ac:dyDescent="0.35">
      <c r="A264" s="1">
        <v>43289</v>
      </c>
      <c r="B264">
        <v>22.4</v>
      </c>
      <c r="C264">
        <v>20.3</v>
      </c>
      <c r="D264">
        <v>26.4</v>
      </c>
      <c r="E264">
        <v>0</v>
      </c>
      <c r="F264" t="str">
        <f>IF(OR(B264&lt;outliers!$B$7,B264&gt;outliers!$B$6),"Outlier","Normal")</f>
        <v>Normal</v>
      </c>
      <c r="G264" t="str">
        <f>IF(OR(C264&lt;outliers!$B$14,C264&gt;outliers!$B$13),"Outlier","Normal")</f>
        <v>Normal</v>
      </c>
      <c r="H264" t="str">
        <f>IF(OR(D264&lt;outliers!$B$21,D264&gt;outliers!$B$20),"Outlier","Normal")</f>
        <v>Normal</v>
      </c>
      <c r="I264" t="str">
        <f>IF(OR(E264&lt;outliers!$C$28,E264&gt;outliers!$B$27),"Outlier","Normal")</f>
        <v>Normal</v>
      </c>
      <c r="J264">
        <f t="shared" si="8"/>
        <v>2018</v>
      </c>
      <c r="K264" t="str">
        <f t="shared" si="9"/>
        <v>July</v>
      </c>
    </row>
    <row r="265" spans="1:11" x14ac:dyDescent="0.35">
      <c r="A265" s="1">
        <v>43290</v>
      </c>
      <c r="B265">
        <v>22.8</v>
      </c>
      <c r="C265">
        <v>20.7</v>
      </c>
      <c r="D265">
        <v>26.4</v>
      </c>
      <c r="E265">
        <v>1</v>
      </c>
      <c r="F265" t="str">
        <f>IF(OR(B265&lt;outliers!$B$7,B265&gt;outliers!$B$6),"Outlier","Normal")</f>
        <v>Normal</v>
      </c>
      <c r="G265" t="str">
        <f>IF(OR(C265&lt;outliers!$B$14,C265&gt;outliers!$B$13),"Outlier","Normal")</f>
        <v>Normal</v>
      </c>
      <c r="H265" t="str">
        <f>IF(OR(D265&lt;outliers!$B$21,D265&gt;outliers!$B$20),"Outlier","Normal")</f>
        <v>Normal</v>
      </c>
      <c r="I265" t="str">
        <f>IF(OR(E265&lt;outliers!$C$28,E265&gt;outliers!$B$27),"Outlier","Normal")</f>
        <v>Normal</v>
      </c>
      <c r="J265">
        <f t="shared" si="8"/>
        <v>2018</v>
      </c>
      <c r="K265" t="str">
        <f t="shared" si="9"/>
        <v>July</v>
      </c>
    </row>
    <row r="266" spans="1:11" x14ac:dyDescent="0.35">
      <c r="A266" s="1">
        <v>43291</v>
      </c>
      <c r="B266">
        <v>22.7</v>
      </c>
      <c r="C266">
        <v>20.6</v>
      </c>
      <c r="D266">
        <v>26.9</v>
      </c>
      <c r="E266">
        <v>2</v>
      </c>
      <c r="F266" t="str">
        <f>IF(OR(B266&lt;outliers!$B$7,B266&gt;outliers!$B$6),"Outlier","Normal")</f>
        <v>Normal</v>
      </c>
      <c r="G266" t="str">
        <f>IF(OR(C266&lt;outliers!$B$14,C266&gt;outliers!$B$13),"Outlier","Normal")</f>
        <v>Normal</v>
      </c>
      <c r="H266" t="str">
        <f>IF(OR(D266&lt;outliers!$B$21,D266&gt;outliers!$B$20),"Outlier","Normal")</f>
        <v>Normal</v>
      </c>
      <c r="I266" t="str">
        <f>IF(OR(E266&lt;outliers!$C$28,E266&gt;outliers!$B$27),"Outlier","Normal")</f>
        <v>Normal</v>
      </c>
      <c r="J266">
        <f t="shared" si="8"/>
        <v>2018</v>
      </c>
      <c r="K266" t="str">
        <f t="shared" si="9"/>
        <v>July</v>
      </c>
    </row>
    <row r="267" spans="1:11" hidden="1" x14ac:dyDescent="0.35">
      <c r="A267" s="1">
        <v>43292</v>
      </c>
      <c r="B267">
        <v>22.5</v>
      </c>
      <c r="C267">
        <v>20.3</v>
      </c>
      <c r="D267">
        <v>27</v>
      </c>
      <c r="E267">
        <v>32.299999999999997</v>
      </c>
      <c r="F267" t="str">
        <f>IF(OR(B267&lt;outliers!$B$7,B267&gt;outliers!$B$6),"Outlier","Normal")</f>
        <v>Normal</v>
      </c>
      <c r="G267" t="str">
        <f>IF(OR(C267&lt;outliers!$B$14,C267&gt;outliers!$B$13),"Outlier","Normal")</f>
        <v>Normal</v>
      </c>
      <c r="H267" t="str">
        <f>IF(OR(D267&lt;outliers!$B$21,D267&gt;outliers!$B$20),"Outlier","Normal")</f>
        <v>Normal</v>
      </c>
      <c r="I267" t="str">
        <f>IF(OR(E267&lt;outliers!$C$28,E267&gt;outliers!$B$27),"Outlier","Normal")</f>
        <v>Outlier</v>
      </c>
      <c r="J267">
        <f t="shared" si="8"/>
        <v>2018</v>
      </c>
      <c r="K267" t="str">
        <f t="shared" si="9"/>
        <v>July</v>
      </c>
    </row>
    <row r="268" spans="1:11" x14ac:dyDescent="0.35">
      <c r="A268" s="1">
        <v>43293</v>
      </c>
      <c r="B268">
        <v>22.8</v>
      </c>
      <c r="C268">
        <v>20.100000000000001</v>
      </c>
      <c r="D268">
        <v>27.3</v>
      </c>
      <c r="E268">
        <v>4.3</v>
      </c>
      <c r="F268" t="str">
        <f>IF(OR(B268&lt;outliers!$B$7,B268&gt;outliers!$B$6),"Outlier","Normal")</f>
        <v>Normal</v>
      </c>
      <c r="G268" t="str">
        <f>IF(OR(C268&lt;outliers!$B$14,C268&gt;outliers!$B$13),"Outlier","Normal")</f>
        <v>Normal</v>
      </c>
      <c r="H268" t="str">
        <f>IF(OR(D268&lt;outliers!$B$21,D268&gt;outliers!$B$20),"Outlier","Normal")</f>
        <v>Normal</v>
      </c>
      <c r="I268" t="str">
        <f>IF(OR(E268&lt;outliers!$C$28,E268&gt;outliers!$B$27),"Outlier","Normal")</f>
        <v>Normal</v>
      </c>
      <c r="J268">
        <f t="shared" si="8"/>
        <v>2018</v>
      </c>
      <c r="K268" t="str">
        <f t="shared" si="9"/>
        <v>July</v>
      </c>
    </row>
    <row r="269" spans="1:11" x14ac:dyDescent="0.35">
      <c r="A269" s="1">
        <v>43294</v>
      </c>
      <c r="B269">
        <v>22.2</v>
      </c>
      <c r="C269">
        <v>20.5</v>
      </c>
      <c r="D269">
        <v>27.4</v>
      </c>
      <c r="E269">
        <v>0</v>
      </c>
      <c r="F269" t="str">
        <f>IF(OR(B269&lt;outliers!$B$7,B269&gt;outliers!$B$6),"Outlier","Normal")</f>
        <v>Normal</v>
      </c>
      <c r="G269" t="str">
        <f>IF(OR(C269&lt;outliers!$B$14,C269&gt;outliers!$B$13),"Outlier","Normal")</f>
        <v>Normal</v>
      </c>
      <c r="H269" t="str">
        <f>IF(OR(D269&lt;outliers!$B$21,D269&gt;outliers!$B$20),"Outlier","Normal")</f>
        <v>Normal</v>
      </c>
      <c r="I269" t="str">
        <f>IF(OR(E269&lt;outliers!$C$28,E269&gt;outliers!$B$27),"Outlier","Normal")</f>
        <v>Normal</v>
      </c>
      <c r="J269">
        <f t="shared" si="8"/>
        <v>2018</v>
      </c>
      <c r="K269" t="str">
        <f t="shared" si="9"/>
        <v>July</v>
      </c>
    </row>
    <row r="270" spans="1:11" x14ac:dyDescent="0.35">
      <c r="A270" s="1">
        <v>43295</v>
      </c>
      <c r="B270">
        <v>22.4</v>
      </c>
      <c r="C270">
        <v>20.3</v>
      </c>
      <c r="D270">
        <v>26.5</v>
      </c>
      <c r="E270">
        <v>4.5999999999999996</v>
      </c>
      <c r="F270" t="str">
        <f>IF(OR(B270&lt;outliers!$B$7,B270&gt;outliers!$B$6),"Outlier","Normal")</f>
        <v>Normal</v>
      </c>
      <c r="G270" t="str">
        <f>IF(OR(C270&lt;outliers!$B$14,C270&gt;outliers!$B$13),"Outlier","Normal")</f>
        <v>Normal</v>
      </c>
      <c r="H270" t="str">
        <f>IF(OR(D270&lt;outliers!$B$21,D270&gt;outliers!$B$20),"Outlier","Normal")</f>
        <v>Normal</v>
      </c>
      <c r="I270" t="str">
        <f>IF(OR(E270&lt;outliers!$C$28,E270&gt;outliers!$B$27),"Outlier","Normal")</f>
        <v>Normal</v>
      </c>
      <c r="J270">
        <f t="shared" si="8"/>
        <v>2018</v>
      </c>
      <c r="K270" t="str">
        <f t="shared" si="9"/>
        <v>July</v>
      </c>
    </row>
    <row r="271" spans="1:11" x14ac:dyDescent="0.35">
      <c r="A271" s="1">
        <v>43296</v>
      </c>
      <c r="B271">
        <v>23.6</v>
      </c>
      <c r="C271">
        <v>20.399999999999999</v>
      </c>
      <c r="D271">
        <v>28.2</v>
      </c>
      <c r="E271">
        <v>1.8</v>
      </c>
      <c r="F271" t="str">
        <f>IF(OR(B271&lt;outliers!$B$7,B271&gt;outliers!$B$6),"Outlier","Normal")</f>
        <v>Normal</v>
      </c>
      <c r="G271" t="str">
        <f>IF(OR(C271&lt;outliers!$B$14,C271&gt;outliers!$B$13),"Outlier","Normal")</f>
        <v>Normal</v>
      </c>
      <c r="H271" t="str">
        <f>IF(OR(D271&lt;outliers!$B$21,D271&gt;outliers!$B$20),"Outlier","Normal")</f>
        <v>Normal</v>
      </c>
      <c r="I271" t="str">
        <f>IF(OR(E271&lt;outliers!$C$28,E271&gt;outliers!$B$27),"Outlier","Normal")</f>
        <v>Normal</v>
      </c>
      <c r="J271">
        <f t="shared" si="8"/>
        <v>2018</v>
      </c>
      <c r="K271" t="str">
        <f t="shared" si="9"/>
        <v>July</v>
      </c>
    </row>
    <row r="272" spans="1:11" x14ac:dyDescent="0.35">
      <c r="A272" s="1">
        <v>43297</v>
      </c>
      <c r="B272">
        <v>22.2</v>
      </c>
      <c r="C272">
        <v>20.2</v>
      </c>
      <c r="D272">
        <v>28.4</v>
      </c>
      <c r="E272">
        <v>0</v>
      </c>
      <c r="F272" t="str">
        <f>IF(OR(B272&lt;outliers!$B$7,B272&gt;outliers!$B$6),"Outlier","Normal")</f>
        <v>Normal</v>
      </c>
      <c r="G272" t="str">
        <f>IF(OR(C272&lt;outliers!$B$14,C272&gt;outliers!$B$13),"Outlier","Normal")</f>
        <v>Normal</v>
      </c>
      <c r="H272" t="str">
        <f>IF(OR(D272&lt;outliers!$B$21,D272&gt;outliers!$B$20),"Outlier","Normal")</f>
        <v>Normal</v>
      </c>
      <c r="I272" t="str">
        <f>IF(OR(E272&lt;outliers!$C$28,E272&gt;outliers!$B$27),"Outlier","Normal")</f>
        <v>Normal</v>
      </c>
      <c r="J272">
        <f t="shared" si="8"/>
        <v>2018</v>
      </c>
      <c r="K272" t="str">
        <f t="shared" si="9"/>
        <v>July</v>
      </c>
    </row>
    <row r="273" spans="1:11" x14ac:dyDescent="0.35">
      <c r="A273" s="1">
        <v>43298</v>
      </c>
      <c r="B273">
        <v>22.5</v>
      </c>
      <c r="C273">
        <v>19.2</v>
      </c>
      <c r="D273">
        <v>26.2</v>
      </c>
      <c r="E273">
        <v>1.5</v>
      </c>
      <c r="F273" t="str">
        <f>IF(OR(B273&lt;outliers!$B$7,B273&gt;outliers!$B$6),"Outlier","Normal")</f>
        <v>Normal</v>
      </c>
      <c r="G273" t="str">
        <f>IF(OR(C273&lt;outliers!$B$14,C273&gt;outliers!$B$13),"Outlier","Normal")</f>
        <v>Normal</v>
      </c>
      <c r="H273" t="str">
        <f>IF(OR(D273&lt;outliers!$B$21,D273&gt;outliers!$B$20),"Outlier","Normal")</f>
        <v>Normal</v>
      </c>
      <c r="I273" t="str">
        <f>IF(OR(E273&lt;outliers!$C$28,E273&gt;outliers!$B$27),"Outlier","Normal")</f>
        <v>Normal</v>
      </c>
      <c r="J273">
        <f t="shared" ref="J273:J336" si="10">YEAR(A273)</f>
        <v>2018</v>
      </c>
      <c r="K273" t="str">
        <f t="shared" si="9"/>
        <v>July</v>
      </c>
    </row>
    <row r="274" spans="1:11" x14ac:dyDescent="0.35">
      <c r="A274" s="1">
        <v>43299</v>
      </c>
      <c r="B274">
        <v>23.8</v>
      </c>
      <c r="C274">
        <v>19.7</v>
      </c>
      <c r="D274">
        <v>29.2</v>
      </c>
      <c r="E274">
        <v>0</v>
      </c>
      <c r="F274" t="str">
        <f>IF(OR(B274&lt;outliers!$B$7,B274&gt;outliers!$B$6),"Outlier","Normal")</f>
        <v>Normal</v>
      </c>
      <c r="G274" t="str">
        <f>IF(OR(C274&lt;outliers!$B$14,C274&gt;outliers!$B$13),"Outlier","Normal")</f>
        <v>Normal</v>
      </c>
      <c r="H274" t="str">
        <f>IF(OR(D274&lt;outliers!$B$21,D274&gt;outliers!$B$20),"Outlier","Normal")</f>
        <v>Normal</v>
      </c>
      <c r="I274" t="str">
        <f>IF(OR(E274&lt;outliers!$C$28,E274&gt;outliers!$B$27),"Outlier","Normal")</f>
        <v>Normal</v>
      </c>
      <c r="J274">
        <f t="shared" si="10"/>
        <v>2018</v>
      </c>
      <c r="K274" t="str">
        <f t="shared" si="9"/>
        <v>July</v>
      </c>
    </row>
    <row r="275" spans="1:11" x14ac:dyDescent="0.35">
      <c r="A275" s="1">
        <v>43301</v>
      </c>
      <c r="B275">
        <v>23</v>
      </c>
      <c r="C275">
        <v>20.399999999999999</v>
      </c>
      <c r="D275">
        <v>27</v>
      </c>
      <c r="E275">
        <v>0</v>
      </c>
      <c r="F275" t="str">
        <f>IF(OR(B275&lt;outliers!$B$7,B275&gt;outliers!$B$6),"Outlier","Normal")</f>
        <v>Normal</v>
      </c>
      <c r="G275" t="str">
        <f>IF(OR(C275&lt;outliers!$B$14,C275&gt;outliers!$B$13),"Outlier","Normal")</f>
        <v>Normal</v>
      </c>
      <c r="H275" t="str">
        <f>IF(OR(D275&lt;outliers!$B$21,D275&gt;outliers!$B$20),"Outlier","Normal")</f>
        <v>Normal</v>
      </c>
      <c r="I275" t="str">
        <f>IF(OR(E275&lt;outliers!$C$28,E275&gt;outliers!$B$27),"Outlier","Normal")</f>
        <v>Normal</v>
      </c>
      <c r="J275">
        <f t="shared" si="10"/>
        <v>2018</v>
      </c>
      <c r="K275" t="str">
        <f t="shared" si="9"/>
        <v>July</v>
      </c>
    </row>
    <row r="276" spans="1:11" x14ac:dyDescent="0.35">
      <c r="A276" s="1">
        <v>43302</v>
      </c>
      <c r="B276">
        <v>22.7</v>
      </c>
      <c r="C276">
        <v>20.3</v>
      </c>
      <c r="D276">
        <v>26.9</v>
      </c>
      <c r="E276">
        <v>0</v>
      </c>
      <c r="F276" t="str">
        <f>IF(OR(B276&lt;outliers!$B$7,B276&gt;outliers!$B$6),"Outlier","Normal")</f>
        <v>Normal</v>
      </c>
      <c r="G276" t="str">
        <f>IF(OR(C276&lt;outliers!$B$14,C276&gt;outliers!$B$13),"Outlier","Normal")</f>
        <v>Normal</v>
      </c>
      <c r="H276" t="str">
        <f>IF(OR(D276&lt;outliers!$B$21,D276&gt;outliers!$B$20),"Outlier","Normal")</f>
        <v>Normal</v>
      </c>
      <c r="I276" t="str">
        <f>IF(OR(E276&lt;outliers!$C$28,E276&gt;outliers!$B$27),"Outlier","Normal")</f>
        <v>Normal</v>
      </c>
      <c r="J276">
        <f t="shared" si="10"/>
        <v>2018</v>
      </c>
      <c r="K276" t="str">
        <f t="shared" si="9"/>
        <v>July</v>
      </c>
    </row>
    <row r="277" spans="1:11" x14ac:dyDescent="0.35">
      <c r="A277" s="1">
        <v>43303</v>
      </c>
      <c r="B277">
        <v>23.6</v>
      </c>
      <c r="C277">
        <v>20.3</v>
      </c>
      <c r="D277">
        <v>28.9</v>
      </c>
      <c r="E277">
        <v>0.3</v>
      </c>
      <c r="F277" t="str">
        <f>IF(OR(B277&lt;outliers!$B$7,B277&gt;outliers!$B$6),"Outlier","Normal")</f>
        <v>Normal</v>
      </c>
      <c r="G277" t="str">
        <f>IF(OR(C277&lt;outliers!$B$14,C277&gt;outliers!$B$13),"Outlier","Normal")</f>
        <v>Normal</v>
      </c>
      <c r="H277" t="str">
        <f>IF(OR(D277&lt;outliers!$B$21,D277&gt;outliers!$B$20),"Outlier","Normal")</f>
        <v>Normal</v>
      </c>
      <c r="I277" t="str">
        <f>IF(OR(E277&lt;outliers!$C$28,E277&gt;outliers!$B$27),"Outlier","Normal")</f>
        <v>Normal</v>
      </c>
      <c r="J277">
        <f t="shared" si="10"/>
        <v>2018</v>
      </c>
      <c r="K277" t="str">
        <f t="shared" si="9"/>
        <v>July</v>
      </c>
    </row>
    <row r="278" spans="1:11" x14ac:dyDescent="0.35">
      <c r="A278" s="1">
        <v>43304</v>
      </c>
      <c r="B278">
        <v>22.7</v>
      </c>
      <c r="C278">
        <v>20.2</v>
      </c>
      <c r="D278">
        <v>28.3</v>
      </c>
      <c r="E278">
        <v>0</v>
      </c>
      <c r="F278" t="str">
        <f>IF(OR(B278&lt;outliers!$B$7,B278&gt;outliers!$B$6),"Outlier","Normal")</f>
        <v>Normal</v>
      </c>
      <c r="G278" t="str">
        <f>IF(OR(C278&lt;outliers!$B$14,C278&gt;outliers!$B$13),"Outlier","Normal")</f>
        <v>Normal</v>
      </c>
      <c r="H278" t="str">
        <f>IF(OR(D278&lt;outliers!$B$21,D278&gt;outliers!$B$20),"Outlier","Normal")</f>
        <v>Normal</v>
      </c>
      <c r="I278" t="str">
        <f>IF(OR(E278&lt;outliers!$C$28,E278&gt;outliers!$B$27),"Outlier","Normal")</f>
        <v>Normal</v>
      </c>
      <c r="J278">
        <f t="shared" si="10"/>
        <v>2018</v>
      </c>
      <c r="K278" t="str">
        <f t="shared" si="9"/>
        <v>July</v>
      </c>
    </row>
    <row r="279" spans="1:11" hidden="1" x14ac:dyDescent="0.35">
      <c r="A279" s="1">
        <v>43305</v>
      </c>
      <c r="B279">
        <v>23.1</v>
      </c>
      <c r="C279">
        <v>20.3</v>
      </c>
      <c r="D279">
        <v>28.6</v>
      </c>
      <c r="E279">
        <v>14.2</v>
      </c>
      <c r="F279" t="str">
        <f>IF(OR(B279&lt;outliers!$B$7,B279&gt;outliers!$B$6),"Outlier","Normal")</f>
        <v>Normal</v>
      </c>
      <c r="G279" t="str">
        <f>IF(OR(C279&lt;outliers!$B$14,C279&gt;outliers!$B$13),"Outlier","Normal")</f>
        <v>Normal</v>
      </c>
      <c r="H279" t="str">
        <f>IF(OR(D279&lt;outliers!$B$21,D279&gt;outliers!$B$20),"Outlier","Normal")</f>
        <v>Normal</v>
      </c>
      <c r="I279" t="str">
        <f>IF(OR(E279&lt;outliers!$C$28,E279&gt;outliers!$B$27),"Outlier","Normal")</f>
        <v>Outlier</v>
      </c>
      <c r="J279">
        <f t="shared" si="10"/>
        <v>2018</v>
      </c>
      <c r="K279" t="str">
        <f t="shared" si="9"/>
        <v>July</v>
      </c>
    </row>
    <row r="280" spans="1:11" x14ac:dyDescent="0.35">
      <c r="A280" s="1">
        <v>43306</v>
      </c>
      <c r="B280">
        <v>23.3</v>
      </c>
      <c r="C280">
        <v>20.2</v>
      </c>
      <c r="D280">
        <v>28.2</v>
      </c>
      <c r="E280">
        <v>2</v>
      </c>
      <c r="F280" t="str">
        <f>IF(OR(B280&lt;outliers!$B$7,B280&gt;outliers!$B$6),"Outlier","Normal")</f>
        <v>Normal</v>
      </c>
      <c r="G280" t="str">
        <f>IF(OR(C280&lt;outliers!$B$14,C280&gt;outliers!$B$13),"Outlier","Normal")</f>
        <v>Normal</v>
      </c>
      <c r="H280" t="str">
        <f>IF(OR(D280&lt;outliers!$B$21,D280&gt;outliers!$B$20),"Outlier","Normal")</f>
        <v>Normal</v>
      </c>
      <c r="I280" t="str">
        <f>IF(OR(E280&lt;outliers!$C$28,E280&gt;outliers!$B$27),"Outlier","Normal")</f>
        <v>Normal</v>
      </c>
      <c r="J280">
        <f t="shared" si="10"/>
        <v>2018</v>
      </c>
      <c r="K280" t="str">
        <f t="shared" si="9"/>
        <v>July</v>
      </c>
    </row>
    <row r="281" spans="1:11" x14ac:dyDescent="0.35">
      <c r="A281" s="1">
        <v>43307</v>
      </c>
      <c r="B281">
        <v>23.7</v>
      </c>
      <c r="C281">
        <v>20.6</v>
      </c>
      <c r="D281">
        <v>28.8</v>
      </c>
      <c r="E281">
        <v>0.8</v>
      </c>
      <c r="F281" t="str">
        <f>IF(OR(B281&lt;outliers!$B$7,B281&gt;outliers!$B$6),"Outlier","Normal")</f>
        <v>Normal</v>
      </c>
      <c r="G281" t="str">
        <f>IF(OR(C281&lt;outliers!$B$14,C281&gt;outliers!$B$13),"Outlier","Normal")</f>
        <v>Normal</v>
      </c>
      <c r="H281" t="str">
        <f>IF(OR(D281&lt;outliers!$B$21,D281&gt;outliers!$B$20),"Outlier","Normal")</f>
        <v>Normal</v>
      </c>
      <c r="I281" t="str">
        <f>IF(OR(E281&lt;outliers!$C$28,E281&gt;outliers!$B$27),"Outlier","Normal")</f>
        <v>Normal</v>
      </c>
      <c r="J281">
        <f t="shared" si="10"/>
        <v>2018</v>
      </c>
      <c r="K281" t="str">
        <f t="shared" si="9"/>
        <v>July</v>
      </c>
    </row>
    <row r="282" spans="1:11" x14ac:dyDescent="0.35">
      <c r="A282" s="1">
        <v>43308</v>
      </c>
      <c r="B282">
        <v>23.3</v>
      </c>
      <c r="C282">
        <v>20.5</v>
      </c>
      <c r="D282">
        <v>27.3</v>
      </c>
      <c r="E282">
        <v>0</v>
      </c>
      <c r="F282" t="str">
        <f>IF(OR(B282&lt;outliers!$B$7,B282&gt;outliers!$B$6),"Outlier","Normal")</f>
        <v>Normal</v>
      </c>
      <c r="G282" t="str">
        <f>IF(OR(C282&lt;outliers!$B$14,C282&gt;outliers!$B$13),"Outlier","Normal")</f>
        <v>Normal</v>
      </c>
      <c r="H282" t="str">
        <f>IF(OR(D282&lt;outliers!$B$21,D282&gt;outliers!$B$20),"Outlier","Normal")</f>
        <v>Normal</v>
      </c>
      <c r="I282" t="str">
        <f>IF(OR(E282&lt;outliers!$C$28,E282&gt;outliers!$B$27),"Outlier","Normal")</f>
        <v>Normal</v>
      </c>
      <c r="J282">
        <f t="shared" si="10"/>
        <v>2018</v>
      </c>
      <c r="K282" t="str">
        <f t="shared" si="9"/>
        <v>July</v>
      </c>
    </row>
    <row r="283" spans="1:11" x14ac:dyDescent="0.35">
      <c r="A283" s="1">
        <v>43309</v>
      </c>
      <c r="B283">
        <v>23.5</v>
      </c>
      <c r="C283">
        <v>20</v>
      </c>
      <c r="D283">
        <v>27.3</v>
      </c>
      <c r="E283">
        <v>0.3</v>
      </c>
      <c r="F283" t="str">
        <f>IF(OR(B283&lt;outliers!$B$7,B283&gt;outliers!$B$6),"Outlier","Normal")</f>
        <v>Normal</v>
      </c>
      <c r="G283" t="str">
        <f>IF(OR(C283&lt;outliers!$B$14,C283&gt;outliers!$B$13),"Outlier","Normal")</f>
        <v>Normal</v>
      </c>
      <c r="H283" t="str">
        <f>IF(OR(D283&lt;outliers!$B$21,D283&gt;outliers!$B$20),"Outlier","Normal")</f>
        <v>Normal</v>
      </c>
      <c r="I283" t="str">
        <f>IF(OR(E283&lt;outliers!$C$28,E283&gt;outliers!$B$27),"Outlier","Normal")</f>
        <v>Normal</v>
      </c>
      <c r="J283">
        <f t="shared" si="10"/>
        <v>2018</v>
      </c>
      <c r="K283" t="str">
        <f t="shared" si="9"/>
        <v>July</v>
      </c>
    </row>
    <row r="284" spans="1:11" hidden="1" x14ac:dyDescent="0.35">
      <c r="A284" s="1">
        <v>43310</v>
      </c>
      <c r="B284">
        <v>23.8</v>
      </c>
      <c r="C284">
        <v>20.7</v>
      </c>
      <c r="D284">
        <v>27.4</v>
      </c>
      <c r="E284">
        <v>11.9</v>
      </c>
      <c r="F284" t="str">
        <f>IF(OR(B284&lt;outliers!$B$7,B284&gt;outliers!$B$6),"Outlier","Normal")</f>
        <v>Normal</v>
      </c>
      <c r="G284" t="str">
        <f>IF(OR(C284&lt;outliers!$B$14,C284&gt;outliers!$B$13),"Outlier","Normal")</f>
        <v>Normal</v>
      </c>
      <c r="H284" t="str">
        <f>IF(OR(D284&lt;outliers!$B$21,D284&gt;outliers!$B$20),"Outlier","Normal")</f>
        <v>Normal</v>
      </c>
      <c r="I284" t="str">
        <f>IF(OR(E284&lt;outliers!$C$28,E284&gt;outliers!$B$27),"Outlier","Normal")</f>
        <v>Outlier</v>
      </c>
      <c r="J284">
        <f t="shared" si="10"/>
        <v>2018</v>
      </c>
      <c r="K284" t="str">
        <f t="shared" si="9"/>
        <v>July</v>
      </c>
    </row>
    <row r="285" spans="1:11" x14ac:dyDescent="0.35">
      <c r="A285" s="1">
        <v>43311</v>
      </c>
      <c r="B285">
        <v>23.8</v>
      </c>
      <c r="C285">
        <v>20.5</v>
      </c>
      <c r="D285">
        <v>27.8</v>
      </c>
      <c r="E285">
        <v>0.5</v>
      </c>
      <c r="F285" t="str">
        <f>IF(OR(B285&lt;outliers!$B$7,B285&gt;outliers!$B$6),"Outlier","Normal")</f>
        <v>Normal</v>
      </c>
      <c r="G285" t="str">
        <f>IF(OR(C285&lt;outliers!$B$14,C285&gt;outliers!$B$13),"Outlier","Normal")</f>
        <v>Normal</v>
      </c>
      <c r="H285" t="str">
        <f>IF(OR(D285&lt;outliers!$B$21,D285&gt;outliers!$B$20),"Outlier","Normal")</f>
        <v>Normal</v>
      </c>
      <c r="I285" t="str">
        <f>IF(OR(E285&lt;outliers!$C$28,E285&gt;outliers!$B$27),"Outlier","Normal")</f>
        <v>Normal</v>
      </c>
      <c r="J285">
        <f t="shared" si="10"/>
        <v>2018</v>
      </c>
      <c r="K285" t="str">
        <f t="shared" si="9"/>
        <v>July</v>
      </c>
    </row>
    <row r="286" spans="1:11" x14ac:dyDescent="0.35">
      <c r="A286" s="1">
        <v>43312</v>
      </c>
      <c r="B286">
        <v>23.1</v>
      </c>
      <c r="C286">
        <v>20.3</v>
      </c>
      <c r="D286">
        <v>28.3</v>
      </c>
      <c r="E286">
        <v>4.8</v>
      </c>
      <c r="F286" t="str">
        <f>IF(OR(B286&lt;outliers!$B$7,B286&gt;outliers!$B$6),"Outlier","Normal")</f>
        <v>Normal</v>
      </c>
      <c r="G286" t="str">
        <f>IF(OR(C286&lt;outliers!$B$14,C286&gt;outliers!$B$13),"Outlier","Normal")</f>
        <v>Normal</v>
      </c>
      <c r="H286" t="str">
        <f>IF(OR(D286&lt;outliers!$B$21,D286&gt;outliers!$B$20),"Outlier","Normal")</f>
        <v>Normal</v>
      </c>
      <c r="I286" t="str">
        <f>IF(OR(E286&lt;outliers!$C$28,E286&gt;outliers!$B$27),"Outlier","Normal")</f>
        <v>Normal</v>
      </c>
      <c r="J286">
        <f t="shared" si="10"/>
        <v>2018</v>
      </c>
      <c r="K286" t="str">
        <f t="shared" si="9"/>
        <v>July</v>
      </c>
    </row>
    <row r="287" spans="1:11" x14ac:dyDescent="0.35">
      <c r="A287" s="1">
        <v>43313</v>
      </c>
      <c r="B287">
        <v>21.9</v>
      </c>
      <c r="C287">
        <v>19.399999999999999</v>
      </c>
      <c r="D287">
        <v>27.2</v>
      </c>
      <c r="E287">
        <v>5.3</v>
      </c>
      <c r="F287" t="str">
        <f>IF(OR(B287&lt;outliers!$B$7,B287&gt;outliers!$B$6),"Outlier","Normal")</f>
        <v>Normal</v>
      </c>
      <c r="G287" t="str">
        <f>IF(OR(C287&lt;outliers!$B$14,C287&gt;outliers!$B$13),"Outlier","Normal")</f>
        <v>Normal</v>
      </c>
      <c r="H287" t="str">
        <f>IF(OR(D287&lt;outliers!$B$21,D287&gt;outliers!$B$20),"Outlier","Normal")</f>
        <v>Normal</v>
      </c>
      <c r="I287" t="str">
        <f>IF(OR(E287&lt;outliers!$C$28,E287&gt;outliers!$B$27),"Outlier","Normal")</f>
        <v>Normal</v>
      </c>
      <c r="J287">
        <f t="shared" si="10"/>
        <v>2018</v>
      </c>
      <c r="K287" t="str">
        <f t="shared" si="9"/>
        <v>July</v>
      </c>
    </row>
    <row r="288" spans="1:11" hidden="1" x14ac:dyDescent="0.35">
      <c r="A288" s="1">
        <v>43314</v>
      </c>
      <c r="B288">
        <v>23.6</v>
      </c>
      <c r="C288">
        <v>18.7</v>
      </c>
      <c r="D288">
        <v>29.4</v>
      </c>
      <c r="E288">
        <v>15</v>
      </c>
      <c r="F288" t="str">
        <f>IF(OR(B288&lt;outliers!$B$7,B288&gt;outliers!$B$6),"Outlier","Normal")</f>
        <v>Normal</v>
      </c>
      <c r="G288" t="str">
        <f>IF(OR(C288&lt;outliers!$B$14,C288&gt;outliers!$B$13),"Outlier","Normal")</f>
        <v>Normal</v>
      </c>
      <c r="H288" t="str">
        <f>IF(OR(D288&lt;outliers!$B$21,D288&gt;outliers!$B$20),"Outlier","Normal")</f>
        <v>Normal</v>
      </c>
      <c r="I288" t="str">
        <f>IF(OR(E288&lt;outliers!$C$28,E288&gt;outliers!$B$27),"Outlier","Normal")</f>
        <v>Outlier</v>
      </c>
      <c r="J288">
        <f t="shared" si="10"/>
        <v>2018</v>
      </c>
      <c r="K288" t="str">
        <f t="shared" si="9"/>
        <v>August</v>
      </c>
    </row>
    <row r="289" spans="1:11" x14ac:dyDescent="0.35">
      <c r="A289" s="1">
        <v>43315</v>
      </c>
      <c r="B289">
        <v>23.3</v>
      </c>
      <c r="C289">
        <v>20.8</v>
      </c>
      <c r="D289">
        <v>28.6</v>
      </c>
      <c r="E289">
        <v>0</v>
      </c>
      <c r="F289" t="str">
        <f>IF(OR(B289&lt;outliers!$B$7,B289&gt;outliers!$B$6),"Outlier","Normal")</f>
        <v>Normal</v>
      </c>
      <c r="G289" t="str">
        <f>IF(OR(C289&lt;outliers!$B$14,C289&gt;outliers!$B$13),"Outlier","Normal")</f>
        <v>Normal</v>
      </c>
      <c r="H289" t="str">
        <f>IF(OR(D289&lt;outliers!$B$21,D289&gt;outliers!$B$20),"Outlier","Normal")</f>
        <v>Normal</v>
      </c>
      <c r="I289" t="str">
        <f>IF(OR(E289&lt;outliers!$C$28,E289&gt;outliers!$B$27),"Outlier","Normal")</f>
        <v>Normal</v>
      </c>
      <c r="J289">
        <f t="shared" si="10"/>
        <v>2018</v>
      </c>
      <c r="K289" t="str">
        <f t="shared" si="9"/>
        <v>August</v>
      </c>
    </row>
    <row r="290" spans="1:11" x14ac:dyDescent="0.35">
      <c r="A290" s="1">
        <v>43316</v>
      </c>
      <c r="B290">
        <v>22.8</v>
      </c>
      <c r="C290">
        <v>20.100000000000001</v>
      </c>
      <c r="D290">
        <v>28.8</v>
      </c>
      <c r="E290">
        <v>2.5</v>
      </c>
      <c r="F290" t="str">
        <f>IF(OR(B290&lt;outliers!$B$7,B290&gt;outliers!$B$6),"Outlier","Normal")</f>
        <v>Normal</v>
      </c>
      <c r="G290" t="str">
        <f>IF(OR(C290&lt;outliers!$B$14,C290&gt;outliers!$B$13),"Outlier","Normal")</f>
        <v>Normal</v>
      </c>
      <c r="H290" t="str">
        <f>IF(OR(D290&lt;outliers!$B$21,D290&gt;outliers!$B$20),"Outlier","Normal")</f>
        <v>Normal</v>
      </c>
      <c r="I290" t="str">
        <f>IF(OR(E290&lt;outliers!$C$28,E290&gt;outliers!$B$27),"Outlier","Normal")</f>
        <v>Normal</v>
      </c>
      <c r="J290">
        <f t="shared" si="10"/>
        <v>2018</v>
      </c>
      <c r="K290" t="str">
        <f t="shared" si="9"/>
        <v>August</v>
      </c>
    </row>
    <row r="291" spans="1:11" x14ac:dyDescent="0.35">
      <c r="A291" s="1">
        <v>43317</v>
      </c>
      <c r="B291">
        <v>23.8</v>
      </c>
      <c r="C291">
        <v>20.3</v>
      </c>
      <c r="D291">
        <v>27.8</v>
      </c>
      <c r="E291">
        <v>0</v>
      </c>
      <c r="F291" t="str">
        <f>IF(OR(B291&lt;outliers!$B$7,B291&gt;outliers!$B$6),"Outlier","Normal")</f>
        <v>Normal</v>
      </c>
      <c r="G291" t="str">
        <f>IF(OR(C291&lt;outliers!$B$14,C291&gt;outliers!$B$13),"Outlier","Normal")</f>
        <v>Normal</v>
      </c>
      <c r="H291" t="str">
        <f>IF(OR(D291&lt;outliers!$B$21,D291&gt;outliers!$B$20),"Outlier","Normal")</f>
        <v>Normal</v>
      </c>
      <c r="I291" t="str">
        <f>IF(OR(E291&lt;outliers!$C$28,E291&gt;outliers!$B$27),"Outlier","Normal")</f>
        <v>Normal</v>
      </c>
      <c r="J291">
        <f t="shared" si="10"/>
        <v>2018</v>
      </c>
      <c r="K291" t="str">
        <f t="shared" si="9"/>
        <v>August</v>
      </c>
    </row>
    <row r="292" spans="1:11" x14ac:dyDescent="0.35">
      <c r="A292" s="1">
        <v>43318</v>
      </c>
      <c r="B292">
        <v>22.7</v>
      </c>
      <c r="C292">
        <v>20.2</v>
      </c>
      <c r="D292">
        <v>28.1</v>
      </c>
      <c r="E292">
        <v>0.5</v>
      </c>
      <c r="F292" t="str">
        <f>IF(OR(B292&lt;outliers!$B$7,B292&gt;outliers!$B$6),"Outlier","Normal")</f>
        <v>Normal</v>
      </c>
      <c r="G292" t="str">
        <f>IF(OR(C292&lt;outliers!$B$14,C292&gt;outliers!$B$13),"Outlier","Normal")</f>
        <v>Normal</v>
      </c>
      <c r="H292" t="str">
        <f>IF(OR(D292&lt;outliers!$B$21,D292&gt;outliers!$B$20),"Outlier","Normal")</f>
        <v>Normal</v>
      </c>
      <c r="I292" t="str">
        <f>IF(OR(E292&lt;outliers!$C$28,E292&gt;outliers!$B$27),"Outlier","Normal")</f>
        <v>Normal</v>
      </c>
      <c r="J292">
        <f t="shared" si="10"/>
        <v>2018</v>
      </c>
      <c r="K292" t="str">
        <f t="shared" si="9"/>
        <v>August</v>
      </c>
    </row>
    <row r="293" spans="1:11" hidden="1" x14ac:dyDescent="0.35">
      <c r="A293" s="1">
        <v>43319</v>
      </c>
      <c r="B293">
        <v>21.9</v>
      </c>
      <c r="C293">
        <v>19.7</v>
      </c>
      <c r="D293">
        <v>27.7</v>
      </c>
      <c r="E293">
        <v>11.4</v>
      </c>
      <c r="F293" t="str">
        <f>IF(OR(B293&lt;outliers!$B$7,B293&gt;outliers!$B$6),"Outlier","Normal")</f>
        <v>Normal</v>
      </c>
      <c r="G293" t="str">
        <f>IF(OR(C293&lt;outliers!$B$14,C293&gt;outliers!$B$13),"Outlier","Normal")</f>
        <v>Normal</v>
      </c>
      <c r="H293" t="str">
        <f>IF(OR(D293&lt;outliers!$B$21,D293&gt;outliers!$B$20),"Outlier","Normal")</f>
        <v>Normal</v>
      </c>
      <c r="I293" t="str">
        <f>IF(OR(E293&lt;outliers!$C$28,E293&gt;outliers!$B$27),"Outlier","Normal")</f>
        <v>Outlier</v>
      </c>
      <c r="J293">
        <f t="shared" si="10"/>
        <v>2018</v>
      </c>
      <c r="K293" t="str">
        <f t="shared" si="9"/>
        <v>August</v>
      </c>
    </row>
    <row r="294" spans="1:11" x14ac:dyDescent="0.35">
      <c r="A294" s="1">
        <v>43320</v>
      </c>
      <c r="B294">
        <v>22</v>
      </c>
      <c r="C294">
        <v>20</v>
      </c>
      <c r="D294">
        <v>25.4</v>
      </c>
      <c r="E294">
        <v>3.6</v>
      </c>
      <c r="F294" t="str">
        <f>IF(OR(B294&lt;outliers!$B$7,B294&gt;outliers!$B$6),"Outlier","Normal")</f>
        <v>Normal</v>
      </c>
      <c r="G294" t="str">
        <f>IF(OR(C294&lt;outliers!$B$14,C294&gt;outliers!$B$13),"Outlier","Normal")</f>
        <v>Normal</v>
      </c>
      <c r="H294" t="str">
        <f>IF(OR(D294&lt;outliers!$B$21,D294&gt;outliers!$B$20),"Outlier","Normal")</f>
        <v>Normal</v>
      </c>
      <c r="I294" t="str">
        <f>IF(OR(E294&lt;outliers!$C$28,E294&gt;outliers!$B$27),"Outlier","Normal")</f>
        <v>Normal</v>
      </c>
      <c r="J294">
        <f t="shared" si="10"/>
        <v>2018</v>
      </c>
      <c r="K294" t="str">
        <f t="shared" si="9"/>
        <v>August</v>
      </c>
    </row>
    <row r="295" spans="1:11" x14ac:dyDescent="0.35">
      <c r="A295" s="1">
        <v>43321</v>
      </c>
      <c r="B295">
        <v>23.4</v>
      </c>
      <c r="C295">
        <v>20.2</v>
      </c>
      <c r="D295">
        <v>28.7</v>
      </c>
      <c r="E295">
        <v>8.9</v>
      </c>
      <c r="F295" t="str">
        <f>IF(OR(B295&lt;outliers!$B$7,B295&gt;outliers!$B$6),"Outlier","Normal")</f>
        <v>Normal</v>
      </c>
      <c r="G295" t="str">
        <f>IF(OR(C295&lt;outliers!$B$14,C295&gt;outliers!$B$13),"Outlier","Normal")</f>
        <v>Normal</v>
      </c>
      <c r="H295" t="str">
        <f>IF(OR(D295&lt;outliers!$B$21,D295&gt;outliers!$B$20),"Outlier","Normal")</f>
        <v>Normal</v>
      </c>
      <c r="I295" t="str">
        <f>IF(OR(E295&lt;outliers!$C$28,E295&gt;outliers!$B$27),"Outlier","Normal")</f>
        <v>Normal</v>
      </c>
      <c r="J295">
        <f t="shared" si="10"/>
        <v>2018</v>
      </c>
      <c r="K295" t="str">
        <f t="shared" si="9"/>
        <v>August</v>
      </c>
    </row>
    <row r="296" spans="1:11" x14ac:dyDescent="0.35">
      <c r="A296" s="1">
        <v>43322</v>
      </c>
      <c r="B296">
        <v>22.7</v>
      </c>
      <c r="C296">
        <v>20.5</v>
      </c>
      <c r="D296">
        <v>28.2</v>
      </c>
      <c r="E296">
        <v>0</v>
      </c>
      <c r="F296" t="str">
        <f>IF(OR(B296&lt;outliers!$B$7,B296&gt;outliers!$B$6),"Outlier","Normal")</f>
        <v>Normal</v>
      </c>
      <c r="G296" t="str">
        <f>IF(OR(C296&lt;outliers!$B$14,C296&gt;outliers!$B$13),"Outlier","Normal")</f>
        <v>Normal</v>
      </c>
      <c r="H296" t="str">
        <f>IF(OR(D296&lt;outliers!$B$21,D296&gt;outliers!$B$20),"Outlier","Normal")</f>
        <v>Normal</v>
      </c>
      <c r="I296" t="str">
        <f>IF(OR(E296&lt;outliers!$C$28,E296&gt;outliers!$B$27),"Outlier","Normal")</f>
        <v>Normal</v>
      </c>
      <c r="J296">
        <f t="shared" si="10"/>
        <v>2018</v>
      </c>
      <c r="K296" t="str">
        <f t="shared" si="9"/>
        <v>August</v>
      </c>
    </row>
    <row r="297" spans="1:11" x14ac:dyDescent="0.35">
      <c r="A297" s="1">
        <v>43323</v>
      </c>
      <c r="B297">
        <v>21.9</v>
      </c>
      <c r="C297">
        <v>20</v>
      </c>
      <c r="D297">
        <v>26.5</v>
      </c>
      <c r="E297">
        <v>1.8</v>
      </c>
      <c r="F297" t="str">
        <f>IF(OR(B297&lt;outliers!$B$7,B297&gt;outliers!$B$6),"Outlier","Normal")</f>
        <v>Normal</v>
      </c>
      <c r="G297" t="str">
        <f>IF(OR(C297&lt;outliers!$B$14,C297&gt;outliers!$B$13),"Outlier","Normal")</f>
        <v>Normal</v>
      </c>
      <c r="H297" t="str">
        <f>IF(OR(D297&lt;outliers!$B$21,D297&gt;outliers!$B$20),"Outlier","Normal")</f>
        <v>Normal</v>
      </c>
      <c r="I297" t="str">
        <f>IF(OR(E297&lt;outliers!$C$28,E297&gt;outliers!$B$27),"Outlier","Normal")</f>
        <v>Normal</v>
      </c>
      <c r="J297">
        <f t="shared" si="10"/>
        <v>2018</v>
      </c>
      <c r="K297" t="str">
        <f t="shared" si="9"/>
        <v>August</v>
      </c>
    </row>
    <row r="298" spans="1:11" x14ac:dyDescent="0.35">
      <c r="A298" s="1">
        <v>43324</v>
      </c>
      <c r="B298">
        <v>21.5</v>
      </c>
      <c r="C298">
        <v>19.899999999999999</v>
      </c>
      <c r="D298">
        <v>25.6</v>
      </c>
      <c r="E298">
        <v>2.2999999999999998</v>
      </c>
      <c r="F298" t="str">
        <f>IF(OR(B298&lt;outliers!$B$7,B298&gt;outliers!$B$6),"Outlier","Normal")</f>
        <v>Normal</v>
      </c>
      <c r="G298" t="str">
        <f>IF(OR(C298&lt;outliers!$B$14,C298&gt;outliers!$B$13),"Outlier","Normal")</f>
        <v>Normal</v>
      </c>
      <c r="H298" t="str">
        <f>IF(OR(D298&lt;outliers!$B$21,D298&gt;outliers!$B$20),"Outlier","Normal")</f>
        <v>Normal</v>
      </c>
      <c r="I298" t="str">
        <f>IF(OR(E298&lt;outliers!$C$28,E298&gt;outliers!$B$27),"Outlier","Normal")</f>
        <v>Normal</v>
      </c>
      <c r="J298">
        <f t="shared" si="10"/>
        <v>2018</v>
      </c>
      <c r="K298" t="str">
        <f t="shared" si="9"/>
        <v>August</v>
      </c>
    </row>
    <row r="299" spans="1:11" x14ac:dyDescent="0.35">
      <c r="A299" s="1">
        <v>43325</v>
      </c>
      <c r="B299">
        <v>21.7</v>
      </c>
      <c r="C299">
        <v>19.399999999999999</v>
      </c>
      <c r="D299">
        <v>24.6</v>
      </c>
      <c r="E299">
        <v>3.3</v>
      </c>
      <c r="F299" t="str">
        <f>IF(OR(B299&lt;outliers!$B$7,B299&gt;outliers!$B$6),"Outlier","Normal")</f>
        <v>Normal</v>
      </c>
      <c r="G299" t="str">
        <f>IF(OR(C299&lt;outliers!$B$14,C299&gt;outliers!$B$13),"Outlier","Normal")</f>
        <v>Normal</v>
      </c>
      <c r="H299" t="str">
        <f>IF(OR(D299&lt;outliers!$B$21,D299&gt;outliers!$B$20),"Outlier","Normal")</f>
        <v>Normal</v>
      </c>
      <c r="I299" t="str">
        <f>IF(OR(E299&lt;outliers!$C$28,E299&gt;outliers!$B$27),"Outlier","Normal")</f>
        <v>Normal</v>
      </c>
      <c r="J299">
        <f t="shared" si="10"/>
        <v>2018</v>
      </c>
      <c r="K299" t="str">
        <f t="shared" si="9"/>
        <v>August</v>
      </c>
    </row>
    <row r="300" spans="1:11" x14ac:dyDescent="0.35">
      <c r="A300" s="1">
        <v>43326</v>
      </c>
      <c r="B300">
        <v>21.9</v>
      </c>
      <c r="C300">
        <v>19.600000000000001</v>
      </c>
      <c r="D300">
        <v>26.9</v>
      </c>
      <c r="E300">
        <v>1</v>
      </c>
      <c r="F300" t="str">
        <f>IF(OR(B300&lt;outliers!$B$7,B300&gt;outliers!$B$6),"Outlier","Normal")</f>
        <v>Normal</v>
      </c>
      <c r="G300" t="str">
        <f>IF(OR(C300&lt;outliers!$B$14,C300&gt;outliers!$B$13),"Outlier","Normal")</f>
        <v>Normal</v>
      </c>
      <c r="H300" t="str">
        <f>IF(OR(D300&lt;outliers!$B$21,D300&gt;outliers!$B$20),"Outlier","Normal")</f>
        <v>Normal</v>
      </c>
      <c r="I300" t="str">
        <f>IF(OR(E300&lt;outliers!$C$28,E300&gt;outliers!$B$27),"Outlier","Normal")</f>
        <v>Normal</v>
      </c>
      <c r="J300">
        <f t="shared" si="10"/>
        <v>2018</v>
      </c>
      <c r="K300" t="str">
        <f t="shared" si="9"/>
        <v>August</v>
      </c>
    </row>
    <row r="301" spans="1:11" x14ac:dyDescent="0.35">
      <c r="A301" s="1">
        <v>43327</v>
      </c>
      <c r="B301">
        <v>22.2</v>
      </c>
      <c r="C301">
        <v>20.100000000000001</v>
      </c>
      <c r="D301">
        <v>25.7</v>
      </c>
      <c r="E301">
        <v>6.4</v>
      </c>
      <c r="F301" t="str">
        <f>IF(OR(B301&lt;outliers!$B$7,B301&gt;outliers!$B$6),"Outlier","Normal")</f>
        <v>Normal</v>
      </c>
      <c r="G301" t="str">
        <f>IF(OR(C301&lt;outliers!$B$14,C301&gt;outliers!$B$13),"Outlier","Normal")</f>
        <v>Normal</v>
      </c>
      <c r="H301" t="str">
        <f>IF(OR(D301&lt;outliers!$B$21,D301&gt;outliers!$B$20),"Outlier","Normal")</f>
        <v>Normal</v>
      </c>
      <c r="I301" t="str">
        <f>IF(OR(E301&lt;outliers!$C$28,E301&gt;outliers!$B$27),"Outlier","Normal")</f>
        <v>Normal</v>
      </c>
      <c r="J301">
        <f t="shared" si="10"/>
        <v>2018</v>
      </c>
      <c r="K301" t="str">
        <f t="shared" si="9"/>
        <v>August</v>
      </c>
    </row>
    <row r="302" spans="1:11" hidden="1" x14ac:dyDescent="0.35">
      <c r="A302" s="1">
        <v>43328</v>
      </c>
      <c r="B302">
        <v>22.4</v>
      </c>
      <c r="C302">
        <v>20.2</v>
      </c>
      <c r="D302">
        <v>25.7</v>
      </c>
      <c r="E302">
        <v>10.7</v>
      </c>
      <c r="F302" t="str">
        <f>IF(OR(B302&lt;outliers!$B$7,B302&gt;outliers!$B$6),"Outlier","Normal")</f>
        <v>Normal</v>
      </c>
      <c r="G302" t="str">
        <f>IF(OR(C302&lt;outliers!$B$14,C302&gt;outliers!$B$13),"Outlier","Normal")</f>
        <v>Normal</v>
      </c>
      <c r="H302" t="str">
        <f>IF(OR(D302&lt;outliers!$B$21,D302&gt;outliers!$B$20),"Outlier","Normal")</f>
        <v>Normal</v>
      </c>
      <c r="I302" t="str">
        <f>IF(OR(E302&lt;outliers!$C$28,E302&gt;outliers!$B$27),"Outlier","Normal")</f>
        <v>Outlier</v>
      </c>
      <c r="J302">
        <f t="shared" si="10"/>
        <v>2018</v>
      </c>
      <c r="K302" t="str">
        <f t="shared" si="9"/>
        <v>August</v>
      </c>
    </row>
    <row r="303" spans="1:11" x14ac:dyDescent="0.35">
      <c r="A303" s="1">
        <v>43329</v>
      </c>
      <c r="B303">
        <v>23.2</v>
      </c>
      <c r="C303">
        <v>20.3</v>
      </c>
      <c r="D303">
        <v>28.3</v>
      </c>
      <c r="E303">
        <v>0.5</v>
      </c>
      <c r="F303" t="str">
        <f>IF(OR(B303&lt;outliers!$B$7,B303&gt;outliers!$B$6),"Outlier","Normal")</f>
        <v>Normal</v>
      </c>
      <c r="G303" t="str">
        <f>IF(OR(C303&lt;outliers!$B$14,C303&gt;outliers!$B$13),"Outlier","Normal")</f>
        <v>Normal</v>
      </c>
      <c r="H303" t="str">
        <f>IF(OR(D303&lt;outliers!$B$21,D303&gt;outliers!$B$20),"Outlier","Normal")</f>
        <v>Normal</v>
      </c>
      <c r="I303" t="str">
        <f>IF(OR(E303&lt;outliers!$C$28,E303&gt;outliers!$B$27),"Outlier","Normal")</f>
        <v>Normal</v>
      </c>
      <c r="J303">
        <f t="shared" si="10"/>
        <v>2018</v>
      </c>
      <c r="K303" t="str">
        <f t="shared" si="9"/>
        <v>August</v>
      </c>
    </row>
    <row r="304" spans="1:11" x14ac:dyDescent="0.35">
      <c r="A304" s="1">
        <v>43330</v>
      </c>
      <c r="B304">
        <v>23.4</v>
      </c>
      <c r="C304">
        <v>20</v>
      </c>
      <c r="D304">
        <v>27.5</v>
      </c>
      <c r="E304">
        <v>0</v>
      </c>
      <c r="F304" t="str">
        <f>IF(OR(B304&lt;outliers!$B$7,B304&gt;outliers!$B$6),"Outlier","Normal")</f>
        <v>Normal</v>
      </c>
      <c r="G304" t="str">
        <f>IF(OR(C304&lt;outliers!$B$14,C304&gt;outliers!$B$13),"Outlier","Normal")</f>
        <v>Normal</v>
      </c>
      <c r="H304" t="str">
        <f>IF(OR(D304&lt;outliers!$B$21,D304&gt;outliers!$B$20),"Outlier","Normal")</f>
        <v>Normal</v>
      </c>
      <c r="I304" t="str">
        <f>IF(OR(E304&lt;outliers!$C$28,E304&gt;outliers!$B$27),"Outlier","Normal")</f>
        <v>Normal</v>
      </c>
      <c r="J304">
        <f t="shared" si="10"/>
        <v>2018</v>
      </c>
      <c r="K304" t="str">
        <f t="shared" si="9"/>
        <v>August</v>
      </c>
    </row>
    <row r="305" spans="1:11" x14ac:dyDescent="0.35">
      <c r="A305" s="1">
        <v>43331</v>
      </c>
      <c r="B305">
        <v>23.3</v>
      </c>
      <c r="C305">
        <v>20.7</v>
      </c>
      <c r="D305">
        <v>27.4</v>
      </c>
      <c r="E305">
        <v>0</v>
      </c>
      <c r="F305" t="str">
        <f>IF(OR(B305&lt;outliers!$B$7,B305&gt;outliers!$B$6),"Outlier","Normal")</f>
        <v>Normal</v>
      </c>
      <c r="G305" t="str">
        <f>IF(OR(C305&lt;outliers!$B$14,C305&gt;outliers!$B$13),"Outlier","Normal")</f>
        <v>Normal</v>
      </c>
      <c r="H305" t="str">
        <f>IF(OR(D305&lt;outliers!$B$21,D305&gt;outliers!$B$20),"Outlier","Normal")</f>
        <v>Normal</v>
      </c>
      <c r="I305" t="str">
        <f>IF(OR(E305&lt;outliers!$C$28,E305&gt;outliers!$B$27),"Outlier","Normal")</f>
        <v>Normal</v>
      </c>
      <c r="J305">
        <f t="shared" si="10"/>
        <v>2018</v>
      </c>
      <c r="K305" t="str">
        <f t="shared" si="9"/>
        <v>August</v>
      </c>
    </row>
    <row r="306" spans="1:11" x14ac:dyDescent="0.35">
      <c r="A306" s="1">
        <v>43332</v>
      </c>
      <c r="B306">
        <v>22.8</v>
      </c>
      <c r="C306">
        <v>20.2</v>
      </c>
      <c r="D306">
        <v>27.3</v>
      </c>
      <c r="E306">
        <v>0</v>
      </c>
      <c r="F306" t="str">
        <f>IF(OR(B306&lt;outliers!$B$7,B306&gt;outliers!$B$6),"Outlier","Normal")</f>
        <v>Normal</v>
      </c>
      <c r="G306" t="str">
        <f>IF(OR(C306&lt;outliers!$B$14,C306&gt;outliers!$B$13),"Outlier","Normal")</f>
        <v>Normal</v>
      </c>
      <c r="H306" t="str">
        <f>IF(OR(D306&lt;outliers!$B$21,D306&gt;outliers!$B$20),"Outlier","Normal")</f>
        <v>Normal</v>
      </c>
      <c r="I306" t="str">
        <f>IF(OR(E306&lt;outliers!$C$28,E306&gt;outliers!$B$27),"Outlier","Normal")</f>
        <v>Normal</v>
      </c>
      <c r="J306">
        <f t="shared" si="10"/>
        <v>2018</v>
      </c>
      <c r="K306" t="str">
        <f t="shared" si="9"/>
        <v>August</v>
      </c>
    </row>
    <row r="307" spans="1:11" x14ac:dyDescent="0.35">
      <c r="A307" s="1">
        <v>43333</v>
      </c>
      <c r="B307">
        <v>23.3</v>
      </c>
      <c r="C307">
        <v>19.7</v>
      </c>
      <c r="D307">
        <v>28.9</v>
      </c>
      <c r="E307">
        <v>0</v>
      </c>
      <c r="F307" t="str">
        <f>IF(OR(B307&lt;outliers!$B$7,B307&gt;outliers!$B$6),"Outlier","Normal")</f>
        <v>Normal</v>
      </c>
      <c r="G307" t="str">
        <f>IF(OR(C307&lt;outliers!$B$14,C307&gt;outliers!$B$13),"Outlier","Normal")</f>
        <v>Normal</v>
      </c>
      <c r="H307" t="str">
        <f>IF(OR(D307&lt;outliers!$B$21,D307&gt;outliers!$B$20),"Outlier","Normal")</f>
        <v>Normal</v>
      </c>
      <c r="I307" t="str">
        <f>IF(OR(E307&lt;outliers!$C$28,E307&gt;outliers!$B$27),"Outlier","Normal")</f>
        <v>Normal</v>
      </c>
      <c r="J307">
        <f t="shared" si="10"/>
        <v>2018</v>
      </c>
      <c r="K307" t="str">
        <f t="shared" si="9"/>
        <v>August</v>
      </c>
    </row>
    <row r="308" spans="1:11" x14ac:dyDescent="0.35">
      <c r="A308" s="1">
        <v>43334</v>
      </c>
      <c r="B308">
        <v>23.7</v>
      </c>
      <c r="C308">
        <v>19.7</v>
      </c>
      <c r="D308">
        <v>28.2</v>
      </c>
      <c r="E308">
        <v>0</v>
      </c>
      <c r="F308" t="str">
        <f>IF(OR(B308&lt;outliers!$B$7,B308&gt;outliers!$B$6),"Outlier","Normal")</f>
        <v>Normal</v>
      </c>
      <c r="G308" t="str">
        <f>IF(OR(C308&lt;outliers!$B$14,C308&gt;outliers!$B$13),"Outlier","Normal")</f>
        <v>Normal</v>
      </c>
      <c r="H308" t="str">
        <f>IF(OR(D308&lt;outliers!$B$21,D308&gt;outliers!$B$20),"Outlier","Normal")</f>
        <v>Normal</v>
      </c>
      <c r="I308" t="str">
        <f>IF(OR(E308&lt;outliers!$C$28,E308&gt;outliers!$B$27),"Outlier","Normal")</f>
        <v>Normal</v>
      </c>
      <c r="J308">
        <f t="shared" si="10"/>
        <v>2018</v>
      </c>
      <c r="K308" t="str">
        <f t="shared" si="9"/>
        <v>August</v>
      </c>
    </row>
    <row r="309" spans="1:11" x14ac:dyDescent="0.35">
      <c r="A309" s="1">
        <v>43335</v>
      </c>
      <c r="B309">
        <v>23.3</v>
      </c>
      <c r="C309">
        <v>20.5</v>
      </c>
      <c r="D309">
        <v>28</v>
      </c>
      <c r="E309">
        <v>0</v>
      </c>
      <c r="F309" t="str">
        <f>IF(OR(B309&lt;outliers!$B$7,B309&gt;outliers!$B$6),"Outlier","Normal")</f>
        <v>Normal</v>
      </c>
      <c r="G309" t="str">
        <f>IF(OR(C309&lt;outliers!$B$14,C309&gt;outliers!$B$13),"Outlier","Normal")</f>
        <v>Normal</v>
      </c>
      <c r="H309" t="str">
        <f>IF(OR(D309&lt;outliers!$B$21,D309&gt;outliers!$B$20),"Outlier","Normal")</f>
        <v>Normal</v>
      </c>
      <c r="I309" t="str">
        <f>IF(OR(E309&lt;outliers!$C$28,E309&gt;outliers!$B$27),"Outlier","Normal")</f>
        <v>Normal</v>
      </c>
      <c r="J309">
        <f t="shared" si="10"/>
        <v>2018</v>
      </c>
      <c r="K309" t="str">
        <f t="shared" si="9"/>
        <v>August</v>
      </c>
    </row>
    <row r="310" spans="1:11" x14ac:dyDescent="0.35">
      <c r="A310" s="1">
        <v>43336</v>
      </c>
      <c r="B310">
        <v>22.4</v>
      </c>
      <c r="C310">
        <v>19.899999999999999</v>
      </c>
      <c r="D310">
        <v>28.8</v>
      </c>
      <c r="E310">
        <v>3.3</v>
      </c>
      <c r="F310" t="str">
        <f>IF(OR(B310&lt;outliers!$B$7,B310&gt;outliers!$B$6),"Outlier","Normal")</f>
        <v>Normal</v>
      </c>
      <c r="G310" t="str">
        <f>IF(OR(C310&lt;outliers!$B$14,C310&gt;outliers!$B$13),"Outlier","Normal")</f>
        <v>Normal</v>
      </c>
      <c r="H310" t="str">
        <f>IF(OR(D310&lt;outliers!$B$21,D310&gt;outliers!$B$20),"Outlier","Normal")</f>
        <v>Normal</v>
      </c>
      <c r="I310" t="str">
        <f>IF(OR(E310&lt;outliers!$C$28,E310&gt;outliers!$B$27),"Outlier","Normal")</f>
        <v>Normal</v>
      </c>
      <c r="J310">
        <f t="shared" si="10"/>
        <v>2018</v>
      </c>
      <c r="K310" t="str">
        <f t="shared" si="9"/>
        <v>August</v>
      </c>
    </row>
    <row r="311" spans="1:11" hidden="1" x14ac:dyDescent="0.35">
      <c r="A311" s="1">
        <v>43337</v>
      </c>
      <c r="B311">
        <v>23.7</v>
      </c>
      <c r="C311">
        <v>19.8</v>
      </c>
      <c r="D311">
        <v>29.5</v>
      </c>
      <c r="E311">
        <v>41.7</v>
      </c>
      <c r="F311" t="str">
        <f>IF(OR(B311&lt;outliers!$B$7,B311&gt;outliers!$B$6),"Outlier","Normal")</f>
        <v>Normal</v>
      </c>
      <c r="G311" t="str">
        <f>IF(OR(C311&lt;outliers!$B$14,C311&gt;outliers!$B$13),"Outlier","Normal")</f>
        <v>Normal</v>
      </c>
      <c r="H311" t="str">
        <f>IF(OR(D311&lt;outliers!$B$21,D311&gt;outliers!$B$20),"Outlier","Normal")</f>
        <v>Normal</v>
      </c>
      <c r="I311" t="str">
        <f>IF(OR(E311&lt;outliers!$C$28,E311&gt;outliers!$B$27),"Outlier","Normal")</f>
        <v>Outlier</v>
      </c>
      <c r="J311">
        <f t="shared" si="10"/>
        <v>2018</v>
      </c>
      <c r="K311" t="str">
        <f t="shared" si="9"/>
        <v>August</v>
      </c>
    </row>
    <row r="312" spans="1:11" x14ac:dyDescent="0.35">
      <c r="A312" s="1">
        <v>43338</v>
      </c>
      <c r="B312">
        <v>22.4</v>
      </c>
      <c r="C312">
        <v>19.899999999999999</v>
      </c>
      <c r="D312">
        <v>28.5</v>
      </c>
      <c r="E312">
        <v>0</v>
      </c>
      <c r="F312" t="str">
        <f>IF(OR(B312&lt;outliers!$B$7,B312&gt;outliers!$B$6),"Outlier","Normal")</f>
        <v>Normal</v>
      </c>
      <c r="G312" t="str">
        <f>IF(OR(C312&lt;outliers!$B$14,C312&gt;outliers!$B$13),"Outlier","Normal")</f>
        <v>Normal</v>
      </c>
      <c r="H312" t="str">
        <f>IF(OR(D312&lt;outliers!$B$21,D312&gt;outliers!$B$20),"Outlier","Normal")</f>
        <v>Normal</v>
      </c>
      <c r="I312" t="str">
        <f>IF(OR(E312&lt;outliers!$C$28,E312&gt;outliers!$B$27),"Outlier","Normal")</f>
        <v>Normal</v>
      </c>
      <c r="J312">
        <f t="shared" si="10"/>
        <v>2018</v>
      </c>
      <c r="K312" t="str">
        <f t="shared" si="9"/>
        <v>August</v>
      </c>
    </row>
    <row r="313" spans="1:11" x14ac:dyDescent="0.35">
      <c r="A313" s="1">
        <v>43339</v>
      </c>
      <c r="B313">
        <v>21.9</v>
      </c>
      <c r="C313">
        <v>19.5</v>
      </c>
      <c r="D313">
        <v>28.3</v>
      </c>
      <c r="E313">
        <v>8.4</v>
      </c>
      <c r="F313" t="str">
        <f>IF(OR(B313&lt;outliers!$B$7,B313&gt;outliers!$B$6),"Outlier","Normal")</f>
        <v>Normal</v>
      </c>
      <c r="G313" t="str">
        <f>IF(OR(C313&lt;outliers!$B$14,C313&gt;outliers!$B$13),"Outlier","Normal")</f>
        <v>Normal</v>
      </c>
      <c r="H313" t="str">
        <f>IF(OR(D313&lt;outliers!$B$21,D313&gt;outliers!$B$20),"Outlier","Normal")</f>
        <v>Normal</v>
      </c>
      <c r="I313" t="str">
        <f>IF(OR(E313&lt;outliers!$C$28,E313&gt;outliers!$B$27),"Outlier","Normal")</f>
        <v>Normal</v>
      </c>
      <c r="J313">
        <f t="shared" si="10"/>
        <v>2018</v>
      </c>
      <c r="K313" t="str">
        <f t="shared" si="9"/>
        <v>August</v>
      </c>
    </row>
    <row r="314" spans="1:11" x14ac:dyDescent="0.35">
      <c r="A314" s="1">
        <v>43340</v>
      </c>
      <c r="B314">
        <v>22.6</v>
      </c>
      <c r="C314">
        <v>19.600000000000001</v>
      </c>
      <c r="D314">
        <v>27.6</v>
      </c>
      <c r="E314">
        <v>0.5</v>
      </c>
      <c r="F314" t="str">
        <f>IF(OR(B314&lt;outliers!$B$7,B314&gt;outliers!$B$6),"Outlier","Normal")</f>
        <v>Normal</v>
      </c>
      <c r="G314" t="str">
        <f>IF(OR(C314&lt;outliers!$B$14,C314&gt;outliers!$B$13),"Outlier","Normal")</f>
        <v>Normal</v>
      </c>
      <c r="H314" t="str">
        <f>IF(OR(D314&lt;outliers!$B$21,D314&gt;outliers!$B$20),"Outlier","Normal")</f>
        <v>Normal</v>
      </c>
      <c r="I314" t="str">
        <f>IF(OR(E314&lt;outliers!$C$28,E314&gt;outliers!$B$27),"Outlier","Normal")</f>
        <v>Normal</v>
      </c>
      <c r="J314">
        <f t="shared" si="10"/>
        <v>2018</v>
      </c>
      <c r="K314" t="str">
        <f t="shared" si="9"/>
        <v>August</v>
      </c>
    </row>
    <row r="315" spans="1:11" x14ac:dyDescent="0.35">
      <c r="A315" s="1">
        <v>43341</v>
      </c>
      <c r="B315">
        <v>22.9</v>
      </c>
      <c r="C315">
        <v>20</v>
      </c>
      <c r="D315">
        <v>28</v>
      </c>
      <c r="E315">
        <v>8.4</v>
      </c>
      <c r="F315" t="str">
        <f>IF(OR(B315&lt;outliers!$B$7,B315&gt;outliers!$B$6),"Outlier","Normal")</f>
        <v>Normal</v>
      </c>
      <c r="G315" t="str">
        <f>IF(OR(C315&lt;outliers!$B$14,C315&gt;outliers!$B$13),"Outlier","Normal")</f>
        <v>Normal</v>
      </c>
      <c r="H315" t="str">
        <f>IF(OR(D315&lt;outliers!$B$21,D315&gt;outliers!$B$20),"Outlier","Normal")</f>
        <v>Normal</v>
      </c>
      <c r="I315" t="str">
        <f>IF(OR(E315&lt;outliers!$C$28,E315&gt;outliers!$B$27),"Outlier","Normal")</f>
        <v>Normal</v>
      </c>
      <c r="J315">
        <f t="shared" si="10"/>
        <v>2018</v>
      </c>
      <c r="K315" t="str">
        <f t="shared" si="9"/>
        <v>August</v>
      </c>
    </row>
    <row r="316" spans="1:11" x14ac:dyDescent="0.35">
      <c r="A316" s="1">
        <v>43342</v>
      </c>
      <c r="B316">
        <v>23.3</v>
      </c>
      <c r="C316">
        <v>20.3</v>
      </c>
      <c r="D316">
        <v>28.2</v>
      </c>
      <c r="E316">
        <v>3</v>
      </c>
      <c r="F316" t="str">
        <f>IF(OR(B316&lt;outliers!$B$7,B316&gt;outliers!$B$6),"Outlier","Normal")</f>
        <v>Normal</v>
      </c>
      <c r="G316" t="str">
        <f>IF(OR(C316&lt;outliers!$B$14,C316&gt;outliers!$B$13),"Outlier","Normal")</f>
        <v>Normal</v>
      </c>
      <c r="H316" t="str">
        <f>IF(OR(D316&lt;outliers!$B$21,D316&gt;outliers!$B$20),"Outlier","Normal")</f>
        <v>Normal</v>
      </c>
      <c r="I316" t="str">
        <f>IF(OR(E316&lt;outliers!$C$28,E316&gt;outliers!$B$27),"Outlier","Normal")</f>
        <v>Normal</v>
      </c>
      <c r="J316">
        <f t="shared" si="10"/>
        <v>2018</v>
      </c>
      <c r="K316" t="str">
        <f t="shared" si="9"/>
        <v>August</v>
      </c>
    </row>
    <row r="317" spans="1:11" hidden="1" x14ac:dyDescent="0.35">
      <c r="A317" s="1">
        <v>43343</v>
      </c>
      <c r="B317">
        <v>23.3</v>
      </c>
      <c r="C317">
        <v>20.3</v>
      </c>
      <c r="D317">
        <v>28.8</v>
      </c>
      <c r="E317">
        <v>19.8</v>
      </c>
      <c r="F317" t="str">
        <f>IF(OR(B317&lt;outliers!$B$7,B317&gt;outliers!$B$6),"Outlier","Normal")</f>
        <v>Normal</v>
      </c>
      <c r="G317" t="str">
        <f>IF(OR(C317&lt;outliers!$B$14,C317&gt;outliers!$B$13),"Outlier","Normal")</f>
        <v>Normal</v>
      </c>
      <c r="H317" t="str">
        <f>IF(OR(D317&lt;outliers!$B$21,D317&gt;outliers!$B$20),"Outlier","Normal")</f>
        <v>Normal</v>
      </c>
      <c r="I317" t="str">
        <f>IF(OR(E317&lt;outliers!$C$28,E317&gt;outliers!$B$27),"Outlier","Normal")</f>
        <v>Outlier</v>
      </c>
      <c r="J317">
        <f t="shared" si="10"/>
        <v>2018</v>
      </c>
      <c r="K317" t="str">
        <f t="shared" si="9"/>
        <v>August</v>
      </c>
    </row>
    <row r="318" spans="1:11" x14ac:dyDescent="0.35">
      <c r="A318" s="1">
        <v>43344</v>
      </c>
      <c r="B318">
        <v>23.7</v>
      </c>
      <c r="C318">
        <v>20</v>
      </c>
      <c r="D318">
        <v>28.3</v>
      </c>
      <c r="E318">
        <v>0</v>
      </c>
      <c r="F318" t="str">
        <f>IF(OR(B318&lt;outliers!$B$7,B318&gt;outliers!$B$6),"Outlier","Normal")</f>
        <v>Normal</v>
      </c>
      <c r="G318" t="str">
        <f>IF(OR(C318&lt;outliers!$B$14,C318&gt;outliers!$B$13),"Outlier","Normal")</f>
        <v>Normal</v>
      </c>
      <c r="H318" t="str">
        <f>IF(OR(D318&lt;outliers!$B$21,D318&gt;outliers!$B$20),"Outlier","Normal")</f>
        <v>Normal</v>
      </c>
      <c r="I318" t="str">
        <f>IF(OR(E318&lt;outliers!$C$28,E318&gt;outliers!$B$27),"Outlier","Normal")</f>
        <v>Normal</v>
      </c>
      <c r="J318">
        <f t="shared" si="10"/>
        <v>2018</v>
      </c>
      <c r="K318" t="str">
        <f t="shared" si="9"/>
        <v>August</v>
      </c>
    </row>
    <row r="319" spans="1:11" x14ac:dyDescent="0.35">
      <c r="A319" s="1">
        <v>43345</v>
      </c>
      <c r="B319">
        <v>23.7</v>
      </c>
      <c r="C319">
        <v>20.3</v>
      </c>
      <c r="D319">
        <v>28.2</v>
      </c>
      <c r="E319">
        <v>0.3</v>
      </c>
      <c r="F319" t="str">
        <f>IF(OR(B319&lt;outliers!$B$7,B319&gt;outliers!$B$6),"Outlier","Normal")</f>
        <v>Normal</v>
      </c>
      <c r="G319" t="str">
        <f>IF(OR(C319&lt;outliers!$B$14,C319&gt;outliers!$B$13),"Outlier","Normal")</f>
        <v>Normal</v>
      </c>
      <c r="H319" t="str">
        <f>IF(OR(D319&lt;outliers!$B$21,D319&gt;outliers!$B$20),"Outlier","Normal")</f>
        <v>Normal</v>
      </c>
      <c r="I319" t="str">
        <f>IF(OR(E319&lt;outliers!$C$28,E319&gt;outliers!$B$27),"Outlier","Normal")</f>
        <v>Normal</v>
      </c>
      <c r="J319">
        <f t="shared" si="10"/>
        <v>2018</v>
      </c>
      <c r="K319" t="str">
        <f t="shared" si="9"/>
        <v>September</v>
      </c>
    </row>
    <row r="320" spans="1:11" x14ac:dyDescent="0.35">
      <c r="A320" s="1">
        <v>43346</v>
      </c>
      <c r="B320">
        <v>24.7</v>
      </c>
      <c r="C320">
        <v>19.7</v>
      </c>
      <c r="D320">
        <v>29.3</v>
      </c>
      <c r="E320">
        <v>0</v>
      </c>
      <c r="F320" t="str">
        <f>IF(OR(B320&lt;outliers!$B$7,B320&gt;outliers!$B$6),"Outlier","Normal")</f>
        <v>Normal</v>
      </c>
      <c r="G320" t="str">
        <f>IF(OR(C320&lt;outliers!$B$14,C320&gt;outliers!$B$13),"Outlier","Normal")</f>
        <v>Normal</v>
      </c>
      <c r="H320" t="str">
        <f>IF(OR(D320&lt;outliers!$B$21,D320&gt;outliers!$B$20),"Outlier","Normal")</f>
        <v>Normal</v>
      </c>
      <c r="I320" t="str">
        <f>IF(OR(E320&lt;outliers!$C$28,E320&gt;outliers!$B$27),"Outlier","Normal")</f>
        <v>Normal</v>
      </c>
      <c r="J320">
        <f t="shared" si="10"/>
        <v>2018</v>
      </c>
      <c r="K320" t="str">
        <f t="shared" si="9"/>
        <v>September</v>
      </c>
    </row>
    <row r="321" spans="1:11" x14ac:dyDescent="0.35">
      <c r="A321" s="1">
        <v>43350</v>
      </c>
      <c r="B321">
        <v>24.4</v>
      </c>
      <c r="C321">
        <v>20.3</v>
      </c>
      <c r="D321">
        <v>29.2</v>
      </c>
      <c r="E321">
        <v>0</v>
      </c>
      <c r="F321" t="str">
        <f>IF(OR(B321&lt;outliers!$B$7,B321&gt;outliers!$B$6),"Outlier","Normal")</f>
        <v>Normal</v>
      </c>
      <c r="G321" t="str">
        <f>IF(OR(C321&lt;outliers!$B$14,C321&gt;outliers!$B$13),"Outlier","Normal")</f>
        <v>Normal</v>
      </c>
      <c r="H321" t="str">
        <f>IF(OR(D321&lt;outliers!$B$21,D321&gt;outliers!$B$20),"Outlier","Normal")</f>
        <v>Normal</v>
      </c>
      <c r="I321" t="str">
        <f>IF(OR(E321&lt;outliers!$C$28,E321&gt;outliers!$B$27),"Outlier","Normal")</f>
        <v>Normal</v>
      </c>
      <c r="J321">
        <f t="shared" si="10"/>
        <v>2018</v>
      </c>
      <c r="K321" t="str">
        <f t="shared" si="9"/>
        <v>September</v>
      </c>
    </row>
    <row r="322" spans="1:11" x14ac:dyDescent="0.35">
      <c r="A322" s="1">
        <v>43351</v>
      </c>
      <c r="B322">
        <v>24.3</v>
      </c>
      <c r="C322">
        <v>20.100000000000001</v>
      </c>
      <c r="D322">
        <v>29.1</v>
      </c>
      <c r="E322">
        <v>0</v>
      </c>
      <c r="F322" t="str">
        <f>IF(OR(B322&lt;outliers!$B$7,B322&gt;outliers!$B$6),"Outlier","Normal")</f>
        <v>Normal</v>
      </c>
      <c r="G322" t="str">
        <f>IF(OR(C322&lt;outliers!$B$14,C322&gt;outliers!$B$13),"Outlier","Normal")</f>
        <v>Normal</v>
      </c>
      <c r="H322" t="str">
        <f>IF(OR(D322&lt;outliers!$B$21,D322&gt;outliers!$B$20),"Outlier","Normal")</f>
        <v>Normal</v>
      </c>
      <c r="I322" t="str">
        <f>IF(OR(E322&lt;outliers!$C$28,E322&gt;outliers!$B$27),"Outlier","Normal")</f>
        <v>Normal</v>
      </c>
      <c r="J322">
        <f t="shared" si="10"/>
        <v>2018</v>
      </c>
      <c r="K322" t="str">
        <f t="shared" ref="K322:K385" si="11">TEXT(A321,"mmmm")</f>
        <v>September</v>
      </c>
    </row>
    <row r="323" spans="1:11" x14ac:dyDescent="0.35">
      <c r="A323" s="1">
        <v>43352</v>
      </c>
      <c r="B323">
        <v>25.7</v>
      </c>
      <c r="C323">
        <v>20.5</v>
      </c>
      <c r="D323">
        <v>30.3</v>
      </c>
      <c r="E323">
        <v>0</v>
      </c>
      <c r="F323" t="str">
        <f>IF(OR(B323&lt;outliers!$B$7,B323&gt;outliers!$B$6),"Outlier","Normal")</f>
        <v>Normal</v>
      </c>
      <c r="G323" t="str">
        <f>IF(OR(C323&lt;outliers!$B$14,C323&gt;outliers!$B$13),"Outlier","Normal")</f>
        <v>Normal</v>
      </c>
      <c r="H323" t="str">
        <f>IF(OR(D323&lt;outliers!$B$21,D323&gt;outliers!$B$20),"Outlier","Normal")</f>
        <v>Normal</v>
      </c>
      <c r="I323" t="str">
        <f>IF(OR(E323&lt;outliers!$C$28,E323&gt;outliers!$B$27),"Outlier","Normal")</f>
        <v>Normal</v>
      </c>
      <c r="J323">
        <f t="shared" si="10"/>
        <v>2018</v>
      </c>
      <c r="K323" t="str">
        <f t="shared" si="11"/>
        <v>September</v>
      </c>
    </row>
    <row r="324" spans="1:11" x14ac:dyDescent="0.35">
      <c r="A324" s="1">
        <v>43354</v>
      </c>
      <c r="B324">
        <v>25.3</v>
      </c>
      <c r="C324">
        <v>21.7</v>
      </c>
      <c r="D324">
        <v>30.8</v>
      </c>
      <c r="E324">
        <v>0</v>
      </c>
      <c r="F324" t="str">
        <f>IF(OR(B324&lt;outliers!$B$7,B324&gt;outliers!$B$6),"Outlier","Normal")</f>
        <v>Normal</v>
      </c>
      <c r="G324" t="str">
        <f>IF(OR(C324&lt;outliers!$B$14,C324&gt;outliers!$B$13),"Outlier","Normal")</f>
        <v>Normal</v>
      </c>
      <c r="H324" t="str">
        <f>IF(OR(D324&lt;outliers!$B$21,D324&gt;outliers!$B$20),"Outlier","Normal")</f>
        <v>Normal</v>
      </c>
      <c r="I324" t="str">
        <f>IF(OR(E324&lt;outliers!$C$28,E324&gt;outliers!$B$27),"Outlier","Normal")</f>
        <v>Normal</v>
      </c>
      <c r="J324">
        <f t="shared" si="10"/>
        <v>2018</v>
      </c>
      <c r="K324" t="str">
        <f t="shared" si="11"/>
        <v>September</v>
      </c>
    </row>
    <row r="325" spans="1:11" x14ac:dyDescent="0.35">
      <c r="A325" s="1">
        <v>43355</v>
      </c>
      <c r="B325">
        <v>25.9</v>
      </c>
      <c r="C325">
        <v>20.9</v>
      </c>
      <c r="D325">
        <v>31.1</v>
      </c>
      <c r="E325">
        <v>0</v>
      </c>
      <c r="F325" t="str">
        <f>IF(OR(B325&lt;outliers!$B$7,B325&gt;outliers!$B$6),"Outlier","Normal")</f>
        <v>Normal</v>
      </c>
      <c r="G325" t="str">
        <f>IF(OR(C325&lt;outliers!$B$14,C325&gt;outliers!$B$13),"Outlier","Normal")</f>
        <v>Normal</v>
      </c>
      <c r="H325" t="str">
        <f>IF(OR(D325&lt;outliers!$B$21,D325&gt;outliers!$B$20),"Outlier","Normal")</f>
        <v>Normal</v>
      </c>
      <c r="I325" t="str">
        <f>IF(OR(E325&lt;outliers!$C$28,E325&gt;outliers!$B$27),"Outlier","Normal")</f>
        <v>Normal</v>
      </c>
      <c r="J325">
        <f t="shared" si="10"/>
        <v>2018</v>
      </c>
      <c r="K325" t="str">
        <f t="shared" si="11"/>
        <v>September</v>
      </c>
    </row>
    <row r="326" spans="1:11" x14ac:dyDescent="0.35">
      <c r="A326" s="1">
        <v>43357</v>
      </c>
      <c r="B326">
        <v>24.8</v>
      </c>
      <c r="C326">
        <v>20.399999999999999</v>
      </c>
      <c r="D326">
        <v>30.3</v>
      </c>
      <c r="E326">
        <v>2</v>
      </c>
      <c r="F326" t="str">
        <f>IF(OR(B326&lt;outliers!$B$7,B326&gt;outliers!$B$6),"Outlier","Normal")</f>
        <v>Normal</v>
      </c>
      <c r="G326" t="str">
        <f>IF(OR(C326&lt;outliers!$B$14,C326&gt;outliers!$B$13),"Outlier","Normal")</f>
        <v>Normal</v>
      </c>
      <c r="H326" t="str">
        <f>IF(OR(D326&lt;outliers!$B$21,D326&gt;outliers!$B$20),"Outlier","Normal")</f>
        <v>Normal</v>
      </c>
      <c r="I326" t="str">
        <f>IF(OR(E326&lt;outliers!$C$28,E326&gt;outliers!$B$27),"Outlier","Normal")</f>
        <v>Normal</v>
      </c>
      <c r="J326">
        <f t="shared" si="10"/>
        <v>2018</v>
      </c>
      <c r="K326" t="str">
        <f t="shared" si="11"/>
        <v>September</v>
      </c>
    </row>
    <row r="327" spans="1:11" x14ac:dyDescent="0.35">
      <c r="A327" s="1">
        <v>43358</v>
      </c>
      <c r="B327">
        <v>23.2</v>
      </c>
      <c r="C327">
        <v>20.100000000000001</v>
      </c>
      <c r="D327">
        <v>31.7</v>
      </c>
      <c r="E327">
        <v>9.9</v>
      </c>
      <c r="F327" t="str">
        <f>IF(OR(B327&lt;outliers!$B$7,B327&gt;outliers!$B$6),"Outlier","Normal")</f>
        <v>Normal</v>
      </c>
      <c r="G327" t="str">
        <f>IF(OR(C327&lt;outliers!$B$14,C327&gt;outliers!$B$13),"Outlier","Normal")</f>
        <v>Normal</v>
      </c>
      <c r="H327" t="str">
        <f>IF(OR(D327&lt;outliers!$B$21,D327&gt;outliers!$B$20),"Outlier","Normal")</f>
        <v>Normal</v>
      </c>
      <c r="I327" t="str">
        <f>IF(OR(E327&lt;outliers!$C$28,E327&gt;outliers!$B$27),"Outlier","Normal")</f>
        <v>Normal</v>
      </c>
      <c r="J327">
        <f t="shared" si="10"/>
        <v>2018</v>
      </c>
      <c r="K327" t="str">
        <f t="shared" si="11"/>
        <v>September</v>
      </c>
    </row>
    <row r="328" spans="1:11" x14ac:dyDescent="0.35">
      <c r="A328" s="1">
        <v>43359</v>
      </c>
      <c r="B328">
        <v>23.3</v>
      </c>
      <c r="C328">
        <v>20.5</v>
      </c>
      <c r="D328">
        <v>30.3</v>
      </c>
      <c r="E328">
        <v>6.4</v>
      </c>
      <c r="F328" t="str">
        <f>IF(OR(B328&lt;outliers!$B$7,B328&gt;outliers!$B$6),"Outlier","Normal")</f>
        <v>Normal</v>
      </c>
      <c r="G328" t="str">
        <f>IF(OR(C328&lt;outliers!$B$14,C328&gt;outliers!$B$13),"Outlier","Normal")</f>
        <v>Normal</v>
      </c>
      <c r="H328" t="str">
        <f>IF(OR(D328&lt;outliers!$B$21,D328&gt;outliers!$B$20),"Outlier","Normal")</f>
        <v>Normal</v>
      </c>
      <c r="I328" t="str">
        <f>IF(OR(E328&lt;outliers!$C$28,E328&gt;outliers!$B$27),"Outlier","Normal")</f>
        <v>Normal</v>
      </c>
      <c r="J328">
        <f t="shared" si="10"/>
        <v>2018</v>
      </c>
      <c r="K328" t="str">
        <f t="shared" si="11"/>
        <v>September</v>
      </c>
    </row>
    <row r="329" spans="1:11" x14ac:dyDescent="0.35">
      <c r="A329" s="1">
        <v>43364</v>
      </c>
      <c r="B329">
        <v>23.5</v>
      </c>
      <c r="C329">
        <v>20</v>
      </c>
      <c r="D329">
        <v>28.4</v>
      </c>
      <c r="E329">
        <v>7.6</v>
      </c>
      <c r="F329" t="str">
        <f>IF(OR(B329&lt;outliers!$B$7,B329&gt;outliers!$B$6),"Outlier","Normal")</f>
        <v>Normal</v>
      </c>
      <c r="G329" t="str">
        <f>IF(OR(C329&lt;outliers!$B$14,C329&gt;outliers!$B$13),"Outlier","Normal")</f>
        <v>Normal</v>
      </c>
      <c r="H329" t="str">
        <f>IF(OR(D329&lt;outliers!$B$21,D329&gt;outliers!$B$20),"Outlier","Normal")</f>
        <v>Normal</v>
      </c>
      <c r="I329" t="str">
        <f>IF(OR(E329&lt;outliers!$C$28,E329&gt;outliers!$B$27),"Outlier","Normal")</f>
        <v>Normal</v>
      </c>
      <c r="J329">
        <f t="shared" si="10"/>
        <v>2018</v>
      </c>
      <c r="K329" t="str">
        <f t="shared" si="11"/>
        <v>September</v>
      </c>
    </row>
    <row r="330" spans="1:11" x14ac:dyDescent="0.35">
      <c r="A330" s="1">
        <v>43365</v>
      </c>
      <c r="B330">
        <v>23.9</v>
      </c>
      <c r="C330">
        <v>18.399999999999999</v>
      </c>
      <c r="D330">
        <v>28.2</v>
      </c>
      <c r="E330">
        <v>0</v>
      </c>
      <c r="F330" t="str">
        <f>IF(OR(B330&lt;outliers!$B$7,B330&gt;outliers!$B$6),"Outlier","Normal")</f>
        <v>Normal</v>
      </c>
      <c r="G330" t="str">
        <f>IF(OR(C330&lt;outliers!$B$14,C330&gt;outliers!$B$13),"Outlier","Normal")</f>
        <v>Normal</v>
      </c>
      <c r="H330" t="str">
        <f>IF(OR(D330&lt;outliers!$B$21,D330&gt;outliers!$B$20),"Outlier","Normal")</f>
        <v>Normal</v>
      </c>
      <c r="I330" t="str">
        <f>IF(OR(E330&lt;outliers!$C$28,E330&gt;outliers!$B$27),"Outlier","Normal")</f>
        <v>Normal</v>
      </c>
      <c r="J330">
        <f t="shared" si="10"/>
        <v>2018</v>
      </c>
      <c r="K330" t="str">
        <f t="shared" si="11"/>
        <v>September</v>
      </c>
    </row>
    <row r="331" spans="1:11" hidden="1" x14ac:dyDescent="0.35">
      <c r="A331" s="1">
        <v>43367</v>
      </c>
      <c r="B331">
        <v>22.6</v>
      </c>
      <c r="C331">
        <v>18.899999999999999</v>
      </c>
      <c r="D331">
        <v>28.9</v>
      </c>
      <c r="E331">
        <v>53.1</v>
      </c>
      <c r="F331" t="str">
        <f>IF(OR(B331&lt;outliers!$B$7,B331&gt;outliers!$B$6),"Outlier","Normal")</f>
        <v>Normal</v>
      </c>
      <c r="G331" t="str">
        <f>IF(OR(C331&lt;outliers!$B$14,C331&gt;outliers!$B$13),"Outlier","Normal")</f>
        <v>Normal</v>
      </c>
      <c r="H331" t="str">
        <f>IF(OR(D331&lt;outliers!$B$21,D331&gt;outliers!$B$20),"Outlier","Normal")</f>
        <v>Normal</v>
      </c>
      <c r="I331" t="str">
        <f>IF(OR(E331&lt;outliers!$C$28,E331&gt;outliers!$B$27),"Outlier","Normal")</f>
        <v>Outlier</v>
      </c>
      <c r="J331">
        <f t="shared" si="10"/>
        <v>2018</v>
      </c>
      <c r="K331" t="str">
        <f t="shared" si="11"/>
        <v>September</v>
      </c>
    </row>
    <row r="332" spans="1:11" hidden="1" x14ac:dyDescent="0.35">
      <c r="A332" s="1">
        <v>43368</v>
      </c>
      <c r="B332">
        <v>23.5</v>
      </c>
      <c r="C332">
        <v>19.3</v>
      </c>
      <c r="D332">
        <v>29.3</v>
      </c>
      <c r="E332">
        <v>25.4</v>
      </c>
      <c r="F332" t="str">
        <f>IF(OR(B332&lt;outliers!$B$7,B332&gt;outliers!$B$6),"Outlier","Normal")</f>
        <v>Normal</v>
      </c>
      <c r="G332" t="str">
        <f>IF(OR(C332&lt;outliers!$B$14,C332&gt;outliers!$B$13),"Outlier","Normal")</f>
        <v>Normal</v>
      </c>
      <c r="H332" t="str">
        <f>IF(OR(D332&lt;outliers!$B$21,D332&gt;outliers!$B$20),"Outlier","Normal")</f>
        <v>Normal</v>
      </c>
      <c r="I332" t="str">
        <f>IF(OR(E332&lt;outliers!$C$28,E332&gt;outliers!$B$27),"Outlier","Normal")</f>
        <v>Outlier</v>
      </c>
      <c r="J332">
        <f t="shared" si="10"/>
        <v>2018</v>
      </c>
      <c r="K332" t="str">
        <f t="shared" si="11"/>
        <v>September</v>
      </c>
    </row>
    <row r="333" spans="1:11" x14ac:dyDescent="0.35">
      <c r="A333" s="1">
        <v>43369</v>
      </c>
      <c r="B333">
        <v>24.4</v>
      </c>
      <c r="C333">
        <v>20.399999999999999</v>
      </c>
      <c r="D333">
        <v>29.7</v>
      </c>
      <c r="E333">
        <v>0.3</v>
      </c>
      <c r="F333" t="str">
        <f>IF(OR(B333&lt;outliers!$B$7,B333&gt;outliers!$B$6),"Outlier","Normal")</f>
        <v>Normal</v>
      </c>
      <c r="G333" t="str">
        <f>IF(OR(C333&lt;outliers!$B$14,C333&gt;outliers!$B$13),"Outlier","Normal")</f>
        <v>Normal</v>
      </c>
      <c r="H333" t="str">
        <f>IF(OR(D333&lt;outliers!$B$21,D333&gt;outliers!$B$20),"Outlier","Normal")</f>
        <v>Normal</v>
      </c>
      <c r="I333" t="str">
        <f>IF(OR(E333&lt;outliers!$C$28,E333&gt;outliers!$B$27),"Outlier","Normal")</f>
        <v>Normal</v>
      </c>
      <c r="J333">
        <f t="shared" si="10"/>
        <v>2018</v>
      </c>
      <c r="K333" t="str">
        <f t="shared" si="11"/>
        <v>September</v>
      </c>
    </row>
    <row r="334" spans="1:11" hidden="1" x14ac:dyDescent="0.35">
      <c r="A334" s="1">
        <v>43370</v>
      </c>
      <c r="B334">
        <v>23.7</v>
      </c>
      <c r="C334">
        <v>19.899999999999999</v>
      </c>
      <c r="D334">
        <v>30.3</v>
      </c>
      <c r="E334">
        <v>32.299999999999997</v>
      </c>
      <c r="F334" t="str">
        <f>IF(OR(B334&lt;outliers!$B$7,B334&gt;outliers!$B$6),"Outlier","Normal")</f>
        <v>Normal</v>
      </c>
      <c r="G334" t="str">
        <f>IF(OR(C334&lt;outliers!$B$14,C334&gt;outliers!$B$13),"Outlier","Normal")</f>
        <v>Normal</v>
      </c>
      <c r="H334" t="str">
        <f>IF(OR(D334&lt;outliers!$B$21,D334&gt;outliers!$B$20),"Outlier","Normal")</f>
        <v>Normal</v>
      </c>
      <c r="I334" t="str">
        <f>IF(OR(E334&lt;outliers!$C$28,E334&gt;outliers!$B$27),"Outlier","Normal")</f>
        <v>Outlier</v>
      </c>
      <c r="J334">
        <f t="shared" si="10"/>
        <v>2018</v>
      </c>
      <c r="K334" t="str">
        <f t="shared" si="11"/>
        <v>September</v>
      </c>
    </row>
    <row r="335" spans="1:11" x14ac:dyDescent="0.35">
      <c r="A335" s="1">
        <v>43371</v>
      </c>
      <c r="B335">
        <v>25.1</v>
      </c>
      <c r="C335">
        <v>21.3</v>
      </c>
      <c r="D335">
        <v>29.5</v>
      </c>
      <c r="E335">
        <v>1.3</v>
      </c>
      <c r="F335" t="str">
        <f>IF(OR(B335&lt;outliers!$B$7,B335&gt;outliers!$B$6),"Outlier","Normal")</f>
        <v>Normal</v>
      </c>
      <c r="G335" t="str">
        <f>IF(OR(C335&lt;outliers!$B$14,C335&gt;outliers!$B$13),"Outlier","Normal")</f>
        <v>Normal</v>
      </c>
      <c r="H335" t="str">
        <f>IF(OR(D335&lt;outliers!$B$21,D335&gt;outliers!$B$20),"Outlier","Normal")</f>
        <v>Normal</v>
      </c>
      <c r="I335" t="str">
        <f>IF(OR(E335&lt;outliers!$C$28,E335&gt;outliers!$B$27),"Outlier","Normal")</f>
        <v>Normal</v>
      </c>
      <c r="J335">
        <f t="shared" si="10"/>
        <v>2018</v>
      </c>
      <c r="K335" t="str">
        <f t="shared" si="11"/>
        <v>September</v>
      </c>
    </row>
    <row r="336" spans="1:11" x14ac:dyDescent="0.35">
      <c r="A336" s="1">
        <v>43372</v>
      </c>
      <c r="B336">
        <v>25.3</v>
      </c>
      <c r="C336">
        <v>21.4</v>
      </c>
      <c r="D336">
        <v>29.9</v>
      </c>
      <c r="E336">
        <v>4.3</v>
      </c>
      <c r="F336" t="str">
        <f>IF(OR(B336&lt;outliers!$B$7,B336&gt;outliers!$B$6),"Outlier","Normal")</f>
        <v>Normal</v>
      </c>
      <c r="G336" t="str">
        <f>IF(OR(C336&lt;outliers!$B$14,C336&gt;outliers!$B$13),"Outlier","Normal")</f>
        <v>Normal</v>
      </c>
      <c r="H336" t="str">
        <f>IF(OR(D336&lt;outliers!$B$21,D336&gt;outliers!$B$20),"Outlier","Normal")</f>
        <v>Normal</v>
      </c>
      <c r="I336" t="str">
        <f>IF(OR(E336&lt;outliers!$C$28,E336&gt;outliers!$B$27),"Outlier","Normal")</f>
        <v>Normal</v>
      </c>
      <c r="J336">
        <f t="shared" si="10"/>
        <v>2018</v>
      </c>
      <c r="K336" t="str">
        <f t="shared" si="11"/>
        <v>September</v>
      </c>
    </row>
    <row r="337" spans="1:11" x14ac:dyDescent="0.35">
      <c r="A337" s="1">
        <v>43373</v>
      </c>
      <c r="B337">
        <v>25.4</v>
      </c>
      <c r="C337">
        <v>21.8</v>
      </c>
      <c r="D337">
        <v>30.2</v>
      </c>
      <c r="E337">
        <v>0</v>
      </c>
      <c r="F337" t="str">
        <f>IF(OR(B337&lt;outliers!$B$7,B337&gt;outliers!$B$6),"Outlier","Normal")</f>
        <v>Normal</v>
      </c>
      <c r="G337" t="str">
        <f>IF(OR(C337&lt;outliers!$B$14,C337&gt;outliers!$B$13),"Outlier","Normal")</f>
        <v>Normal</v>
      </c>
      <c r="H337" t="str">
        <f>IF(OR(D337&lt;outliers!$B$21,D337&gt;outliers!$B$20),"Outlier","Normal")</f>
        <v>Normal</v>
      </c>
      <c r="I337" t="str">
        <f>IF(OR(E337&lt;outliers!$C$28,E337&gt;outliers!$B$27),"Outlier","Normal")</f>
        <v>Normal</v>
      </c>
      <c r="J337">
        <f t="shared" ref="J337:J400" si="12">YEAR(A337)</f>
        <v>2018</v>
      </c>
      <c r="K337" t="str">
        <f t="shared" si="11"/>
        <v>September</v>
      </c>
    </row>
    <row r="338" spans="1:11" x14ac:dyDescent="0.35">
      <c r="A338" s="1">
        <v>43374</v>
      </c>
      <c r="B338">
        <v>25.5</v>
      </c>
      <c r="C338">
        <v>21.6</v>
      </c>
      <c r="D338">
        <v>30.9</v>
      </c>
      <c r="E338">
        <v>0.3</v>
      </c>
      <c r="F338" t="str">
        <f>IF(OR(B338&lt;outliers!$B$7,B338&gt;outliers!$B$6),"Outlier","Normal")</f>
        <v>Normal</v>
      </c>
      <c r="G338" t="str">
        <f>IF(OR(C338&lt;outliers!$B$14,C338&gt;outliers!$B$13),"Outlier","Normal")</f>
        <v>Normal</v>
      </c>
      <c r="H338" t="str">
        <f>IF(OR(D338&lt;outliers!$B$21,D338&gt;outliers!$B$20),"Outlier","Normal")</f>
        <v>Normal</v>
      </c>
      <c r="I338" t="str">
        <f>IF(OR(E338&lt;outliers!$C$28,E338&gt;outliers!$B$27),"Outlier","Normal")</f>
        <v>Normal</v>
      </c>
      <c r="J338">
        <f t="shared" si="12"/>
        <v>2018</v>
      </c>
      <c r="K338" t="str">
        <f t="shared" si="11"/>
        <v>September</v>
      </c>
    </row>
    <row r="339" spans="1:11" x14ac:dyDescent="0.35">
      <c r="A339" s="1">
        <v>43375</v>
      </c>
      <c r="B339">
        <v>24.9</v>
      </c>
      <c r="C339">
        <v>21.3</v>
      </c>
      <c r="D339">
        <v>30.3</v>
      </c>
      <c r="E339">
        <v>0</v>
      </c>
      <c r="F339" t="str">
        <f>IF(OR(B339&lt;outliers!$B$7,B339&gt;outliers!$B$6),"Outlier","Normal")</f>
        <v>Normal</v>
      </c>
      <c r="G339" t="str">
        <f>IF(OR(C339&lt;outliers!$B$14,C339&gt;outliers!$B$13),"Outlier","Normal")</f>
        <v>Normal</v>
      </c>
      <c r="H339" t="str">
        <f>IF(OR(D339&lt;outliers!$B$21,D339&gt;outliers!$B$20),"Outlier","Normal")</f>
        <v>Normal</v>
      </c>
      <c r="I339" t="str">
        <f>IF(OR(E339&lt;outliers!$C$28,E339&gt;outliers!$B$27),"Outlier","Normal")</f>
        <v>Normal</v>
      </c>
      <c r="J339">
        <f t="shared" si="12"/>
        <v>2018</v>
      </c>
      <c r="K339" t="str">
        <f t="shared" si="11"/>
        <v>October</v>
      </c>
    </row>
    <row r="340" spans="1:11" x14ac:dyDescent="0.35">
      <c r="A340" s="1">
        <v>43376</v>
      </c>
      <c r="B340">
        <v>24.1</v>
      </c>
      <c r="C340">
        <v>21.6</v>
      </c>
      <c r="D340">
        <v>30.4</v>
      </c>
      <c r="E340">
        <v>0.3</v>
      </c>
      <c r="F340" t="str">
        <f>IF(OR(B340&lt;outliers!$B$7,B340&gt;outliers!$B$6),"Outlier","Normal")</f>
        <v>Normal</v>
      </c>
      <c r="G340" t="str">
        <f>IF(OR(C340&lt;outliers!$B$14,C340&gt;outliers!$B$13),"Outlier","Normal")</f>
        <v>Normal</v>
      </c>
      <c r="H340" t="str">
        <f>IF(OR(D340&lt;outliers!$B$21,D340&gt;outliers!$B$20),"Outlier","Normal")</f>
        <v>Normal</v>
      </c>
      <c r="I340" t="str">
        <f>IF(OR(E340&lt;outliers!$C$28,E340&gt;outliers!$B$27),"Outlier","Normal")</f>
        <v>Normal</v>
      </c>
      <c r="J340">
        <f t="shared" si="12"/>
        <v>2018</v>
      </c>
      <c r="K340" t="str">
        <f t="shared" si="11"/>
        <v>October</v>
      </c>
    </row>
    <row r="341" spans="1:11" hidden="1" x14ac:dyDescent="0.35">
      <c r="A341" s="1">
        <v>43377</v>
      </c>
      <c r="B341">
        <v>21.8</v>
      </c>
      <c r="C341">
        <v>20.9</v>
      </c>
      <c r="D341">
        <v>30.6</v>
      </c>
      <c r="E341">
        <v>27.7</v>
      </c>
      <c r="F341" t="str">
        <f>IF(OR(B341&lt;outliers!$B$7,B341&gt;outliers!$B$6),"Outlier","Normal")</f>
        <v>Normal</v>
      </c>
      <c r="G341" t="str">
        <f>IF(OR(C341&lt;outliers!$B$14,C341&gt;outliers!$B$13),"Outlier","Normal")</f>
        <v>Normal</v>
      </c>
      <c r="H341" t="str">
        <f>IF(OR(D341&lt;outliers!$B$21,D341&gt;outliers!$B$20),"Outlier","Normal")</f>
        <v>Normal</v>
      </c>
      <c r="I341" t="str">
        <f>IF(OR(E341&lt;outliers!$C$28,E341&gt;outliers!$B$27),"Outlier","Normal")</f>
        <v>Outlier</v>
      </c>
      <c r="J341">
        <f t="shared" si="12"/>
        <v>2018</v>
      </c>
      <c r="K341" t="str">
        <f t="shared" si="11"/>
        <v>October</v>
      </c>
    </row>
    <row r="342" spans="1:11" x14ac:dyDescent="0.35">
      <c r="A342" s="1">
        <v>43378</v>
      </c>
      <c r="B342">
        <v>23</v>
      </c>
      <c r="C342">
        <v>20.6</v>
      </c>
      <c r="D342">
        <v>25.9</v>
      </c>
      <c r="E342">
        <v>10.199999999999999</v>
      </c>
      <c r="F342" t="str">
        <f>IF(OR(B342&lt;outliers!$B$7,B342&gt;outliers!$B$6),"Outlier","Normal")</f>
        <v>Normal</v>
      </c>
      <c r="G342" t="str">
        <f>IF(OR(C342&lt;outliers!$B$14,C342&gt;outliers!$B$13),"Outlier","Normal")</f>
        <v>Normal</v>
      </c>
      <c r="H342" t="str">
        <f>IF(OR(D342&lt;outliers!$B$21,D342&gt;outliers!$B$20),"Outlier","Normal")</f>
        <v>Normal</v>
      </c>
      <c r="I342" t="str">
        <f>IF(OR(E342&lt;outliers!$C$28,E342&gt;outliers!$B$27),"Outlier","Normal")</f>
        <v>Normal</v>
      </c>
      <c r="J342">
        <f t="shared" si="12"/>
        <v>2018</v>
      </c>
      <c r="K342" t="str">
        <f t="shared" si="11"/>
        <v>October</v>
      </c>
    </row>
    <row r="343" spans="1:11" x14ac:dyDescent="0.35">
      <c r="A343" s="1">
        <v>43379</v>
      </c>
      <c r="B343">
        <v>22.5</v>
      </c>
      <c r="C343">
        <v>20.399999999999999</v>
      </c>
      <c r="D343">
        <v>26.4</v>
      </c>
      <c r="E343">
        <v>2.5</v>
      </c>
      <c r="F343" t="str">
        <f>IF(OR(B343&lt;outliers!$B$7,B343&gt;outliers!$B$6),"Outlier","Normal")</f>
        <v>Normal</v>
      </c>
      <c r="G343" t="str">
        <f>IF(OR(C343&lt;outliers!$B$14,C343&gt;outliers!$B$13),"Outlier","Normal")</f>
        <v>Normal</v>
      </c>
      <c r="H343" t="str">
        <f>IF(OR(D343&lt;outliers!$B$21,D343&gt;outliers!$B$20),"Outlier","Normal")</f>
        <v>Normal</v>
      </c>
      <c r="I343" t="str">
        <f>IF(OR(E343&lt;outliers!$C$28,E343&gt;outliers!$B$27),"Outlier","Normal")</f>
        <v>Normal</v>
      </c>
      <c r="J343">
        <f t="shared" si="12"/>
        <v>2018</v>
      </c>
      <c r="K343" t="str">
        <f t="shared" si="11"/>
        <v>October</v>
      </c>
    </row>
    <row r="344" spans="1:11" x14ac:dyDescent="0.35">
      <c r="A344" s="1">
        <v>43380</v>
      </c>
      <c r="B344">
        <v>24.3</v>
      </c>
      <c r="C344">
        <v>20.2</v>
      </c>
      <c r="D344">
        <v>28.4</v>
      </c>
      <c r="E344">
        <v>7.9</v>
      </c>
      <c r="F344" t="str">
        <f>IF(OR(B344&lt;outliers!$B$7,B344&gt;outliers!$B$6),"Outlier","Normal")</f>
        <v>Normal</v>
      </c>
      <c r="G344" t="str">
        <f>IF(OR(C344&lt;outliers!$B$14,C344&gt;outliers!$B$13),"Outlier","Normal")</f>
        <v>Normal</v>
      </c>
      <c r="H344" t="str">
        <f>IF(OR(D344&lt;outliers!$B$21,D344&gt;outliers!$B$20),"Outlier","Normal")</f>
        <v>Normal</v>
      </c>
      <c r="I344" t="str">
        <f>IF(OR(E344&lt;outliers!$C$28,E344&gt;outliers!$B$27),"Outlier","Normal")</f>
        <v>Normal</v>
      </c>
      <c r="J344">
        <f t="shared" si="12"/>
        <v>2018</v>
      </c>
      <c r="K344" t="str">
        <f t="shared" si="11"/>
        <v>October</v>
      </c>
    </row>
    <row r="345" spans="1:11" x14ac:dyDescent="0.35">
      <c r="A345" s="1">
        <v>43381</v>
      </c>
      <c r="B345">
        <v>24.1</v>
      </c>
      <c r="C345">
        <v>20.8</v>
      </c>
      <c r="D345">
        <v>29.5</v>
      </c>
      <c r="E345">
        <v>0</v>
      </c>
      <c r="F345" t="str">
        <f>IF(OR(B345&lt;outliers!$B$7,B345&gt;outliers!$B$6),"Outlier","Normal")</f>
        <v>Normal</v>
      </c>
      <c r="G345" t="str">
        <f>IF(OR(C345&lt;outliers!$B$14,C345&gt;outliers!$B$13),"Outlier","Normal")</f>
        <v>Normal</v>
      </c>
      <c r="H345" t="str">
        <f>IF(OR(D345&lt;outliers!$B$21,D345&gt;outliers!$B$20),"Outlier","Normal")</f>
        <v>Normal</v>
      </c>
      <c r="I345" t="str">
        <f>IF(OR(E345&lt;outliers!$C$28,E345&gt;outliers!$B$27),"Outlier","Normal")</f>
        <v>Normal</v>
      </c>
      <c r="J345">
        <f t="shared" si="12"/>
        <v>2018</v>
      </c>
      <c r="K345" t="str">
        <f t="shared" si="11"/>
        <v>October</v>
      </c>
    </row>
    <row r="346" spans="1:11" x14ac:dyDescent="0.35">
      <c r="A346" s="1">
        <v>43382</v>
      </c>
      <c r="B346">
        <v>24.3</v>
      </c>
      <c r="C346">
        <v>20.6</v>
      </c>
      <c r="D346">
        <v>29.5</v>
      </c>
      <c r="E346">
        <v>4.3</v>
      </c>
      <c r="F346" t="str">
        <f>IF(OR(B346&lt;outliers!$B$7,B346&gt;outliers!$B$6),"Outlier","Normal")</f>
        <v>Normal</v>
      </c>
      <c r="G346" t="str">
        <f>IF(OR(C346&lt;outliers!$B$14,C346&gt;outliers!$B$13),"Outlier","Normal")</f>
        <v>Normal</v>
      </c>
      <c r="H346" t="str">
        <f>IF(OR(D346&lt;outliers!$B$21,D346&gt;outliers!$B$20),"Outlier","Normal")</f>
        <v>Normal</v>
      </c>
      <c r="I346" t="str">
        <f>IF(OR(E346&lt;outliers!$C$28,E346&gt;outliers!$B$27),"Outlier","Normal")</f>
        <v>Normal</v>
      </c>
      <c r="J346">
        <f t="shared" si="12"/>
        <v>2018</v>
      </c>
      <c r="K346" t="str">
        <f t="shared" si="11"/>
        <v>October</v>
      </c>
    </row>
    <row r="347" spans="1:11" x14ac:dyDescent="0.35">
      <c r="A347" s="1">
        <v>43383</v>
      </c>
      <c r="B347">
        <v>24</v>
      </c>
      <c r="C347">
        <v>19.100000000000001</v>
      </c>
      <c r="D347">
        <v>30</v>
      </c>
      <c r="E347">
        <v>0</v>
      </c>
      <c r="F347" t="str">
        <f>IF(OR(B347&lt;outliers!$B$7,B347&gt;outliers!$B$6),"Outlier","Normal")</f>
        <v>Normal</v>
      </c>
      <c r="G347" t="str">
        <f>IF(OR(C347&lt;outliers!$B$14,C347&gt;outliers!$B$13),"Outlier","Normal")</f>
        <v>Normal</v>
      </c>
      <c r="H347" t="str">
        <f>IF(OR(D347&lt;outliers!$B$21,D347&gt;outliers!$B$20),"Outlier","Normal")</f>
        <v>Normal</v>
      </c>
      <c r="I347" t="str">
        <f>IF(OR(E347&lt;outliers!$C$28,E347&gt;outliers!$B$27),"Outlier","Normal")</f>
        <v>Normal</v>
      </c>
      <c r="J347">
        <f t="shared" si="12"/>
        <v>2018</v>
      </c>
      <c r="K347" t="str">
        <f t="shared" si="11"/>
        <v>October</v>
      </c>
    </row>
    <row r="348" spans="1:11" x14ac:dyDescent="0.35">
      <c r="A348" s="1">
        <v>43388</v>
      </c>
      <c r="B348">
        <v>23.4</v>
      </c>
      <c r="C348">
        <v>20.100000000000001</v>
      </c>
      <c r="D348">
        <v>29.8</v>
      </c>
      <c r="E348">
        <v>3.8</v>
      </c>
      <c r="F348" t="str">
        <f>IF(OR(B348&lt;outliers!$B$7,B348&gt;outliers!$B$6),"Outlier","Normal")</f>
        <v>Normal</v>
      </c>
      <c r="G348" t="str">
        <f>IF(OR(C348&lt;outliers!$B$14,C348&gt;outliers!$B$13),"Outlier","Normal")</f>
        <v>Normal</v>
      </c>
      <c r="H348" t="str">
        <f>IF(OR(D348&lt;outliers!$B$21,D348&gt;outliers!$B$20),"Outlier","Normal")</f>
        <v>Normal</v>
      </c>
      <c r="I348" t="str">
        <f>IF(OR(E348&lt;outliers!$C$28,E348&gt;outliers!$B$27),"Outlier","Normal")</f>
        <v>Normal</v>
      </c>
      <c r="J348">
        <f t="shared" si="12"/>
        <v>2018</v>
      </c>
      <c r="K348" t="str">
        <f t="shared" si="11"/>
        <v>October</v>
      </c>
    </row>
    <row r="349" spans="1:11" x14ac:dyDescent="0.35">
      <c r="A349" s="1">
        <v>43389</v>
      </c>
      <c r="B349">
        <v>24.3</v>
      </c>
      <c r="C349">
        <v>20.7</v>
      </c>
      <c r="D349">
        <v>29</v>
      </c>
      <c r="E349">
        <v>5.0999999999999996</v>
      </c>
      <c r="F349" t="str">
        <f>IF(OR(B349&lt;outliers!$B$7,B349&gt;outliers!$B$6),"Outlier","Normal")</f>
        <v>Normal</v>
      </c>
      <c r="G349" t="str">
        <f>IF(OR(C349&lt;outliers!$B$14,C349&gt;outliers!$B$13),"Outlier","Normal")</f>
        <v>Normal</v>
      </c>
      <c r="H349" t="str">
        <f>IF(OR(D349&lt;outliers!$B$21,D349&gt;outliers!$B$20),"Outlier","Normal")</f>
        <v>Normal</v>
      </c>
      <c r="I349" t="str">
        <f>IF(OR(E349&lt;outliers!$C$28,E349&gt;outliers!$B$27),"Outlier","Normal")</f>
        <v>Normal</v>
      </c>
      <c r="J349">
        <f t="shared" si="12"/>
        <v>2018</v>
      </c>
      <c r="K349" t="str">
        <f t="shared" si="11"/>
        <v>October</v>
      </c>
    </row>
    <row r="350" spans="1:11" x14ac:dyDescent="0.35">
      <c r="A350" s="1">
        <v>43390</v>
      </c>
      <c r="B350">
        <v>22.4</v>
      </c>
      <c r="C350">
        <v>19.399999999999999</v>
      </c>
      <c r="D350">
        <v>29.3</v>
      </c>
      <c r="E350">
        <v>0</v>
      </c>
      <c r="F350" t="str">
        <f>IF(OR(B350&lt;outliers!$B$7,B350&gt;outliers!$B$6),"Outlier","Normal")</f>
        <v>Normal</v>
      </c>
      <c r="G350" t="str">
        <f>IF(OR(C350&lt;outliers!$B$14,C350&gt;outliers!$B$13),"Outlier","Normal")</f>
        <v>Normal</v>
      </c>
      <c r="H350" t="str">
        <f>IF(OR(D350&lt;outliers!$B$21,D350&gt;outliers!$B$20),"Outlier","Normal")</f>
        <v>Normal</v>
      </c>
      <c r="I350" t="str">
        <f>IF(OR(E350&lt;outliers!$C$28,E350&gt;outliers!$B$27),"Outlier","Normal")</f>
        <v>Normal</v>
      </c>
      <c r="J350">
        <f t="shared" si="12"/>
        <v>2018</v>
      </c>
      <c r="K350" t="str">
        <f t="shared" si="11"/>
        <v>October</v>
      </c>
    </row>
    <row r="351" spans="1:11" hidden="1" x14ac:dyDescent="0.35">
      <c r="A351" s="1">
        <v>43391</v>
      </c>
      <c r="B351">
        <v>23.1</v>
      </c>
      <c r="C351">
        <v>18.899999999999999</v>
      </c>
      <c r="D351">
        <v>28.5</v>
      </c>
      <c r="E351">
        <v>48.8</v>
      </c>
      <c r="F351" t="str">
        <f>IF(OR(B351&lt;outliers!$B$7,B351&gt;outliers!$B$6),"Outlier","Normal")</f>
        <v>Normal</v>
      </c>
      <c r="G351" t="str">
        <f>IF(OR(C351&lt;outliers!$B$14,C351&gt;outliers!$B$13),"Outlier","Normal")</f>
        <v>Normal</v>
      </c>
      <c r="H351" t="str">
        <f>IF(OR(D351&lt;outliers!$B$21,D351&gt;outliers!$B$20),"Outlier","Normal")</f>
        <v>Normal</v>
      </c>
      <c r="I351" t="str">
        <f>IF(OR(E351&lt;outliers!$C$28,E351&gt;outliers!$B$27),"Outlier","Normal")</f>
        <v>Outlier</v>
      </c>
      <c r="J351">
        <f t="shared" si="12"/>
        <v>2018</v>
      </c>
      <c r="K351" t="str">
        <f t="shared" si="11"/>
        <v>October</v>
      </c>
    </row>
    <row r="352" spans="1:11" x14ac:dyDescent="0.35">
      <c r="A352" s="1">
        <v>43392</v>
      </c>
      <c r="B352">
        <v>23.9</v>
      </c>
      <c r="C352">
        <v>20.2</v>
      </c>
      <c r="D352">
        <v>28.7</v>
      </c>
      <c r="E352">
        <v>1</v>
      </c>
      <c r="F352" t="str">
        <f>IF(OR(B352&lt;outliers!$B$7,B352&gt;outliers!$B$6),"Outlier","Normal")</f>
        <v>Normal</v>
      </c>
      <c r="G352" t="str">
        <f>IF(OR(C352&lt;outliers!$B$14,C352&gt;outliers!$B$13),"Outlier","Normal")</f>
        <v>Normal</v>
      </c>
      <c r="H352" t="str">
        <f>IF(OR(D352&lt;outliers!$B$21,D352&gt;outliers!$B$20),"Outlier","Normal")</f>
        <v>Normal</v>
      </c>
      <c r="I352" t="str">
        <f>IF(OR(E352&lt;outliers!$C$28,E352&gt;outliers!$B$27),"Outlier","Normal")</f>
        <v>Normal</v>
      </c>
      <c r="J352">
        <f t="shared" si="12"/>
        <v>2018</v>
      </c>
      <c r="K352" t="str">
        <f t="shared" si="11"/>
        <v>October</v>
      </c>
    </row>
    <row r="353" spans="1:11" x14ac:dyDescent="0.35">
      <c r="A353" s="1">
        <v>43393</v>
      </c>
      <c r="B353">
        <v>23.8</v>
      </c>
      <c r="C353">
        <v>19.7</v>
      </c>
      <c r="D353">
        <v>29.3</v>
      </c>
      <c r="E353">
        <v>0</v>
      </c>
      <c r="F353" t="str">
        <f>IF(OR(B353&lt;outliers!$B$7,B353&gt;outliers!$B$6),"Outlier","Normal")</f>
        <v>Normal</v>
      </c>
      <c r="G353" t="str">
        <f>IF(OR(C353&lt;outliers!$B$14,C353&gt;outliers!$B$13),"Outlier","Normal")</f>
        <v>Normal</v>
      </c>
      <c r="H353" t="str">
        <f>IF(OR(D353&lt;outliers!$B$21,D353&gt;outliers!$B$20),"Outlier","Normal")</f>
        <v>Normal</v>
      </c>
      <c r="I353" t="str">
        <f>IF(OR(E353&lt;outliers!$C$28,E353&gt;outliers!$B$27),"Outlier","Normal")</f>
        <v>Normal</v>
      </c>
      <c r="J353">
        <f t="shared" si="12"/>
        <v>2018</v>
      </c>
      <c r="K353" t="str">
        <f t="shared" si="11"/>
        <v>October</v>
      </c>
    </row>
    <row r="354" spans="1:11" x14ac:dyDescent="0.35">
      <c r="A354" s="1">
        <v>43407</v>
      </c>
      <c r="B354">
        <v>22.8</v>
      </c>
      <c r="C354">
        <v>19.600000000000001</v>
      </c>
      <c r="D354">
        <v>27.7</v>
      </c>
      <c r="E354">
        <v>0.5</v>
      </c>
      <c r="F354" t="str">
        <f>IF(OR(B354&lt;outliers!$B$7,B354&gt;outliers!$B$6),"Outlier","Normal")</f>
        <v>Normal</v>
      </c>
      <c r="G354" t="str">
        <f>IF(OR(C354&lt;outliers!$B$14,C354&gt;outliers!$B$13),"Outlier","Normal")</f>
        <v>Normal</v>
      </c>
      <c r="H354" t="str">
        <f>IF(OR(D354&lt;outliers!$B$21,D354&gt;outliers!$B$20),"Outlier","Normal")</f>
        <v>Normal</v>
      </c>
      <c r="I354" t="str">
        <f>IF(OR(E354&lt;outliers!$C$28,E354&gt;outliers!$B$27),"Outlier","Normal")</f>
        <v>Normal</v>
      </c>
      <c r="J354">
        <f t="shared" si="12"/>
        <v>2018</v>
      </c>
      <c r="K354" t="str">
        <f t="shared" si="11"/>
        <v>October</v>
      </c>
    </row>
    <row r="355" spans="1:11" x14ac:dyDescent="0.35">
      <c r="A355" s="1">
        <v>43408</v>
      </c>
      <c r="B355">
        <v>23.5</v>
      </c>
      <c r="C355">
        <v>18.8</v>
      </c>
      <c r="D355">
        <v>28.1</v>
      </c>
      <c r="E355">
        <v>4.5999999999999996</v>
      </c>
      <c r="F355" t="str">
        <f>IF(OR(B355&lt;outliers!$B$7,B355&gt;outliers!$B$6),"Outlier","Normal")</f>
        <v>Normal</v>
      </c>
      <c r="G355" t="str">
        <f>IF(OR(C355&lt;outliers!$B$14,C355&gt;outliers!$B$13),"Outlier","Normal")</f>
        <v>Normal</v>
      </c>
      <c r="H355" t="str">
        <f>IF(OR(D355&lt;outliers!$B$21,D355&gt;outliers!$B$20),"Outlier","Normal")</f>
        <v>Normal</v>
      </c>
      <c r="I355" t="str">
        <f>IF(OR(E355&lt;outliers!$C$28,E355&gt;outliers!$B$27),"Outlier","Normal")</f>
        <v>Normal</v>
      </c>
      <c r="J355">
        <f t="shared" si="12"/>
        <v>2018</v>
      </c>
      <c r="K355" t="str">
        <f t="shared" si="11"/>
        <v>November</v>
      </c>
    </row>
    <row r="356" spans="1:11" x14ac:dyDescent="0.35">
      <c r="A356" s="1">
        <v>43409</v>
      </c>
      <c r="B356">
        <v>23.6</v>
      </c>
      <c r="C356">
        <v>19.7</v>
      </c>
      <c r="D356">
        <v>29.2</v>
      </c>
      <c r="E356">
        <v>0</v>
      </c>
      <c r="F356" t="str">
        <f>IF(OR(B356&lt;outliers!$B$7,B356&gt;outliers!$B$6),"Outlier","Normal")</f>
        <v>Normal</v>
      </c>
      <c r="G356" t="str">
        <f>IF(OR(C356&lt;outliers!$B$14,C356&gt;outliers!$B$13),"Outlier","Normal")</f>
        <v>Normal</v>
      </c>
      <c r="H356" t="str">
        <f>IF(OR(D356&lt;outliers!$B$21,D356&gt;outliers!$B$20),"Outlier","Normal")</f>
        <v>Normal</v>
      </c>
      <c r="I356" t="str">
        <f>IF(OR(E356&lt;outliers!$C$28,E356&gt;outliers!$B$27),"Outlier","Normal")</f>
        <v>Normal</v>
      </c>
      <c r="J356">
        <f t="shared" si="12"/>
        <v>2018</v>
      </c>
      <c r="K356" t="str">
        <f t="shared" si="11"/>
        <v>November</v>
      </c>
    </row>
    <row r="357" spans="1:11" hidden="1" x14ac:dyDescent="0.35">
      <c r="A357" s="1">
        <v>43419</v>
      </c>
      <c r="B357">
        <v>23.3</v>
      </c>
      <c r="C357">
        <v>16.5</v>
      </c>
      <c r="D357">
        <v>31</v>
      </c>
      <c r="E357">
        <v>0</v>
      </c>
      <c r="F357" t="str">
        <f>IF(OR(B357&lt;outliers!$B$7,B357&gt;outliers!$B$6),"Outlier","Normal")</f>
        <v>Normal</v>
      </c>
      <c r="G357" t="str">
        <f>IF(OR(C357&lt;outliers!$B$14,C357&gt;outliers!$B$13),"Outlier","Normal")</f>
        <v>Outlier</v>
      </c>
      <c r="H357" t="str">
        <f>IF(OR(D357&lt;outliers!$B$21,D357&gt;outliers!$B$20),"Outlier","Normal")</f>
        <v>Normal</v>
      </c>
      <c r="I357" t="str">
        <f>IF(OR(E357&lt;outliers!$C$28,E357&gt;outliers!$B$27),"Outlier","Normal")</f>
        <v>Normal</v>
      </c>
      <c r="J357">
        <f t="shared" si="12"/>
        <v>2018</v>
      </c>
      <c r="K357" t="str">
        <f t="shared" si="11"/>
        <v>November</v>
      </c>
    </row>
    <row r="358" spans="1:11" x14ac:dyDescent="0.35">
      <c r="A358" s="1">
        <v>43420</v>
      </c>
      <c r="B358">
        <v>21.9</v>
      </c>
      <c r="C358">
        <v>19.7</v>
      </c>
      <c r="D358">
        <v>28.6</v>
      </c>
      <c r="E358">
        <v>0</v>
      </c>
      <c r="F358" t="str">
        <f>IF(OR(B358&lt;outliers!$B$7,B358&gt;outliers!$B$6),"Outlier","Normal")</f>
        <v>Normal</v>
      </c>
      <c r="G358" t="str">
        <f>IF(OR(C358&lt;outliers!$B$14,C358&gt;outliers!$B$13),"Outlier","Normal")</f>
        <v>Normal</v>
      </c>
      <c r="H358" t="str">
        <f>IF(OR(D358&lt;outliers!$B$21,D358&gt;outliers!$B$20),"Outlier","Normal")</f>
        <v>Normal</v>
      </c>
      <c r="I358" t="str">
        <f>IF(OR(E358&lt;outliers!$C$28,E358&gt;outliers!$B$27),"Outlier","Normal")</f>
        <v>Normal</v>
      </c>
      <c r="J358">
        <f t="shared" si="12"/>
        <v>2018</v>
      </c>
      <c r="K358" t="str">
        <f t="shared" si="11"/>
        <v>November</v>
      </c>
    </row>
    <row r="359" spans="1:11" x14ac:dyDescent="0.35">
      <c r="A359" s="1">
        <v>43421</v>
      </c>
      <c r="B359">
        <v>23.9</v>
      </c>
      <c r="C359">
        <v>19.2</v>
      </c>
      <c r="D359">
        <v>29.3</v>
      </c>
      <c r="E359">
        <v>0.3</v>
      </c>
      <c r="F359" t="str">
        <f>IF(OR(B359&lt;outliers!$B$7,B359&gt;outliers!$B$6),"Outlier","Normal")</f>
        <v>Normal</v>
      </c>
      <c r="G359" t="str">
        <f>IF(OR(C359&lt;outliers!$B$14,C359&gt;outliers!$B$13),"Outlier","Normal")</f>
        <v>Normal</v>
      </c>
      <c r="H359" t="str">
        <f>IF(OR(D359&lt;outliers!$B$21,D359&gt;outliers!$B$20),"Outlier","Normal")</f>
        <v>Normal</v>
      </c>
      <c r="I359" t="str">
        <f>IF(OR(E359&lt;outliers!$C$28,E359&gt;outliers!$B$27),"Outlier","Normal")</f>
        <v>Normal</v>
      </c>
      <c r="J359">
        <f t="shared" si="12"/>
        <v>2018</v>
      </c>
      <c r="K359" t="str">
        <f t="shared" si="11"/>
        <v>November</v>
      </c>
    </row>
    <row r="360" spans="1:11" x14ac:dyDescent="0.35">
      <c r="A360" s="1">
        <v>43422</v>
      </c>
      <c r="B360">
        <v>24.3</v>
      </c>
      <c r="C360">
        <v>20.6</v>
      </c>
      <c r="D360">
        <v>30.2</v>
      </c>
      <c r="E360">
        <v>0</v>
      </c>
      <c r="F360" t="str">
        <f>IF(OR(B360&lt;outliers!$B$7,B360&gt;outliers!$B$6),"Outlier","Normal")</f>
        <v>Normal</v>
      </c>
      <c r="G360" t="str">
        <f>IF(OR(C360&lt;outliers!$B$14,C360&gt;outliers!$B$13),"Outlier","Normal")</f>
        <v>Normal</v>
      </c>
      <c r="H360" t="str">
        <f>IF(OR(D360&lt;outliers!$B$21,D360&gt;outliers!$B$20),"Outlier","Normal")</f>
        <v>Normal</v>
      </c>
      <c r="I360" t="str">
        <f>IF(OR(E360&lt;outliers!$C$28,E360&gt;outliers!$B$27),"Outlier","Normal")</f>
        <v>Normal</v>
      </c>
      <c r="J360">
        <f t="shared" si="12"/>
        <v>2018</v>
      </c>
      <c r="K360" t="str">
        <f t="shared" si="11"/>
        <v>November</v>
      </c>
    </row>
    <row r="361" spans="1:11" x14ac:dyDescent="0.35">
      <c r="A361" s="1">
        <v>43424</v>
      </c>
      <c r="B361">
        <v>24.4</v>
      </c>
      <c r="C361">
        <v>19.7</v>
      </c>
      <c r="D361">
        <v>29.8</v>
      </c>
      <c r="E361">
        <v>0</v>
      </c>
      <c r="F361" t="str">
        <f>IF(OR(B361&lt;outliers!$B$7,B361&gt;outliers!$B$6),"Outlier","Normal")</f>
        <v>Normal</v>
      </c>
      <c r="G361" t="str">
        <f>IF(OR(C361&lt;outliers!$B$14,C361&gt;outliers!$B$13),"Outlier","Normal")</f>
        <v>Normal</v>
      </c>
      <c r="H361" t="str">
        <f>IF(OR(D361&lt;outliers!$B$21,D361&gt;outliers!$B$20),"Outlier","Normal")</f>
        <v>Normal</v>
      </c>
      <c r="I361" t="str">
        <f>IF(OR(E361&lt;outliers!$C$28,E361&gt;outliers!$B$27),"Outlier","Normal")</f>
        <v>Normal</v>
      </c>
      <c r="J361">
        <f t="shared" si="12"/>
        <v>2018</v>
      </c>
      <c r="K361" t="str">
        <f t="shared" si="11"/>
        <v>November</v>
      </c>
    </row>
    <row r="362" spans="1:11" x14ac:dyDescent="0.35">
      <c r="A362" s="1">
        <v>43426</v>
      </c>
      <c r="B362">
        <v>21.6</v>
      </c>
      <c r="C362">
        <v>19.600000000000001</v>
      </c>
      <c r="D362">
        <v>26.6</v>
      </c>
      <c r="E362">
        <v>0</v>
      </c>
      <c r="F362" t="str">
        <f>IF(OR(B362&lt;outliers!$B$7,B362&gt;outliers!$B$6),"Outlier","Normal")</f>
        <v>Normal</v>
      </c>
      <c r="G362" t="str">
        <f>IF(OR(C362&lt;outliers!$B$14,C362&gt;outliers!$B$13),"Outlier","Normal")</f>
        <v>Normal</v>
      </c>
      <c r="H362" t="str">
        <f>IF(OR(D362&lt;outliers!$B$21,D362&gt;outliers!$B$20),"Outlier","Normal")</f>
        <v>Normal</v>
      </c>
      <c r="I362" t="str">
        <f>IF(OR(E362&lt;outliers!$C$28,E362&gt;outliers!$B$27),"Outlier","Normal")</f>
        <v>Normal</v>
      </c>
      <c r="J362">
        <f t="shared" si="12"/>
        <v>2018</v>
      </c>
      <c r="K362" t="str">
        <f t="shared" si="11"/>
        <v>November</v>
      </c>
    </row>
    <row r="363" spans="1:11" x14ac:dyDescent="0.35">
      <c r="A363" s="1">
        <v>43427</v>
      </c>
      <c r="B363">
        <v>20.9</v>
      </c>
      <c r="C363">
        <v>19.600000000000001</v>
      </c>
      <c r="D363">
        <v>24.8</v>
      </c>
      <c r="E363">
        <v>0.5</v>
      </c>
      <c r="F363" t="str">
        <f>IF(OR(B363&lt;outliers!$B$7,B363&gt;outliers!$B$6),"Outlier","Normal")</f>
        <v>Normal</v>
      </c>
      <c r="G363" t="str">
        <f>IF(OR(C363&lt;outliers!$B$14,C363&gt;outliers!$B$13),"Outlier","Normal")</f>
        <v>Normal</v>
      </c>
      <c r="H363" t="str">
        <f>IF(OR(D363&lt;outliers!$B$21,D363&gt;outliers!$B$20),"Outlier","Normal")</f>
        <v>Normal</v>
      </c>
      <c r="I363" t="str">
        <f>IF(OR(E363&lt;outliers!$C$28,E363&gt;outliers!$B$27),"Outlier","Normal")</f>
        <v>Normal</v>
      </c>
      <c r="J363">
        <f t="shared" si="12"/>
        <v>2018</v>
      </c>
      <c r="K363" t="str">
        <f t="shared" si="11"/>
        <v>November</v>
      </c>
    </row>
    <row r="364" spans="1:11" hidden="1" x14ac:dyDescent="0.35">
      <c r="A364" s="1">
        <v>43428</v>
      </c>
      <c r="B364">
        <v>22.9</v>
      </c>
      <c r="C364">
        <v>19</v>
      </c>
      <c r="D364">
        <v>27.6</v>
      </c>
      <c r="E364">
        <v>13</v>
      </c>
      <c r="F364" t="str">
        <f>IF(OR(B364&lt;outliers!$B$7,B364&gt;outliers!$B$6),"Outlier","Normal")</f>
        <v>Normal</v>
      </c>
      <c r="G364" t="str">
        <f>IF(OR(C364&lt;outliers!$B$14,C364&gt;outliers!$B$13),"Outlier","Normal")</f>
        <v>Normal</v>
      </c>
      <c r="H364" t="str">
        <f>IF(OR(D364&lt;outliers!$B$21,D364&gt;outliers!$B$20),"Outlier","Normal")</f>
        <v>Normal</v>
      </c>
      <c r="I364" t="str">
        <f>IF(OR(E364&lt;outliers!$C$28,E364&gt;outliers!$B$27),"Outlier","Normal")</f>
        <v>Outlier</v>
      </c>
      <c r="J364">
        <f t="shared" si="12"/>
        <v>2018</v>
      </c>
      <c r="K364" t="str">
        <f t="shared" si="11"/>
        <v>November</v>
      </c>
    </row>
    <row r="365" spans="1:11" x14ac:dyDescent="0.35">
      <c r="A365" s="1">
        <v>43429</v>
      </c>
      <c r="B365">
        <v>22.6</v>
      </c>
      <c r="C365">
        <v>19.2</v>
      </c>
      <c r="D365">
        <v>28.5</v>
      </c>
      <c r="E365">
        <v>0</v>
      </c>
      <c r="F365" t="str">
        <f>IF(OR(B365&lt;outliers!$B$7,B365&gt;outliers!$B$6),"Outlier","Normal")</f>
        <v>Normal</v>
      </c>
      <c r="G365" t="str">
        <f>IF(OR(C365&lt;outliers!$B$14,C365&gt;outliers!$B$13),"Outlier","Normal")</f>
        <v>Normal</v>
      </c>
      <c r="H365" t="str">
        <f>IF(OR(D365&lt;outliers!$B$21,D365&gt;outliers!$B$20),"Outlier","Normal")</f>
        <v>Normal</v>
      </c>
      <c r="I365" t="str">
        <f>IF(OR(E365&lt;outliers!$C$28,E365&gt;outliers!$B$27),"Outlier","Normal")</f>
        <v>Normal</v>
      </c>
      <c r="J365">
        <f t="shared" si="12"/>
        <v>2018</v>
      </c>
      <c r="K365" t="str">
        <f t="shared" si="11"/>
        <v>November</v>
      </c>
    </row>
    <row r="366" spans="1:11" x14ac:dyDescent="0.35">
      <c r="A366" s="1">
        <v>43439</v>
      </c>
      <c r="B366">
        <v>23.2</v>
      </c>
      <c r="C366">
        <v>19.5</v>
      </c>
      <c r="D366">
        <v>28.1</v>
      </c>
      <c r="E366">
        <v>4.8</v>
      </c>
      <c r="F366" t="str">
        <f>IF(OR(B366&lt;outliers!$B$7,B366&gt;outliers!$B$6),"Outlier","Normal")</f>
        <v>Normal</v>
      </c>
      <c r="G366" t="str">
        <f>IF(OR(C366&lt;outliers!$B$14,C366&gt;outliers!$B$13),"Outlier","Normal")</f>
        <v>Normal</v>
      </c>
      <c r="H366" t="str">
        <f>IF(OR(D366&lt;outliers!$B$21,D366&gt;outliers!$B$20),"Outlier","Normal")</f>
        <v>Normal</v>
      </c>
      <c r="I366" t="str">
        <f>IF(OR(E366&lt;outliers!$C$28,E366&gt;outliers!$B$27),"Outlier","Normal")</f>
        <v>Normal</v>
      </c>
      <c r="J366">
        <f t="shared" si="12"/>
        <v>2018</v>
      </c>
      <c r="K366" t="str">
        <f t="shared" si="11"/>
        <v>November</v>
      </c>
    </row>
    <row r="367" spans="1:11" x14ac:dyDescent="0.35">
      <c r="A367" s="1">
        <v>43440</v>
      </c>
      <c r="B367">
        <v>23.5</v>
      </c>
      <c r="C367">
        <v>20</v>
      </c>
      <c r="D367">
        <v>28.3</v>
      </c>
      <c r="E367">
        <v>0</v>
      </c>
      <c r="F367" t="str">
        <f>IF(OR(B367&lt;outliers!$B$7,B367&gt;outliers!$B$6),"Outlier","Normal")</f>
        <v>Normal</v>
      </c>
      <c r="G367" t="str">
        <f>IF(OR(C367&lt;outliers!$B$14,C367&gt;outliers!$B$13),"Outlier","Normal")</f>
        <v>Normal</v>
      </c>
      <c r="H367" t="str">
        <f>IF(OR(D367&lt;outliers!$B$21,D367&gt;outliers!$B$20),"Outlier","Normal")</f>
        <v>Normal</v>
      </c>
      <c r="I367" t="str">
        <f>IF(OR(E367&lt;outliers!$C$28,E367&gt;outliers!$B$27),"Outlier","Normal")</f>
        <v>Normal</v>
      </c>
      <c r="J367">
        <f t="shared" si="12"/>
        <v>2018</v>
      </c>
      <c r="K367" t="str">
        <f t="shared" si="11"/>
        <v>December</v>
      </c>
    </row>
    <row r="368" spans="1:11" x14ac:dyDescent="0.35">
      <c r="A368" s="1">
        <v>43454</v>
      </c>
      <c r="B368">
        <v>22.2</v>
      </c>
      <c r="C368">
        <v>17.7</v>
      </c>
      <c r="D368">
        <v>27.7</v>
      </c>
      <c r="E368">
        <v>0</v>
      </c>
      <c r="F368" t="str">
        <f>IF(OR(B368&lt;outliers!$B$7,B368&gt;outliers!$B$6),"Outlier","Normal")</f>
        <v>Normal</v>
      </c>
      <c r="G368" t="str">
        <f>IF(OR(C368&lt;outliers!$B$14,C368&gt;outliers!$B$13),"Outlier","Normal")</f>
        <v>Normal</v>
      </c>
      <c r="H368" t="str">
        <f>IF(OR(D368&lt;outliers!$B$21,D368&gt;outliers!$B$20),"Outlier","Normal")</f>
        <v>Normal</v>
      </c>
      <c r="I368" t="str">
        <f>IF(OR(E368&lt;outliers!$C$28,E368&gt;outliers!$B$27),"Outlier","Normal")</f>
        <v>Normal</v>
      </c>
      <c r="J368">
        <f t="shared" si="12"/>
        <v>2018</v>
      </c>
      <c r="K368" t="str">
        <f t="shared" si="11"/>
        <v>December</v>
      </c>
    </row>
    <row r="369" spans="1:11" hidden="1" x14ac:dyDescent="0.35">
      <c r="A369" s="1">
        <v>43463</v>
      </c>
      <c r="B369">
        <v>21.8</v>
      </c>
      <c r="C369">
        <v>18.600000000000001</v>
      </c>
      <c r="D369">
        <v>27.8</v>
      </c>
      <c r="E369">
        <v>10.9</v>
      </c>
      <c r="F369" t="str">
        <f>IF(OR(B369&lt;outliers!$B$7,B369&gt;outliers!$B$6),"Outlier","Normal")</f>
        <v>Normal</v>
      </c>
      <c r="G369" t="str">
        <f>IF(OR(C369&lt;outliers!$B$14,C369&gt;outliers!$B$13),"Outlier","Normal")</f>
        <v>Normal</v>
      </c>
      <c r="H369" t="str">
        <f>IF(OR(D369&lt;outliers!$B$21,D369&gt;outliers!$B$20),"Outlier","Normal")</f>
        <v>Normal</v>
      </c>
      <c r="I369" t="str">
        <f>IF(OR(E369&lt;outliers!$C$28,E369&gt;outliers!$B$27),"Outlier","Normal")</f>
        <v>Outlier</v>
      </c>
      <c r="J369">
        <f t="shared" si="12"/>
        <v>2018</v>
      </c>
      <c r="K369" t="str">
        <f t="shared" si="11"/>
        <v>December</v>
      </c>
    </row>
    <row r="370" spans="1:11" x14ac:dyDescent="0.35">
      <c r="A370" s="1">
        <v>43464</v>
      </c>
      <c r="B370">
        <v>20.6</v>
      </c>
      <c r="C370">
        <v>17.2</v>
      </c>
      <c r="D370">
        <v>26.6</v>
      </c>
      <c r="E370">
        <v>0</v>
      </c>
      <c r="F370" t="str">
        <f>IF(OR(B370&lt;outliers!$B$7,B370&gt;outliers!$B$6),"Outlier","Normal")</f>
        <v>Normal</v>
      </c>
      <c r="G370" t="str">
        <f>IF(OR(C370&lt;outliers!$B$14,C370&gt;outliers!$B$13),"Outlier","Normal")</f>
        <v>Normal</v>
      </c>
      <c r="H370" t="str">
        <f>IF(OR(D370&lt;outliers!$B$21,D370&gt;outliers!$B$20),"Outlier","Normal")</f>
        <v>Normal</v>
      </c>
      <c r="I370" t="str">
        <f>IF(OR(E370&lt;outliers!$C$28,E370&gt;outliers!$B$27),"Outlier","Normal")</f>
        <v>Normal</v>
      </c>
      <c r="J370">
        <f t="shared" si="12"/>
        <v>2018</v>
      </c>
      <c r="K370" t="str">
        <f t="shared" si="11"/>
        <v>December</v>
      </c>
    </row>
    <row r="371" spans="1:11" x14ac:dyDescent="0.35">
      <c r="A371" s="1">
        <v>43494</v>
      </c>
      <c r="B371">
        <v>21.9</v>
      </c>
      <c r="C371">
        <v>17.7</v>
      </c>
      <c r="D371">
        <v>29.6</v>
      </c>
      <c r="E371">
        <v>0.8</v>
      </c>
      <c r="F371" t="str">
        <f>IF(OR(B371&lt;outliers!$B$7,B371&gt;outliers!$B$6),"Outlier","Normal")</f>
        <v>Normal</v>
      </c>
      <c r="G371" t="str">
        <f>IF(OR(C371&lt;outliers!$B$14,C371&gt;outliers!$B$13),"Outlier","Normal")</f>
        <v>Normal</v>
      </c>
      <c r="H371" t="str">
        <f>IF(OR(D371&lt;outliers!$B$21,D371&gt;outliers!$B$20),"Outlier","Normal")</f>
        <v>Normal</v>
      </c>
      <c r="I371" t="str">
        <f>IF(OR(E371&lt;outliers!$C$28,E371&gt;outliers!$B$27),"Outlier","Normal")</f>
        <v>Normal</v>
      </c>
      <c r="J371">
        <f t="shared" si="12"/>
        <v>2019</v>
      </c>
      <c r="K371" t="str">
        <f t="shared" si="11"/>
        <v>December</v>
      </c>
    </row>
    <row r="372" spans="1:11" x14ac:dyDescent="0.35">
      <c r="A372" s="1">
        <v>43495</v>
      </c>
      <c r="B372">
        <v>22.1</v>
      </c>
      <c r="C372">
        <v>17.2</v>
      </c>
      <c r="D372">
        <v>27.4</v>
      </c>
      <c r="E372">
        <v>0</v>
      </c>
      <c r="F372" t="str">
        <f>IF(OR(B372&lt;outliers!$B$7,B372&gt;outliers!$B$6),"Outlier","Normal")</f>
        <v>Normal</v>
      </c>
      <c r="G372" t="str">
        <f>IF(OR(C372&lt;outliers!$B$14,C372&gt;outliers!$B$13),"Outlier","Normal")</f>
        <v>Normal</v>
      </c>
      <c r="H372" t="str">
        <f>IF(OR(D372&lt;outliers!$B$21,D372&gt;outliers!$B$20),"Outlier","Normal")</f>
        <v>Normal</v>
      </c>
      <c r="I372" t="str">
        <f>IF(OR(E372&lt;outliers!$C$28,E372&gt;outliers!$B$27),"Outlier","Normal")</f>
        <v>Normal</v>
      </c>
      <c r="J372">
        <f t="shared" si="12"/>
        <v>2019</v>
      </c>
      <c r="K372" t="str">
        <f t="shared" si="11"/>
        <v>January</v>
      </c>
    </row>
    <row r="373" spans="1:11" x14ac:dyDescent="0.35">
      <c r="A373" s="1">
        <v>43529</v>
      </c>
      <c r="B373">
        <v>27.8</v>
      </c>
      <c r="C373">
        <v>23.1</v>
      </c>
      <c r="D373">
        <v>34.299999999999997</v>
      </c>
      <c r="E373">
        <v>0</v>
      </c>
      <c r="F373" t="str">
        <f>IF(OR(B373&lt;outliers!$B$7,B373&gt;outliers!$B$6),"Outlier","Normal")</f>
        <v>Normal</v>
      </c>
      <c r="G373" t="str">
        <f>IF(OR(C373&lt;outliers!$B$14,C373&gt;outliers!$B$13),"Outlier","Normal")</f>
        <v>Normal</v>
      </c>
      <c r="H373" t="str">
        <f>IF(OR(D373&lt;outliers!$B$21,D373&gt;outliers!$B$20),"Outlier","Normal")</f>
        <v>Normal</v>
      </c>
      <c r="I373" t="str">
        <f>IF(OR(E373&lt;outliers!$C$28,E373&gt;outliers!$B$27),"Outlier","Normal")</f>
        <v>Normal</v>
      </c>
      <c r="J373">
        <f t="shared" si="12"/>
        <v>2019</v>
      </c>
      <c r="K373" t="str">
        <f t="shared" si="11"/>
        <v>January</v>
      </c>
    </row>
    <row r="374" spans="1:11" x14ac:dyDescent="0.35">
      <c r="A374" s="1">
        <v>43564</v>
      </c>
      <c r="B374">
        <v>28.2</v>
      </c>
      <c r="C374">
        <v>22.8</v>
      </c>
      <c r="D374">
        <v>35.6</v>
      </c>
      <c r="E374">
        <v>7.6</v>
      </c>
      <c r="F374" t="str">
        <f>IF(OR(B374&lt;outliers!$B$7,B374&gt;outliers!$B$6),"Outlier","Normal")</f>
        <v>Normal</v>
      </c>
      <c r="G374" t="str">
        <f>IF(OR(C374&lt;outliers!$B$14,C374&gt;outliers!$B$13),"Outlier","Normal")</f>
        <v>Normal</v>
      </c>
      <c r="H374" t="str">
        <f>IF(OR(D374&lt;outliers!$B$21,D374&gt;outliers!$B$20),"Outlier","Normal")</f>
        <v>Normal</v>
      </c>
      <c r="I374" t="str">
        <f>IF(OR(E374&lt;outliers!$C$28,E374&gt;outliers!$B$27),"Outlier","Normal")</f>
        <v>Normal</v>
      </c>
      <c r="J374">
        <f t="shared" si="12"/>
        <v>2019</v>
      </c>
      <c r="K374" t="str">
        <f t="shared" si="11"/>
        <v>March</v>
      </c>
    </row>
    <row r="375" spans="1:11" hidden="1" x14ac:dyDescent="0.35">
      <c r="A375" s="1">
        <v>43573</v>
      </c>
      <c r="B375">
        <v>27.2</v>
      </c>
      <c r="C375">
        <v>21.6</v>
      </c>
      <c r="D375">
        <v>36</v>
      </c>
      <c r="E375">
        <v>16.8</v>
      </c>
      <c r="F375" t="str">
        <f>IF(OR(B375&lt;outliers!$B$7,B375&gt;outliers!$B$6),"Outlier","Normal")</f>
        <v>Normal</v>
      </c>
      <c r="G375" t="str">
        <f>IF(OR(C375&lt;outliers!$B$14,C375&gt;outliers!$B$13),"Outlier","Normal")</f>
        <v>Normal</v>
      </c>
      <c r="H375" t="str">
        <f>IF(OR(D375&lt;outliers!$B$21,D375&gt;outliers!$B$20),"Outlier","Normal")</f>
        <v>Normal</v>
      </c>
      <c r="I375" t="str">
        <f>IF(OR(E375&lt;outliers!$C$28,E375&gt;outliers!$B$27),"Outlier","Normal")</f>
        <v>Outlier</v>
      </c>
      <c r="J375">
        <f t="shared" si="12"/>
        <v>2019</v>
      </c>
      <c r="K375" t="str">
        <f t="shared" si="11"/>
        <v>April</v>
      </c>
    </row>
    <row r="376" spans="1:11" hidden="1" x14ac:dyDescent="0.35">
      <c r="A376" s="1">
        <v>43574</v>
      </c>
      <c r="B376">
        <v>27.6</v>
      </c>
      <c r="C376">
        <v>21.4</v>
      </c>
      <c r="D376">
        <v>35.6</v>
      </c>
      <c r="E376">
        <v>20.8</v>
      </c>
      <c r="F376" t="str">
        <f>IF(OR(B376&lt;outliers!$B$7,B376&gt;outliers!$B$6),"Outlier","Normal")</f>
        <v>Normal</v>
      </c>
      <c r="G376" t="str">
        <f>IF(OR(C376&lt;outliers!$B$14,C376&gt;outliers!$B$13),"Outlier","Normal")</f>
        <v>Normal</v>
      </c>
      <c r="H376" t="str">
        <f>IF(OR(D376&lt;outliers!$B$21,D376&gt;outliers!$B$20),"Outlier","Normal")</f>
        <v>Normal</v>
      </c>
      <c r="I376" t="str">
        <f>IF(OR(E376&lt;outliers!$C$28,E376&gt;outliers!$B$27),"Outlier","Normal")</f>
        <v>Outlier</v>
      </c>
      <c r="J376">
        <f t="shared" si="12"/>
        <v>2019</v>
      </c>
      <c r="K376" t="str">
        <f t="shared" si="11"/>
        <v>April</v>
      </c>
    </row>
    <row r="377" spans="1:11" x14ac:dyDescent="0.35">
      <c r="A377" s="1">
        <v>43575</v>
      </c>
      <c r="B377">
        <v>26.8</v>
      </c>
      <c r="C377">
        <v>22.4</v>
      </c>
      <c r="D377">
        <v>33.200000000000003</v>
      </c>
      <c r="E377">
        <v>0.3</v>
      </c>
      <c r="F377" t="str">
        <f>IF(OR(B377&lt;outliers!$B$7,B377&gt;outliers!$B$6),"Outlier","Normal")</f>
        <v>Normal</v>
      </c>
      <c r="G377" t="str">
        <f>IF(OR(C377&lt;outliers!$B$14,C377&gt;outliers!$B$13),"Outlier","Normal")</f>
        <v>Normal</v>
      </c>
      <c r="H377" t="str">
        <f>IF(OR(D377&lt;outliers!$B$21,D377&gt;outliers!$B$20),"Outlier","Normal")</f>
        <v>Normal</v>
      </c>
      <c r="I377" t="str">
        <f>IF(OR(E377&lt;outliers!$C$28,E377&gt;outliers!$B$27),"Outlier","Normal")</f>
        <v>Normal</v>
      </c>
      <c r="J377">
        <f t="shared" si="12"/>
        <v>2019</v>
      </c>
      <c r="K377" t="str">
        <f t="shared" si="11"/>
        <v>April</v>
      </c>
    </row>
    <row r="378" spans="1:11" x14ac:dyDescent="0.35">
      <c r="A378" s="1">
        <v>43576</v>
      </c>
      <c r="B378">
        <v>27.4</v>
      </c>
      <c r="C378">
        <v>21.6</v>
      </c>
      <c r="D378">
        <v>34.200000000000003</v>
      </c>
      <c r="E378">
        <v>0</v>
      </c>
      <c r="F378" t="str">
        <f>IF(OR(B378&lt;outliers!$B$7,B378&gt;outliers!$B$6),"Outlier","Normal")</f>
        <v>Normal</v>
      </c>
      <c r="G378" t="str">
        <f>IF(OR(C378&lt;outliers!$B$14,C378&gt;outliers!$B$13),"Outlier","Normal")</f>
        <v>Normal</v>
      </c>
      <c r="H378" t="str">
        <f>IF(OR(D378&lt;outliers!$B$21,D378&gt;outliers!$B$20),"Outlier","Normal")</f>
        <v>Normal</v>
      </c>
      <c r="I378" t="str">
        <f>IF(OR(E378&lt;outliers!$C$28,E378&gt;outliers!$B$27),"Outlier","Normal")</f>
        <v>Normal</v>
      </c>
      <c r="J378">
        <f t="shared" si="12"/>
        <v>2019</v>
      </c>
      <c r="K378" t="str">
        <f t="shared" si="11"/>
        <v>April</v>
      </c>
    </row>
    <row r="379" spans="1:11" x14ac:dyDescent="0.35">
      <c r="A379" s="1">
        <v>43578</v>
      </c>
      <c r="B379">
        <v>27.9</v>
      </c>
      <c r="C379">
        <v>23.2</v>
      </c>
      <c r="D379">
        <v>35</v>
      </c>
      <c r="E379">
        <v>0</v>
      </c>
      <c r="F379" t="str">
        <f>IF(OR(B379&lt;outliers!$B$7,B379&gt;outliers!$B$6),"Outlier","Normal")</f>
        <v>Normal</v>
      </c>
      <c r="G379" t="str">
        <f>IF(OR(C379&lt;outliers!$B$14,C379&gt;outliers!$B$13),"Outlier","Normal")</f>
        <v>Normal</v>
      </c>
      <c r="H379" t="str">
        <f>IF(OR(D379&lt;outliers!$B$21,D379&gt;outliers!$B$20),"Outlier","Normal")</f>
        <v>Normal</v>
      </c>
      <c r="I379" t="str">
        <f>IF(OR(E379&lt;outliers!$C$28,E379&gt;outliers!$B$27),"Outlier","Normal")</f>
        <v>Normal</v>
      </c>
      <c r="J379">
        <f t="shared" si="12"/>
        <v>2019</v>
      </c>
      <c r="K379" t="str">
        <f t="shared" si="11"/>
        <v>April</v>
      </c>
    </row>
    <row r="380" spans="1:11" hidden="1" x14ac:dyDescent="0.35">
      <c r="A380" s="1">
        <v>43585</v>
      </c>
      <c r="B380">
        <v>24.2</v>
      </c>
      <c r="C380">
        <v>19.899999999999999</v>
      </c>
      <c r="D380">
        <v>35</v>
      </c>
      <c r="E380">
        <v>35.1</v>
      </c>
      <c r="F380" t="str">
        <f>IF(OR(B380&lt;outliers!$B$7,B380&gt;outliers!$B$6),"Outlier","Normal")</f>
        <v>Normal</v>
      </c>
      <c r="G380" t="str">
        <f>IF(OR(C380&lt;outliers!$B$14,C380&gt;outliers!$B$13),"Outlier","Normal")</f>
        <v>Normal</v>
      </c>
      <c r="H380" t="str">
        <f>IF(OR(D380&lt;outliers!$B$21,D380&gt;outliers!$B$20),"Outlier","Normal")</f>
        <v>Normal</v>
      </c>
      <c r="I380" t="str">
        <f>IF(OR(E380&lt;outliers!$C$28,E380&gt;outliers!$B$27),"Outlier","Normal")</f>
        <v>Outlier</v>
      </c>
      <c r="J380">
        <f t="shared" si="12"/>
        <v>2019</v>
      </c>
      <c r="K380" t="str">
        <f t="shared" si="11"/>
        <v>April</v>
      </c>
    </row>
    <row r="381" spans="1:11" x14ac:dyDescent="0.35">
      <c r="A381" s="1">
        <v>43586</v>
      </c>
      <c r="B381">
        <v>26.3</v>
      </c>
      <c r="C381">
        <v>20.9</v>
      </c>
      <c r="D381">
        <v>28.9</v>
      </c>
      <c r="E381">
        <v>0</v>
      </c>
      <c r="F381" t="str">
        <f>IF(OR(B381&lt;outliers!$B$7,B381&gt;outliers!$B$6),"Outlier","Normal")</f>
        <v>Normal</v>
      </c>
      <c r="G381" t="str">
        <f>IF(OR(C381&lt;outliers!$B$14,C381&gt;outliers!$B$13),"Outlier","Normal")</f>
        <v>Normal</v>
      </c>
      <c r="H381" t="str">
        <f>IF(OR(D381&lt;outliers!$B$21,D381&gt;outliers!$B$20),"Outlier","Normal")</f>
        <v>Normal</v>
      </c>
      <c r="I381" t="str">
        <f>IF(OR(E381&lt;outliers!$C$28,E381&gt;outliers!$B$27),"Outlier","Normal")</f>
        <v>Normal</v>
      </c>
      <c r="J381">
        <f t="shared" si="12"/>
        <v>2019</v>
      </c>
      <c r="K381" t="str">
        <f t="shared" si="11"/>
        <v>April</v>
      </c>
    </row>
    <row r="382" spans="1:11" x14ac:dyDescent="0.35">
      <c r="A382" s="1">
        <v>43592</v>
      </c>
      <c r="B382">
        <v>25.5</v>
      </c>
      <c r="C382">
        <v>21.9</v>
      </c>
      <c r="D382">
        <v>36.200000000000003</v>
      </c>
      <c r="E382">
        <v>0</v>
      </c>
      <c r="F382" t="str">
        <f>IF(OR(B382&lt;outliers!$B$7,B382&gt;outliers!$B$6),"Outlier","Normal")</f>
        <v>Normal</v>
      </c>
      <c r="G382" t="str">
        <f>IF(OR(C382&lt;outliers!$B$14,C382&gt;outliers!$B$13),"Outlier","Normal")</f>
        <v>Normal</v>
      </c>
      <c r="H382" t="str">
        <f>IF(OR(D382&lt;outliers!$B$21,D382&gt;outliers!$B$20),"Outlier","Normal")</f>
        <v>Normal</v>
      </c>
      <c r="I382" t="str">
        <f>IF(OR(E382&lt;outliers!$C$28,E382&gt;outliers!$B$27),"Outlier","Normal")</f>
        <v>Normal</v>
      </c>
      <c r="J382">
        <f t="shared" si="12"/>
        <v>2019</v>
      </c>
      <c r="K382" t="str">
        <f t="shared" si="11"/>
        <v>May</v>
      </c>
    </row>
    <row r="383" spans="1:11" hidden="1" x14ac:dyDescent="0.35">
      <c r="A383" s="1">
        <v>43593</v>
      </c>
      <c r="B383">
        <v>26.7</v>
      </c>
      <c r="C383">
        <v>20.6</v>
      </c>
      <c r="D383">
        <v>33.6</v>
      </c>
      <c r="E383">
        <v>15</v>
      </c>
      <c r="F383" t="str">
        <f>IF(OR(B383&lt;outliers!$B$7,B383&gt;outliers!$B$6),"Outlier","Normal")</f>
        <v>Normal</v>
      </c>
      <c r="G383" t="str">
        <f>IF(OR(C383&lt;outliers!$B$14,C383&gt;outliers!$B$13),"Outlier","Normal")</f>
        <v>Normal</v>
      </c>
      <c r="H383" t="str">
        <f>IF(OR(D383&lt;outliers!$B$21,D383&gt;outliers!$B$20),"Outlier","Normal")</f>
        <v>Normal</v>
      </c>
      <c r="I383" t="str">
        <f>IF(OR(E383&lt;outliers!$C$28,E383&gt;outliers!$B$27),"Outlier","Normal")</f>
        <v>Outlier</v>
      </c>
      <c r="J383">
        <f t="shared" si="12"/>
        <v>2019</v>
      </c>
      <c r="K383" t="str">
        <f t="shared" si="11"/>
        <v>May</v>
      </c>
    </row>
    <row r="384" spans="1:11" x14ac:dyDescent="0.35">
      <c r="A384" s="1">
        <v>43594</v>
      </c>
      <c r="B384">
        <v>27.9</v>
      </c>
      <c r="C384">
        <v>20.8</v>
      </c>
      <c r="D384">
        <v>33.1</v>
      </c>
      <c r="E384">
        <v>0</v>
      </c>
      <c r="F384" t="str">
        <f>IF(OR(B384&lt;outliers!$B$7,B384&gt;outliers!$B$6),"Outlier","Normal")</f>
        <v>Normal</v>
      </c>
      <c r="G384" t="str">
        <f>IF(OR(C384&lt;outliers!$B$14,C384&gt;outliers!$B$13),"Outlier","Normal")</f>
        <v>Normal</v>
      </c>
      <c r="H384" t="str">
        <f>IF(OR(D384&lt;outliers!$B$21,D384&gt;outliers!$B$20),"Outlier","Normal")</f>
        <v>Normal</v>
      </c>
      <c r="I384" t="str">
        <f>IF(OR(E384&lt;outliers!$C$28,E384&gt;outliers!$B$27),"Outlier","Normal")</f>
        <v>Normal</v>
      </c>
      <c r="J384">
        <f t="shared" si="12"/>
        <v>2019</v>
      </c>
      <c r="K384" t="str">
        <f t="shared" si="11"/>
        <v>May</v>
      </c>
    </row>
    <row r="385" spans="1:11" hidden="1" x14ac:dyDescent="0.35">
      <c r="A385" s="1">
        <v>43597</v>
      </c>
      <c r="B385">
        <v>27.8</v>
      </c>
      <c r="C385">
        <v>24.4</v>
      </c>
      <c r="D385">
        <v>35.200000000000003</v>
      </c>
      <c r="E385">
        <v>7.9</v>
      </c>
      <c r="F385" t="str">
        <f>IF(OR(B385&lt;outliers!$B$7,B385&gt;outliers!$B$6),"Outlier","Normal")</f>
        <v>Normal</v>
      </c>
      <c r="G385" t="str">
        <f>IF(OR(C385&lt;outliers!$B$14,C385&gt;outliers!$B$13),"Outlier","Normal")</f>
        <v>Outlier</v>
      </c>
      <c r="H385" t="str">
        <f>IF(OR(D385&lt;outliers!$B$21,D385&gt;outliers!$B$20),"Outlier","Normal")</f>
        <v>Normal</v>
      </c>
      <c r="I385" t="str">
        <f>IF(OR(E385&lt;outliers!$C$28,E385&gt;outliers!$B$27),"Outlier","Normal")</f>
        <v>Normal</v>
      </c>
      <c r="J385">
        <f t="shared" si="12"/>
        <v>2019</v>
      </c>
      <c r="K385" t="str">
        <f t="shared" si="11"/>
        <v>May</v>
      </c>
    </row>
    <row r="386" spans="1:11" x14ac:dyDescent="0.35">
      <c r="A386" s="1">
        <v>43598</v>
      </c>
      <c r="B386">
        <v>26.7</v>
      </c>
      <c r="C386">
        <v>21.7</v>
      </c>
      <c r="D386">
        <v>35</v>
      </c>
      <c r="E386">
        <v>0</v>
      </c>
      <c r="F386" t="str">
        <f>IF(OR(B386&lt;outliers!$B$7,B386&gt;outliers!$B$6),"Outlier","Normal")</f>
        <v>Normal</v>
      </c>
      <c r="G386" t="str">
        <f>IF(OR(C386&lt;outliers!$B$14,C386&gt;outliers!$B$13),"Outlier","Normal")</f>
        <v>Normal</v>
      </c>
      <c r="H386" t="str">
        <f>IF(OR(D386&lt;outliers!$B$21,D386&gt;outliers!$B$20),"Outlier","Normal")</f>
        <v>Normal</v>
      </c>
      <c r="I386" t="str">
        <f>IF(OR(E386&lt;outliers!$C$28,E386&gt;outliers!$B$27),"Outlier","Normal")</f>
        <v>Normal</v>
      </c>
      <c r="J386">
        <f t="shared" si="12"/>
        <v>2019</v>
      </c>
      <c r="K386" t="str">
        <f t="shared" ref="K386:K449" si="13">TEXT(A385,"mmmm")</f>
        <v>May</v>
      </c>
    </row>
    <row r="387" spans="1:11" x14ac:dyDescent="0.35">
      <c r="A387" s="1">
        <v>43599</v>
      </c>
      <c r="B387">
        <v>27.9</v>
      </c>
      <c r="C387">
        <v>21.8</v>
      </c>
      <c r="D387">
        <v>35</v>
      </c>
      <c r="E387">
        <v>0</v>
      </c>
      <c r="F387" t="str">
        <f>IF(OR(B387&lt;outliers!$B$7,B387&gt;outliers!$B$6),"Outlier","Normal")</f>
        <v>Normal</v>
      </c>
      <c r="G387" t="str">
        <f>IF(OR(C387&lt;outliers!$B$14,C387&gt;outliers!$B$13),"Outlier","Normal")</f>
        <v>Normal</v>
      </c>
      <c r="H387" t="str">
        <f>IF(OR(D387&lt;outliers!$B$21,D387&gt;outliers!$B$20),"Outlier","Normal")</f>
        <v>Normal</v>
      </c>
      <c r="I387" t="str">
        <f>IF(OR(E387&lt;outliers!$C$28,E387&gt;outliers!$B$27),"Outlier","Normal")</f>
        <v>Normal</v>
      </c>
      <c r="J387">
        <f t="shared" si="12"/>
        <v>2019</v>
      </c>
      <c r="K387" t="str">
        <f t="shared" si="13"/>
        <v>May</v>
      </c>
    </row>
    <row r="388" spans="1:11" x14ac:dyDescent="0.35">
      <c r="A388" s="1">
        <v>43600</v>
      </c>
      <c r="B388">
        <v>25.6</v>
      </c>
      <c r="C388">
        <v>22.2</v>
      </c>
      <c r="D388">
        <v>34.799999999999997</v>
      </c>
      <c r="E388">
        <v>0</v>
      </c>
      <c r="F388" t="str">
        <f>IF(OR(B388&lt;outliers!$B$7,B388&gt;outliers!$B$6),"Outlier","Normal")</f>
        <v>Normal</v>
      </c>
      <c r="G388" t="str">
        <f>IF(OR(C388&lt;outliers!$B$14,C388&gt;outliers!$B$13),"Outlier","Normal")</f>
        <v>Normal</v>
      </c>
      <c r="H388" t="str">
        <f>IF(OR(D388&lt;outliers!$B$21,D388&gt;outliers!$B$20),"Outlier","Normal")</f>
        <v>Normal</v>
      </c>
      <c r="I388" t="str">
        <f>IF(OR(E388&lt;outliers!$C$28,E388&gt;outliers!$B$27),"Outlier","Normal")</f>
        <v>Normal</v>
      </c>
      <c r="J388">
        <f t="shared" si="12"/>
        <v>2019</v>
      </c>
      <c r="K388" t="str">
        <f t="shared" si="13"/>
        <v>May</v>
      </c>
    </row>
    <row r="389" spans="1:11" x14ac:dyDescent="0.35">
      <c r="A389" s="1">
        <v>43602</v>
      </c>
      <c r="B389">
        <v>24</v>
      </c>
      <c r="C389">
        <v>21.4</v>
      </c>
      <c r="D389">
        <v>33.6</v>
      </c>
      <c r="E389">
        <v>9.9</v>
      </c>
      <c r="F389" t="str">
        <f>IF(OR(B389&lt;outliers!$B$7,B389&gt;outliers!$B$6),"Outlier","Normal")</f>
        <v>Normal</v>
      </c>
      <c r="G389" t="str">
        <f>IF(OR(C389&lt;outliers!$B$14,C389&gt;outliers!$B$13),"Outlier","Normal")</f>
        <v>Normal</v>
      </c>
      <c r="H389" t="str">
        <f>IF(OR(D389&lt;outliers!$B$21,D389&gt;outliers!$B$20),"Outlier","Normal")</f>
        <v>Normal</v>
      </c>
      <c r="I389" t="str">
        <f>IF(OR(E389&lt;outliers!$C$28,E389&gt;outliers!$B$27),"Outlier","Normal")</f>
        <v>Normal</v>
      </c>
      <c r="J389">
        <f t="shared" si="12"/>
        <v>2019</v>
      </c>
      <c r="K389" t="str">
        <f t="shared" si="13"/>
        <v>May</v>
      </c>
    </row>
    <row r="390" spans="1:11" hidden="1" x14ac:dyDescent="0.35">
      <c r="A390" s="1">
        <v>43603</v>
      </c>
      <c r="B390">
        <v>27.7</v>
      </c>
      <c r="C390">
        <v>21.4</v>
      </c>
      <c r="D390">
        <v>33.6</v>
      </c>
      <c r="E390">
        <v>18.8</v>
      </c>
      <c r="F390" t="str">
        <f>IF(OR(B390&lt;outliers!$B$7,B390&gt;outliers!$B$6),"Outlier","Normal")</f>
        <v>Normal</v>
      </c>
      <c r="G390" t="str">
        <f>IF(OR(C390&lt;outliers!$B$14,C390&gt;outliers!$B$13),"Outlier","Normal")</f>
        <v>Normal</v>
      </c>
      <c r="H390" t="str">
        <f>IF(OR(D390&lt;outliers!$B$21,D390&gt;outliers!$B$20),"Outlier","Normal")</f>
        <v>Normal</v>
      </c>
      <c r="I390" t="str">
        <f>IF(OR(E390&lt;outliers!$C$28,E390&gt;outliers!$B$27),"Outlier","Normal")</f>
        <v>Outlier</v>
      </c>
      <c r="J390">
        <f t="shared" si="12"/>
        <v>2019</v>
      </c>
      <c r="K390" t="str">
        <f t="shared" si="13"/>
        <v>May</v>
      </c>
    </row>
    <row r="391" spans="1:11" hidden="1" x14ac:dyDescent="0.35">
      <c r="A391" s="1">
        <v>43604</v>
      </c>
      <c r="B391">
        <v>28.2</v>
      </c>
      <c r="C391">
        <v>23.8</v>
      </c>
      <c r="D391">
        <v>34</v>
      </c>
      <c r="E391">
        <v>0</v>
      </c>
      <c r="F391" t="str">
        <f>IF(OR(B391&lt;outliers!$B$7,B391&gt;outliers!$B$6),"Outlier","Normal")</f>
        <v>Normal</v>
      </c>
      <c r="G391" t="str">
        <f>IF(OR(C391&lt;outliers!$B$14,C391&gt;outliers!$B$13),"Outlier","Normal")</f>
        <v>Outlier</v>
      </c>
      <c r="H391" t="str">
        <f>IF(OR(D391&lt;outliers!$B$21,D391&gt;outliers!$B$20),"Outlier","Normal")</f>
        <v>Normal</v>
      </c>
      <c r="I391" t="str">
        <f>IF(OR(E391&lt;outliers!$C$28,E391&gt;outliers!$B$27),"Outlier","Normal")</f>
        <v>Normal</v>
      </c>
      <c r="J391">
        <f t="shared" si="12"/>
        <v>2019</v>
      </c>
      <c r="K391" t="str">
        <f t="shared" si="13"/>
        <v>May</v>
      </c>
    </row>
    <row r="392" spans="1:11" hidden="1" x14ac:dyDescent="0.35">
      <c r="A392" s="1">
        <v>43608</v>
      </c>
      <c r="B392">
        <v>26.5</v>
      </c>
      <c r="C392">
        <v>22.6</v>
      </c>
      <c r="D392">
        <v>34.6</v>
      </c>
      <c r="E392">
        <v>15</v>
      </c>
      <c r="F392" t="str">
        <f>IF(OR(B392&lt;outliers!$B$7,B392&gt;outliers!$B$6),"Outlier","Normal")</f>
        <v>Normal</v>
      </c>
      <c r="G392" t="str">
        <f>IF(OR(C392&lt;outliers!$B$14,C392&gt;outliers!$B$13),"Outlier","Normal")</f>
        <v>Normal</v>
      </c>
      <c r="H392" t="str">
        <f>IF(OR(D392&lt;outliers!$B$21,D392&gt;outliers!$B$20),"Outlier","Normal")</f>
        <v>Normal</v>
      </c>
      <c r="I392" t="str">
        <f>IF(OR(E392&lt;outliers!$C$28,E392&gt;outliers!$B$27),"Outlier","Normal")</f>
        <v>Outlier</v>
      </c>
      <c r="J392">
        <f t="shared" si="12"/>
        <v>2019</v>
      </c>
      <c r="K392" t="str">
        <f t="shared" si="13"/>
        <v>May</v>
      </c>
    </row>
    <row r="393" spans="1:11" x14ac:dyDescent="0.35">
      <c r="A393" s="1">
        <v>43609</v>
      </c>
      <c r="B393">
        <v>26.1</v>
      </c>
      <c r="C393">
        <v>22.4</v>
      </c>
      <c r="D393">
        <v>34</v>
      </c>
      <c r="E393">
        <v>3.8</v>
      </c>
      <c r="F393" t="str">
        <f>IF(OR(B393&lt;outliers!$B$7,B393&gt;outliers!$B$6),"Outlier","Normal")</f>
        <v>Normal</v>
      </c>
      <c r="G393" t="str">
        <f>IF(OR(C393&lt;outliers!$B$14,C393&gt;outliers!$B$13),"Outlier","Normal")</f>
        <v>Normal</v>
      </c>
      <c r="H393" t="str">
        <f>IF(OR(D393&lt;outliers!$B$21,D393&gt;outliers!$B$20),"Outlier","Normal")</f>
        <v>Normal</v>
      </c>
      <c r="I393" t="str">
        <f>IF(OR(E393&lt;outliers!$C$28,E393&gt;outliers!$B$27),"Outlier","Normal")</f>
        <v>Normal</v>
      </c>
      <c r="J393">
        <f t="shared" si="12"/>
        <v>2019</v>
      </c>
      <c r="K393" t="str">
        <f t="shared" si="13"/>
        <v>May</v>
      </c>
    </row>
    <row r="394" spans="1:11" x14ac:dyDescent="0.35">
      <c r="A394" s="1">
        <v>43610</v>
      </c>
      <c r="B394">
        <v>24.8</v>
      </c>
      <c r="C394">
        <v>21</v>
      </c>
      <c r="D394">
        <v>33.5</v>
      </c>
      <c r="E394">
        <v>0</v>
      </c>
      <c r="F394" t="str">
        <f>IF(OR(B394&lt;outliers!$B$7,B394&gt;outliers!$B$6),"Outlier","Normal")</f>
        <v>Normal</v>
      </c>
      <c r="G394" t="str">
        <f>IF(OR(C394&lt;outliers!$B$14,C394&gt;outliers!$B$13),"Outlier","Normal")</f>
        <v>Normal</v>
      </c>
      <c r="H394" t="str">
        <f>IF(OR(D394&lt;outliers!$B$21,D394&gt;outliers!$B$20),"Outlier","Normal")</f>
        <v>Normal</v>
      </c>
      <c r="I394" t="str">
        <f>IF(OR(E394&lt;outliers!$C$28,E394&gt;outliers!$B$27),"Outlier","Normal")</f>
        <v>Normal</v>
      </c>
      <c r="J394">
        <f t="shared" si="12"/>
        <v>2019</v>
      </c>
      <c r="K394" t="str">
        <f t="shared" si="13"/>
        <v>May</v>
      </c>
    </row>
    <row r="395" spans="1:11" hidden="1" x14ac:dyDescent="0.35">
      <c r="A395" s="1">
        <v>43612</v>
      </c>
      <c r="B395">
        <v>27.7</v>
      </c>
      <c r="C395">
        <v>20</v>
      </c>
      <c r="D395">
        <v>33.799999999999997</v>
      </c>
      <c r="E395">
        <v>37.299999999999997</v>
      </c>
      <c r="F395" t="str">
        <f>IF(OR(B395&lt;outliers!$B$7,B395&gt;outliers!$B$6),"Outlier","Normal")</f>
        <v>Normal</v>
      </c>
      <c r="G395" t="str">
        <f>IF(OR(C395&lt;outliers!$B$14,C395&gt;outliers!$B$13),"Outlier","Normal")</f>
        <v>Normal</v>
      </c>
      <c r="H395" t="str">
        <f>IF(OR(D395&lt;outliers!$B$21,D395&gt;outliers!$B$20),"Outlier","Normal")</f>
        <v>Normal</v>
      </c>
      <c r="I395" t="str">
        <f>IF(OR(E395&lt;outliers!$C$28,E395&gt;outliers!$B$27),"Outlier","Normal")</f>
        <v>Outlier</v>
      </c>
      <c r="J395">
        <f t="shared" si="12"/>
        <v>2019</v>
      </c>
      <c r="K395" t="str">
        <f t="shared" si="13"/>
        <v>May</v>
      </c>
    </row>
    <row r="396" spans="1:11" hidden="1" x14ac:dyDescent="0.35">
      <c r="A396" s="1">
        <v>43613</v>
      </c>
      <c r="B396">
        <v>27.5</v>
      </c>
      <c r="C396">
        <v>24.7</v>
      </c>
      <c r="D396">
        <v>34.200000000000003</v>
      </c>
      <c r="E396">
        <v>0</v>
      </c>
      <c r="F396" t="str">
        <f>IF(OR(B396&lt;outliers!$B$7,B396&gt;outliers!$B$6),"Outlier","Normal")</f>
        <v>Normal</v>
      </c>
      <c r="G396" t="str">
        <f>IF(OR(C396&lt;outliers!$B$14,C396&gt;outliers!$B$13),"Outlier","Normal")</f>
        <v>Outlier</v>
      </c>
      <c r="H396" t="str">
        <f>IF(OR(D396&lt;outliers!$B$21,D396&gt;outliers!$B$20),"Outlier","Normal")</f>
        <v>Normal</v>
      </c>
      <c r="I396" t="str">
        <f>IF(OR(E396&lt;outliers!$C$28,E396&gt;outliers!$B$27),"Outlier","Normal")</f>
        <v>Normal</v>
      </c>
      <c r="J396">
        <f t="shared" si="12"/>
        <v>2019</v>
      </c>
      <c r="K396" t="str">
        <f t="shared" si="13"/>
        <v>May</v>
      </c>
    </row>
    <row r="397" spans="1:11" x14ac:dyDescent="0.35">
      <c r="A397" s="1">
        <v>43614</v>
      </c>
      <c r="B397">
        <v>27.9</v>
      </c>
      <c r="C397">
        <v>23</v>
      </c>
      <c r="D397">
        <v>33.6</v>
      </c>
      <c r="E397">
        <v>0.3</v>
      </c>
      <c r="F397" t="str">
        <f>IF(OR(B397&lt;outliers!$B$7,B397&gt;outliers!$B$6),"Outlier","Normal")</f>
        <v>Normal</v>
      </c>
      <c r="G397" t="str">
        <f>IF(OR(C397&lt;outliers!$B$14,C397&gt;outliers!$B$13),"Outlier","Normal")</f>
        <v>Normal</v>
      </c>
      <c r="H397" t="str">
        <f>IF(OR(D397&lt;outliers!$B$21,D397&gt;outliers!$B$20),"Outlier","Normal")</f>
        <v>Normal</v>
      </c>
      <c r="I397" t="str">
        <f>IF(OR(E397&lt;outliers!$C$28,E397&gt;outliers!$B$27),"Outlier","Normal")</f>
        <v>Normal</v>
      </c>
      <c r="J397">
        <f t="shared" si="12"/>
        <v>2019</v>
      </c>
      <c r="K397" t="str">
        <f t="shared" si="13"/>
        <v>May</v>
      </c>
    </row>
    <row r="398" spans="1:11" x14ac:dyDescent="0.35">
      <c r="A398" s="1">
        <v>43615</v>
      </c>
      <c r="B398">
        <v>27.8</v>
      </c>
      <c r="C398">
        <v>23</v>
      </c>
      <c r="D398">
        <v>34</v>
      </c>
      <c r="E398">
        <v>0</v>
      </c>
      <c r="F398" t="str">
        <f>IF(OR(B398&lt;outliers!$B$7,B398&gt;outliers!$B$6),"Outlier","Normal")</f>
        <v>Normal</v>
      </c>
      <c r="G398" t="str">
        <f>IF(OR(C398&lt;outliers!$B$14,C398&gt;outliers!$B$13),"Outlier","Normal")</f>
        <v>Normal</v>
      </c>
      <c r="H398" t="str">
        <f>IF(OR(D398&lt;outliers!$B$21,D398&gt;outliers!$B$20),"Outlier","Normal")</f>
        <v>Normal</v>
      </c>
      <c r="I398" t="str">
        <f>IF(OR(E398&lt;outliers!$C$28,E398&gt;outliers!$B$27),"Outlier","Normal")</f>
        <v>Normal</v>
      </c>
      <c r="J398">
        <f t="shared" si="12"/>
        <v>2019</v>
      </c>
      <c r="K398" t="str">
        <f t="shared" si="13"/>
        <v>May</v>
      </c>
    </row>
    <row r="399" spans="1:11" x14ac:dyDescent="0.35">
      <c r="A399" s="1">
        <v>43617</v>
      </c>
      <c r="B399">
        <v>27.5</v>
      </c>
      <c r="C399">
        <v>21</v>
      </c>
      <c r="D399">
        <v>33.200000000000003</v>
      </c>
      <c r="E399">
        <v>1.5</v>
      </c>
      <c r="F399" t="str">
        <f>IF(OR(B399&lt;outliers!$B$7,B399&gt;outliers!$B$6),"Outlier","Normal")</f>
        <v>Normal</v>
      </c>
      <c r="G399" t="str">
        <f>IF(OR(C399&lt;outliers!$B$14,C399&gt;outliers!$B$13),"Outlier","Normal")</f>
        <v>Normal</v>
      </c>
      <c r="H399" t="str">
        <f>IF(OR(D399&lt;outliers!$B$21,D399&gt;outliers!$B$20),"Outlier","Normal")</f>
        <v>Normal</v>
      </c>
      <c r="I399" t="str">
        <f>IF(OR(E399&lt;outliers!$C$28,E399&gt;outliers!$B$27),"Outlier","Normal")</f>
        <v>Normal</v>
      </c>
      <c r="J399">
        <f t="shared" si="12"/>
        <v>2019</v>
      </c>
      <c r="K399" t="str">
        <f t="shared" si="13"/>
        <v>May</v>
      </c>
    </row>
    <row r="400" spans="1:11" x14ac:dyDescent="0.35">
      <c r="A400" s="1">
        <v>43618</v>
      </c>
      <c r="B400">
        <v>26.2</v>
      </c>
      <c r="C400">
        <v>21.8</v>
      </c>
      <c r="D400">
        <v>33.200000000000003</v>
      </c>
      <c r="E400">
        <v>0</v>
      </c>
      <c r="F400" t="str">
        <f>IF(OR(B400&lt;outliers!$B$7,B400&gt;outliers!$B$6),"Outlier","Normal")</f>
        <v>Normal</v>
      </c>
      <c r="G400" t="str">
        <f>IF(OR(C400&lt;outliers!$B$14,C400&gt;outliers!$B$13),"Outlier","Normal")</f>
        <v>Normal</v>
      </c>
      <c r="H400" t="str">
        <f>IF(OR(D400&lt;outliers!$B$21,D400&gt;outliers!$B$20),"Outlier","Normal")</f>
        <v>Normal</v>
      </c>
      <c r="I400" t="str">
        <f>IF(OR(E400&lt;outliers!$C$28,E400&gt;outliers!$B$27),"Outlier","Normal")</f>
        <v>Normal</v>
      </c>
      <c r="J400">
        <f t="shared" si="12"/>
        <v>2019</v>
      </c>
      <c r="K400" t="str">
        <f t="shared" si="13"/>
        <v>June</v>
      </c>
    </row>
    <row r="401" spans="1:11" x14ac:dyDescent="0.35">
      <c r="A401" s="1">
        <v>43619</v>
      </c>
      <c r="B401">
        <v>25.5</v>
      </c>
      <c r="C401">
        <v>21.2</v>
      </c>
      <c r="D401">
        <v>32.1</v>
      </c>
      <c r="E401">
        <v>8.4</v>
      </c>
      <c r="F401" t="str">
        <f>IF(OR(B401&lt;outliers!$B$7,B401&gt;outliers!$B$6),"Outlier","Normal")</f>
        <v>Normal</v>
      </c>
      <c r="G401" t="str">
        <f>IF(OR(C401&lt;outliers!$B$14,C401&gt;outliers!$B$13),"Outlier","Normal")</f>
        <v>Normal</v>
      </c>
      <c r="H401" t="str">
        <f>IF(OR(D401&lt;outliers!$B$21,D401&gt;outliers!$B$20),"Outlier","Normal")</f>
        <v>Normal</v>
      </c>
      <c r="I401" t="str">
        <f>IF(OR(E401&lt;outliers!$C$28,E401&gt;outliers!$B$27),"Outlier","Normal")</f>
        <v>Normal</v>
      </c>
      <c r="J401">
        <f t="shared" ref="J401:J464" si="14">YEAR(A401)</f>
        <v>2019</v>
      </c>
      <c r="K401" t="str">
        <f t="shared" si="13"/>
        <v>June</v>
      </c>
    </row>
    <row r="402" spans="1:11" x14ac:dyDescent="0.35">
      <c r="A402" s="1">
        <v>43620</v>
      </c>
      <c r="B402">
        <v>26.9</v>
      </c>
      <c r="C402">
        <v>22.1</v>
      </c>
      <c r="D402">
        <v>30.5</v>
      </c>
      <c r="E402">
        <v>0</v>
      </c>
      <c r="F402" t="str">
        <f>IF(OR(B402&lt;outliers!$B$7,B402&gt;outliers!$B$6),"Outlier","Normal")</f>
        <v>Normal</v>
      </c>
      <c r="G402" t="str">
        <f>IF(OR(C402&lt;outliers!$B$14,C402&gt;outliers!$B$13),"Outlier","Normal")</f>
        <v>Normal</v>
      </c>
      <c r="H402" t="str">
        <f>IF(OR(D402&lt;outliers!$B$21,D402&gt;outliers!$B$20),"Outlier","Normal")</f>
        <v>Normal</v>
      </c>
      <c r="I402" t="str">
        <f>IF(OR(E402&lt;outliers!$C$28,E402&gt;outliers!$B$27),"Outlier","Normal")</f>
        <v>Normal</v>
      </c>
      <c r="J402">
        <f t="shared" si="14"/>
        <v>2019</v>
      </c>
      <c r="K402" t="str">
        <f t="shared" si="13"/>
        <v>June</v>
      </c>
    </row>
    <row r="403" spans="1:11" hidden="1" x14ac:dyDescent="0.35">
      <c r="A403" s="1">
        <v>43622</v>
      </c>
      <c r="B403">
        <v>25.8</v>
      </c>
      <c r="C403">
        <v>20.6</v>
      </c>
      <c r="D403">
        <v>32.4</v>
      </c>
      <c r="E403">
        <v>20.3</v>
      </c>
      <c r="F403" t="str">
        <f>IF(OR(B403&lt;outliers!$B$7,B403&gt;outliers!$B$6),"Outlier","Normal")</f>
        <v>Normal</v>
      </c>
      <c r="G403" t="str">
        <f>IF(OR(C403&lt;outliers!$B$14,C403&gt;outliers!$B$13),"Outlier","Normal")</f>
        <v>Normal</v>
      </c>
      <c r="H403" t="str">
        <f>IF(OR(D403&lt;outliers!$B$21,D403&gt;outliers!$B$20),"Outlier","Normal")</f>
        <v>Normal</v>
      </c>
      <c r="I403" t="str">
        <f>IF(OR(E403&lt;outliers!$C$28,E403&gt;outliers!$B$27),"Outlier","Normal")</f>
        <v>Outlier</v>
      </c>
      <c r="J403">
        <f t="shared" si="14"/>
        <v>2019</v>
      </c>
      <c r="K403" t="str">
        <f t="shared" si="13"/>
        <v>June</v>
      </c>
    </row>
    <row r="404" spans="1:11" hidden="1" x14ac:dyDescent="0.35">
      <c r="A404" s="1">
        <v>43623</v>
      </c>
      <c r="B404">
        <v>25.4</v>
      </c>
      <c r="C404">
        <v>20.6</v>
      </c>
      <c r="D404">
        <v>32</v>
      </c>
      <c r="E404">
        <v>20.100000000000001</v>
      </c>
      <c r="F404" t="str">
        <f>IF(OR(B404&lt;outliers!$B$7,B404&gt;outliers!$B$6),"Outlier","Normal")</f>
        <v>Normal</v>
      </c>
      <c r="G404" t="str">
        <f>IF(OR(C404&lt;outliers!$B$14,C404&gt;outliers!$B$13),"Outlier","Normal")</f>
        <v>Normal</v>
      </c>
      <c r="H404" t="str">
        <f>IF(OR(D404&lt;outliers!$B$21,D404&gt;outliers!$B$20),"Outlier","Normal")</f>
        <v>Normal</v>
      </c>
      <c r="I404" t="str">
        <f>IF(OR(E404&lt;outliers!$C$28,E404&gt;outliers!$B$27),"Outlier","Normal")</f>
        <v>Outlier</v>
      </c>
      <c r="J404">
        <f t="shared" si="14"/>
        <v>2019</v>
      </c>
      <c r="K404" t="str">
        <f t="shared" si="13"/>
        <v>June</v>
      </c>
    </row>
    <row r="405" spans="1:11" x14ac:dyDescent="0.35">
      <c r="A405" s="1">
        <v>43624</v>
      </c>
      <c r="B405">
        <v>26.3</v>
      </c>
      <c r="C405">
        <v>22.5</v>
      </c>
      <c r="D405">
        <v>31.5</v>
      </c>
      <c r="E405">
        <v>0</v>
      </c>
      <c r="F405" t="str">
        <f>IF(OR(B405&lt;outliers!$B$7,B405&gt;outliers!$B$6),"Outlier","Normal")</f>
        <v>Normal</v>
      </c>
      <c r="G405" t="str">
        <f>IF(OR(C405&lt;outliers!$B$14,C405&gt;outliers!$B$13),"Outlier","Normal")</f>
        <v>Normal</v>
      </c>
      <c r="H405" t="str">
        <f>IF(OR(D405&lt;outliers!$B$21,D405&gt;outliers!$B$20),"Outlier","Normal")</f>
        <v>Normal</v>
      </c>
      <c r="I405" t="str">
        <f>IF(OR(E405&lt;outliers!$C$28,E405&gt;outliers!$B$27),"Outlier","Normal")</f>
        <v>Normal</v>
      </c>
      <c r="J405">
        <f t="shared" si="14"/>
        <v>2019</v>
      </c>
      <c r="K405" t="str">
        <f t="shared" si="13"/>
        <v>June</v>
      </c>
    </row>
    <row r="406" spans="1:11" x14ac:dyDescent="0.35">
      <c r="A406" s="1">
        <v>43629</v>
      </c>
      <c r="B406">
        <v>24.8</v>
      </c>
      <c r="C406">
        <v>22</v>
      </c>
      <c r="D406">
        <v>29.4</v>
      </c>
      <c r="E406">
        <v>0</v>
      </c>
      <c r="F406" t="str">
        <f>IF(OR(B406&lt;outliers!$B$7,B406&gt;outliers!$B$6),"Outlier","Normal")</f>
        <v>Normal</v>
      </c>
      <c r="G406" t="str">
        <f>IF(OR(C406&lt;outliers!$B$14,C406&gt;outliers!$B$13),"Outlier","Normal")</f>
        <v>Normal</v>
      </c>
      <c r="H406" t="str">
        <f>IF(OR(D406&lt;outliers!$B$21,D406&gt;outliers!$B$20),"Outlier","Normal")</f>
        <v>Normal</v>
      </c>
      <c r="I406" t="str">
        <f>IF(OR(E406&lt;outliers!$C$28,E406&gt;outliers!$B$27),"Outlier","Normal")</f>
        <v>Normal</v>
      </c>
      <c r="J406">
        <f t="shared" si="14"/>
        <v>2019</v>
      </c>
      <c r="K406" t="str">
        <f t="shared" si="13"/>
        <v>June</v>
      </c>
    </row>
    <row r="407" spans="1:11" x14ac:dyDescent="0.35">
      <c r="A407" s="1">
        <v>43635</v>
      </c>
      <c r="B407">
        <v>26.6</v>
      </c>
      <c r="C407">
        <v>21.5</v>
      </c>
      <c r="D407">
        <v>31.2</v>
      </c>
      <c r="E407">
        <v>0</v>
      </c>
      <c r="F407" t="str">
        <f>IF(OR(B407&lt;outliers!$B$7,B407&gt;outliers!$B$6),"Outlier","Normal")</f>
        <v>Normal</v>
      </c>
      <c r="G407" t="str">
        <f>IF(OR(C407&lt;outliers!$B$14,C407&gt;outliers!$B$13),"Outlier","Normal")</f>
        <v>Normal</v>
      </c>
      <c r="H407" t="str">
        <f>IF(OR(D407&lt;outliers!$B$21,D407&gt;outliers!$B$20),"Outlier","Normal")</f>
        <v>Normal</v>
      </c>
      <c r="I407" t="str">
        <f>IF(OR(E407&lt;outliers!$C$28,E407&gt;outliers!$B$27),"Outlier","Normal")</f>
        <v>Normal</v>
      </c>
      <c r="J407">
        <f t="shared" si="14"/>
        <v>2019</v>
      </c>
      <c r="K407" t="str">
        <f t="shared" si="13"/>
        <v>June</v>
      </c>
    </row>
    <row r="408" spans="1:11" x14ac:dyDescent="0.35">
      <c r="A408" s="1">
        <v>43636</v>
      </c>
      <c r="B408">
        <v>25.7</v>
      </c>
      <c r="C408">
        <v>22.2</v>
      </c>
      <c r="D408">
        <v>32.299999999999997</v>
      </c>
      <c r="E408">
        <v>1.3</v>
      </c>
      <c r="F408" t="str">
        <f>IF(OR(B408&lt;outliers!$B$7,B408&gt;outliers!$B$6),"Outlier","Normal")</f>
        <v>Normal</v>
      </c>
      <c r="G408" t="str">
        <f>IF(OR(C408&lt;outliers!$B$14,C408&gt;outliers!$B$13),"Outlier","Normal")</f>
        <v>Normal</v>
      </c>
      <c r="H408" t="str">
        <f>IF(OR(D408&lt;outliers!$B$21,D408&gt;outliers!$B$20),"Outlier","Normal")</f>
        <v>Normal</v>
      </c>
      <c r="I408" t="str">
        <f>IF(OR(E408&lt;outliers!$C$28,E408&gt;outliers!$B$27),"Outlier","Normal")</f>
        <v>Normal</v>
      </c>
      <c r="J408">
        <f t="shared" si="14"/>
        <v>2019</v>
      </c>
      <c r="K408" t="str">
        <f t="shared" si="13"/>
        <v>June</v>
      </c>
    </row>
    <row r="409" spans="1:11" x14ac:dyDescent="0.35">
      <c r="A409" s="1">
        <v>43637</v>
      </c>
      <c r="B409">
        <v>24.6</v>
      </c>
      <c r="C409">
        <v>20.7</v>
      </c>
      <c r="D409">
        <v>30.6</v>
      </c>
      <c r="E409">
        <v>0</v>
      </c>
      <c r="F409" t="str">
        <f>IF(OR(B409&lt;outliers!$B$7,B409&gt;outliers!$B$6),"Outlier","Normal")</f>
        <v>Normal</v>
      </c>
      <c r="G409" t="str">
        <f>IF(OR(C409&lt;outliers!$B$14,C409&gt;outliers!$B$13),"Outlier","Normal")</f>
        <v>Normal</v>
      </c>
      <c r="H409" t="str">
        <f>IF(OR(D409&lt;outliers!$B$21,D409&gt;outliers!$B$20),"Outlier","Normal")</f>
        <v>Normal</v>
      </c>
      <c r="I409" t="str">
        <f>IF(OR(E409&lt;outliers!$C$28,E409&gt;outliers!$B$27),"Outlier","Normal")</f>
        <v>Normal</v>
      </c>
      <c r="J409">
        <f t="shared" si="14"/>
        <v>2019</v>
      </c>
      <c r="K409" t="str">
        <f t="shared" si="13"/>
        <v>June</v>
      </c>
    </row>
    <row r="410" spans="1:11" x14ac:dyDescent="0.35">
      <c r="A410" s="1">
        <v>43638</v>
      </c>
      <c r="B410">
        <v>25.1</v>
      </c>
      <c r="C410">
        <v>21.6</v>
      </c>
      <c r="D410">
        <v>29.4</v>
      </c>
      <c r="E410">
        <v>0</v>
      </c>
      <c r="F410" t="str">
        <f>IF(OR(B410&lt;outliers!$B$7,B410&gt;outliers!$B$6),"Outlier","Normal")</f>
        <v>Normal</v>
      </c>
      <c r="G410" t="str">
        <f>IF(OR(C410&lt;outliers!$B$14,C410&gt;outliers!$B$13),"Outlier","Normal")</f>
        <v>Normal</v>
      </c>
      <c r="H410" t="str">
        <f>IF(OR(D410&lt;outliers!$B$21,D410&gt;outliers!$B$20),"Outlier","Normal")</f>
        <v>Normal</v>
      </c>
      <c r="I410" t="str">
        <f>IF(OR(E410&lt;outliers!$C$28,E410&gt;outliers!$B$27),"Outlier","Normal")</f>
        <v>Normal</v>
      </c>
      <c r="J410">
        <f t="shared" si="14"/>
        <v>2019</v>
      </c>
      <c r="K410" t="str">
        <f t="shared" si="13"/>
        <v>June</v>
      </c>
    </row>
    <row r="411" spans="1:11" x14ac:dyDescent="0.35">
      <c r="A411" s="1">
        <v>43639</v>
      </c>
      <c r="B411">
        <v>23.8</v>
      </c>
      <c r="C411">
        <v>20.8</v>
      </c>
      <c r="D411">
        <v>29.4</v>
      </c>
      <c r="E411">
        <v>3</v>
      </c>
      <c r="F411" t="str">
        <f>IF(OR(B411&lt;outliers!$B$7,B411&gt;outliers!$B$6),"Outlier","Normal")</f>
        <v>Normal</v>
      </c>
      <c r="G411" t="str">
        <f>IF(OR(C411&lt;outliers!$B$14,C411&gt;outliers!$B$13),"Outlier","Normal")</f>
        <v>Normal</v>
      </c>
      <c r="H411" t="str">
        <f>IF(OR(D411&lt;outliers!$B$21,D411&gt;outliers!$B$20),"Outlier","Normal")</f>
        <v>Normal</v>
      </c>
      <c r="I411" t="str">
        <f>IF(OR(E411&lt;outliers!$C$28,E411&gt;outliers!$B$27),"Outlier","Normal")</f>
        <v>Normal</v>
      </c>
      <c r="J411">
        <f t="shared" si="14"/>
        <v>2019</v>
      </c>
      <c r="K411" t="str">
        <f t="shared" si="13"/>
        <v>June</v>
      </c>
    </row>
    <row r="412" spans="1:11" hidden="1" x14ac:dyDescent="0.35">
      <c r="A412" s="1">
        <v>43640</v>
      </c>
      <c r="B412">
        <v>24.5</v>
      </c>
      <c r="C412">
        <v>21</v>
      </c>
      <c r="D412">
        <v>29.4</v>
      </c>
      <c r="E412">
        <v>26.4</v>
      </c>
      <c r="F412" t="str">
        <f>IF(OR(B412&lt;outliers!$B$7,B412&gt;outliers!$B$6),"Outlier","Normal")</f>
        <v>Normal</v>
      </c>
      <c r="G412" t="str">
        <f>IF(OR(C412&lt;outliers!$B$14,C412&gt;outliers!$B$13),"Outlier","Normal")</f>
        <v>Normal</v>
      </c>
      <c r="H412" t="str">
        <f>IF(OR(D412&lt;outliers!$B$21,D412&gt;outliers!$B$20),"Outlier","Normal")</f>
        <v>Normal</v>
      </c>
      <c r="I412" t="str">
        <f>IF(OR(E412&lt;outliers!$C$28,E412&gt;outliers!$B$27),"Outlier","Normal")</f>
        <v>Outlier</v>
      </c>
      <c r="J412">
        <f t="shared" si="14"/>
        <v>2019</v>
      </c>
      <c r="K412" t="str">
        <f t="shared" si="13"/>
        <v>June</v>
      </c>
    </row>
    <row r="413" spans="1:11" x14ac:dyDescent="0.35">
      <c r="A413" s="1">
        <v>43641</v>
      </c>
      <c r="B413">
        <v>25</v>
      </c>
      <c r="C413">
        <v>21.4</v>
      </c>
      <c r="D413">
        <v>29.7</v>
      </c>
      <c r="E413">
        <v>0</v>
      </c>
      <c r="F413" t="str">
        <f>IF(OR(B413&lt;outliers!$B$7,B413&gt;outliers!$B$6),"Outlier","Normal")</f>
        <v>Normal</v>
      </c>
      <c r="G413" t="str">
        <f>IF(OR(C413&lt;outliers!$B$14,C413&gt;outliers!$B$13),"Outlier","Normal")</f>
        <v>Normal</v>
      </c>
      <c r="H413" t="str">
        <f>IF(OR(D413&lt;outliers!$B$21,D413&gt;outliers!$B$20),"Outlier","Normal")</f>
        <v>Normal</v>
      </c>
      <c r="I413" t="str">
        <f>IF(OR(E413&lt;outliers!$C$28,E413&gt;outliers!$B$27),"Outlier","Normal")</f>
        <v>Normal</v>
      </c>
      <c r="J413">
        <f t="shared" si="14"/>
        <v>2019</v>
      </c>
      <c r="K413" t="str">
        <f t="shared" si="13"/>
        <v>June</v>
      </c>
    </row>
    <row r="414" spans="1:11" x14ac:dyDescent="0.35">
      <c r="A414" s="1">
        <v>43642</v>
      </c>
      <c r="B414">
        <v>24.6</v>
      </c>
      <c r="C414">
        <v>21.6</v>
      </c>
      <c r="D414">
        <v>29.8</v>
      </c>
      <c r="E414">
        <v>0</v>
      </c>
      <c r="F414" t="str">
        <f>IF(OR(B414&lt;outliers!$B$7,B414&gt;outliers!$B$6),"Outlier","Normal")</f>
        <v>Normal</v>
      </c>
      <c r="G414" t="str">
        <f>IF(OR(C414&lt;outliers!$B$14,C414&gt;outliers!$B$13),"Outlier","Normal")</f>
        <v>Normal</v>
      </c>
      <c r="H414" t="str">
        <f>IF(OR(D414&lt;outliers!$B$21,D414&gt;outliers!$B$20),"Outlier","Normal")</f>
        <v>Normal</v>
      </c>
      <c r="I414" t="str">
        <f>IF(OR(E414&lt;outliers!$C$28,E414&gt;outliers!$B$27),"Outlier","Normal")</f>
        <v>Normal</v>
      </c>
      <c r="J414">
        <f t="shared" si="14"/>
        <v>2019</v>
      </c>
      <c r="K414" t="str">
        <f t="shared" si="13"/>
        <v>June</v>
      </c>
    </row>
    <row r="415" spans="1:11" x14ac:dyDescent="0.35">
      <c r="A415" s="1">
        <v>43644</v>
      </c>
      <c r="B415">
        <v>25.2</v>
      </c>
      <c r="C415">
        <v>21</v>
      </c>
      <c r="D415">
        <v>31</v>
      </c>
      <c r="E415">
        <v>2</v>
      </c>
      <c r="F415" t="str">
        <f>IF(OR(B415&lt;outliers!$B$7,B415&gt;outliers!$B$6),"Outlier","Normal")</f>
        <v>Normal</v>
      </c>
      <c r="G415" t="str">
        <f>IF(OR(C415&lt;outliers!$B$14,C415&gt;outliers!$B$13),"Outlier","Normal")</f>
        <v>Normal</v>
      </c>
      <c r="H415" t="str">
        <f>IF(OR(D415&lt;outliers!$B$21,D415&gt;outliers!$B$20),"Outlier","Normal")</f>
        <v>Normal</v>
      </c>
      <c r="I415" t="str">
        <f>IF(OR(E415&lt;outliers!$C$28,E415&gt;outliers!$B$27),"Outlier","Normal")</f>
        <v>Normal</v>
      </c>
      <c r="J415">
        <f t="shared" si="14"/>
        <v>2019</v>
      </c>
      <c r="K415" t="str">
        <f t="shared" si="13"/>
        <v>June</v>
      </c>
    </row>
    <row r="416" spans="1:11" x14ac:dyDescent="0.35">
      <c r="A416" s="1">
        <v>43645</v>
      </c>
      <c r="B416">
        <v>25.1</v>
      </c>
      <c r="C416">
        <v>21</v>
      </c>
      <c r="D416">
        <v>31.2</v>
      </c>
      <c r="E416">
        <v>0</v>
      </c>
      <c r="F416" t="str">
        <f>IF(OR(B416&lt;outliers!$B$7,B416&gt;outliers!$B$6),"Outlier","Normal")</f>
        <v>Normal</v>
      </c>
      <c r="G416" t="str">
        <f>IF(OR(C416&lt;outliers!$B$14,C416&gt;outliers!$B$13),"Outlier","Normal")</f>
        <v>Normal</v>
      </c>
      <c r="H416" t="str">
        <f>IF(OR(D416&lt;outliers!$B$21,D416&gt;outliers!$B$20),"Outlier","Normal")</f>
        <v>Normal</v>
      </c>
      <c r="I416" t="str">
        <f>IF(OR(E416&lt;outliers!$C$28,E416&gt;outliers!$B$27),"Outlier","Normal")</f>
        <v>Normal</v>
      </c>
      <c r="J416">
        <f t="shared" si="14"/>
        <v>2019</v>
      </c>
      <c r="K416" t="str">
        <f t="shared" si="13"/>
        <v>June</v>
      </c>
    </row>
    <row r="417" spans="1:11" x14ac:dyDescent="0.35">
      <c r="A417" s="1">
        <v>43647</v>
      </c>
      <c r="B417">
        <v>25.6</v>
      </c>
      <c r="C417">
        <v>21</v>
      </c>
      <c r="D417">
        <v>29.8</v>
      </c>
      <c r="E417">
        <v>0</v>
      </c>
      <c r="F417" t="str">
        <f>IF(OR(B417&lt;outliers!$B$7,B417&gt;outliers!$B$6),"Outlier","Normal")</f>
        <v>Normal</v>
      </c>
      <c r="G417" t="str">
        <f>IF(OR(C417&lt;outliers!$B$14,C417&gt;outliers!$B$13),"Outlier","Normal")</f>
        <v>Normal</v>
      </c>
      <c r="H417" t="str">
        <f>IF(OR(D417&lt;outliers!$B$21,D417&gt;outliers!$B$20),"Outlier","Normal")</f>
        <v>Normal</v>
      </c>
      <c r="I417" t="str">
        <f>IF(OR(E417&lt;outliers!$C$28,E417&gt;outliers!$B$27),"Outlier","Normal")</f>
        <v>Normal</v>
      </c>
      <c r="J417">
        <f t="shared" si="14"/>
        <v>2019</v>
      </c>
      <c r="K417" t="str">
        <f t="shared" si="13"/>
        <v>June</v>
      </c>
    </row>
    <row r="418" spans="1:11" x14ac:dyDescent="0.35">
      <c r="A418" s="1">
        <v>43649</v>
      </c>
      <c r="B418">
        <v>25.4</v>
      </c>
      <c r="C418">
        <v>21.4</v>
      </c>
      <c r="D418">
        <v>30.8</v>
      </c>
      <c r="E418">
        <v>0</v>
      </c>
      <c r="F418" t="str">
        <f>IF(OR(B418&lt;outliers!$B$7,B418&gt;outliers!$B$6),"Outlier","Normal")</f>
        <v>Normal</v>
      </c>
      <c r="G418" t="str">
        <f>IF(OR(C418&lt;outliers!$B$14,C418&gt;outliers!$B$13),"Outlier","Normal")</f>
        <v>Normal</v>
      </c>
      <c r="H418" t="str">
        <f>IF(OR(D418&lt;outliers!$B$21,D418&gt;outliers!$B$20),"Outlier","Normal")</f>
        <v>Normal</v>
      </c>
      <c r="I418" t="str">
        <f>IF(OR(E418&lt;outliers!$C$28,E418&gt;outliers!$B$27),"Outlier","Normal")</f>
        <v>Normal</v>
      </c>
      <c r="J418">
        <f t="shared" si="14"/>
        <v>2019</v>
      </c>
      <c r="K418" t="str">
        <f t="shared" si="13"/>
        <v>July</v>
      </c>
    </row>
    <row r="419" spans="1:11" x14ac:dyDescent="0.35">
      <c r="A419" s="1">
        <v>43651</v>
      </c>
      <c r="B419">
        <v>23.7</v>
      </c>
      <c r="C419">
        <v>20.8</v>
      </c>
      <c r="D419">
        <v>30.3</v>
      </c>
      <c r="E419">
        <v>0</v>
      </c>
      <c r="F419" t="str">
        <f>IF(OR(B419&lt;outliers!$B$7,B419&gt;outliers!$B$6),"Outlier","Normal")</f>
        <v>Normal</v>
      </c>
      <c r="G419" t="str">
        <f>IF(OR(C419&lt;outliers!$B$14,C419&gt;outliers!$B$13),"Outlier","Normal")</f>
        <v>Normal</v>
      </c>
      <c r="H419" t="str">
        <f>IF(OR(D419&lt;outliers!$B$21,D419&gt;outliers!$B$20),"Outlier","Normal")</f>
        <v>Normal</v>
      </c>
      <c r="I419" t="str">
        <f>IF(OR(E419&lt;outliers!$C$28,E419&gt;outliers!$B$27),"Outlier","Normal")</f>
        <v>Normal</v>
      </c>
      <c r="J419">
        <f t="shared" si="14"/>
        <v>2019</v>
      </c>
      <c r="K419" t="str">
        <f t="shared" si="13"/>
        <v>July</v>
      </c>
    </row>
    <row r="420" spans="1:11" x14ac:dyDescent="0.35">
      <c r="A420" s="1">
        <v>43653</v>
      </c>
      <c r="B420">
        <v>24.5</v>
      </c>
      <c r="C420">
        <v>20.7</v>
      </c>
      <c r="D420">
        <v>28.6</v>
      </c>
      <c r="E420">
        <v>1</v>
      </c>
      <c r="F420" t="str">
        <f>IF(OR(B420&lt;outliers!$B$7,B420&gt;outliers!$B$6),"Outlier","Normal")</f>
        <v>Normal</v>
      </c>
      <c r="G420" t="str">
        <f>IF(OR(C420&lt;outliers!$B$14,C420&gt;outliers!$B$13),"Outlier","Normal")</f>
        <v>Normal</v>
      </c>
      <c r="H420" t="str">
        <f>IF(OR(D420&lt;outliers!$B$21,D420&gt;outliers!$B$20),"Outlier","Normal")</f>
        <v>Normal</v>
      </c>
      <c r="I420" t="str">
        <f>IF(OR(E420&lt;outliers!$C$28,E420&gt;outliers!$B$27),"Outlier","Normal")</f>
        <v>Normal</v>
      </c>
      <c r="J420">
        <f t="shared" si="14"/>
        <v>2019</v>
      </c>
      <c r="K420" t="str">
        <f t="shared" si="13"/>
        <v>July</v>
      </c>
    </row>
    <row r="421" spans="1:11" x14ac:dyDescent="0.35">
      <c r="A421" s="1">
        <v>43654</v>
      </c>
      <c r="B421">
        <v>24.4</v>
      </c>
      <c r="C421">
        <v>20.6</v>
      </c>
      <c r="D421">
        <v>29.2</v>
      </c>
      <c r="E421">
        <v>0</v>
      </c>
      <c r="F421" t="str">
        <f>IF(OR(B421&lt;outliers!$B$7,B421&gt;outliers!$B$6),"Outlier","Normal")</f>
        <v>Normal</v>
      </c>
      <c r="G421" t="str">
        <f>IF(OR(C421&lt;outliers!$B$14,C421&gt;outliers!$B$13),"Outlier","Normal")</f>
        <v>Normal</v>
      </c>
      <c r="H421" t="str">
        <f>IF(OR(D421&lt;outliers!$B$21,D421&gt;outliers!$B$20),"Outlier","Normal")</f>
        <v>Normal</v>
      </c>
      <c r="I421" t="str">
        <f>IF(OR(E421&lt;outliers!$C$28,E421&gt;outliers!$B$27),"Outlier","Normal")</f>
        <v>Normal</v>
      </c>
      <c r="J421">
        <f t="shared" si="14"/>
        <v>2019</v>
      </c>
      <c r="K421" t="str">
        <f t="shared" si="13"/>
        <v>July</v>
      </c>
    </row>
    <row r="422" spans="1:11" x14ac:dyDescent="0.35">
      <c r="A422" s="1">
        <v>43655</v>
      </c>
      <c r="B422">
        <v>23.8</v>
      </c>
      <c r="C422">
        <v>20</v>
      </c>
      <c r="D422">
        <v>29.5</v>
      </c>
      <c r="E422">
        <v>0</v>
      </c>
      <c r="F422" t="str">
        <f>IF(OR(B422&lt;outliers!$B$7,B422&gt;outliers!$B$6),"Outlier","Normal")</f>
        <v>Normal</v>
      </c>
      <c r="G422" t="str">
        <f>IF(OR(C422&lt;outliers!$B$14,C422&gt;outliers!$B$13),"Outlier","Normal")</f>
        <v>Normal</v>
      </c>
      <c r="H422" t="str">
        <f>IF(OR(D422&lt;outliers!$B$21,D422&gt;outliers!$B$20),"Outlier","Normal")</f>
        <v>Normal</v>
      </c>
      <c r="I422" t="str">
        <f>IF(OR(E422&lt;outliers!$C$28,E422&gt;outliers!$B$27),"Outlier","Normal")</f>
        <v>Normal</v>
      </c>
      <c r="J422">
        <f t="shared" si="14"/>
        <v>2019</v>
      </c>
      <c r="K422" t="str">
        <f t="shared" si="13"/>
        <v>July</v>
      </c>
    </row>
    <row r="423" spans="1:11" x14ac:dyDescent="0.35">
      <c r="A423" s="1">
        <v>43656</v>
      </c>
      <c r="B423">
        <v>23.2</v>
      </c>
      <c r="C423">
        <v>19.5</v>
      </c>
      <c r="D423">
        <v>29.6</v>
      </c>
      <c r="E423">
        <v>0</v>
      </c>
      <c r="F423" t="str">
        <f>IF(OR(B423&lt;outliers!$B$7,B423&gt;outliers!$B$6),"Outlier","Normal")</f>
        <v>Normal</v>
      </c>
      <c r="G423" t="str">
        <f>IF(OR(C423&lt;outliers!$B$14,C423&gt;outliers!$B$13),"Outlier","Normal")</f>
        <v>Normal</v>
      </c>
      <c r="H423" t="str">
        <f>IF(OR(D423&lt;outliers!$B$21,D423&gt;outliers!$B$20),"Outlier","Normal")</f>
        <v>Normal</v>
      </c>
      <c r="I423" t="str">
        <f>IF(OR(E423&lt;outliers!$C$28,E423&gt;outliers!$B$27),"Outlier","Normal")</f>
        <v>Normal</v>
      </c>
      <c r="J423">
        <f t="shared" si="14"/>
        <v>2019</v>
      </c>
      <c r="K423" t="str">
        <f t="shared" si="13"/>
        <v>July</v>
      </c>
    </row>
    <row r="424" spans="1:11" x14ac:dyDescent="0.35">
      <c r="A424" s="1">
        <v>43657</v>
      </c>
      <c r="B424">
        <v>24.2</v>
      </c>
      <c r="C424">
        <v>20.2</v>
      </c>
      <c r="D424">
        <v>29.4</v>
      </c>
      <c r="E424">
        <v>0</v>
      </c>
      <c r="F424" t="str">
        <f>IF(OR(B424&lt;outliers!$B$7,B424&gt;outliers!$B$6),"Outlier","Normal")</f>
        <v>Normal</v>
      </c>
      <c r="G424" t="str">
        <f>IF(OR(C424&lt;outliers!$B$14,C424&gt;outliers!$B$13),"Outlier","Normal")</f>
        <v>Normal</v>
      </c>
      <c r="H424" t="str">
        <f>IF(OR(D424&lt;outliers!$B$21,D424&gt;outliers!$B$20),"Outlier","Normal")</f>
        <v>Normal</v>
      </c>
      <c r="I424" t="str">
        <f>IF(OR(E424&lt;outliers!$C$28,E424&gt;outliers!$B$27),"Outlier","Normal")</f>
        <v>Normal</v>
      </c>
      <c r="J424">
        <f t="shared" si="14"/>
        <v>2019</v>
      </c>
      <c r="K424" t="str">
        <f t="shared" si="13"/>
        <v>July</v>
      </c>
    </row>
    <row r="425" spans="1:11" x14ac:dyDescent="0.35">
      <c r="A425" s="1">
        <v>43658</v>
      </c>
      <c r="B425">
        <v>25.3</v>
      </c>
      <c r="C425">
        <v>20.8</v>
      </c>
      <c r="D425">
        <v>31.4</v>
      </c>
      <c r="E425">
        <v>7.1</v>
      </c>
      <c r="F425" t="str">
        <f>IF(OR(B425&lt;outliers!$B$7,B425&gt;outliers!$B$6),"Outlier","Normal")</f>
        <v>Normal</v>
      </c>
      <c r="G425" t="str">
        <f>IF(OR(C425&lt;outliers!$B$14,C425&gt;outliers!$B$13),"Outlier","Normal")</f>
        <v>Normal</v>
      </c>
      <c r="H425" t="str">
        <f>IF(OR(D425&lt;outliers!$B$21,D425&gt;outliers!$B$20),"Outlier","Normal")</f>
        <v>Normal</v>
      </c>
      <c r="I425" t="str">
        <f>IF(OR(E425&lt;outliers!$C$28,E425&gt;outliers!$B$27),"Outlier","Normal")</f>
        <v>Normal</v>
      </c>
      <c r="J425">
        <f t="shared" si="14"/>
        <v>2019</v>
      </c>
      <c r="K425" t="str">
        <f t="shared" si="13"/>
        <v>July</v>
      </c>
    </row>
    <row r="426" spans="1:11" x14ac:dyDescent="0.35">
      <c r="A426" s="1">
        <v>43659</v>
      </c>
      <c r="B426">
        <v>25.2</v>
      </c>
      <c r="C426">
        <v>21</v>
      </c>
      <c r="D426">
        <v>31.2</v>
      </c>
      <c r="E426">
        <v>2.5</v>
      </c>
      <c r="F426" t="str">
        <f>IF(OR(B426&lt;outliers!$B$7,B426&gt;outliers!$B$6),"Outlier","Normal")</f>
        <v>Normal</v>
      </c>
      <c r="G426" t="str">
        <f>IF(OR(C426&lt;outliers!$B$14,C426&gt;outliers!$B$13),"Outlier","Normal")</f>
        <v>Normal</v>
      </c>
      <c r="H426" t="str">
        <f>IF(OR(D426&lt;outliers!$B$21,D426&gt;outliers!$B$20),"Outlier","Normal")</f>
        <v>Normal</v>
      </c>
      <c r="I426" t="str">
        <f>IF(OR(E426&lt;outliers!$C$28,E426&gt;outliers!$B$27),"Outlier","Normal")</f>
        <v>Normal</v>
      </c>
      <c r="J426">
        <f t="shared" si="14"/>
        <v>2019</v>
      </c>
      <c r="K426" t="str">
        <f t="shared" si="13"/>
        <v>July</v>
      </c>
    </row>
    <row r="427" spans="1:11" x14ac:dyDescent="0.35">
      <c r="A427" s="1">
        <v>43660</v>
      </c>
      <c r="B427">
        <v>24.7</v>
      </c>
      <c r="C427">
        <v>21.3</v>
      </c>
      <c r="D427">
        <v>30</v>
      </c>
      <c r="E427">
        <v>1</v>
      </c>
      <c r="F427" t="str">
        <f>IF(OR(B427&lt;outliers!$B$7,B427&gt;outliers!$B$6),"Outlier","Normal")</f>
        <v>Normal</v>
      </c>
      <c r="G427" t="str">
        <f>IF(OR(C427&lt;outliers!$B$14,C427&gt;outliers!$B$13),"Outlier","Normal")</f>
        <v>Normal</v>
      </c>
      <c r="H427" t="str">
        <f>IF(OR(D427&lt;outliers!$B$21,D427&gt;outliers!$B$20),"Outlier","Normal")</f>
        <v>Normal</v>
      </c>
      <c r="I427" t="str">
        <f>IF(OR(E427&lt;outliers!$C$28,E427&gt;outliers!$B$27),"Outlier","Normal")</f>
        <v>Normal</v>
      </c>
      <c r="J427">
        <f t="shared" si="14"/>
        <v>2019</v>
      </c>
      <c r="K427" t="str">
        <f t="shared" si="13"/>
        <v>July</v>
      </c>
    </row>
    <row r="428" spans="1:11" x14ac:dyDescent="0.35">
      <c r="A428" s="1">
        <v>43661</v>
      </c>
      <c r="B428">
        <v>24.2</v>
      </c>
      <c r="C428">
        <v>21.4</v>
      </c>
      <c r="D428">
        <v>30.8</v>
      </c>
      <c r="E428">
        <v>0.3</v>
      </c>
      <c r="F428" t="str">
        <f>IF(OR(B428&lt;outliers!$B$7,B428&gt;outliers!$B$6),"Outlier","Normal")</f>
        <v>Normal</v>
      </c>
      <c r="G428" t="str">
        <f>IF(OR(C428&lt;outliers!$B$14,C428&gt;outliers!$B$13),"Outlier","Normal")</f>
        <v>Normal</v>
      </c>
      <c r="H428" t="str">
        <f>IF(OR(D428&lt;outliers!$B$21,D428&gt;outliers!$B$20),"Outlier","Normal")</f>
        <v>Normal</v>
      </c>
      <c r="I428" t="str">
        <f>IF(OR(E428&lt;outliers!$C$28,E428&gt;outliers!$B$27),"Outlier","Normal")</f>
        <v>Normal</v>
      </c>
      <c r="J428">
        <f t="shared" si="14"/>
        <v>2019</v>
      </c>
      <c r="K428" t="str">
        <f t="shared" si="13"/>
        <v>July</v>
      </c>
    </row>
    <row r="429" spans="1:11" x14ac:dyDescent="0.35">
      <c r="A429" s="1">
        <v>43662</v>
      </c>
      <c r="B429">
        <v>24.8</v>
      </c>
      <c r="C429">
        <v>21</v>
      </c>
      <c r="D429">
        <v>30.4</v>
      </c>
      <c r="E429">
        <v>3</v>
      </c>
      <c r="F429" t="str">
        <f>IF(OR(B429&lt;outliers!$B$7,B429&gt;outliers!$B$6),"Outlier","Normal")</f>
        <v>Normal</v>
      </c>
      <c r="G429" t="str">
        <f>IF(OR(C429&lt;outliers!$B$14,C429&gt;outliers!$B$13),"Outlier","Normal")</f>
        <v>Normal</v>
      </c>
      <c r="H429" t="str">
        <f>IF(OR(D429&lt;outliers!$B$21,D429&gt;outliers!$B$20),"Outlier","Normal")</f>
        <v>Normal</v>
      </c>
      <c r="I429" t="str">
        <f>IF(OR(E429&lt;outliers!$C$28,E429&gt;outliers!$B$27),"Outlier","Normal")</f>
        <v>Normal</v>
      </c>
      <c r="J429">
        <f t="shared" si="14"/>
        <v>2019</v>
      </c>
      <c r="K429" t="str">
        <f t="shared" si="13"/>
        <v>July</v>
      </c>
    </row>
    <row r="430" spans="1:11" x14ac:dyDescent="0.35">
      <c r="A430" s="1">
        <v>43663</v>
      </c>
      <c r="B430">
        <v>24.8</v>
      </c>
      <c r="C430">
        <v>21</v>
      </c>
      <c r="D430">
        <v>30.3</v>
      </c>
      <c r="E430">
        <v>3</v>
      </c>
      <c r="F430" t="str">
        <f>IF(OR(B430&lt;outliers!$B$7,B430&gt;outliers!$B$6),"Outlier","Normal")</f>
        <v>Normal</v>
      </c>
      <c r="G430" t="str">
        <f>IF(OR(C430&lt;outliers!$B$14,C430&gt;outliers!$B$13),"Outlier","Normal")</f>
        <v>Normal</v>
      </c>
      <c r="H430" t="str">
        <f>IF(OR(D430&lt;outliers!$B$21,D430&gt;outliers!$B$20),"Outlier","Normal")</f>
        <v>Normal</v>
      </c>
      <c r="I430" t="str">
        <f>IF(OR(E430&lt;outliers!$C$28,E430&gt;outliers!$B$27),"Outlier","Normal")</f>
        <v>Normal</v>
      </c>
      <c r="J430">
        <f t="shared" si="14"/>
        <v>2019</v>
      </c>
      <c r="K430" t="str">
        <f t="shared" si="13"/>
        <v>July</v>
      </c>
    </row>
    <row r="431" spans="1:11" hidden="1" x14ac:dyDescent="0.35">
      <c r="A431" s="1">
        <v>43664</v>
      </c>
      <c r="B431">
        <v>24.3</v>
      </c>
      <c r="C431">
        <v>21.4</v>
      </c>
      <c r="D431">
        <v>29.3</v>
      </c>
      <c r="E431">
        <v>40.4</v>
      </c>
      <c r="F431" t="str">
        <f>IF(OR(B431&lt;outliers!$B$7,B431&gt;outliers!$B$6),"Outlier","Normal")</f>
        <v>Normal</v>
      </c>
      <c r="G431" t="str">
        <f>IF(OR(C431&lt;outliers!$B$14,C431&gt;outliers!$B$13),"Outlier","Normal")</f>
        <v>Normal</v>
      </c>
      <c r="H431" t="str">
        <f>IF(OR(D431&lt;outliers!$B$21,D431&gt;outliers!$B$20),"Outlier","Normal")</f>
        <v>Normal</v>
      </c>
      <c r="I431" t="str">
        <f>IF(OR(E431&lt;outliers!$C$28,E431&gt;outliers!$B$27),"Outlier","Normal")</f>
        <v>Outlier</v>
      </c>
      <c r="J431">
        <f t="shared" si="14"/>
        <v>2019</v>
      </c>
      <c r="K431" t="str">
        <f t="shared" si="13"/>
        <v>July</v>
      </c>
    </row>
    <row r="432" spans="1:11" x14ac:dyDescent="0.35">
      <c r="A432" s="1">
        <v>43665</v>
      </c>
      <c r="B432">
        <v>23.6</v>
      </c>
      <c r="C432">
        <v>21.6</v>
      </c>
      <c r="D432">
        <v>28.4</v>
      </c>
      <c r="E432">
        <v>1</v>
      </c>
      <c r="F432" t="str">
        <f>IF(OR(B432&lt;outliers!$B$7,B432&gt;outliers!$B$6),"Outlier","Normal")</f>
        <v>Normal</v>
      </c>
      <c r="G432" t="str">
        <f>IF(OR(C432&lt;outliers!$B$14,C432&gt;outliers!$B$13),"Outlier","Normal")</f>
        <v>Normal</v>
      </c>
      <c r="H432" t="str">
        <f>IF(OR(D432&lt;outliers!$B$21,D432&gt;outliers!$B$20),"Outlier","Normal")</f>
        <v>Normal</v>
      </c>
      <c r="I432" t="str">
        <f>IF(OR(E432&lt;outliers!$C$28,E432&gt;outliers!$B$27),"Outlier","Normal")</f>
        <v>Normal</v>
      </c>
      <c r="J432">
        <f t="shared" si="14"/>
        <v>2019</v>
      </c>
      <c r="K432" t="str">
        <f t="shared" si="13"/>
        <v>July</v>
      </c>
    </row>
    <row r="433" spans="1:11" x14ac:dyDescent="0.35">
      <c r="A433" s="1">
        <v>43666</v>
      </c>
      <c r="B433">
        <v>23.4</v>
      </c>
      <c r="C433">
        <v>20.6</v>
      </c>
      <c r="D433">
        <v>28.4</v>
      </c>
      <c r="E433">
        <v>1.3</v>
      </c>
      <c r="F433" t="str">
        <f>IF(OR(B433&lt;outliers!$B$7,B433&gt;outliers!$B$6),"Outlier","Normal")</f>
        <v>Normal</v>
      </c>
      <c r="G433" t="str">
        <f>IF(OR(C433&lt;outliers!$B$14,C433&gt;outliers!$B$13),"Outlier","Normal")</f>
        <v>Normal</v>
      </c>
      <c r="H433" t="str">
        <f>IF(OR(D433&lt;outliers!$B$21,D433&gt;outliers!$B$20),"Outlier","Normal")</f>
        <v>Normal</v>
      </c>
      <c r="I433" t="str">
        <f>IF(OR(E433&lt;outliers!$C$28,E433&gt;outliers!$B$27),"Outlier","Normal")</f>
        <v>Normal</v>
      </c>
      <c r="J433">
        <f t="shared" si="14"/>
        <v>2019</v>
      </c>
      <c r="K433" t="str">
        <f t="shared" si="13"/>
        <v>July</v>
      </c>
    </row>
    <row r="434" spans="1:11" x14ac:dyDescent="0.35">
      <c r="A434" s="1">
        <v>43667</v>
      </c>
      <c r="B434">
        <v>23</v>
      </c>
      <c r="C434">
        <v>20.6</v>
      </c>
      <c r="D434">
        <v>27.7</v>
      </c>
      <c r="E434">
        <v>0</v>
      </c>
      <c r="F434" t="str">
        <f>IF(OR(B434&lt;outliers!$B$7,B434&gt;outliers!$B$6),"Outlier","Normal")</f>
        <v>Normal</v>
      </c>
      <c r="G434" t="str">
        <f>IF(OR(C434&lt;outliers!$B$14,C434&gt;outliers!$B$13),"Outlier","Normal")</f>
        <v>Normal</v>
      </c>
      <c r="H434" t="str">
        <f>IF(OR(D434&lt;outliers!$B$21,D434&gt;outliers!$B$20),"Outlier","Normal")</f>
        <v>Normal</v>
      </c>
      <c r="I434" t="str">
        <f>IF(OR(E434&lt;outliers!$C$28,E434&gt;outliers!$B$27),"Outlier","Normal")</f>
        <v>Normal</v>
      </c>
      <c r="J434">
        <f t="shared" si="14"/>
        <v>2019</v>
      </c>
      <c r="K434" t="str">
        <f t="shared" si="13"/>
        <v>July</v>
      </c>
    </row>
    <row r="435" spans="1:11" x14ac:dyDescent="0.35">
      <c r="A435" s="1">
        <v>43668</v>
      </c>
      <c r="B435">
        <v>22.2</v>
      </c>
      <c r="C435">
        <v>19.899999999999999</v>
      </c>
      <c r="D435">
        <v>27.6</v>
      </c>
      <c r="E435">
        <v>3.3</v>
      </c>
      <c r="F435" t="str">
        <f>IF(OR(B435&lt;outliers!$B$7,B435&gt;outliers!$B$6),"Outlier","Normal")</f>
        <v>Normal</v>
      </c>
      <c r="G435" t="str">
        <f>IF(OR(C435&lt;outliers!$B$14,C435&gt;outliers!$B$13),"Outlier","Normal")</f>
        <v>Normal</v>
      </c>
      <c r="H435" t="str">
        <f>IF(OR(D435&lt;outliers!$B$21,D435&gt;outliers!$B$20),"Outlier","Normal")</f>
        <v>Normal</v>
      </c>
      <c r="I435" t="str">
        <f>IF(OR(E435&lt;outliers!$C$28,E435&gt;outliers!$B$27),"Outlier","Normal")</f>
        <v>Normal</v>
      </c>
      <c r="J435">
        <f t="shared" si="14"/>
        <v>2019</v>
      </c>
      <c r="K435" t="str">
        <f t="shared" si="13"/>
        <v>July</v>
      </c>
    </row>
    <row r="436" spans="1:11" hidden="1" x14ac:dyDescent="0.35">
      <c r="A436" s="1">
        <v>43669</v>
      </c>
      <c r="B436">
        <v>22</v>
      </c>
      <c r="C436">
        <v>19.2</v>
      </c>
      <c r="D436">
        <v>26</v>
      </c>
      <c r="E436">
        <v>14</v>
      </c>
      <c r="F436" t="str">
        <f>IF(OR(B436&lt;outliers!$B$7,B436&gt;outliers!$B$6),"Outlier","Normal")</f>
        <v>Normal</v>
      </c>
      <c r="G436" t="str">
        <f>IF(OR(C436&lt;outliers!$B$14,C436&gt;outliers!$B$13),"Outlier","Normal")</f>
        <v>Normal</v>
      </c>
      <c r="H436" t="str">
        <f>IF(OR(D436&lt;outliers!$B$21,D436&gt;outliers!$B$20),"Outlier","Normal")</f>
        <v>Normal</v>
      </c>
      <c r="I436" t="str">
        <f>IF(OR(E436&lt;outliers!$C$28,E436&gt;outliers!$B$27),"Outlier","Normal")</f>
        <v>Outlier</v>
      </c>
      <c r="J436">
        <f t="shared" si="14"/>
        <v>2019</v>
      </c>
      <c r="K436" t="str">
        <f t="shared" si="13"/>
        <v>July</v>
      </c>
    </row>
    <row r="437" spans="1:11" x14ac:dyDescent="0.35">
      <c r="A437" s="1">
        <v>43670</v>
      </c>
      <c r="B437">
        <v>24.3</v>
      </c>
      <c r="C437">
        <v>20</v>
      </c>
      <c r="D437">
        <v>29.7</v>
      </c>
      <c r="E437">
        <v>0.3</v>
      </c>
      <c r="F437" t="str">
        <f>IF(OR(B437&lt;outliers!$B$7,B437&gt;outliers!$B$6),"Outlier","Normal")</f>
        <v>Normal</v>
      </c>
      <c r="G437" t="str">
        <f>IF(OR(C437&lt;outliers!$B$14,C437&gt;outliers!$B$13),"Outlier","Normal")</f>
        <v>Normal</v>
      </c>
      <c r="H437" t="str">
        <f>IF(OR(D437&lt;outliers!$B$21,D437&gt;outliers!$B$20),"Outlier","Normal")</f>
        <v>Normal</v>
      </c>
      <c r="I437" t="str">
        <f>IF(OR(E437&lt;outliers!$C$28,E437&gt;outliers!$B$27),"Outlier","Normal")</f>
        <v>Normal</v>
      </c>
      <c r="J437">
        <f t="shared" si="14"/>
        <v>2019</v>
      </c>
      <c r="K437" t="str">
        <f t="shared" si="13"/>
        <v>July</v>
      </c>
    </row>
    <row r="438" spans="1:11" x14ac:dyDescent="0.35">
      <c r="A438" s="1">
        <v>43671</v>
      </c>
      <c r="B438">
        <v>23.8</v>
      </c>
      <c r="C438">
        <v>21.3</v>
      </c>
      <c r="D438">
        <v>29.5</v>
      </c>
      <c r="E438">
        <v>1</v>
      </c>
      <c r="F438" t="str">
        <f>IF(OR(B438&lt;outliers!$B$7,B438&gt;outliers!$B$6),"Outlier","Normal")</f>
        <v>Normal</v>
      </c>
      <c r="G438" t="str">
        <f>IF(OR(C438&lt;outliers!$B$14,C438&gt;outliers!$B$13),"Outlier","Normal")</f>
        <v>Normal</v>
      </c>
      <c r="H438" t="str">
        <f>IF(OR(D438&lt;outliers!$B$21,D438&gt;outliers!$B$20),"Outlier","Normal")</f>
        <v>Normal</v>
      </c>
      <c r="I438" t="str">
        <f>IF(OR(E438&lt;outliers!$C$28,E438&gt;outliers!$B$27),"Outlier","Normal")</f>
        <v>Normal</v>
      </c>
      <c r="J438">
        <f t="shared" si="14"/>
        <v>2019</v>
      </c>
      <c r="K438" t="str">
        <f t="shared" si="13"/>
        <v>July</v>
      </c>
    </row>
    <row r="439" spans="1:11" hidden="1" x14ac:dyDescent="0.35">
      <c r="A439" s="1">
        <v>43672</v>
      </c>
      <c r="B439">
        <v>22.6</v>
      </c>
      <c r="C439">
        <v>20.6</v>
      </c>
      <c r="D439">
        <v>28.5</v>
      </c>
      <c r="E439">
        <v>11.2</v>
      </c>
      <c r="F439" t="str">
        <f>IF(OR(B439&lt;outliers!$B$7,B439&gt;outliers!$B$6),"Outlier","Normal")</f>
        <v>Normal</v>
      </c>
      <c r="G439" t="str">
        <f>IF(OR(C439&lt;outliers!$B$14,C439&gt;outliers!$B$13),"Outlier","Normal")</f>
        <v>Normal</v>
      </c>
      <c r="H439" t="str">
        <f>IF(OR(D439&lt;outliers!$B$21,D439&gt;outliers!$B$20),"Outlier","Normal")</f>
        <v>Normal</v>
      </c>
      <c r="I439" t="str">
        <f>IF(OR(E439&lt;outliers!$C$28,E439&gt;outliers!$B$27),"Outlier","Normal")</f>
        <v>Outlier</v>
      </c>
      <c r="J439">
        <f t="shared" si="14"/>
        <v>2019</v>
      </c>
      <c r="K439" t="str">
        <f t="shared" si="13"/>
        <v>July</v>
      </c>
    </row>
    <row r="440" spans="1:11" x14ac:dyDescent="0.35">
      <c r="A440" s="1">
        <v>43673</v>
      </c>
      <c r="B440">
        <v>24.1</v>
      </c>
      <c r="C440">
        <v>20.399999999999999</v>
      </c>
      <c r="D440">
        <v>28.3</v>
      </c>
      <c r="E440">
        <v>0</v>
      </c>
      <c r="F440" t="str">
        <f>IF(OR(B440&lt;outliers!$B$7,B440&gt;outliers!$B$6),"Outlier","Normal")</f>
        <v>Normal</v>
      </c>
      <c r="G440" t="str">
        <f>IF(OR(C440&lt;outliers!$B$14,C440&gt;outliers!$B$13),"Outlier","Normal")</f>
        <v>Normal</v>
      </c>
      <c r="H440" t="str">
        <f>IF(OR(D440&lt;outliers!$B$21,D440&gt;outliers!$B$20),"Outlier","Normal")</f>
        <v>Normal</v>
      </c>
      <c r="I440" t="str">
        <f>IF(OR(E440&lt;outliers!$C$28,E440&gt;outliers!$B$27),"Outlier","Normal")</f>
        <v>Normal</v>
      </c>
      <c r="J440">
        <f t="shared" si="14"/>
        <v>2019</v>
      </c>
      <c r="K440" t="str">
        <f t="shared" si="13"/>
        <v>July</v>
      </c>
    </row>
    <row r="441" spans="1:11" x14ac:dyDescent="0.35">
      <c r="A441" s="1">
        <v>43674</v>
      </c>
      <c r="B441">
        <v>23.4</v>
      </c>
      <c r="C441">
        <v>20.6</v>
      </c>
      <c r="D441">
        <v>29</v>
      </c>
      <c r="E441">
        <v>0</v>
      </c>
      <c r="F441" t="str">
        <f>IF(OR(B441&lt;outliers!$B$7,B441&gt;outliers!$B$6),"Outlier","Normal")</f>
        <v>Normal</v>
      </c>
      <c r="G441" t="str">
        <f>IF(OR(C441&lt;outliers!$B$14,C441&gt;outliers!$B$13),"Outlier","Normal")</f>
        <v>Normal</v>
      </c>
      <c r="H441" t="str">
        <f>IF(OR(D441&lt;outliers!$B$21,D441&gt;outliers!$B$20),"Outlier","Normal")</f>
        <v>Normal</v>
      </c>
      <c r="I441" t="str">
        <f>IF(OR(E441&lt;outliers!$C$28,E441&gt;outliers!$B$27),"Outlier","Normal")</f>
        <v>Normal</v>
      </c>
      <c r="J441">
        <f t="shared" si="14"/>
        <v>2019</v>
      </c>
      <c r="K441" t="str">
        <f t="shared" si="13"/>
        <v>July</v>
      </c>
    </row>
    <row r="442" spans="1:11" x14ac:dyDescent="0.35">
      <c r="A442" s="1">
        <v>43675</v>
      </c>
      <c r="B442">
        <v>23.4</v>
      </c>
      <c r="C442">
        <v>20.8</v>
      </c>
      <c r="D442">
        <v>28.2</v>
      </c>
      <c r="E442">
        <v>0</v>
      </c>
      <c r="F442" t="str">
        <f>IF(OR(B442&lt;outliers!$B$7,B442&gt;outliers!$B$6),"Outlier","Normal")</f>
        <v>Normal</v>
      </c>
      <c r="G442" t="str">
        <f>IF(OR(C442&lt;outliers!$B$14,C442&gt;outliers!$B$13),"Outlier","Normal")</f>
        <v>Normal</v>
      </c>
      <c r="H442" t="str">
        <f>IF(OR(D442&lt;outliers!$B$21,D442&gt;outliers!$B$20),"Outlier","Normal")</f>
        <v>Normal</v>
      </c>
      <c r="I442" t="str">
        <f>IF(OR(E442&lt;outliers!$C$28,E442&gt;outliers!$B$27),"Outlier","Normal")</f>
        <v>Normal</v>
      </c>
      <c r="J442">
        <f t="shared" si="14"/>
        <v>2019</v>
      </c>
      <c r="K442" t="str">
        <f t="shared" si="13"/>
        <v>July</v>
      </c>
    </row>
    <row r="443" spans="1:11" x14ac:dyDescent="0.35">
      <c r="A443" s="1">
        <v>43676</v>
      </c>
      <c r="B443">
        <v>22.9</v>
      </c>
      <c r="C443">
        <v>20.100000000000001</v>
      </c>
      <c r="D443">
        <v>27.6</v>
      </c>
      <c r="E443">
        <v>0</v>
      </c>
      <c r="F443" t="str">
        <f>IF(OR(B443&lt;outliers!$B$7,B443&gt;outliers!$B$6),"Outlier","Normal")</f>
        <v>Normal</v>
      </c>
      <c r="G443" t="str">
        <f>IF(OR(C443&lt;outliers!$B$14,C443&gt;outliers!$B$13),"Outlier","Normal")</f>
        <v>Normal</v>
      </c>
      <c r="H443" t="str">
        <f>IF(OR(D443&lt;outliers!$B$21,D443&gt;outliers!$B$20),"Outlier","Normal")</f>
        <v>Normal</v>
      </c>
      <c r="I443" t="str">
        <f>IF(OR(E443&lt;outliers!$C$28,E443&gt;outliers!$B$27),"Outlier","Normal")</f>
        <v>Normal</v>
      </c>
      <c r="J443">
        <f t="shared" si="14"/>
        <v>2019</v>
      </c>
      <c r="K443" t="str">
        <f t="shared" si="13"/>
        <v>July</v>
      </c>
    </row>
    <row r="444" spans="1:11" x14ac:dyDescent="0.35">
      <c r="A444" s="1">
        <v>43682</v>
      </c>
      <c r="B444">
        <v>22.4</v>
      </c>
      <c r="C444">
        <v>20.6</v>
      </c>
      <c r="D444">
        <v>27.9</v>
      </c>
      <c r="E444">
        <v>2</v>
      </c>
      <c r="F444" t="str">
        <f>IF(OR(B444&lt;outliers!$B$7,B444&gt;outliers!$B$6),"Outlier","Normal")</f>
        <v>Normal</v>
      </c>
      <c r="G444" t="str">
        <f>IF(OR(C444&lt;outliers!$B$14,C444&gt;outliers!$B$13),"Outlier","Normal")</f>
        <v>Normal</v>
      </c>
      <c r="H444" t="str">
        <f>IF(OR(D444&lt;outliers!$B$21,D444&gt;outliers!$B$20),"Outlier","Normal")</f>
        <v>Normal</v>
      </c>
      <c r="I444" t="str">
        <f>IF(OR(E444&lt;outliers!$C$28,E444&gt;outliers!$B$27),"Outlier","Normal")</f>
        <v>Normal</v>
      </c>
      <c r="J444">
        <f t="shared" si="14"/>
        <v>2019</v>
      </c>
      <c r="K444" t="str">
        <f t="shared" si="13"/>
        <v>July</v>
      </c>
    </row>
    <row r="445" spans="1:11" x14ac:dyDescent="0.35">
      <c r="A445" s="1">
        <v>43683</v>
      </c>
      <c r="B445">
        <v>21.8</v>
      </c>
      <c r="C445">
        <v>20</v>
      </c>
      <c r="D445">
        <v>25.6</v>
      </c>
      <c r="E445">
        <v>2.8</v>
      </c>
      <c r="F445" t="str">
        <f>IF(OR(B445&lt;outliers!$B$7,B445&gt;outliers!$B$6),"Outlier","Normal")</f>
        <v>Normal</v>
      </c>
      <c r="G445" t="str">
        <f>IF(OR(C445&lt;outliers!$B$14,C445&gt;outliers!$B$13),"Outlier","Normal")</f>
        <v>Normal</v>
      </c>
      <c r="H445" t="str">
        <f>IF(OR(D445&lt;outliers!$B$21,D445&gt;outliers!$B$20),"Outlier","Normal")</f>
        <v>Normal</v>
      </c>
      <c r="I445" t="str">
        <f>IF(OR(E445&lt;outliers!$C$28,E445&gt;outliers!$B$27),"Outlier","Normal")</f>
        <v>Normal</v>
      </c>
      <c r="J445">
        <f t="shared" si="14"/>
        <v>2019</v>
      </c>
      <c r="K445" t="str">
        <f t="shared" si="13"/>
        <v>August</v>
      </c>
    </row>
    <row r="446" spans="1:11" x14ac:dyDescent="0.35">
      <c r="A446" s="1">
        <v>43684</v>
      </c>
      <c r="B446">
        <v>22.1</v>
      </c>
      <c r="C446">
        <v>20.3</v>
      </c>
      <c r="D446">
        <v>25.4</v>
      </c>
      <c r="E446">
        <v>2</v>
      </c>
      <c r="F446" t="str">
        <f>IF(OR(B446&lt;outliers!$B$7,B446&gt;outliers!$B$6),"Outlier","Normal")</f>
        <v>Normal</v>
      </c>
      <c r="G446" t="str">
        <f>IF(OR(C446&lt;outliers!$B$14,C446&gt;outliers!$B$13),"Outlier","Normal")</f>
        <v>Normal</v>
      </c>
      <c r="H446" t="str">
        <f>IF(OR(D446&lt;outliers!$B$21,D446&gt;outliers!$B$20),"Outlier","Normal")</f>
        <v>Normal</v>
      </c>
      <c r="I446" t="str">
        <f>IF(OR(E446&lt;outliers!$C$28,E446&gt;outliers!$B$27),"Outlier","Normal")</f>
        <v>Normal</v>
      </c>
      <c r="J446">
        <f t="shared" si="14"/>
        <v>2019</v>
      </c>
      <c r="K446" t="str">
        <f t="shared" si="13"/>
        <v>August</v>
      </c>
    </row>
    <row r="447" spans="1:11" x14ac:dyDescent="0.35">
      <c r="A447" s="1">
        <v>43685</v>
      </c>
      <c r="B447">
        <v>22</v>
      </c>
      <c r="C447">
        <v>20.8</v>
      </c>
      <c r="D447">
        <v>25.2</v>
      </c>
      <c r="E447">
        <v>3</v>
      </c>
      <c r="F447" t="str">
        <f>IF(OR(B447&lt;outliers!$B$7,B447&gt;outliers!$B$6),"Outlier","Normal")</f>
        <v>Normal</v>
      </c>
      <c r="G447" t="str">
        <f>IF(OR(C447&lt;outliers!$B$14,C447&gt;outliers!$B$13),"Outlier","Normal")</f>
        <v>Normal</v>
      </c>
      <c r="H447" t="str">
        <f>IF(OR(D447&lt;outliers!$B$21,D447&gt;outliers!$B$20),"Outlier","Normal")</f>
        <v>Normal</v>
      </c>
      <c r="I447" t="str">
        <f>IF(OR(E447&lt;outliers!$C$28,E447&gt;outliers!$B$27),"Outlier","Normal")</f>
        <v>Normal</v>
      </c>
      <c r="J447">
        <f t="shared" si="14"/>
        <v>2019</v>
      </c>
      <c r="K447" t="str">
        <f t="shared" si="13"/>
        <v>August</v>
      </c>
    </row>
    <row r="448" spans="1:11" hidden="1" x14ac:dyDescent="0.35">
      <c r="A448" s="1">
        <v>43686</v>
      </c>
      <c r="B448">
        <v>21.8</v>
      </c>
      <c r="C448">
        <v>20.3</v>
      </c>
      <c r="D448">
        <v>25.7</v>
      </c>
      <c r="E448">
        <v>21.1</v>
      </c>
      <c r="F448" t="str">
        <f>IF(OR(B448&lt;outliers!$B$7,B448&gt;outliers!$B$6),"Outlier","Normal")</f>
        <v>Normal</v>
      </c>
      <c r="G448" t="str">
        <f>IF(OR(C448&lt;outliers!$B$14,C448&gt;outliers!$B$13),"Outlier","Normal")</f>
        <v>Normal</v>
      </c>
      <c r="H448" t="str">
        <f>IF(OR(D448&lt;outliers!$B$21,D448&gt;outliers!$B$20),"Outlier","Normal")</f>
        <v>Normal</v>
      </c>
      <c r="I448" t="str">
        <f>IF(OR(E448&lt;outliers!$C$28,E448&gt;outliers!$B$27),"Outlier","Normal")</f>
        <v>Outlier</v>
      </c>
      <c r="J448">
        <f t="shared" si="14"/>
        <v>2019</v>
      </c>
      <c r="K448" t="str">
        <f t="shared" si="13"/>
        <v>August</v>
      </c>
    </row>
    <row r="449" spans="1:11" x14ac:dyDescent="0.35">
      <c r="A449" s="1">
        <v>43687</v>
      </c>
      <c r="B449">
        <v>22.7</v>
      </c>
      <c r="C449">
        <v>19.8</v>
      </c>
      <c r="D449">
        <v>26.2</v>
      </c>
      <c r="E449">
        <v>0.8</v>
      </c>
      <c r="F449" t="str">
        <f>IF(OR(B449&lt;outliers!$B$7,B449&gt;outliers!$B$6),"Outlier","Normal")</f>
        <v>Normal</v>
      </c>
      <c r="G449" t="str">
        <f>IF(OR(C449&lt;outliers!$B$14,C449&gt;outliers!$B$13),"Outlier","Normal")</f>
        <v>Normal</v>
      </c>
      <c r="H449" t="str">
        <f>IF(OR(D449&lt;outliers!$B$21,D449&gt;outliers!$B$20),"Outlier","Normal")</f>
        <v>Normal</v>
      </c>
      <c r="I449" t="str">
        <f>IF(OR(E449&lt;outliers!$C$28,E449&gt;outliers!$B$27),"Outlier","Normal")</f>
        <v>Normal</v>
      </c>
      <c r="J449">
        <f t="shared" si="14"/>
        <v>2019</v>
      </c>
      <c r="K449" t="str">
        <f t="shared" si="13"/>
        <v>August</v>
      </c>
    </row>
    <row r="450" spans="1:11" x14ac:dyDescent="0.35">
      <c r="A450" s="1">
        <v>43688</v>
      </c>
      <c r="B450">
        <v>23</v>
      </c>
      <c r="C450">
        <v>20</v>
      </c>
      <c r="D450">
        <v>28.5</v>
      </c>
      <c r="E450">
        <v>0</v>
      </c>
      <c r="F450" t="str">
        <f>IF(OR(B450&lt;outliers!$B$7,B450&gt;outliers!$B$6),"Outlier","Normal")</f>
        <v>Normal</v>
      </c>
      <c r="G450" t="str">
        <f>IF(OR(C450&lt;outliers!$B$14,C450&gt;outliers!$B$13),"Outlier","Normal")</f>
        <v>Normal</v>
      </c>
      <c r="H450" t="str">
        <f>IF(OR(D450&lt;outliers!$B$21,D450&gt;outliers!$B$20),"Outlier","Normal")</f>
        <v>Normal</v>
      </c>
      <c r="I450" t="str">
        <f>IF(OR(E450&lt;outliers!$C$28,E450&gt;outliers!$B$27),"Outlier","Normal")</f>
        <v>Normal</v>
      </c>
      <c r="J450">
        <f t="shared" si="14"/>
        <v>2019</v>
      </c>
      <c r="K450" t="str">
        <f t="shared" ref="K450:K513" si="15">TEXT(A449,"mmmm")</f>
        <v>August</v>
      </c>
    </row>
    <row r="451" spans="1:11" x14ac:dyDescent="0.35">
      <c r="A451" s="1">
        <v>43689</v>
      </c>
      <c r="B451">
        <v>23.2</v>
      </c>
      <c r="C451">
        <v>20.2</v>
      </c>
      <c r="D451">
        <v>27.5</v>
      </c>
      <c r="E451">
        <v>6.1</v>
      </c>
      <c r="F451" t="str">
        <f>IF(OR(B451&lt;outliers!$B$7,B451&gt;outliers!$B$6),"Outlier","Normal")</f>
        <v>Normal</v>
      </c>
      <c r="G451" t="str">
        <f>IF(OR(C451&lt;outliers!$B$14,C451&gt;outliers!$B$13),"Outlier","Normal")</f>
        <v>Normal</v>
      </c>
      <c r="H451" t="str">
        <f>IF(OR(D451&lt;outliers!$B$21,D451&gt;outliers!$B$20),"Outlier","Normal")</f>
        <v>Normal</v>
      </c>
      <c r="I451" t="str">
        <f>IF(OR(E451&lt;outliers!$C$28,E451&gt;outliers!$B$27),"Outlier","Normal")</f>
        <v>Normal</v>
      </c>
      <c r="J451">
        <f t="shared" si="14"/>
        <v>2019</v>
      </c>
      <c r="K451" t="str">
        <f t="shared" si="15"/>
        <v>August</v>
      </c>
    </row>
    <row r="452" spans="1:11" hidden="1" x14ac:dyDescent="0.35">
      <c r="A452" s="1">
        <v>43690</v>
      </c>
      <c r="B452">
        <v>23.1</v>
      </c>
      <c r="C452">
        <v>20.6</v>
      </c>
      <c r="D452">
        <v>27.6</v>
      </c>
      <c r="E452">
        <v>19.100000000000001</v>
      </c>
      <c r="F452" t="str">
        <f>IF(OR(B452&lt;outliers!$B$7,B452&gt;outliers!$B$6),"Outlier","Normal")</f>
        <v>Normal</v>
      </c>
      <c r="G452" t="str">
        <f>IF(OR(C452&lt;outliers!$B$14,C452&gt;outliers!$B$13),"Outlier","Normal")</f>
        <v>Normal</v>
      </c>
      <c r="H452" t="str">
        <f>IF(OR(D452&lt;outliers!$B$21,D452&gt;outliers!$B$20),"Outlier","Normal")</f>
        <v>Normal</v>
      </c>
      <c r="I452" t="str">
        <f>IF(OR(E452&lt;outliers!$C$28,E452&gt;outliers!$B$27),"Outlier","Normal")</f>
        <v>Outlier</v>
      </c>
      <c r="J452">
        <f t="shared" si="14"/>
        <v>2019</v>
      </c>
      <c r="K452" t="str">
        <f t="shared" si="15"/>
        <v>August</v>
      </c>
    </row>
    <row r="453" spans="1:11" x14ac:dyDescent="0.35">
      <c r="A453" s="1">
        <v>43691</v>
      </c>
      <c r="B453">
        <v>22.8</v>
      </c>
      <c r="C453">
        <v>20.7</v>
      </c>
      <c r="D453">
        <v>27.4</v>
      </c>
      <c r="E453">
        <v>0.3</v>
      </c>
      <c r="F453" t="str">
        <f>IF(OR(B453&lt;outliers!$B$7,B453&gt;outliers!$B$6),"Outlier","Normal")</f>
        <v>Normal</v>
      </c>
      <c r="G453" t="str">
        <f>IF(OR(C453&lt;outliers!$B$14,C453&gt;outliers!$B$13),"Outlier","Normal")</f>
        <v>Normal</v>
      </c>
      <c r="H453" t="str">
        <f>IF(OR(D453&lt;outliers!$B$21,D453&gt;outliers!$B$20),"Outlier","Normal")</f>
        <v>Normal</v>
      </c>
      <c r="I453" t="str">
        <f>IF(OR(E453&lt;outliers!$C$28,E453&gt;outliers!$B$27),"Outlier","Normal")</f>
        <v>Normal</v>
      </c>
      <c r="J453">
        <f t="shared" si="14"/>
        <v>2019</v>
      </c>
      <c r="K453" t="str">
        <f t="shared" si="15"/>
        <v>August</v>
      </c>
    </row>
    <row r="454" spans="1:11" x14ac:dyDescent="0.35">
      <c r="A454" s="1">
        <v>43692</v>
      </c>
      <c r="B454">
        <v>23.2</v>
      </c>
      <c r="C454">
        <v>20.5</v>
      </c>
      <c r="D454">
        <v>28.4</v>
      </c>
      <c r="E454">
        <v>9.1</v>
      </c>
      <c r="F454" t="str">
        <f>IF(OR(B454&lt;outliers!$B$7,B454&gt;outliers!$B$6),"Outlier","Normal")</f>
        <v>Normal</v>
      </c>
      <c r="G454" t="str">
        <f>IF(OR(C454&lt;outliers!$B$14,C454&gt;outliers!$B$13),"Outlier","Normal")</f>
        <v>Normal</v>
      </c>
      <c r="H454" t="str">
        <f>IF(OR(D454&lt;outliers!$B$21,D454&gt;outliers!$B$20),"Outlier","Normal")</f>
        <v>Normal</v>
      </c>
      <c r="I454" t="str">
        <f>IF(OR(E454&lt;outliers!$C$28,E454&gt;outliers!$B$27),"Outlier","Normal")</f>
        <v>Normal</v>
      </c>
      <c r="J454">
        <f t="shared" si="14"/>
        <v>2019</v>
      </c>
      <c r="K454" t="str">
        <f t="shared" si="15"/>
        <v>August</v>
      </c>
    </row>
    <row r="455" spans="1:11" x14ac:dyDescent="0.35">
      <c r="A455" s="1">
        <v>43693</v>
      </c>
      <c r="B455">
        <v>23.1</v>
      </c>
      <c r="C455">
        <v>20.8</v>
      </c>
      <c r="D455">
        <v>29.2</v>
      </c>
      <c r="E455">
        <v>0</v>
      </c>
      <c r="F455" t="str">
        <f>IF(OR(B455&lt;outliers!$B$7,B455&gt;outliers!$B$6),"Outlier","Normal")</f>
        <v>Normal</v>
      </c>
      <c r="G455" t="str">
        <f>IF(OR(C455&lt;outliers!$B$14,C455&gt;outliers!$B$13),"Outlier","Normal")</f>
        <v>Normal</v>
      </c>
      <c r="H455" t="str">
        <f>IF(OR(D455&lt;outliers!$B$21,D455&gt;outliers!$B$20),"Outlier","Normal")</f>
        <v>Normal</v>
      </c>
      <c r="I455" t="str">
        <f>IF(OR(E455&lt;outliers!$C$28,E455&gt;outliers!$B$27),"Outlier","Normal")</f>
        <v>Normal</v>
      </c>
      <c r="J455">
        <f t="shared" si="14"/>
        <v>2019</v>
      </c>
      <c r="K455" t="str">
        <f t="shared" si="15"/>
        <v>August</v>
      </c>
    </row>
    <row r="456" spans="1:11" x14ac:dyDescent="0.35">
      <c r="A456" s="1">
        <v>43694</v>
      </c>
      <c r="B456">
        <v>22.2</v>
      </c>
      <c r="C456">
        <v>20</v>
      </c>
      <c r="D456">
        <v>28.6</v>
      </c>
      <c r="E456">
        <v>3</v>
      </c>
      <c r="F456" t="str">
        <f>IF(OR(B456&lt;outliers!$B$7,B456&gt;outliers!$B$6),"Outlier","Normal")</f>
        <v>Normal</v>
      </c>
      <c r="G456" t="str">
        <f>IF(OR(C456&lt;outliers!$B$14,C456&gt;outliers!$B$13),"Outlier","Normal")</f>
        <v>Normal</v>
      </c>
      <c r="H456" t="str">
        <f>IF(OR(D456&lt;outliers!$B$21,D456&gt;outliers!$B$20),"Outlier","Normal")</f>
        <v>Normal</v>
      </c>
      <c r="I456" t="str">
        <f>IF(OR(E456&lt;outliers!$C$28,E456&gt;outliers!$B$27),"Outlier","Normal")</f>
        <v>Normal</v>
      </c>
      <c r="J456">
        <f t="shared" si="14"/>
        <v>2019</v>
      </c>
      <c r="K456" t="str">
        <f t="shared" si="15"/>
        <v>August</v>
      </c>
    </row>
    <row r="457" spans="1:11" hidden="1" x14ac:dyDescent="0.35">
      <c r="A457" s="1">
        <v>43695</v>
      </c>
      <c r="B457">
        <v>21.7</v>
      </c>
      <c r="C457">
        <v>20.6</v>
      </c>
      <c r="D457">
        <v>24.8</v>
      </c>
      <c r="E457">
        <v>24.1</v>
      </c>
      <c r="F457" t="str">
        <f>IF(OR(B457&lt;outliers!$B$7,B457&gt;outliers!$B$6),"Outlier","Normal")</f>
        <v>Normal</v>
      </c>
      <c r="G457" t="str">
        <f>IF(OR(C457&lt;outliers!$B$14,C457&gt;outliers!$B$13),"Outlier","Normal")</f>
        <v>Normal</v>
      </c>
      <c r="H457" t="str">
        <f>IF(OR(D457&lt;outliers!$B$21,D457&gt;outliers!$B$20),"Outlier","Normal")</f>
        <v>Normal</v>
      </c>
      <c r="I457" t="str">
        <f>IF(OR(E457&lt;outliers!$C$28,E457&gt;outliers!$B$27),"Outlier","Normal")</f>
        <v>Outlier</v>
      </c>
      <c r="J457">
        <f t="shared" si="14"/>
        <v>2019</v>
      </c>
      <c r="K457" t="str">
        <f t="shared" si="15"/>
        <v>August</v>
      </c>
    </row>
    <row r="458" spans="1:11" hidden="1" x14ac:dyDescent="0.35">
      <c r="A458" s="1">
        <v>43696</v>
      </c>
      <c r="B458">
        <v>23.5</v>
      </c>
      <c r="C458">
        <v>20.3</v>
      </c>
      <c r="D458">
        <v>28.8</v>
      </c>
      <c r="E458">
        <v>11.7</v>
      </c>
      <c r="F458" t="str">
        <f>IF(OR(B458&lt;outliers!$B$7,B458&gt;outliers!$B$6),"Outlier","Normal")</f>
        <v>Normal</v>
      </c>
      <c r="G458" t="str">
        <f>IF(OR(C458&lt;outliers!$B$14,C458&gt;outliers!$B$13),"Outlier","Normal")</f>
        <v>Normal</v>
      </c>
      <c r="H458" t="str">
        <f>IF(OR(D458&lt;outliers!$B$21,D458&gt;outliers!$B$20),"Outlier","Normal")</f>
        <v>Normal</v>
      </c>
      <c r="I458" t="str">
        <f>IF(OR(E458&lt;outliers!$C$28,E458&gt;outliers!$B$27),"Outlier","Normal")</f>
        <v>Outlier</v>
      </c>
      <c r="J458">
        <f t="shared" si="14"/>
        <v>2019</v>
      </c>
      <c r="K458" t="str">
        <f t="shared" si="15"/>
        <v>August</v>
      </c>
    </row>
    <row r="459" spans="1:11" hidden="1" x14ac:dyDescent="0.35">
      <c r="A459" s="1">
        <v>43697</v>
      </c>
      <c r="B459">
        <v>22.8</v>
      </c>
      <c r="C459">
        <v>20.100000000000001</v>
      </c>
      <c r="D459">
        <v>29</v>
      </c>
      <c r="E459">
        <v>17.5</v>
      </c>
      <c r="F459" t="str">
        <f>IF(OR(B459&lt;outliers!$B$7,B459&gt;outliers!$B$6),"Outlier","Normal")</f>
        <v>Normal</v>
      </c>
      <c r="G459" t="str">
        <f>IF(OR(C459&lt;outliers!$B$14,C459&gt;outliers!$B$13),"Outlier","Normal")</f>
        <v>Normal</v>
      </c>
      <c r="H459" t="str">
        <f>IF(OR(D459&lt;outliers!$B$21,D459&gt;outliers!$B$20),"Outlier","Normal")</f>
        <v>Normal</v>
      </c>
      <c r="I459" t="str">
        <f>IF(OR(E459&lt;outliers!$C$28,E459&gt;outliers!$B$27),"Outlier","Normal")</f>
        <v>Outlier</v>
      </c>
      <c r="J459">
        <f t="shared" si="14"/>
        <v>2019</v>
      </c>
      <c r="K459" t="str">
        <f t="shared" si="15"/>
        <v>August</v>
      </c>
    </row>
    <row r="460" spans="1:11" hidden="1" x14ac:dyDescent="0.35">
      <c r="A460" s="1">
        <v>43698</v>
      </c>
      <c r="B460">
        <v>23.2</v>
      </c>
      <c r="C460">
        <v>20.8</v>
      </c>
      <c r="D460">
        <v>27.4</v>
      </c>
      <c r="E460">
        <v>16.5</v>
      </c>
      <c r="F460" t="str">
        <f>IF(OR(B460&lt;outliers!$B$7,B460&gt;outliers!$B$6),"Outlier","Normal")</f>
        <v>Normal</v>
      </c>
      <c r="G460" t="str">
        <f>IF(OR(C460&lt;outliers!$B$14,C460&gt;outliers!$B$13),"Outlier","Normal")</f>
        <v>Normal</v>
      </c>
      <c r="H460" t="str">
        <f>IF(OR(D460&lt;outliers!$B$21,D460&gt;outliers!$B$20),"Outlier","Normal")</f>
        <v>Normal</v>
      </c>
      <c r="I460" t="str">
        <f>IF(OR(E460&lt;outliers!$C$28,E460&gt;outliers!$B$27),"Outlier","Normal")</f>
        <v>Outlier</v>
      </c>
      <c r="J460">
        <f t="shared" si="14"/>
        <v>2019</v>
      </c>
      <c r="K460" t="str">
        <f t="shared" si="15"/>
        <v>August</v>
      </c>
    </row>
    <row r="461" spans="1:11" x14ac:dyDescent="0.35">
      <c r="A461" s="1">
        <v>43699</v>
      </c>
      <c r="B461">
        <v>22.7</v>
      </c>
      <c r="C461">
        <v>20.8</v>
      </c>
      <c r="D461">
        <v>27.3</v>
      </c>
      <c r="E461">
        <v>0</v>
      </c>
      <c r="F461" t="str">
        <f>IF(OR(B461&lt;outliers!$B$7,B461&gt;outliers!$B$6),"Outlier","Normal")</f>
        <v>Normal</v>
      </c>
      <c r="G461" t="str">
        <f>IF(OR(C461&lt;outliers!$B$14,C461&gt;outliers!$B$13),"Outlier","Normal")</f>
        <v>Normal</v>
      </c>
      <c r="H461" t="str">
        <f>IF(OR(D461&lt;outliers!$B$21,D461&gt;outliers!$B$20),"Outlier","Normal")</f>
        <v>Normal</v>
      </c>
      <c r="I461" t="str">
        <f>IF(OR(E461&lt;outliers!$C$28,E461&gt;outliers!$B$27),"Outlier","Normal")</f>
        <v>Normal</v>
      </c>
      <c r="J461">
        <f t="shared" si="14"/>
        <v>2019</v>
      </c>
      <c r="K461" t="str">
        <f t="shared" si="15"/>
        <v>August</v>
      </c>
    </row>
    <row r="462" spans="1:11" x14ac:dyDescent="0.35">
      <c r="A462" s="1">
        <v>43700</v>
      </c>
      <c r="B462">
        <v>22.7</v>
      </c>
      <c r="C462">
        <v>20.3</v>
      </c>
      <c r="D462">
        <v>27.5</v>
      </c>
      <c r="E462">
        <v>5.3</v>
      </c>
      <c r="F462" t="str">
        <f>IF(OR(B462&lt;outliers!$B$7,B462&gt;outliers!$B$6),"Outlier","Normal")</f>
        <v>Normal</v>
      </c>
      <c r="G462" t="str">
        <f>IF(OR(C462&lt;outliers!$B$14,C462&gt;outliers!$B$13),"Outlier","Normal")</f>
        <v>Normal</v>
      </c>
      <c r="H462" t="str">
        <f>IF(OR(D462&lt;outliers!$B$21,D462&gt;outliers!$B$20),"Outlier","Normal")</f>
        <v>Normal</v>
      </c>
      <c r="I462" t="str">
        <f>IF(OR(E462&lt;outliers!$C$28,E462&gt;outliers!$B$27),"Outlier","Normal")</f>
        <v>Normal</v>
      </c>
      <c r="J462">
        <f t="shared" si="14"/>
        <v>2019</v>
      </c>
      <c r="K462" t="str">
        <f t="shared" si="15"/>
        <v>August</v>
      </c>
    </row>
    <row r="463" spans="1:11" x14ac:dyDescent="0.35">
      <c r="A463" s="1">
        <v>43701</v>
      </c>
      <c r="B463">
        <v>22.7</v>
      </c>
      <c r="C463">
        <v>20</v>
      </c>
      <c r="D463">
        <v>27.6</v>
      </c>
      <c r="E463">
        <v>1.5</v>
      </c>
      <c r="F463" t="str">
        <f>IF(OR(B463&lt;outliers!$B$7,B463&gt;outliers!$B$6),"Outlier","Normal")</f>
        <v>Normal</v>
      </c>
      <c r="G463" t="str">
        <f>IF(OR(C463&lt;outliers!$B$14,C463&gt;outliers!$B$13),"Outlier","Normal")</f>
        <v>Normal</v>
      </c>
      <c r="H463" t="str">
        <f>IF(OR(D463&lt;outliers!$B$21,D463&gt;outliers!$B$20),"Outlier","Normal")</f>
        <v>Normal</v>
      </c>
      <c r="I463" t="str">
        <f>IF(OR(E463&lt;outliers!$C$28,E463&gt;outliers!$B$27),"Outlier","Normal")</f>
        <v>Normal</v>
      </c>
      <c r="J463">
        <f t="shared" si="14"/>
        <v>2019</v>
      </c>
      <c r="K463" t="str">
        <f t="shared" si="15"/>
        <v>August</v>
      </c>
    </row>
    <row r="464" spans="1:11" x14ac:dyDescent="0.35">
      <c r="A464" s="1">
        <v>43702</v>
      </c>
      <c r="B464">
        <v>23</v>
      </c>
      <c r="C464">
        <v>20</v>
      </c>
      <c r="D464">
        <v>28.4</v>
      </c>
      <c r="E464">
        <v>0</v>
      </c>
      <c r="F464" t="str">
        <f>IF(OR(B464&lt;outliers!$B$7,B464&gt;outliers!$B$6),"Outlier","Normal")</f>
        <v>Normal</v>
      </c>
      <c r="G464" t="str">
        <f>IF(OR(C464&lt;outliers!$B$14,C464&gt;outliers!$B$13),"Outlier","Normal")</f>
        <v>Normal</v>
      </c>
      <c r="H464" t="str">
        <f>IF(OR(D464&lt;outliers!$B$21,D464&gt;outliers!$B$20),"Outlier","Normal")</f>
        <v>Normal</v>
      </c>
      <c r="I464" t="str">
        <f>IF(OR(E464&lt;outliers!$C$28,E464&gt;outliers!$B$27),"Outlier","Normal")</f>
        <v>Normal</v>
      </c>
      <c r="J464">
        <f t="shared" si="14"/>
        <v>2019</v>
      </c>
      <c r="K464" t="str">
        <f t="shared" si="15"/>
        <v>August</v>
      </c>
    </row>
    <row r="465" spans="1:11" x14ac:dyDescent="0.35">
      <c r="A465" s="1">
        <v>43703</v>
      </c>
      <c r="B465">
        <v>23</v>
      </c>
      <c r="C465">
        <v>20</v>
      </c>
      <c r="D465">
        <v>28.3</v>
      </c>
      <c r="E465">
        <v>0</v>
      </c>
      <c r="F465" t="str">
        <f>IF(OR(B465&lt;outliers!$B$7,B465&gt;outliers!$B$6),"Outlier","Normal")</f>
        <v>Normal</v>
      </c>
      <c r="G465" t="str">
        <f>IF(OR(C465&lt;outliers!$B$14,C465&gt;outliers!$B$13),"Outlier","Normal")</f>
        <v>Normal</v>
      </c>
      <c r="H465" t="str">
        <f>IF(OR(D465&lt;outliers!$B$21,D465&gt;outliers!$B$20),"Outlier","Normal")</f>
        <v>Normal</v>
      </c>
      <c r="I465" t="str">
        <f>IF(OR(E465&lt;outliers!$C$28,E465&gt;outliers!$B$27),"Outlier","Normal")</f>
        <v>Normal</v>
      </c>
      <c r="J465">
        <f t="shared" ref="J465:J528" si="16">YEAR(A465)</f>
        <v>2019</v>
      </c>
      <c r="K465" t="str">
        <f t="shared" si="15"/>
        <v>August</v>
      </c>
    </row>
    <row r="466" spans="1:11" x14ac:dyDescent="0.35">
      <c r="A466" s="1">
        <v>43704</v>
      </c>
      <c r="B466">
        <v>23.9</v>
      </c>
      <c r="C466">
        <v>20.399999999999999</v>
      </c>
      <c r="D466">
        <v>29.4</v>
      </c>
      <c r="E466">
        <v>0.3</v>
      </c>
      <c r="F466" t="str">
        <f>IF(OR(B466&lt;outliers!$B$7,B466&gt;outliers!$B$6),"Outlier","Normal")</f>
        <v>Normal</v>
      </c>
      <c r="G466" t="str">
        <f>IF(OR(C466&lt;outliers!$B$14,C466&gt;outliers!$B$13),"Outlier","Normal")</f>
        <v>Normal</v>
      </c>
      <c r="H466" t="str">
        <f>IF(OR(D466&lt;outliers!$B$21,D466&gt;outliers!$B$20),"Outlier","Normal")</f>
        <v>Normal</v>
      </c>
      <c r="I466" t="str">
        <f>IF(OR(E466&lt;outliers!$C$28,E466&gt;outliers!$B$27),"Outlier","Normal")</f>
        <v>Normal</v>
      </c>
      <c r="J466">
        <f t="shared" si="16"/>
        <v>2019</v>
      </c>
      <c r="K466" t="str">
        <f t="shared" si="15"/>
        <v>August</v>
      </c>
    </row>
    <row r="467" spans="1:11" x14ac:dyDescent="0.35">
      <c r="A467" s="1">
        <v>43705</v>
      </c>
      <c r="B467">
        <v>23.7</v>
      </c>
      <c r="C467">
        <v>20</v>
      </c>
      <c r="D467">
        <v>29</v>
      </c>
      <c r="E467">
        <v>0</v>
      </c>
      <c r="F467" t="str">
        <f>IF(OR(B467&lt;outliers!$B$7,B467&gt;outliers!$B$6),"Outlier","Normal")</f>
        <v>Normal</v>
      </c>
      <c r="G467" t="str">
        <f>IF(OR(C467&lt;outliers!$B$14,C467&gt;outliers!$B$13),"Outlier","Normal")</f>
        <v>Normal</v>
      </c>
      <c r="H467" t="str">
        <f>IF(OR(D467&lt;outliers!$B$21,D467&gt;outliers!$B$20),"Outlier","Normal")</f>
        <v>Normal</v>
      </c>
      <c r="I467" t="str">
        <f>IF(OR(E467&lt;outliers!$C$28,E467&gt;outliers!$B$27),"Outlier","Normal")</f>
        <v>Normal</v>
      </c>
      <c r="J467">
        <f t="shared" si="16"/>
        <v>2019</v>
      </c>
      <c r="K467" t="str">
        <f t="shared" si="15"/>
        <v>August</v>
      </c>
    </row>
    <row r="468" spans="1:11" x14ac:dyDescent="0.35">
      <c r="A468" s="1">
        <v>43706</v>
      </c>
      <c r="B468">
        <v>24.1</v>
      </c>
      <c r="C468">
        <v>20.6</v>
      </c>
      <c r="D468">
        <v>29.3</v>
      </c>
      <c r="E468">
        <v>0</v>
      </c>
      <c r="F468" t="str">
        <f>IF(OR(B468&lt;outliers!$B$7,B468&gt;outliers!$B$6),"Outlier","Normal")</f>
        <v>Normal</v>
      </c>
      <c r="G468" t="str">
        <f>IF(OR(C468&lt;outliers!$B$14,C468&gt;outliers!$B$13),"Outlier","Normal")</f>
        <v>Normal</v>
      </c>
      <c r="H468" t="str">
        <f>IF(OR(D468&lt;outliers!$B$21,D468&gt;outliers!$B$20),"Outlier","Normal")</f>
        <v>Normal</v>
      </c>
      <c r="I468" t="str">
        <f>IF(OR(E468&lt;outliers!$C$28,E468&gt;outliers!$B$27),"Outlier","Normal")</f>
        <v>Normal</v>
      </c>
      <c r="J468">
        <f t="shared" si="16"/>
        <v>2019</v>
      </c>
      <c r="K468" t="str">
        <f t="shared" si="15"/>
        <v>August</v>
      </c>
    </row>
    <row r="469" spans="1:11" x14ac:dyDescent="0.35">
      <c r="A469" s="1">
        <v>43707</v>
      </c>
      <c r="B469">
        <v>24.3</v>
      </c>
      <c r="C469">
        <v>20.6</v>
      </c>
      <c r="D469">
        <v>29</v>
      </c>
      <c r="E469">
        <v>0</v>
      </c>
      <c r="F469" t="str">
        <f>IF(OR(B469&lt;outliers!$B$7,B469&gt;outliers!$B$6),"Outlier","Normal")</f>
        <v>Normal</v>
      </c>
      <c r="G469" t="str">
        <f>IF(OR(C469&lt;outliers!$B$14,C469&gt;outliers!$B$13),"Outlier","Normal")</f>
        <v>Normal</v>
      </c>
      <c r="H469" t="str">
        <f>IF(OR(D469&lt;outliers!$B$21,D469&gt;outliers!$B$20),"Outlier","Normal")</f>
        <v>Normal</v>
      </c>
      <c r="I469" t="str">
        <f>IF(OR(E469&lt;outliers!$C$28,E469&gt;outliers!$B$27),"Outlier","Normal")</f>
        <v>Normal</v>
      </c>
      <c r="J469">
        <f t="shared" si="16"/>
        <v>2019</v>
      </c>
      <c r="K469" t="str">
        <f t="shared" si="15"/>
        <v>August</v>
      </c>
    </row>
    <row r="470" spans="1:11" x14ac:dyDescent="0.35">
      <c r="A470" s="1">
        <v>43708</v>
      </c>
      <c r="B470">
        <v>23</v>
      </c>
      <c r="C470">
        <v>20.399999999999999</v>
      </c>
      <c r="D470">
        <v>28.7</v>
      </c>
      <c r="E470">
        <v>0</v>
      </c>
      <c r="F470" t="str">
        <f>IF(OR(B470&lt;outliers!$B$7,B470&gt;outliers!$B$6),"Outlier","Normal")</f>
        <v>Normal</v>
      </c>
      <c r="G470" t="str">
        <f>IF(OR(C470&lt;outliers!$B$14,C470&gt;outliers!$B$13),"Outlier","Normal")</f>
        <v>Normal</v>
      </c>
      <c r="H470" t="str">
        <f>IF(OR(D470&lt;outliers!$B$21,D470&gt;outliers!$B$20),"Outlier","Normal")</f>
        <v>Normal</v>
      </c>
      <c r="I470" t="str">
        <f>IF(OR(E470&lt;outliers!$C$28,E470&gt;outliers!$B$27),"Outlier","Normal")</f>
        <v>Normal</v>
      </c>
      <c r="J470">
        <f t="shared" si="16"/>
        <v>2019</v>
      </c>
      <c r="K470" t="str">
        <f t="shared" si="15"/>
        <v>August</v>
      </c>
    </row>
    <row r="471" spans="1:11" x14ac:dyDescent="0.35">
      <c r="A471" s="1">
        <v>43709</v>
      </c>
      <c r="B471">
        <v>23</v>
      </c>
      <c r="C471">
        <v>20.100000000000001</v>
      </c>
      <c r="D471">
        <v>26.4</v>
      </c>
      <c r="E471">
        <v>0</v>
      </c>
      <c r="F471" t="str">
        <f>IF(OR(B471&lt;outliers!$B$7,B471&gt;outliers!$B$6),"Outlier","Normal")</f>
        <v>Normal</v>
      </c>
      <c r="G471" t="str">
        <f>IF(OR(C471&lt;outliers!$B$14,C471&gt;outliers!$B$13),"Outlier","Normal")</f>
        <v>Normal</v>
      </c>
      <c r="H471" t="str">
        <f>IF(OR(D471&lt;outliers!$B$21,D471&gt;outliers!$B$20),"Outlier","Normal")</f>
        <v>Normal</v>
      </c>
      <c r="I471" t="str">
        <f>IF(OR(E471&lt;outliers!$C$28,E471&gt;outliers!$B$27),"Outlier","Normal")</f>
        <v>Normal</v>
      </c>
      <c r="J471">
        <f t="shared" si="16"/>
        <v>2019</v>
      </c>
      <c r="K471" t="str">
        <f t="shared" si="15"/>
        <v>August</v>
      </c>
    </row>
    <row r="472" spans="1:11" x14ac:dyDescent="0.35">
      <c r="A472" s="1">
        <v>43710</v>
      </c>
      <c r="B472">
        <v>22.3</v>
      </c>
      <c r="C472">
        <v>20.3</v>
      </c>
      <c r="D472">
        <v>26.8</v>
      </c>
      <c r="E472">
        <v>0.5</v>
      </c>
      <c r="F472" t="str">
        <f>IF(OR(B472&lt;outliers!$B$7,B472&gt;outliers!$B$6),"Outlier","Normal")</f>
        <v>Normal</v>
      </c>
      <c r="G472" t="str">
        <f>IF(OR(C472&lt;outliers!$B$14,C472&gt;outliers!$B$13),"Outlier","Normal")</f>
        <v>Normal</v>
      </c>
      <c r="H472" t="str">
        <f>IF(OR(D472&lt;outliers!$B$21,D472&gt;outliers!$B$20),"Outlier","Normal")</f>
        <v>Normal</v>
      </c>
      <c r="I472" t="str">
        <f>IF(OR(E472&lt;outliers!$C$28,E472&gt;outliers!$B$27),"Outlier","Normal")</f>
        <v>Normal</v>
      </c>
      <c r="J472">
        <f t="shared" si="16"/>
        <v>2019</v>
      </c>
      <c r="K472" t="str">
        <f t="shared" si="15"/>
        <v>September</v>
      </c>
    </row>
    <row r="473" spans="1:11" hidden="1" x14ac:dyDescent="0.35">
      <c r="A473" s="1">
        <v>43711</v>
      </c>
      <c r="B473">
        <v>22.2</v>
      </c>
      <c r="C473">
        <v>20.100000000000001</v>
      </c>
      <c r="D473">
        <v>26.4</v>
      </c>
      <c r="E473">
        <v>13</v>
      </c>
      <c r="F473" t="str">
        <f>IF(OR(B473&lt;outliers!$B$7,B473&gt;outliers!$B$6),"Outlier","Normal")</f>
        <v>Normal</v>
      </c>
      <c r="G473" t="str">
        <f>IF(OR(C473&lt;outliers!$B$14,C473&gt;outliers!$B$13),"Outlier","Normal")</f>
        <v>Normal</v>
      </c>
      <c r="H473" t="str">
        <f>IF(OR(D473&lt;outliers!$B$21,D473&gt;outliers!$B$20),"Outlier","Normal")</f>
        <v>Normal</v>
      </c>
      <c r="I473" t="str">
        <f>IF(OR(E473&lt;outliers!$C$28,E473&gt;outliers!$B$27),"Outlier","Normal")</f>
        <v>Outlier</v>
      </c>
      <c r="J473">
        <f t="shared" si="16"/>
        <v>2019</v>
      </c>
      <c r="K473" t="str">
        <f t="shared" si="15"/>
        <v>September</v>
      </c>
    </row>
    <row r="474" spans="1:11" x14ac:dyDescent="0.35">
      <c r="A474" s="1">
        <v>43712</v>
      </c>
      <c r="B474">
        <v>22.2</v>
      </c>
      <c r="C474">
        <v>20.3</v>
      </c>
      <c r="D474">
        <v>26.4</v>
      </c>
      <c r="E474">
        <v>4.5999999999999996</v>
      </c>
      <c r="F474" t="str">
        <f>IF(OR(B474&lt;outliers!$B$7,B474&gt;outliers!$B$6),"Outlier","Normal")</f>
        <v>Normal</v>
      </c>
      <c r="G474" t="str">
        <f>IF(OR(C474&lt;outliers!$B$14,C474&gt;outliers!$B$13),"Outlier","Normal")</f>
        <v>Normal</v>
      </c>
      <c r="H474" t="str">
        <f>IF(OR(D474&lt;outliers!$B$21,D474&gt;outliers!$B$20),"Outlier","Normal")</f>
        <v>Normal</v>
      </c>
      <c r="I474" t="str">
        <f>IF(OR(E474&lt;outliers!$C$28,E474&gt;outliers!$B$27),"Outlier","Normal")</f>
        <v>Normal</v>
      </c>
      <c r="J474">
        <f t="shared" si="16"/>
        <v>2019</v>
      </c>
      <c r="K474" t="str">
        <f t="shared" si="15"/>
        <v>September</v>
      </c>
    </row>
    <row r="475" spans="1:11" x14ac:dyDescent="0.35">
      <c r="A475" s="1">
        <v>43713</v>
      </c>
      <c r="B475">
        <v>22.6</v>
      </c>
      <c r="C475">
        <v>20.399999999999999</v>
      </c>
      <c r="D475">
        <v>27.8</v>
      </c>
      <c r="E475">
        <v>0</v>
      </c>
      <c r="F475" t="str">
        <f>IF(OR(B475&lt;outliers!$B$7,B475&gt;outliers!$B$6),"Outlier","Normal")</f>
        <v>Normal</v>
      </c>
      <c r="G475" t="str">
        <f>IF(OR(C475&lt;outliers!$B$14,C475&gt;outliers!$B$13),"Outlier","Normal")</f>
        <v>Normal</v>
      </c>
      <c r="H475" t="str">
        <f>IF(OR(D475&lt;outliers!$B$21,D475&gt;outliers!$B$20),"Outlier","Normal")</f>
        <v>Normal</v>
      </c>
      <c r="I475" t="str">
        <f>IF(OR(E475&lt;outliers!$C$28,E475&gt;outliers!$B$27),"Outlier","Normal")</f>
        <v>Normal</v>
      </c>
      <c r="J475">
        <f t="shared" si="16"/>
        <v>2019</v>
      </c>
      <c r="K475" t="str">
        <f t="shared" si="15"/>
        <v>September</v>
      </c>
    </row>
    <row r="476" spans="1:11" x14ac:dyDescent="0.35">
      <c r="A476" s="1">
        <v>43714</v>
      </c>
      <c r="B476">
        <v>22.8</v>
      </c>
      <c r="C476">
        <v>20.399999999999999</v>
      </c>
      <c r="D476">
        <v>27.4</v>
      </c>
      <c r="E476">
        <v>0.5</v>
      </c>
      <c r="F476" t="str">
        <f>IF(OR(B476&lt;outliers!$B$7,B476&gt;outliers!$B$6),"Outlier","Normal")</f>
        <v>Normal</v>
      </c>
      <c r="G476" t="str">
        <f>IF(OR(C476&lt;outliers!$B$14,C476&gt;outliers!$B$13),"Outlier","Normal")</f>
        <v>Normal</v>
      </c>
      <c r="H476" t="str">
        <f>IF(OR(D476&lt;outliers!$B$21,D476&gt;outliers!$B$20),"Outlier","Normal")</f>
        <v>Normal</v>
      </c>
      <c r="I476" t="str">
        <f>IF(OR(E476&lt;outliers!$C$28,E476&gt;outliers!$B$27),"Outlier","Normal")</f>
        <v>Normal</v>
      </c>
      <c r="J476">
        <f t="shared" si="16"/>
        <v>2019</v>
      </c>
      <c r="K476" t="str">
        <f t="shared" si="15"/>
        <v>September</v>
      </c>
    </row>
    <row r="477" spans="1:11" x14ac:dyDescent="0.35">
      <c r="A477" s="1">
        <v>43715</v>
      </c>
      <c r="B477">
        <v>23.2</v>
      </c>
      <c r="C477">
        <v>20.399999999999999</v>
      </c>
      <c r="D477">
        <v>27.3</v>
      </c>
      <c r="E477">
        <v>2.2999999999999998</v>
      </c>
      <c r="F477" t="str">
        <f>IF(OR(B477&lt;outliers!$B$7,B477&gt;outliers!$B$6),"Outlier","Normal")</f>
        <v>Normal</v>
      </c>
      <c r="G477" t="str">
        <f>IF(OR(C477&lt;outliers!$B$14,C477&gt;outliers!$B$13),"Outlier","Normal")</f>
        <v>Normal</v>
      </c>
      <c r="H477" t="str">
        <f>IF(OR(D477&lt;outliers!$B$21,D477&gt;outliers!$B$20),"Outlier","Normal")</f>
        <v>Normal</v>
      </c>
      <c r="I477" t="str">
        <f>IF(OR(E477&lt;outliers!$C$28,E477&gt;outliers!$B$27),"Outlier","Normal")</f>
        <v>Normal</v>
      </c>
      <c r="J477">
        <f t="shared" si="16"/>
        <v>2019</v>
      </c>
      <c r="K477" t="str">
        <f t="shared" si="15"/>
        <v>September</v>
      </c>
    </row>
    <row r="478" spans="1:11" x14ac:dyDescent="0.35">
      <c r="A478" s="1">
        <v>43716</v>
      </c>
      <c r="B478">
        <v>23.6</v>
      </c>
      <c r="C478">
        <v>20.8</v>
      </c>
      <c r="D478">
        <v>27.8</v>
      </c>
      <c r="E478">
        <v>0.3</v>
      </c>
      <c r="F478" t="str">
        <f>IF(OR(B478&lt;outliers!$B$7,B478&gt;outliers!$B$6),"Outlier","Normal")</f>
        <v>Normal</v>
      </c>
      <c r="G478" t="str">
        <f>IF(OR(C478&lt;outliers!$B$14,C478&gt;outliers!$B$13),"Outlier","Normal")</f>
        <v>Normal</v>
      </c>
      <c r="H478" t="str">
        <f>IF(OR(D478&lt;outliers!$B$21,D478&gt;outliers!$B$20),"Outlier","Normal")</f>
        <v>Normal</v>
      </c>
      <c r="I478" t="str">
        <f>IF(OR(E478&lt;outliers!$C$28,E478&gt;outliers!$B$27),"Outlier","Normal")</f>
        <v>Normal</v>
      </c>
      <c r="J478">
        <f t="shared" si="16"/>
        <v>2019</v>
      </c>
      <c r="K478" t="str">
        <f t="shared" si="15"/>
        <v>September</v>
      </c>
    </row>
    <row r="479" spans="1:11" x14ac:dyDescent="0.35">
      <c r="A479" s="1">
        <v>43717</v>
      </c>
      <c r="B479">
        <v>24.1</v>
      </c>
      <c r="C479">
        <v>21</v>
      </c>
      <c r="D479">
        <v>27.5</v>
      </c>
      <c r="E479">
        <v>0.3</v>
      </c>
      <c r="F479" t="str">
        <f>IF(OR(B479&lt;outliers!$B$7,B479&gt;outliers!$B$6),"Outlier","Normal")</f>
        <v>Normal</v>
      </c>
      <c r="G479" t="str">
        <f>IF(OR(C479&lt;outliers!$B$14,C479&gt;outliers!$B$13),"Outlier","Normal")</f>
        <v>Normal</v>
      </c>
      <c r="H479" t="str">
        <f>IF(OR(D479&lt;outliers!$B$21,D479&gt;outliers!$B$20),"Outlier","Normal")</f>
        <v>Normal</v>
      </c>
      <c r="I479" t="str">
        <f>IF(OR(E479&lt;outliers!$C$28,E479&gt;outliers!$B$27),"Outlier","Normal")</f>
        <v>Normal</v>
      </c>
      <c r="J479">
        <f t="shared" si="16"/>
        <v>2019</v>
      </c>
      <c r="K479" t="str">
        <f t="shared" si="15"/>
        <v>September</v>
      </c>
    </row>
    <row r="480" spans="1:11" x14ac:dyDescent="0.35">
      <c r="A480" s="1">
        <v>43718</v>
      </c>
      <c r="B480">
        <v>24.2</v>
      </c>
      <c r="C480">
        <v>20.6</v>
      </c>
      <c r="D480">
        <v>27.9</v>
      </c>
      <c r="E480">
        <v>0</v>
      </c>
      <c r="F480" t="str">
        <f>IF(OR(B480&lt;outliers!$B$7,B480&gt;outliers!$B$6),"Outlier","Normal")</f>
        <v>Normal</v>
      </c>
      <c r="G480" t="str">
        <f>IF(OR(C480&lt;outliers!$B$14,C480&gt;outliers!$B$13),"Outlier","Normal")</f>
        <v>Normal</v>
      </c>
      <c r="H480" t="str">
        <f>IF(OR(D480&lt;outliers!$B$21,D480&gt;outliers!$B$20),"Outlier","Normal")</f>
        <v>Normal</v>
      </c>
      <c r="I480" t="str">
        <f>IF(OR(E480&lt;outliers!$C$28,E480&gt;outliers!$B$27),"Outlier","Normal")</f>
        <v>Normal</v>
      </c>
      <c r="J480">
        <f t="shared" si="16"/>
        <v>2019</v>
      </c>
      <c r="K480" t="str">
        <f t="shared" si="15"/>
        <v>September</v>
      </c>
    </row>
    <row r="481" spans="1:11" x14ac:dyDescent="0.35">
      <c r="A481" s="1">
        <v>43720</v>
      </c>
      <c r="B481">
        <v>24</v>
      </c>
      <c r="C481">
        <v>21</v>
      </c>
      <c r="D481">
        <v>29.6</v>
      </c>
      <c r="E481">
        <v>0</v>
      </c>
      <c r="F481" t="str">
        <f>IF(OR(B481&lt;outliers!$B$7,B481&gt;outliers!$B$6),"Outlier","Normal")</f>
        <v>Normal</v>
      </c>
      <c r="G481" t="str">
        <f>IF(OR(C481&lt;outliers!$B$14,C481&gt;outliers!$B$13),"Outlier","Normal")</f>
        <v>Normal</v>
      </c>
      <c r="H481" t="str">
        <f>IF(OR(D481&lt;outliers!$B$21,D481&gt;outliers!$B$20),"Outlier","Normal")</f>
        <v>Normal</v>
      </c>
      <c r="I481" t="str">
        <f>IF(OR(E481&lt;outliers!$C$28,E481&gt;outliers!$B$27),"Outlier","Normal")</f>
        <v>Normal</v>
      </c>
      <c r="J481">
        <f t="shared" si="16"/>
        <v>2019</v>
      </c>
      <c r="K481" t="str">
        <f t="shared" si="15"/>
        <v>September</v>
      </c>
    </row>
    <row r="482" spans="1:11" x14ac:dyDescent="0.35">
      <c r="A482" s="1">
        <v>43721</v>
      </c>
      <c r="B482">
        <v>24.7</v>
      </c>
      <c r="C482">
        <v>21</v>
      </c>
      <c r="D482">
        <v>29.8</v>
      </c>
      <c r="E482">
        <v>0.5</v>
      </c>
      <c r="F482" t="str">
        <f>IF(OR(B482&lt;outliers!$B$7,B482&gt;outliers!$B$6),"Outlier","Normal")</f>
        <v>Normal</v>
      </c>
      <c r="G482" t="str">
        <f>IF(OR(C482&lt;outliers!$B$14,C482&gt;outliers!$B$13),"Outlier","Normal")</f>
        <v>Normal</v>
      </c>
      <c r="H482" t="str">
        <f>IF(OR(D482&lt;outliers!$B$21,D482&gt;outliers!$B$20),"Outlier","Normal")</f>
        <v>Normal</v>
      </c>
      <c r="I482" t="str">
        <f>IF(OR(E482&lt;outliers!$C$28,E482&gt;outliers!$B$27),"Outlier","Normal")</f>
        <v>Normal</v>
      </c>
      <c r="J482">
        <f t="shared" si="16"/>
        <v>2019</v>
      </c>
      <c r="K482" t="str">
        <f t="shared" si="15"/>
        <v>September</v>
      </c>
    </row>
    <row r="483" spans="1:11" x14ac:dyDescent="0.35">
      <c r="A483" s="1">
        <v>43722</v>
      </c>
      <c r="B483">
        <v>25.1</v>
      </c>
      <c r="C483">
        <v>21.2</v>
      </c>
      <c r="D483">
        <v>30.2</v>
      </c>
      <c r="E483">
        <v>0</v>
      </c>
      <c r="F483" t="str">
        <f>IF(OR(B483&lt;outliers!$B$7,B483&gt;outliers!$B$6),"Outlier","Normal")</f>
        <v>Normal</v>
      </c>
      <c r="G483" t="str">
        <f>IF(OR(C483&lt;outliers!$B$14,C483&gt;outliers!$B$13),"Outlier","Normal")</f>
        <v>Normal</v>
      </c>
      <c r="H483" t="str">
        <f>IF(OR(D483&lt;outliers!$B$21,D483&gt;outliers!$B$20),"Outlier","Normal")</f>
        <v>Normal</v>
      </c>
      <c r="I483" t="str">
        <f>IF(OR(E483&lt;outliers!$C$28,E483&gt;outliers!$B$27),"Outlier","Normal")</f>
        <v>Normal</v>
      </c>
      <c r="J483">
        <f t="shared" si="16"/>
        <v>2019</v>
      </c>
      <c r="K483" t="str">
        <f t="shared" si="15"/>
        <v>September</v>
      </c>
    </row>
    <row r="484" spans="1:11" x14ac:dyDescent="0.35">
      <c r="A484" s="1">
        <v>43723</v>
      </c>
      <c r="B484">
        <v>24.8</v>
      </c>
      <c r="C484">
        <v>21.3</v>
      </c>
      <c r="D484">
        <v>30.7</v>
      </c>
      <c r="E484">
        <v>0</v>
      </c>
      <c r="F484" t="str">
        <f>IF(OR(B484&lt;outliers!$B$7,B484&gt;outliers!$B$6),"Outlier","Normal")</f>
        <v>Normal</v>
      </c>
      <c r="G484" t="str">
        <f>IF(OR(C484&lt;outliers!$B$14,C484&gt;outliers!$B$13),"Outlier","Normal")</f>
        <v>Normal</v>
      </c>
      <c r="H484" t="str">
        <f>IF(OR(D484&lt;outliers!$B$21,D484&gt;outliers!$B$20),"Outlier","Normal")</f>
        <v>Normal</v>
      </c>
      <c r="I484" t="str">
        <f>IF(OR(E484&lt;outliers!$C$28,E484&gt;outliers!$B$27),"Outlier","Normal")</f>
        <v>Normal</v>
      </c>
      <c r="J484">
        <f t="shared" si="16"/>
        <v>2019</v>
      </c>
      <c r="K484" t="str">
        <f t="shared" si="15"/>
        <v>September</v>
      </c>
    </row>
    <row r="485" spans="1:11" x14ac:dyDescent="0.35">
      <c r="A485" s="1">
        <v>43724</v>
      </c>
      <c r="B485">
        <v>23.2</v>
      </c>
      <c r="C485">
        <v>20.2</v>
      </c>
      <c r="D485">
        <v>29.5</v>
      </c>
      <c r="E485">
        <v>0.3</v>
      </c>
      <c r="F485" t="str">
        <f>IF(OR(B485&lt;outliers!$B$7,B485&gt;outliers!$B$6),"Outlier","Normal")</f>
        <v>Normal</v>
      </c>
      <c r="G485" t="str">
        <f>IF(OR(C485&lt;outliers!$B$14,C485&gt;outliers!$B$13),"Outlier","Normal")</f>
        <v>Normal</v>
      </c>
      <c r="H485" t="str">
        <f>IF(OR(D485&lt;outliers!$B$21,D485&gt;outliers!$B$20),"Outlier","Normal")</f>
        <v>Normal</v>
      </c>
      <c r="I485" t="str">
        <f>IF(OR(E485&lt;outliers!$C$28,E485&gt;outliers!$B$27),"Outlier","Normal")</f>
        <v>Normal</v>
      </c>
      <c r="J485">
        <f t="shared" si="16"/>
        <v>2019</v>
      </c>
      <c r="K485" t="str">
        <f t="shared" si="15"/>
        <v>September</v>
      </c>
    </row>
    <row r="486" spans="1:11" hidden="1" x14ac:dyDescent="0.35">
      <c r="A486" s="1">
        <v>43725</v>
      </c>
      <c r="B486">
        <v>23.2</v>
      </c>
      <c r="C486">
        <v>20.2</v>
      </c>
      <c r="D486">
        <v>28.8</v>
      </c>
      <c r="E486">
        <v>30.7</v>
      </c>
      <c r="F486" t="str">
        <f>IF(OR(B486&lt;outliers!$B$7,B486&gt;outliers!$B$6),"Outlier","Normal")</f>
        <v>Normal</v>
      </c>
      <c r="G486" t="str">
        <f>IF(OR(C486&lt;outliers!$B$14,C486&gt;outliers!$B$13),"Outlier","Normal")</f>
        <v>Normal</v>
      </c>
      <c r="H486" t="str">
        <f>IF(OR(D486&lt;outliers!$B$21,D486&gt;outliers!$B$20),"Outlier","Normal")</f>
        <v>Normal</v>
      </c>
      <c r="I486" t="str">
        <f>IF(OR(E486&lt;outliers!$C$28,E486&gt;outliers!$B$27),"Outlier","Normal")</f>
        <v>Outlier</v>
      </c>
      <c r="J486">
        <f t="shared" si="16"/>
        <v>2019</v>
      </c>
      <c r="K486" t="str">
        <f t="shared" si="15"/>
        <v>September</v>
      </c>
    </row>
    <row r="487" spans="1:11" x14ac:dyDescent="0.35">
      <c r="A487" s="1">
        <v>43726</v>
      </c>
      <c r="B487">
        <v>23.9</v>
      </c>
      <c r="C487">
        <v>21.6</v>
      </c>
      <c r="D487">
        <v>27.8</v>
      </c>
      <c r="E487">
        <v>0.5</v>
      </c>
      <c r="F487" t="str">
        <f>IF(OR(B487&lt;outliers!$B$7,B487&gt;outliers!$B$6),"Outlier","Normal")</f>
        <v>Normal</v>
      </c>
      <c r="G487" t="str">
        <f>IF(OR(C487&lt;outliers!$B$14,C487&gt;outliers!$B$13),"Outlier","Normal")</f>
        <v>Normal</v>
      </c>
      <c r="H487" t="str">
        <f>IF(OR(D487&lt;outliers!$B$21,D487&gt;outliers!$B$20),"Outlier","Normal")</f>
        <v>Normal</v>
      </c>
      <c r="I487" t="str">
        <f>IF(OR(E487&lt;outliers!$C$28,E487&gt;outliers!$B$27),"Outlier","Normal")</f>
        <v>Normal</v>
      </c>
      <c r="J487">
        <f t="shared" si="16"/>
        <v>2019</v>
      </c>
      <c r="K487" t="str">
        <f t="shared" si="15"/>
        <v>September</v>
      </c>
    </row>
    <row r="488" spans="1:11" x14ac:dyDescent="0.35">
      <c r="A488" s="1">
        <v>43727</v>
      </c>
      <c r="B488">
        <v>24.2</v>
      </c>
      <c r="C488">
        <v>21.2</v>
      </c>
      <c r="D488">
        <v>27.8</v>
      </c>
      <c r="E488">
        <v>0.3</v>
      </c>
      <c r="F488" t="str">
        <f>IF(OR(B488&lt;outliers!$B$7,B488&gt;outliers!$B$6),"Outlier","Normal")</f>
        <v>Normal</v>
      </c>
      <c r="G488" t="str">
        <f>IF(OR(C488&lt;outliers!$B$14,C488&gt;outliers!$B$13),"Outlier","Normal")</f>
        <v>Normal</v>
      </c>
      <c r="H488" t="str">
        <f>IF(OR(D488&lt;outliers!$B$21,D488&gt;outliers!$B$20),"Outlier","Normal")</f>
        <v>Normal</v>
      </c>
      <c r="I488" t="str">
        <f>IF(OR(E488&lt;outliers!$C$28,E488&gt;outliers!$B$27),"Outlier","Normal")</f>
        <v>Normal</v>
      </c>
      <c r="J488">
        <f t="shared" si="16"/>
        <v>2019</v>
      </c>
      <c r="K488" t="str">
        <f t="shared" si="15"/>
        <v>September</v>
      </c>
    </row>
    <row r="489" spans="1:11" x14ac:dyDescent="0.35">
      <c r="A489" s="1">
        <v>43728</v>
      </c>
      <c r="B489">
        <v>24.2</v>
      </c>
      <c r="C489">
        <v>20.6</v>
      </c>
      <c r="D489">
        <v>29</v>
      </c>
      <c r="E489">
        <v>1.8</v>
      </c>
      <c r="F489" t="str">
        <f>IF(OR(B489&lt;outliers!$B$7,B489&gt;outliers!$B$6),"Outlier","Normal")</f>
        <v>Normal</v>
      </c>
      <c r="G489" t="str">
        <f>IF(OR(C489&lt;outliers!$B$14,C489&gt;outliers!$B$13),"Outlier","Normal")</f>
        <v>Normal</v>
      </c>
      <c r="H489" t="str">
        <f>IF(OR(D489&lt;outliers!$B$21,D489&gt;outliers!$B$20),"Outlier","Normal")</f>
        <v>Normal</v>
      </c>
      <c r="I489" t="str">
        <f>IF(OR(E489&lt;outliers!$C$28,E489&gt;outliers!$B$27),"Outlier","Normal")</f>
        <v>Normal</v>
      </c>
      <c r="J489">
        <f t="shared" si="16"/>
        <v>2019</v>
      </c>
      <c r="K489" t="str">
        <f t="shared" si="15"/>
        <v>September</v>
      </c>
    </row>
    <row r="490" spans="1:11" x14ac:dyDescent="0.35">
      <c r="A490" s="1">
        <v>43729</v>
      </c>
      <c r="B490">
        <v>25.2</v>
      </c>
      <c r="C490">
        <v>21.2</v>
      </c>
      <c r="D490">
        <v>29.8</v>
      </c>
      <c r="E490">
        <v>0</v>
      </c>
      <c r="F490" t="str">
        <f>IF(OR(B490&lt;outliers!$B$7,B490&gt;outliers!$B$6),"Outlier","Normal")</f>
        <v>Normal</v>
      </c>
      <c r="G490" t="str">
        <f>IF(OR(C490&lt;outliers!$B$14,C490&gt;outliers!$B$13),"Outlier","Normal")</f>
        <v>Normal</v>
      </c>
      <c r="H490" t="str">
        <f>IF(OR(D490&lt;outliers!$B$21,D490&gt;outliers!$B$20),"Outlier","Normal")</f>
        <v>Normal</v>
      </c>
      <c r="I490" t="str">
        <f>IF(OR(E490&lt;outliers!$C$28,E490&gt;outliers!$B$27),"Outlier","Normal")</f>
        <v>Normal</v>
      </c>
      <c r="J490">
        <f t="shared" si="16"/>
        <v>2019</v>
      </c>
      <c r="K490" t="str">
        <f t="shared" si="15"/>
        <v>September</v>
      </c>
    </row>
    <row r="491" spans="1:11" x14ac:dyDescent="0.35">
      <c r="A491" s="1">
        <v>43730</v>
      </c>
      <c r="B491">
        <v>23.2</v>
      </c>
      <c r="C491">
        <v>21.2</v>
      </c>
      <c r="D491">
        <v>30.8</v>
      </c>
      <c r="E491">
        <v>7.9</v>
      </c>
      <c r="F491" t="str">
        <f>IF(OR(B491&lt;outliers!$B$7,B491&gt;outliers!$B$6),"Outlier","Normal")</f>
        <v>Normal</v>
      </c>
      <c r="G491" t="str">
        <f>IF(OR(C491&lt;outliers!$B$14,C491&gt;outliers!$B$13),"Outlier","Normal")</f>
        <v>Normal</v>
      </c>
      <c r="H491" t="str">
        <f>IF(OR(D491&lt;outliers!$B$21,D491&gt;outliers!$B$20),"Outlier","Normal")</f>
        <v>Normal</v>
      </c>
      <c r="I491" t="str">
        <f>IF(OR(E491&lt;outliers!$C$28,E491&gt;outliers!$B$27),"Outlier","Normal")</f>
        <v>Normal</v>
      </c>
      <c r="J491">
        <f t="shared" si="16"/>
        <v>2019</v>
      </c>
      <c r="K491" t="str">
        <f t="shared" si="15"/>
        <v>September</v>
      </c>
    </row>
    <row r="492" spans="1:11" hidden="1" x14ac:dyDescent="0.35">
      <c r="A492" s="1">
        <v>43731</v>
      </c>
      <c r="B492">
        <v>23.7</v>
      </c>
      <c r="C492">
        <v>20.6</v>
      </c>
      <c r="D492">
        <v>28.8</v>
      </c>
      <c r="E492">
        <v>13</v>
      </c>
      <c r="F492" t="str">
        <f>IF(OR(B492&lt;outliers!$B$7,B492&gt;outliers!$B$6),"Outlier","Normal")</f>
        <v>Normal</v>
      </c>
      <c r="G492" t="str">
        <f>IF(OR(C492&lt;outliers!$B$14,C492&gt;outliers!$B$13),"Outlier","Normal")</f>
        <v>Normal</v>
      </c>
      <c r="H492" t="str">
        <f>IF(OR(D492&lt;outliers!$B$21,D492&gt;outliers!$B$20),"Outlier","Normal")</f>
        <v>Normal</v>
      </c>
      <c r="I492" t="str">
        <f>IF(OR(E492&lt;outliers!$C$28,E492&gt;outliers!$B$27),"Outlier","Normal")</f>
        <v>Outlier</v>
      </c>
      <c r="J492">
        <f t="shared" si="16"/>
        <v>2019</v>
      </c>
      <c r="K492" t="str">
        <f t="shared" si="15"/>
        <v>September</v>
      </c>
    </row>
    <row r="493" spans="1:11" hidden="1" x14ac:dyDescent="0.35">
      <c r="A493" s="1">
        <v>43732</v>
      </c>
      <c r="B493">
        <v>23.5</v>
      </c>
      <c r="C493">
        <v>19.7</v>
      </c>
      <c r="D493">
        <v>28.7</v>
      </c>
      <c r="E493">
        <v>29.7</v>
      </c>
      <c r="F493" t="str">
        <f>IF(OR(B493&lt;outliers!$B$7,B493&gt;outliers!$B$6),"Outlier","Normal")</f>
        <v>Normal</v>
      </c>
      <c r="G493" t="str">
        <f>IF(OR(C493&lt;outliers!$B$14,C493&gt;outliers!$B$13),"Outlier","Normal")</f>
        <v>Normal</v>
      </c>
      <c r="H493" t="str">
        <f>IF(OR(D493&lt;outliers!$B$21,D493&gt;outliers!$B$20),"Outlier","Normal")</f>
        <v>Normal</v>
      </c>
      <c r="I493" t="str">
        <f>IF(OR(E493&lt;outliers!$C$28,E493&gt;outliers!$B$27),"Outlier","Normal")</f>
        <v>Outlier</v>
      </c>
      <c r="J493">
        <f t="shared" si="16"/>
        <v>2019</v>
      </c>
      <c r="K493" t="str">
        <f t="shared" si="15"/>
        <v>September</v>
      </c>
    </row>
    <row r="494" spans="1:11" hidden="1" x14ac:dyDescent="0.35">
      <c r="A494" s="1">
        <v>43733</v>
      </c>
      <c r="B494">
        <v>23.2</v>
      </c>
      <c r="C494">
        <v>20.8</v>
      </c>
      <c r="D494">
        <v>28.8</v>
      </c>
      <c r="E494">
        <v>23.6</v>
      </c>
      <c r="F494" t="str">
        <f>IF(OR(B494&lt;outliers!$B$7,B494&gt;outliers!$B$6),"Outlier","Normal")</f>
        <v>Normal</v>
      </c>
      <c r="G494" t="str">
        <f>IF(OR(C494&lt;outliers!$B$14,C494&gt;outliers!$B$13),"Outlier","Normal")</f>
        <v>Normal</v>
      </c>
      <c r="H494" t="str">
        <f>IF(OR(D494&lt;outliers!$B$21,D494&gt;outliers!$B$20),"Outlier","Normal")</f>
        <v>Normal</v>
      </c>
      <c r="I494" t="str">
        <f>IF(OR(E494&lt;outliers!$C$28,E494&gt;outliers!$B$27),"Outlier","Normal")</f>
        <v>Outlier</v>
      </c>
      <c r="J494">
        <f t="shared" si="16"/>
        <v>2019</v>
      </c>
      <c r="K494" t="str">
        <f t="shared" si="15"/>
        <v>September</v>
      </c>
    </row>
    <row r="495" spans="1:11" x14ac:dyDescent="0.35">
      <c r="A495" s="1">
        <v>43734</v>
      </c>
      <c r="B495">
        <v>23.9</v>
      </c>
      <c r="C495">
        <v>20.2</v>
      </c>
      <c r="D495">
        <v>28</v>
      </c>
      <c r="E495">
        <v>1.8</v>
      </c>
      <c r="F495" t="str">
        <f>IF(OR(B495&lt;outliers!$B$7,B495&gt;outliers!$B$6),"Outlier","Normal")</f>
        <v>Normal</v>
      </c>
      <c r="G495" t="str">
        <f>IF(OR(C495&lt;outliers!$B$14,C495&gt;outliers!$B$13),"Outlier","Normal")</f>
        <v>Normal</v>
      </c>
      <c r="H495" t="str">
        <f>IF(OR(D495&lt;outliers!$B$21,D495&gt;outliers!$B$20),"Outlier","Normal")</f>
        <v>Normal</v>
      </c>
      <c r="I495" t="str">
        <f>IF(OR(E495&lt;outliers!$C$28,E495&gt;outliers!$B$27),"Outlier","Normal")</f>
        <v>Normal</v>
      </c>
      <c r="J495">
        <f t="shared" si="16"/>
        <v>2019</v>
      </c>
      <c r="K495" t="str">
        <f t="shared" si="15"/>
        <v>September</v>
      </c>
    </row>
    <row r="496" spans="1:11" x14ac:dyDescent="0.35">
      <c r="A496" s="1">
        <v>43735</v>
      </c>
      <c r="B496">
        <v>23.9</v>
      </c>
      <c r="C496">
        <v>21</v>
      </c>
      <c r="D496">
        <v>29.8</v>
      </c>
      <c r="E496">
        <v>0</v>
      </c>
      <c r="F496" t="str">
        <f>IF(OR(B496&lt;outliers!$B$7,B496&gt;outliers!$B$6),"Outlier","Normal")</f>
        <v>Normal</v>
      </c>
      <c r="G496" t="str">
        <f>IF(OR(C496&lt;outliers!$B$14,C496&gt;outliers!$B$13),"Outlier","Normal")</f>
        <v>Normal</v>
      </c>
      <c r="H496" t="str">
        <f>IF(OR(D496&lt;outliers!$B$21,D496&gt;outliers!$B$20),"Outlier","Normal")</f>
        <v>Normal</v>
      </c>
      <c r="I496" t="str">
        <f>IF(OR(E496&lt;outliers!$C$28,E496&gt;outliers!$B$27),"Outlier","Normal")</f>
        <v>Normal</v>
      </c>
      <c r="J496">
        <f t="shared" si="16"/>
        <v>2019</v>
      </c>
      <c r="K496" t="str">
        <f t="shared" si="15"/>
        <v>September</v>
      </c>
    </row>
    <row r="497" spans="1:11" x14ac:dyDescent="0.35">
      <c r="A497" s="1">
        <v>43736</v>
      </c>
      <c r="B497">
        <v>24.7</v>
      </c>
      <c r="C497">
        <v>21.1</v>
      </c>
      <c r="D497">
        <v>29.1</v>
      </c>
      <c r="E497">
        <v>6.1</v>
      </c>
      <c r="F497" t="str">
        <f>IF(OR(B497&lt;outliers!$B$7,B497&gt;outliers!$B$6),"Outlier","Normal")</f>
        <v>Normal</v>
      </c>
      <c r="G497" t="str">
        <f>IF(OR(C497&lt;outliers!$B$14,C497&gt;outliers!$B$13),"Outlier","Normal")</f>
        <v>Normal</v>
      </c>
      <c r="H497" t="str">
        <f>IF(OR(D497&lt;outliers!$B$21,D497&gt;outliers!$B$20),"Outlier","Normal")</f>
        <v>Normal</v>
      </c>
      <c r="I497" t="str">
        <f>IF(OR(E497&lt;outliers!$C$28,E497&gt;outliers!$B$27),"Outlier","Normal")</f>
        <v>Normal</v>
      </c>
      <c r="J497">
        <f t="shared" si="16"/>
        <v>2019</v>
      </c>
      <c r="K497" t="str">
        <f t="shared" si="15"/>
        <v>September</v>
      </c>
    </row>
    <row r="498" spans="1:11" x14ac:dyDescent="0.35">
      <c r="A498" s="1">
        <v>43737</v>
      </c>
      <c r="B498">
        <v>24.7</v>
      </c>
      <c r="C498">
        <v>21.1</v>
      </c>
      <c r="D498">
        <v>30</v>
      </c>
      <c r="E498">
        <v>0</v>
      </c>
      <c r="F498" t="str">
        <f>IF(OR(B498&lt;outliers!$B$7,B498&gt;outliers!$B$6),"Outlier","Normal")</f>
        <v>Normal</v>
      </c>
      <c r="G498" t="str">
        <f>IF(OR(C498&lt;outliers!$B$14,C498&gt;outliers!$B$13),"Outlier","Normal")</f>
        <v>Normal</v>
      </c>
      <c r="H498" t="str">
        <f>IF(OR(D498&lt;outliers!$B$21,D498&gt;outliers!$B$20),"Outlier","Normal")</f>
        <v>Normal</v>
      </c>
      <c r="I498" t="str">
        <f>IF(OR(E498&lt;outliers!$C$28,E498&gt;outliers!$B$27),"Outlier","Normal")</f>
        <v>Normal</v>
      </c>
      <c r="J498">
        <f t="shared" si="16"/>
        <v>2019</v>
      </c>
      <c r="K498" t="str">
        <f t="shared" si="15"/>
        <v>September</v>
      </c>
    </row>
    <row r="499" spans="1:11" hidden="1" x14ac:dyDescent="0.35">
      <c r="A499" s="1">
        <v>43740</v>
      </c>
      <c r="B499">
        <v>23.8</v>
      </c>
      <c r="C499">
        <v>18.600000000000001</v>
      </c>
      <c r="D499">
        <v>29.1</v>
      </c>
      <c r="E499">
        <v>22.1</v>
      </c>
      <c r="F499" t="str">
        <f>IF(OR(B499&lt;outliers!$B$7,B499&gt;outliers!$B$6),"Outlier","Normal")</f>
        <v>Normal</v>
      </c>
      <c r="G499" t="str">
        <f>IF(OR(C499&lt;outliers!$B$14,C499&gt;outliers!$B$13),"Outlier","Normal")</f>
        <v>Normal</v>
      </c>
      <c r="H499" t="str">
        <f>IF(OR(D499&lt;outliers!$B$21,D499&gt;outliers!$B$20),"Outlier","Normal")</f>
        <v>Normal</v>
      </c>
      <c r="I499" t="str">
        <f>IF(OR(E499&lt;outliers!$C$28,E499&gt;outliers!$B$27),"Outlier","Normal")</f>
        <v>Outlier</v>
      </c>
      <c r="J499">
        <f t="shared" si="16"/>
        <v>2019</v>
      </c>
      <c r="K499" t="str">
        <f t="shared" si="15"/>
        <v>September</v>
      </c>
    </row>
    <row r="500" spans="1:11" x14ac:dyDescent="0.35">
      <c r="A500" s="1">
        <v>43741</v>
      </c>
      <c r="B500">
        <v>23.5</v>
      </c>
      <c r="C500">
        <v>19.2</v>
      </c>
      <c r="D500">
        <v>30.4</v>
      </c>
      <c r="E500">
        <v>7.9</v>
      </c>
      <c r="F500" t="str">
        <f>IF(OR(B500&lt;outliers!$B$7,B500&gt;outliers!$B$6),"Outlier","Normal")</f>
        <v>Normal</v>
      </c>
      <c r="G500" t="str">
        <f>IF(OR(C500&lt;outliers!$B$14,C500&gt;outliers!$B$13),"Outlier","Normal")</f>
        <v>Normal</v>
      </c>
      <c r="H500" t="str">
        <f>IF(OR(D500&lt;outliers!$B$21,D500&gt;outliers!$B$20),"Outlier","Normal")</f>
        <v>Normal</v>
      </c>
      <c r="I500" t="str">
        <f>IF(OR(E500&lt;outliers!$C$28,E500&gt;outliers!$B$27),"Outlier","Normal")</f>
        <v>Normal</v>
      </c>
      <c r="J500">
        <f t="shared" si="16"/>
        <v>2019</v>
      </c>
      <c r="K500" t="str">
        <f t="shared" si="15"/>
        <v>October</v>
      </c>
    </row>
    <row r="501" spans="1:11" x14ac:dyDescent="0.35">
      <c r="A501" s="1">
        <v>43742</v>
      </c>
      <c r="B501">
        <v>23</v>
      </c>
      <c r="C501">
        <v>19.600000000000001</v>
      </c>
      <c r="D501">
        <v>28.3</v>
      </c>
      <c r="E501">
        <v>2.2999999999999998</v>
      </c>
      <c r="F501" t="str">
        <f>IF(OR(B501&lt;outliers!$B$7,B501&gt;outliers!$B$6),"Outlier","Normal")</f>
        <v>Normal</v>
      </c>
      <c r="G501" t="str">
        <f>IF(OR(C501&lt;outliers!$B$14,C501&gt;outliers!$B$13),"Outlier","Normal")</f>
        <v>Normal</v>
      </c>
      <c r="H501" t="str">
        <f>IF(OR(D501&lt;outliers!$B$21,D501&gt;outliers!$B$20),"Outlier","Normal")</f>
        <v>Normal</v>
      </c>
      <c r="I501" t="str">
        <f>IF(OR(E501&lt;outliers!$C$28,E501&gt;outliers!$B$27),"Outlier","Normal")</f>
        <v>Normal</v>
      </c>
      <c r="J501">
        <f t="shared" si="16"/>
        <v>2019</v>
      </c>
      <c r="K501" t="str">
        <f t="shared" si="15"/>
        <v>October</v>
      </c>
    </row>
    <row r="502" spans="1:11" x14ac:dyDescent="0.35">
      <c r="A502" s="1">
        <v>43743</v>
      </c>
      <c r="B502">
        <v>23.5</v>
      </c>
      <c r="C502">
        <v>19.899999999999999</v>
      </c>
      <c r="D502">
        <v>29.4</v>
      </c>
      <c r="E502">
        <v>8.6</v>
      </c>
      <c r="F502" t="str">
        <f>IF(OR(B502&lt;outliers!$B$7,B502&gt;outliers!$B$6),"Outlier","Normal")</f>
        <v>Normal</v>
      </c>
      <c r="G502" t="str">
        <f>IF(OR(C502&lt;outliers!$B$14,C502&gt;outliers!$B$13),"Outlier","Normal")</f>
        <v>Normal</v>
      </c>
      <c r="H502" t="str">
        <f>IF(OR(D502&lt;outliers!$B$21,D502&gt;outliers!$B$20),"Outlier","Normal")</f>
        <v>Normal</v>
      </c>
      <c r="I502" t="str">
        <f>IF(OR(E502&lt;outliers!$C$28,E502&gt;outliers!$B$27),"Outlier","Normal")</f>
        <v>Normal</v>
      </c>
      <c r="J502">
        <f t="shared" si="16"/>
        <v>2019</v>
      </c>
      <c r="K502" t="str">
        <f t="shared" si="15"/>
        <v>October</v>
      </c>
    </row>
    <row r="503" spans="1:11" x14ac:dyDescent="0.35">
      <c r="A503" s="1">
        <v>43744</v>
      </c>
      <c r="B503">
        <v>24.3</v>
      </c>
      <c r="C503">
        <v>20.6</v>
      </c>
      <c r="D503">
        <v>28.7</v>
      </c>
      <c r="E503">
        <v>0.5</v>
      </c>
      <c r="F503" t="str">
        <f>IF(OR(B503&lt;outliers!$B$7,B503&gt;outliers!$B$6),"Outlier","Normal")</f>
        <v>Normal</v>
      </c>
      <c r="G503" t="str">
        <f>IF(OR(C503&lt;outliers!$B$14,C503&gt;outliers!$B$13),"Outlier","Normal")</f>
        <v>Normal</v>
      </c>
      <c r="H503" t="str">
        <f>IF(OR(D503&lt;outliers!$B$21,D503&gt;outliers!$B$20),"Outlier","Normal")</f>
        <v>Normal</v>
      </c>
      <c r="I503" t="str">
        <f>IF(OR(E503&lt;outliers!$C$28,E503&gt;outliers!$B$27),"Outlier","Normal")</f>
        <v>Normal</v>
      </c>
      <c r="J503">
        <f t="shared" si="16"/>
        <v>2019</v>
      </c>
      <c r="K503" t="str">
        <f t="shared" si="15"/>
        <v>October</v>
      </c>
    </row>
    <row r="504" spans="1:11" x14ac:dyDescent="0.35">
      <c r="A504" s="1">
        <v>43745</v>
      </c>
      <c r="B504">
        <v>24.1</v>
      </c>
      <c r="C504">
        <v>21.3</v>
      </c>
      <c r="D504">
        <v>29.6</v>
      </c>
      <c r="E504">
        <v>0</v>
      </c>
      <c r="F504" t="str">
        <f>IF(OR(B504&lt;outliers!$B$7,B504&gt;outliers!$B$6),"Outlier","Normal")</f>
        <v>Normal</v>
      </c>
      <c r="G504" t="str">
        <f>IF(OR(C504&lt;outliers!$B$14,C504&gt;outliers!$B$13),"Outlier","Normal")</f>
        <v>Normal</v>
      </c>
      <c r="H504" t="str">
        <f>IF(OR(D504&lt;outliers!$B$21,D504&gt;outliers!$B$20),"Outlier","Normal")</f>
        <v>Normal</v>
      </c>
      <c r="I504" t="str">
        <f>IF(OR(E504&lt;outliers!$C$28,E504&gt;outliers!$B$27),"Outlier","Normal")</f>
        <v>Normal</v>
      </c>
      <c r="J504">
        <f t="shared" si="16"/>
        <v>2019</v>
      </c>
      <c r="K504" t="str">
        <f t="shared" si="15"/>
        <v>October</v>
      </c>
    </row>
    <row r="505" spans="1:11" x14ac:dyDescent="0.35">
      <c r="A505" s="1">
        <v>43746</v>
      </c>
      <c r="B505">
        <v>23.3</v>
      </c>
      <c r="C505">
        <v>19.2</v>
      </c>
      <c r="D505">
        <v>29.2</v>
      </c>
      <c r="E505">
        <v>0</v>
      </c>
      <c r="F505" t="str">
        <f>IF(OR(B505&lt;outliers!$B$7,B505&gt;outliers!$B$6),"Outlier","Normal")</f>
        <v>Normal</v>
      </c>
      <c r="G505" t="str">
        <f>IF(OR(C505&lt;outliers!$B$14,C505&gt;outliers!$B$13),"Outlier","Normal")</f>
        <v>Normal</v>
      </c>
      <c r="H505" t="str">
        <f>IF(OR(D505&lt;outliers!$B$21,D505&gt;outliers!$B$20),"Outlier","Normal")</f>
        <v>Normal</v>
      </c>
      <c r="I505" t="str">
        <f>IF(OR(E505&lt;outliers!$C$28,E505&gt;outliers!$B$27),"Outlier","Normal")</f>
        <v>Normal</v>
      </c>
      <c r="J505">
        <f t="shared" si="16"/>
        <v>2019</v>
      </c>
      <c r="K505" t="str">
        <f t="shared" si="15"/>
        <v>October</v>
      </c>
    </row>
    <row r="506" spans="1:11" x14ac:dyDescent="0.35">
      <c r="A506" s="1">
        <v>43747</v>
      </c>
      <c r="B506">
        <v>24.3</v>
      </c>
      <c r="C506">
        <v>19.3</v>
      </c>
      <c r="D506">
        <v>30.1</v>
      </c>
      <c r="E506">
        <v>5.6</v>
      </c>
      <c r="F506" t="str">
        <f>IF(OR(B506&lt;outliers!$B$7,B506&gt;outliers!$B$6),"Outlier","Normal")</f>
        <v>Normal</v>
      </c>
      <c r="G506" t="str">
        <f>IF(OR(C506&lt;outliers!$B$14,C506&gt;outliers!$B$13),"Outlier","Normal")</f>
        <v>Normal</v>
      </c>
      <c r="H506" t="str">
        <f>IF(OR(D506&lt;outliers!$B$21,D506&gt;outliers!$B$20),"Outlier","Normal")</f>
        <v>Normal</v>
      </c>
      <c r="I506" t="str">
        <f>IF(OR(E506&lt;outliers!$C$28,E506&gt;outliers!$B$27),"Outlier","Normal")</f>
        <v>Normal</v>
      </c>
      <c r="J506">
        <f t="shared" si="16"/>
        <v>2019</v>
      </c>
      <c r="K506" t="str">
        <f t="shared" si="15"/>
        <v>October</v>
      </c>
    </row>
    <row r="507" spans="1:11" x14ac:dyDescent="0.35">
      <c r="A507" s="1">
        <v>43748</v>
      </c>
      <c r="B507">
        <v>24.7</v>
      </c>
      <c r="C507">
        <v>20.7</v>
      </c>
      <c r="D507">
        <v>30</v>
      </c>
      <c r="E507">
        <v>0</v>
      </c>
      <c r="F507" t="str">
        <f>IF(OR(B507&lt;outliers!$B$7,B507&gt;outliers!$B$6),"Outlier","Normal")</f>
        <v>Normal</v>
      </c>
      <c r="G507" t="str">
        <f>IF(OR(C507&lt;outliers!$B$14,C507&gt;outliers!$B$13),"Outlier","Normal")</f>
        <v>Normal</v>
      </c>
      <c r="H507" t="str">
        <f>IF(OR(D507&lt;outliers!$B$21,D507&gt;outliers!$B$20),"Outlier","Normal")</f>
        <v>Normal</v>
      </c>
      <c r="I507" t="str">
        <f>IF(OR(E507&lt;outliers!$C$28,E507&gt;outliers!$B$27),"Outlier","Normal")</f>
        <v>Normal</v>
      </c>
      <c r="J507">
        <f t="shared" si="16"/>
        <v>2019</v>
      </c>
      <c r="K507" t="str">
        <f t="shared" si="15"/>
        <v>October</v>
      </c>
    </row>
    <row r="508" spans="1:11" x14ac:dyDescent="0.35">
      <c r="A508" s="1">
        <v>43749</v>
      </c>
      <c r="B508">
        <v>24.4</v>
      </c>
      <c r="C508">
        <v>21.8</v>
      </c>
      <c r="D508">
        <v>30</v>
      </c>
      <c r="E508">
        <v>0</v>
      </c>
      <c r="F508" t="str">
        <f>IF(OR(B508&lt;outliers!$B$7,B508&gt;outliers!$B$6),"Outlier","Normal")</f>
        <v>Normal</v>
      </c>
      <c r="G508" t="str">
        <f>IF(OR(C508&lt;outliers!$B$14,C508&gt;outliers!$B$13),"Outlier","Normal")</f>
        <v>Normal</v>
      </c>
      <c r="H508" t="str">
        <f>IF(OR(D508&lt;outliers!$B$21,D508&gt;outliers!$B$20),"Outlier","Normal")</f>
        <v>Normal</v>
      </c>
      <c r="I508" t="str">
        <f>IF(OR(E508&lt;outliers!$C$28,E508&gt;outliers!$B$27),"Outlier","Normal")</f>
        <v>Normal</v>
      </c>
      <c r="J508">
        <f t="shared" si="16"/>
        <v>2019</v>
      </c>
      <c r="K508" t="str">
        <f t="shared" si="15"/>
        <v>October</v>
      </c>
    </row>
    <row r="509" spans="1:11" x14ac:dyDescent="0.35">
      <c r="A509" s="1">
        <v>43750</v>
      </c>
      <c r="B509">
        <v>25</v>
      </c>
      <c r="C509">
        <v>21.5</v>
      </c>
      <c r="D509">
        <v>29.6</v>
      </c>
      <c r="E509">
        <v>0.5</v>
      </c>
      <c r="F509" t="str">
        <f>IF(OR(B509&lt;outliers!$B$7,B509&gt;outliers!$B$6),"Outlier","Normal")</f>
        <v>Normal</v>
      </c>
      <c r="G509" t="str">
        <f>IF(OR(C509&lt;outliers!$B$14,C509&gt;outliers!$B$13),"Outlier","Normal")</f>
        <v>Normal</v>
      </c>
      <c r="H509" t="str">
        <f>IF(OR(D509&lt;outliers!$B$21,D509&gt;outliers!$B$20),"Outlier","Normal")</f>
        <v>Normal</v>
      </c>
      <c r="I509" t="str">
        <f>IF(OR(E509&lt;outliers!$C$28,E509&gt;outliers!$B$27),"Outlier","Normal")</f>
        <v>Normal</v>
      </c>
      <c r="J509">
        <f t="shared" si="16"/>
        <v>2019</v>
      </c>
      <c r="K509" t="str">
        <f t="shared" si="15"/>
        <v>October</v>
      </c>
    </row>
    <row r="510" spans="1:11" x14ac:dyDescent="0.35">
      <c r="A510" s="1">
        <v>43751</v>
      </c>
      <c r="B510">
        <v>24.9</v>
      </c>
      <c r="C510">
        <v>21.5</v>
      </c>
      <c r="D510">
        <v>29.8</v>
      </c>
      <c r="E510">
        <v>0</v>
      </c>
      <c r="F510" t="str">
        <f>IF(OR(B510&lt;outliers!$B$7,B510&gt;outliers!$B$6),"Outlier","Normal")</f>
        <v>Normal</v>
      </c>
      <c r="G510" t="str">
        <f>IF(OR(C510&lt;outliers!$B$14,C510&gt;outliers!$B$13),"Outlier","Normal")</f>
        <v>Normal</v>
      </c>
      <c r="H510" t="str">
        <f>IF(OR(D510&lt;outliers!$B$21,D510&gt;outliers!$B$20),"Outlier","Normal")</f>
        <v>Normal</v>
      </c>
      <c r="I510" t="str">
        <f>IF(OR(E510&lt;outliers!$C$28,E510&gt;outliers!$B$27),"Outlier","Normal")</f>
        <v>Normal</v>
      </c>
      <c r="J510">
        <f t="shared" si="16"/>
        <v>2019</v>
      </c>
      <c r="K510" t="str">
        <f t="shared" si="15"/>
        <v>October</v>
      </c>
    </row>
    <row r="511" spans="1:11" x14ac:dyDescent="0.35">
      <c r="A511" s="1">
        <v>43752</v>
      </c>
      <c r="B511">
        <v>26.7</v>
      </c>
      <c r="C511">
        <v>21.6</v>
      </c>
      <c r="D511">
        <v>29.6</v>
      </c>
      <c r="E511">
        <v>0</v>
      </c>
      <c r="F511" t="str">
        <f>IF(OR(B511&lt;outliers!$B$7,B511&gt;outliers!$B$6),"Outlier","Normal")</f>
        <v>Normal</v>
      </c>
      <c r="G511" t="str">
        <f>IF(OR(C511&lt;outliers!$B$14,C511&gt;outliers!$B$13),"Outlier","Normal")</f>
        <v>Normal</v>
      </c>
      <c r="H511" t="str">
        <f>IF(OR(D511&lt;outliers!$B$21,D511&gt;outliers!$B$20),"Outlier","Normal")</f>
        <v>Normal</v>
      </c>
      <c r="I511" t="str">
        <f>IF(OR(E511&lt;outliers!$C$28,E511&gt;outliers!$B$27),"Outlier","Normal")</f>
        <v>Normal</v>
      </c>
      <c r="J511">
        <f t="shared" si="16"/>
        <v>2019</v>
      </c>
      <c r="K511" t="str">
        <f t="shared" si="15"/>
        <v>October</v>
      </c>
    </row>
    <row r="512" spans="1:11" x14ac:dyDescent="0.35">
      <c r="A512" s="1">
        <v>43753</v>
      </c>
      <c r="B512">
        <v>24.7</v>
      </c>
      <c r="C512">
        <v>21.6</v>
      </c>
      <c r="D512">
        <v>30.7</v>
      </c>
      <c r="E512">
        <v>0</v>
      </c>
      <c r="F512" t="str">
        <f>IF(OR(B512&lt;outliers!$B$7,B512&gt;outliers!$B$6),"Outlier","Normal")</f>
        <v>Normal</v>
      </c>
      <c r="G512" t="str">
        <f>IF(OR(C512&lt;outliers!$B$14,C512&gt;outliers!$B$13),"Outlier","Normal")</f>
        <v>Normal</v>
      </c>
      <c r="H512" t="str">
        <f>IF(OR(D512&lt;outliers!$B$21,D512&gt;outliers!$B$20),"Outlier","Normal")</f>
        <v>Normal</v>
      </c>
      <c r="I512" t="str">
        <f>IF(OR(E512&lt;outliers!$C$28,E512&gt;outliers!$B$27),"Outlier","Normal")</f>
        <v>Normal</v>
      </c>
      <c r="J512">
        <f t="shared" si="16"/>
        <v>2019</v>
      </c>
      <c r="K512" t="str">
        <f t="shared" si="15"/>
        <v>October</v>
      </c>
    </row>
    <row r="513" spans="1:11" x14ac:dyDescent="0.35">
      <c r="A513" s="1">
        <v>43754</v>
      </c>
      <c r="B513">
        <v>24.5</v>
      </c>
      <c r="C513">
        <v>21.2</v>
      </c>
      <c r="D513">
        <v>30</v>
      </c>
      <c r="E513">
        <v>0</v>
      </c>
      <c r="F513" t="str">
        <f>IF(OR(B513&lt;outliers!$B$7,B513&gt;outliers!$B$6),"Outlier","Normal")</f>
        <v>Normal</v>
      </c>
      <c r="G513" t="str">
        <f>IF(OR(C513&lt;outliers!$B$14,C513&gt;outliers!$B$13),"Outlier","Normal")</f>
        <v>Normal</v>
      </c>
      <c r="H513" t="str">
        <f>IF(OR(D513&lt;outliers!$B$21,D513&gt;outliers!$B$20),"Outlier","Normal")</f>
        <v>Normal</v>
      </c>
      <c r="I513" t="str">
        <f>IF(OR(E513&lt;outliers!$C$28,E513&gt;outliers!$B$27),"Outlier","Normal")</f>
        <v>Normal</v>
      </c>
      <c r="J513">
        <f t="shared" si="16"/>
        <v>2019</v>
      </c>
      <c r="K513" t="str">
        <f t="shared" si="15"/>
        <v>October</v>
      </c>
    </row>
    <row r="514" spans="1:11" x14ac:dyDescent="0.35">
      <c r="A514" s="1">
        <v>43755</v>
      </c>
      <c r="B514">
        <v>22.4</v>
      </c>
      <c r="C514">
        <v>20.8</v>
      </c>
      <c r="D514">
        <v>28.4</v>
      </c>
      <c r="E514">
        <v>0</v>
      </c>
      <c r="F514" t="str">
        <f>IF(OR(B514&lt;outliers!$B$7,B514&gt;outliers!$B$6),"Outlier","Normal")</f>
        <v>Normal</v>
      </c>
      <c r="G514" t="str">
        <f>IF(OR(C514&lt;outliers!$B$14,C514&gt;outliers!$B$13),"Outlier","Normal")</f>
        <v>Normal</v>
      </c>
      <c r="H514" t="str">
        <f>IF(OR(D514&lt;outliers!$B$21,D514&gt;outliers!$B$20),"Outlier","Normal")</f>
        <v>Normal</v>
      </c>
      <c r="I514" t="str">
        <f>IF(OR(E514&lt;outliers!$C$28,E514&gt;outliers!$B$27),"Outlier","Normal")</f>
        <v>Normal</v>
      </c>
      <c r="J514">
        <f t="shared" si="16"/>
        <v>2019</v>
      </c>
      <c r="K514" t="str">
        <f t="shared" ref="K514:K577" si="17">TEXT(A513,"mmmm")</f>
        <v>October</v>
      </c>
    </row>
    <row r="515" spans="1:11" x14ac:dyDescent="0.35">
      <c r="A515" s="1">
        <v>43756</v>
      </c>
      <c r="B515">
        <v>23</v>
      </c>
      <c r="C515">
        <v>20.2</v>
      </c>
      <c r="D515">
        <v>26.8</v>
      </c>
      <c r="E515">
        <v>3.8</v>
      </c>
      <c r="F515" t="str">
        <f>IF(OR(B515&lt;outliers!$B$7,B515&gt;outliers!$B$6),"Outlier","Normal")</f>
        <v>Normal</v>
      </c>
      <c r="G515" t="str">
        <f>IF(OR(C515&lt;outliers!$B$14,C515&gt;outliers!$B$13),"Outlier","Normal")</f>
        <v>Normal</v>
      </c>
      <c r="H515" t="str">
        <f>IF(OR(D515&lt;outliers!$B$21,D515&gt;outliers!$B$20),"Outlier","Normal")</f>
        <v>Normal</v>
      </c>
      <c r="I515" t="str">
        <f>IF(OR(E515&lt;outliers!$C$28,E515&gt;outliers!$B$27),"Outlier","Normal")</f>
        <v>Normal</v>
      </c>
      <c r="J515">
        <f t="shared" si="16"/>
        <v>2019</v>
      </c>
      <c r="K515" t="str">
        <f t="shared" si="17"/>
        <v>October</v>
      </c>
    </row>
    <row r="516" spans="1:11" x14ac:dyDescent="0.35">
      <c r="A516" s="1">
        <v>43757</v>
      </c>
      <c r="B516">
        <v>23.4</v>
      </c>
      <c r="C516">
        <v>20.2</v>
      </c>
      <c r="D516">
        <v>27.6</v>
      </c>
      <c r="E516">
        <v>8.9</v>
      </c>
      <c r="F516" t="str">
        <f>IF(OR(B516&lt;outliers!$B$7,B516&gt;outliers!$B$6),"Outlier","Normal")</f>
        <v>Normal</v>
      </c>
      <c r="G516" t="str">
        <f>IF(OR(C516&lt;outliers!$B$14,C516&gt;outliers!$B$13),"Outlier","Normal")</f>
        <v>Normal</v>
      </c>
      <c r="H516" t="str">
        <f>IF(OR(D516&lt;outliers!$B$21,D516&gt;outliers!$B$20),"Outlier","Normal")</f>
        <v>Normal</v>
      </c>
      <c r="I516" t="str">
        <f>IF(OR(E516&lt;outliers!$C$28,E516&gt;outliers!$B$27),"Outlier","Normal")</f>
        <v>Normal</v>
      </c>
      <c r="J516">
        <f t="shared" si="16"/>
        <v>2019</v>
      </c>
      <c r="K516" t="str">
        <f t="shared" si="17"/>
        <v>October</v>
      </c>
    </row>
    <row r="517" spans="1:11" x14ac:dyDescent="0.35">
      <c r="A517" s="1">
        <v>43758</v>
      </c>
      <c r="B517">
        <v>23.3</v>
      </c>
      <c r="C517">
        <v>21</v>
      </c>
      <c r="D517">
        <v>27.9</v>
      </c>
      <c r="E517">
        <v>0</v>
      </c>
      <c r="F517" t="str">
        <f>IF(OR(B517&lt;outliers!$B$7,B517&gt;outliers!$B$6),"Outlier","Normal")</f>
        <v>Normal</v>
      </c>
      <c r="G517" t="str">
        <f>IF(OR(C517&lt;outliers!$B$14,C517&gt;outliers!$B$13),"Outlier","Normal")</f>
        <v>Normal</v>
      </c>
      <c r="H517" t="str">
        <f>IF(OR(D517&lt;outliers!$B$21,D517&gt;outliers!$B$20),"Outlier","Normal")</f>
        <v>Normal</v>
      </c>
      <c r="I517" t="str">
        <f>IF(OR(E517&lt;outliers!$C$28,E517&gt;outliers!$B$27),"Outlier","Normal")</f>
        <v>Normal</v>
      </c>
      <c r="J517">
        <f t="shared" si="16"/>
        <v>2019</v>
      </c>
      <c r="K517" t="str">
        <f t="shared" si="17"/>
        <v>October</v>
      </c>
    </row>
    <row r="518" spans="1:11" x14ac:dyDescent="0.35">
      <c r="A518" s="1">
        <v>43759</v>
      </c>
      <c r="B518">
        <v>22.2</v>
      </c>
      <c r="C518">
        <v>20.6</v>
      </c>
      <c r="D518">
        <v>28.6</v>
      </c>
      <c r="E518">
        <v>7.9</v>
      </c>
      <c r="F518" t="str">
        <f>IF(OR(B518&lt;outliers!$B$7,B518&gt;outliers!$B$6),"Outlier","Normal")</f>
        <v>Normal</v>
      </c>
      <c r="G518" t="str">
        <f>IF(OR(C518&lt;outliers!$B$14,C518&gt;outliers!$B$13),"Outlier","Normal")</f>
        <v>Normal</v>
      </c>
      <c r="H518" t="str">
        <f>IF(OR(D518&lt;outliers!$B$21,D518&gt;outliers!$B$20),"Outlier","Normal")</f>
        <v>Normal</v>
      </c>
      <c r="I518" t="str">
        <f>IF(OR(E518&lt;outliers!$C$28,E518&gt;outliers!$B$27),"Outlier","Normal")</f>
        <v>Normal</v>
      </c>
      <c r="J518">
        <f t="shared" si="16"/>
        <v>2019</v>
      </c>
      <c r="K518" t="str">
        <f t="shared" si="17"/>
        <v>October</v>
      </c>
    </row>
    <row r="519" spans="1:11" hidden="1" x14ac:dyDescent="0.35">
      <c r="A519" s="1">
        <v>43760</v>
      </c>
      <c r="B519">
        <v>21.4</v>
      </c>
      <c r="C519">
        <v>20.3</v>
      </c>
      <c r="D519">
        <v>27.1</v>
      </c>
      <c r="E519">
        <v>38.9</v>
      </c>
      <c r="F519" t="str">
        <f>IF(OR(B519&lt;outliers!$B$7,B519&gt;outliers!$B$6),"Outlier","Normal")</f>
        <v>Normal</v>
      </c>
      <c r="G519" t="str">
        <f>IF(OR(C519&lt;outliers!$B$14,C519&gt;outliers!$B$13),"Outlier","Normal")</f>
        <v>Normal</v>
      </c>
      <c r="H519" t="str">
        <f>IF(OR(D519&lt;outliers!$B$21,D519&gt;outliers!$B$20),"Outlier","Normal")</f>
        <v>Normal</v>
      </c>
      <c r="I519" t="str">
        <f>IF(OR(E519&lt;outliers!$C$28,E519&gt;outliers!$B$27),"Outlier","Normal")</f>
        <v>Outlier</v>
      </c>
      <c r="J519">
        <f t="shared" si="16"/>
        <v>2019</v>
      </c>
      <c r="K519" t="str">
        <f t="shared" si="17"/>
        <v>October</v>
      </c>
    </row>
    <row r="520" spans="1:11" hidden="1" x14ac:dyDescent="0.35">
      <c r="A520" s="1">
        <v>43761</v>
      </c>
      <c r="B520">
        <v>22.8</v>
      </c>
      <c r="C520">
        <v>19.8</v>
      </c>
      <c r="D520">
        <v>28</v>
      </c>
      <c r="E520">
        <v>13.2</v>
      </c>
      <c r="F520" t="str">
        <f>IF(OR(B520&lt;outliers!$B$7,B520&gt;outliers!$B$6),"Outlier","Normal")</f>
        <v>Normal</v>
      </c>
      <c r="G520" t="str">
        <f>IF(OR(C520&lt;outliers!$B$14,C520&gt;outliers!$B$13),"Outlier","Normal")</f>
        <v>Normal</v>
      </c>
      <c r="H520" t="str">
        <f>IF(OR(D520&lt;outliers!$B$21,D520&gt;outliers!$B$20),"Outlier","Normal")</f>
        <v>Normal</v>
      </c>
      <c r="I520" t="str">
        <f>IF(OR(E520&lt;outliers!$C$28,E520&gt;outliers!$B$27),"Outlier","Normal")</f>
        <v>Outlier</v>
      </c>
      <c r="J520">
        <f t="shared" si="16"/>
        <v>2019</v>
      </c>
      <c r="K520" t="str">
        <f t="shared" si="17"/>
        <v>October</v>
      </c>
    </row>
    <row r="521" spans="1:11" x14ac:dyDescent="0.35">
      <c r="A521" s="1">
        <v>43762</v>
      </c>
      <c r="B521">
        <v>22.5</v>
      </c>
      <c r="C521">
        <v>20</v>
      </c>
      <c r="D521">
        <v>27.6</v>
      </c>
      <c r="E521">
        <v>0</v>
      </c>
      <c r="F521" t="str">
        <f>IF(OR(B521&lt;outliers!$B$7,B521&gt;outliers!$B$6),"Outlier","Normal")</f>
        <v>Normal</v>
      </c>
      <c r="G521" t="str">
        <f>IF(OR(C521&lt;outliers!$B$14,C521&gt;outliers!$B$13),"Outlier","Normal")</f>
        <v>Normal</v>
      </c>
      <c r="H521" t="str">
        <f>IF(OR(D521&lt;outliers!$B$21,D521&gt;outliers!$B$20),"Outlier","Normal")</f>
        <v>Normal</v>
      </c>
      <c r="I521" t="str">
        <f>IF(OR(E521&lt;outliers!$C$28,E521&gt;outliers!$B$27),"Outlier","Normal")</f>
        <v>Normal</v>
      </c>
      <c r="J521">
        <f t="shared" si="16"/>
        <v>2019</v>
      </c>
      <c r="K521" t="str">
        <f t="shared" si="17"/>
        <v>October</v>
      </c>
    </row>
    <row r="522" spans="1:11" x14ac:dyDescent="0.35">
      <c r="A522" s="1">
        <v>43763</v>
      </c>
      <c r="B522">
        <v>21.5</v>
      </c>
      <c r="C522">
        <v>19.600000000000001</v>
      </c>
      <c r="D522">
        <v>26.7</v>
      </c>
      <c r="E522">
        <v>0</v>
      </c>
      <c r="F522" t="str">
        <f>IF(OR(B522&lt;outliers!$B$7,B522&gt;outliers!$B$6),"Outlier","Normal")</f>
        <v>Normal</v>
      </c>
      <c r="G522" t="str">
        <f>IF(OR(C522&lt;outliers!$B$14,C522&gt;outliers!$B$13),"Outlier","Normal")</f>
        <v>Normal</v>
      </c>
      <c r="H522" t="str">
        <f>IF(OR(D522&lt;outliers!$B$21,D522&gt;outliers!$B$20),"Outlier","Normal")</f>
        <v>Normal</v>
      </c>
      <c r="I522" t="str">
        <f>IF(OR(E522&lt;outliers!$C$28,E522&gt;outliers!$B$27),"Outlier","Normal")</f>
        <v>Normal</v>
      </c>
      <c r="J522">
        <f t="shared" si="16"/>
        <v>2019</v>
      </c>
      <c r="K522" t="str">
        <f t="shared" si="17"/>
        <v>October</v>
      </c>
    </row>
    <row r="523" spans="1:11" x14ac:dyDescent="0.35">
      <c r="A523" s="1">
        <v>43764</v>
      </c>
      <c r="B523">
        <v>22.4</v>
      </c>
      <c r="C523">
        <v>19</v>
      </c>
      <c r="D523">
        <v>27</v>
      </c>
      <c r="E523">
        <v>6.1</v>
      </c>
      <c r="F523" t="str">
        <f>IF(OR(B523&lt;outliers!$B$7,B523&gt;outliers!$B$6),"Outlier","Normal")</f>
        <v>Normal</v>
      </c>
      <c r="G523" t="str">
        <f>IF(OR(C523&lt;outliers!$B$14,C523&gt;outliers!$B$13),"Outlier","Normal")</f>
        <v>Normal</v>
      </c>
      <c r="H523" t="str">
        <f>IF(OR(D523&lt;outliers!$B$21,D523&gt;outliers!$B$20),"Outlier","Normal")</f>
        <v>Normal</v>
      </c>
      <c r="I523" t="str">
        <f>IF(OR(E523&lt;outliers!$C$28,E523&gt;outliers!$B$27),"Outlier","Normal")</f>
        <v>Normal</v>
      </c>
      <c r="J523">
        <f t="shared" si="16"/>
        <v>2019</v>
      </c>
      <c r="K523" t="str">
        <f t="shared" si="17"/>
        <v>October</v>
      </c>
    </row>
    <row r="524" spans="1:11" x14ac:dyDescent="0.35">
      <c r="A524" s="1">
        <v>43765</v>
      </c>
      <c r="B524">
        <v>22.3</v>
      </c>
      <c r="C524">
        <v>19.399999999999999</v>
      </c>
      <c r="D524">
        <v>27.8</v>
      </c>
      <c r="E524">
        <v>3</v>
      </c>
      <c r="F524" t="str">
        <f>IF(OR(B524&lt;outliers!$B$7,B524&gt;outliers!$B$6),"Outlier","Normal")</f>
        <v>Normal</v>
      </c>
      <c r="G524" t="str">
        <f>IF(OR(C524&lt;outliers!$B$14,C524&gt;outliers!$B$13),"Outlier","Normal")</f>
        <v>Normal</v>
      </c>
      <c r="H524" t="str">
        <f>IF(OR(D524&lt;outliers!$B$21,D524&gt;outliers!$B$20),"Outlier","Normal")</f>
        <v>Normal</v>
      </c>
      <c r="I524" t="str">
        <f>IF(OR(E524&lt;outliers!$C$28,E524&gt;outliers!$B$27),"Outlier","Normal")</f>
        <v>Normal</v>
      </c>
      <c r="J524">
        <f t="shared" si="16"/>
        <v>2019</v>
      </c>
      <c r="K524" t="str">
        <f t="shared" si="17"/>
        <v>October</v>
      </c>
    </row>
    <row r="525" spans="1:11" hidden="1" x14ac:dyDescent="0.35">
      <c r="A525" s="1">
        <v>43766</v>
      </c>
      <c r="B525">
        <v>23.1</v>
      </c>
      <c r="C525">
        <v>19.399999999999999</v>
      </c>
      <c r="D525">
        <v>27.4</v>
      </c>
      <c r="E525">
        <v>37.1</v>
      </c>
      <c r="F525" t="str">
        <f>IF(OR(B525&lt;outliers!$B$7,B525&gt;outliers!$B$6),"Outlier","Normal")</f>
        <v>Normal</v>
      </c>
      <c r="G525" t="str">
        <f>IF(OR(C525&lt;outliers!$B$14,C525&gt;outliers!$B$13),"Outlier","Normal")</f>
        <v>Normal</v>
      </c>
      <c r="H525" t="str">
        <f>IF(OR(D525&lt;outliers!$B$21,D525&gt;outliers!$B$20),"Outlier","Normal")</f>
        <v>Normal</v>
      </c>
      <c r="I525" t="str">
        <f>IF(OR(E525&lt;outliers!$C$28,E525&gt;outliers!$B$27),"Outlier","Normal")</f>
        <v>Outlier</v>
      </c>
      <c r="J525">
        <f t="shared" si="16"/>
        <v>2019</v>
      </c>
      <c r="K525" t="str">
        <f t="shared" si="17"/>
        <v>October</v>
      </c>
    </row>
    <row r="526" spans="1:11" x14ac:dyDescent="0.35">
      <c r="A526" s="1">
        <v>43767</v>
      </c>
      <c r="B526">
        <v>22</v>
      </c>
      <c r="C526">
        <v>20</v>
      </c>
      <c r="D526">
        <v>27.6</v>
      </c>
      <c r="E526">
        <v>0</v>
      </c>
      <c r="F526" t="str">
        <f>IF(OR(B526&lt;outliers!$B$7,B526&gt;outliers!$B$6),"Outlier","Normal")</f>
        <v>Normal</v>
      </c>
      <c r="G526" t="str">
        <f>IF(OR(C526&lt;outliers!$B$14,C526&gt;outliers!$B$13),"Outlier","Normal")</f>
        <v>Normal</v>
      </c>
      <c r="H526" t="str">
        <f>IF(OR(D526&lt;outliers!$B$21,D526&gt;outliers!$B$20),"Outlier","Normal")</f>
        <v>Normal</v>
      </c>
      <c r="I526" t="str">
        <f>IF(OR(E526&lt;outliers!$C$28,E526&gt;outliers!$B$27),"Outlier","Normal")</f>
        <v>Normal</v>
      </c>
      <c r="J526">
        <f t="shared" si="16"/>
        <v>2019</v>
      </c>
      <c r="K526" t="str">
        <f t="shared" si="17"/>
        <v>October</v>
      </c>
    </row>
    <row r="527" spans="1:11" x14ac:dyDescent="0.35">
      <c r="A527" s="1">
        <v>43768</v>
      </c>
      <c r="B527">
        <v>21.4</v>
      </c>
      <c r="C527">
        <v>19.7</v>
      </c>
      <c r="D527">
        <v>25.3</v>
      </c>
      <c r="E527">
        <v>4.5999999999999996</v>
      </c>
      <c r="F527" t="str">
        <f>IF(OR(B527&lt;outliers!$B$7,B527&gt;outliers!$B$6),"Outlier","Normal")</f>
        <v>Normal</v>
      </c>
      <c r="G527" t="str">
        <f>IF(OR(C527&lt;outliers!$B$14,C527&gt;outliers!$B$13),"Outlier","Normal")</f>
        <v>Normal</v>
      </c>
      <c r="H527" t="str">
        <f>IF(OR(D527&lt;outliers!$B$21,D527&gt;outliers!$B$20),"Outlier","Normal")</f>
        <v>Normal</v>
      </c>
      <c r="I527" t="str">
        <f>IF(OR(E527&lt;outliers!$C$28,E527&gt;outliers!$B$27),"Outlier","Normal")</f>
        <v>Normal</v>
      </c>
      <c r="J527">
        <f t="shared" si="16"/>
        <v>2019</v>
      </c>
      <c r="K527" t="str">
        <f t="shared" si="17"/>
        <v>October</v>
      </c>
    </row>
    <row r="528" spans="1:11" x14ac:dyDescent="0.35">
      <c r="A528" s="1">
        <v>43769</v>
      </c>
      <c r="B528">
        <v>22.5</v>
      </c>
      <c r="C528">
        <v>19.7</v>
      </c>
      <c r="D528">
        <v>25.6</v>
      </c>
      <c r="E528">
        <v>6.9</v>
      </c>
      <c r="F528" t="str">
        <f>IF(OR(B528&lt;outliers!$B$7,B528&gt;outliers!$B$6),"Outlier","Normal")</f>
        <v>Normal</v>
      </c>
      <c r="G528" t="str">
        <f>IF(OR(C528&lt;outliers!$B$14,C528&gt;outliers!$B$13),"Outlier","Normal")</f>
        <v>Normal</v>
      </c>
      <c r="H528" t="str">
        <f>IF(OR(D528&lt;outliers!$B$21,D528&gt;outliers!$B$20),"Outlier","Normal")</f>
        <v>Normal</v>
      </c>
      <c r="I528" t="str">
        <f>IF(OR(E528&lt;outliers!$C$28,E528&gt;outliers!$B$27),"Outlier","Normal")</f>
        <v>Normal</v>
      </c>
      <c r="J528">
        <f t="shared" si="16"/>
        <v>2019</v>
      </c>
      <c r="K528" t="str">
        <f t="shared" si="17"/>
        <v>October</v>
      </c>
    </row>
    <row r="529" spans="1:11" x14ac:dyDescent="0.35">
      <c r="A529" s="1">
        <v>43770</v>
      </c>
      <c r="B529">
        <v>23.8</v>
      </c>
      <c r="C529">
        <v>18</v>
      </c>
      <c r="D529">
        <v>28.8</v>
      </c>
      <c r="E529">
        <v>0.3</v>
      </c>
      <c r="F529" t="str">
        <f>IF(OR(B529&lt;outliers!$B$7,B529&gt;outliers!$B$6),"Outlier","Normal")</f>
        <v>Normal</v>
      </c>
      <c r="G529" t="str">
        <f>IF(OR(C529&lt;outliers!$B$14,C529&gt;outliers!$B$13),"Outlier","Normal")</f>
        <v>Normal</v>
      </c>
      <c r="H529" t="str">
        <f>IF(OR(D529&lt;outliers!$B$21,D529&gt;outliers!$B$20),"Outlier","Normal")</f>
        <v>Normal</v>
      </c>
      <c r="I529" t="str">
        <f>IF(OR(E529&lt;outliers!$C$28,E529&gt;outliers!$B$27),"Outlier","Normal")</f>
        <v>Normal</v>
      </c>
      <c r="J529">
        <f t="shared" ref="J529:J592" si="18">YEAR(A529)</f>
        <v>2019</v>
      </c>
      <c r="K529" t="str">
        <f t="shared" si="17"/>
        <v>October</v>
      </c>
    </row>
    <row r="530" spans="1:11" x14ac:dyDescent="0.35">
      <c r="A530" s="1">
        <v>43771</v>
      </c>
      <c r="B530">
        <v>24.2</v>
      </c>
      <c r="C530">
        <v>21</v>
      </c>
      <c r="D530">
        <v>29.4</v>
      </c>
      <c r="E530">
        <v>0</v>
      </c>
      <c r="F530" t="str">
        <f>IF(OR(B530&lt;outliers!$B$7,B530&gt;outliers!$B$6),"Outlier","Normal")</f>
        <v>Normal</v>
      </c>
      <c r="G530" t="str">
        <f>IF(OR(C530&lt;outliers!$B$14,C530&gt;outliers!$B$13),"Outlier","Normal")</f>
        <v>Normal</v>
      </c>
      <c r="H530" t="str">
        <f>IF(OR(D530&lt;outliers!$B$21,D530&gt;outliers!$B$20),"Outlier","Normal")</f>
        <v>Normal</v>
      </c>
      <c r="I530" t="str">
        <f>IF(OR(E530&lt;outliers!$C$28,E530&gt;outliers!$B$27),"Outlier","Normal")</f>
        <v>Normal</v>
      </c>
      <c r="J530">
        <f t="shared" si="18"/>
        <v>2019</v>
      </c>
      <c r="K530" t="str">
        <f t="shared" si="17"/>
        <v>November</v>
      </c>
    </row>
    <row r="531" spans="1:11" x14ac:dyDescent="0.35">
      <c r="A531" s="1">
        <v>43777</v>
      </c>
      <c r="B531">
        <v>24.4</v>
      </c>
      <c r="C531">
        <v>18.8</v>
      </c>
      <c r="D531">
        <v>29.4</v>
      </c>
      <c r="E531">
        <v>3</v>
      </c>
      <c r="F531" t="str">
        <f>IF(OR(B531&lt;outliers!$B$7,B531&gt;outliers!$B$6),"Outlier","Normal")</f>
        <v>Normal</v>
      </c>
      <c r="G531" t="str">
        <f>IF(OR(C531&lt;outliers!$B$14,C531&gt;outliers!$B$13),"Outlier","Normal")</f>
        <v>Normal</v>
      </c>
      <c r="H531" t="str">
        <f>IF(OR(D531&lt;outliers!$B$21,D531&gt;outliers!$B$20),"Outlier","Normal")</f>
        <v>Normal</v>
      </c>
      <c r="I531" t="str">
        <f>IF(OR(E531&lt;outliers!$C$28,E531&gt;outliers!$B$27),"Outlier","Normal")</f>
        <v>Normal</v>
      </c>
      <c r="J531">
        <f t="shared" si="18"/>
        <v>2019</v>
      </c>
      <c r="K531" t="str">
        <f t="shared" si="17"/>
        <v>November</v>
      </c>
    </row>
    <row r="532" spans="1:11" x14ac:dyDescent="0.35">
      <c r="A532" s="1">
        <v>43778</v>
      </c>
      <c r="B532">
        <v>24.3</v>
      </c>
      <c r="C532">
        <v>20.3</v>
      </c>
      <c r="D532">
        <v>29.2</v>
      </c>
      <c r="E532">
        <v>0</v>
      </c>
      <c r="F532" t="str">
        <f>IF(OR(B532&lt;outliers!$B$7,B532&gt;outliers!$B$6),"Outlier","Normal")</f>
        <v>Normal</v>
      </c>
      <c r="G532" t="str">
        <f>IF(OR(C532&lt;outliers!$B$14,C532&gt;outliers!$B$13),"Outlier","Normal")</f>
        <v>Normal</v>
      </c>
      <c r="H532" t="str">
        <f>IF(OR(D532&lt;outliers!$B$21,D532&gt;outliers!$B$20),"Outlier","Normal")</f>
        <v>Normal</v>
      </c>
      <c r="I532" t="str">
        <f>IF(OR(E532&lt;outliers!$C$28,E532&gt;outliers!$B$27),"Outlier","Normal")</f>
        <v>Normal</v>
      </c>
      <c r="J532">
        <f t="shared" si="18"/>
        <v>2019</v>
      </c>
      <c r="K532" t="str">
        <f t="shared" si="17"/>
        <v>November</v>
      </c>
    </row>
    <row r="533" spans="1:11" hidden="1" x14ac:dyDescent="0.35">
      <c r="A533" s="1">
        <v>43779</v>
      </c>
      <c r="B533">
        <v>24.6</v>
      </c>
      <c r="C533">
        <v>20.399999999999999</v>
      </c>
      <c r="D533">
        <v>29.9</v>
      </c>
      <c r="E533">
        <v>49.5</v>
      </c>
      <c r="F533" t="str">
        <f>IF(OR(B533&lt;outliers!$B$7,B533&gt;outliers!$B$6),"Outlier","Normal")</f>
        <v>Normal</v>
      </c>
      <c r="G533" t="str">
        <f>IF(OR(C533&lt;outliers!$B$14,C533&gt;outliers!$B$13),"Outlier","Normal")</f>
        <v>Normal</v>
      </c>
      <c r="H533" t="str">
        <f>IF(OR(D533&lt;outliers!$B$21,D533&gt;outliers!$B$20),"Outlier","Normal")</f>
        <v>Normal</v>
      </c>
      <c r="I533" t="str">
        <f>IF(OR(E533&lt;outliers!$C$28,E533&gt;outliers!$B$27),"Outlier","Normal")</f>
        <v>Outlier</v>
      </c>
      <c r="J533">
        <f t="shared" si="18"/>
        <v>2019</v>
      </c>
      <c r="K533" t="str">
        <f t="shared" si="17"/>
        <v>November</v>
      </c>
    </row>
    <row r="534" spans="1:11" x14ac:dyDescent="0.35">
      <c r="A534" s="1">
        <v>43780</v>
      </c>
      <c r="B534">
        <v>23.8</v>
      </c>
      <c r="C534">
        <v>19.7</v>
      </c>
      <c r="D534">
        <v>29.8</v>
      </c>
      <c r="E534">
        <v>0</v>
      </c>
      <c r="F534" t="str">
        <f>IF(OR(B534&lt;outliers!$B$7,B534&gt;outliers!$B$6),"Outlier","Normal")</f>
        <v>Normal</v>
      </c>
      <c r="G534" t="str">
        <f>IF(OR(C534&lt;outliers!$B$14,C534&gt;outliers!$B$13),"Outlier","Normal")</f>
        <v>Normal</v>
      </c>
      <c r="H534" t="str">
        <f>IF(OR(D534&lt;outliers!$B$21,D534&gt;outliers!$B$20),"Outlier","Normal")</f>
        <v>Normal</v>
      </c>
      <c r="I534" t="str">
        <f>IF(OR(E534&lt;outliers!$C$28,E534&gt;outliers!$B$27),"Outlier","Normal")</f>
        <v>Normal</v>
      </c>
      <c r="J534">
        <f t="shared" si="18"/>
        <v>2019</v>
      </c>
      <c r="K534" t="str">
        <f t="shared" si="17"/>
        <v>November</v>
      </c>
    </row>
    <row r="535" spans="1:11" x14ac:dyDescent="0.35">
      <c r="A535" s="1">
        <v>43784</v>
      </c>
      <c r="B535">
        <v>22.7</v>
      </c>
      <c r="C535">
        <v>19.600000000000001</v>
      </c>
      <c r="D535">
        <v>26.8</v>
      </c>
      <c r="E535">
        <v>2.8</v>
      </c>
      <c r="F535" t="str">
        <f>IF(OR(B535&lt;outliers!$B$7,B535&gt;outliers!$B$6),"Outlier","Normal")</f>
        <v>Normal</v>
      </c>
      <c r="G535" t="str">
        <f>IF(OR(C535&lt;outliers!$B$14,C535&gt;outliers!$B$13),"Outlier","Normal")</f>
        <v>Normal</v>
      </c>
      <c r="H535" t="str">
        <f>IF(OR(D535&lt;outliers!$B$21,D535&gt;outliers!$B$20),"Outlier","Normal")</f>
        <v>Normal</v>
      </c>
      <c r="I535" t="str">
        <f>IF(OR(E535&lt;outliers!$C$28,E535&gt;outliers!$B$27),"Outlier","Normal")</f>
        <v>Normal</v>
      </c>
      <c r="J535">
        <f t="shared" si="18"/>
        <v>2019</v>
      </c>
      <c r="K535" t="str">
        <f t="shared" si="17"/>
        <v>November</v>
      </c>
    </row>
    <row r="536" spans="1:11" x14ac:dyDescent="0.35">
      <c r="A536" s="1">
        <v>43785</v>
      </c>
      <c r="B536">
        <v>23.5</v>
      </c>
      <c r="C536">
        <v>20.399999999999999</v>
      </c>
      <c r="D536">
        <v>26.2</v>
      </c>
      <c r="E536">
        <v>0.5</v>
      </c>
      <c r="F536" t="str">
        <f>IF(OR(B536&lt;outliers!$B$7,B536&gt;outliers!$B$6),"Outlier","Normal")</f>
        <v>Normal</v>
      </c>
      <c r="G536" t="str">
        <f>IF(OR(C536&lt;outliers!$B$14,C536&gt;outliers!$B$13),"Outlier","Normal")</f>
        <v>Normal</v>
      </c>
      <c r="H536" t="str">
        <f>IF(OR(D536&lt;outliers!$B$21,D536&gt;outliers!$B$20),"Outlier","Normal")</f>
        <v>Normal</v>
      </c>
      <c r="I536" t="str">
        <f>IF(OR(E536&lt;outliers!$C$28,E536&gt;outliers!$B$27),"Outlier","Normal")</f>
        <v>Normal</v>
      </c>
      <c r="J536">
        <f t="shared" si="18"/>
        <v>2019</v>
      </c>
      <c r="K536" t="str">
        <f t="shared" si="17"/>
        <v>November</v>
      </c>
    </row>
    <row r="537" spans="1:11" x14ac:dyDescent="0.35">
      <c r="A537" s="1">
        <v>43786</v>
      </c>
      <c r="B537">
        <v>24</v>
      </c>
      <c r="C537">
        <v>19.5</v>
      </c>
      <c r="D537">
        <v>29.2</v>
      </c>
      <c r="E537">
        <v>0</v>
      </c>
      <c r="F537" t="str">
        <f>IF(OR(B537&lt;outliers!$B$7,B537&gt;outliers!$B$6),"Outlier","Normal")</f>
        <v>Normal</v>
      </c>
      <c r="G537" t="str">
        <f>IF(OR(C537&lt;outliers!$B$14,C537&gt;outliers!$B$13),"Outlier","Normal")</f>
        <v>Normal</v>
      </c>
      <c r="H537" t="str">
        <f>IF(OR(D537&lt;outliers!$B$21,D537&gt;outliers!$B$20),"Outlier","Normal")</f>
        <v>Normal</v>
      </c>
      <c r="I537" t="str">
        <f>IF(OR(E537&lt;outliers!$C$28,E537&gt;outliers!$B$27),"Outlier","Normal")</f>
        <v>Normal</v>
      </c>
      <c r="J537">
        <f t="shared" si="18"/>
        <v>2019</v>
      </c>
      <c r="K537" t="str">
        <f t="shared" si="17"/>
        <v>November</v>
      </c>
    </row>
    <row r="538" spans="1:11" x14ac:dyDescent="0.35">
      <c r="A538" s="1">
        <v>43788</v>
      </c>
      <c r="B538">
        <v>23.6</v>
      </c>
      <c r="C538">
        <v>19.8</v>
      </c>
      <c r="D538">
        <v>29.4</v>
      </c>
      <c r="E538">
        <v>0</v>
      </c>
      <c r="F538" t="str">
        <f>IF(OR(B538&lt;outliers!$B$7,B538&gt;outliers!$B$6),"Outlier","Normal")</f>
        <v>Normal</v>
      </c>
      <c r="G538" t="str">
        <f>IF(OR(C538&lt;outliers!$B$14,C538&gt;outliers!$B$13),"Outlier","Normal")</f>
        <v>Normal</v>
      </c>
      <c r="H538" t="str">
        <f>IF(OR(D538&lt;outliers!$B$21,D538&gt;outliers!$B$20),"Outlier","Normal")</f>
        <v>Normal</v>
      </c>
      <c r="I538" t="str">
        <f>IF(OR(E538&lt;outliers!$C$28,E538&gt;outliers!$B$27),"Outlier","Normal")</f>
        <v>Normal</v>
      </c>
      <c r="J538">
        <f t="shared" si="18"/>
        <v>2019</v>
      </c>
      <c r="K538" t="str">
        <f t="shared" si="17"/>
        <v>November</v>
      </c>
    </row>
    <row r="539" spans="1:11" x14ac:dyDescent="0.35">
      <c r="A539" s="1">
        <v>43790</v>
      </c>
      <c r="B539">
        <v>22.4</v>
      </c>
      <c r="C539">
        <v>20.399999999999999</v>
      </c>
      <c r="D539">
        <v>27.6</v>
      </c>
      <c r="E539">
        <v>2.5</v>
      </c>
      <c r="F539" t="str">
        <f>IF(OR(B539&lt;outliers!$B$7,B539&gt;outliers!$B$6),"Outlier","Normal")</f>
        <v>Normal</v>
      </c>
      <c r="G539" t="str">
        <f>IF(OR(C539&lt;outliers!$B$14,C539&gt;outliers!$B$13),"Outlier","Normal")</f>
        <v>Normal</v>
      </c>
      <c r="H539" t="str">
        <f>IF(OR(D539&lt;outliers!$B$21,D539&gt;outliers!$B$20),"Outlier","Normal")</f>
        <v>Normal</v>
      </c>
      <c r="I539" t="str">
        <f>IF(OR(E539&lt;outliers!$C$28,E539&gt;outliers!$B$27),"Outlier","Normal")</f>
        <v>Normal</v>
      </c>
      <c r="J539">
        <f t="shared" si="18"/>
        <v>2019</v>
      </c>
      <c r="K539" t="str">
        <f t="shared" si="17"/>
        <v>November</v>
      </c>
    </row>
    <row r="540" spans="1:11" x14ac:dyDescent="0.35">
      <c r="A540" s="1">
        <v>43791</v>
      </c>
      <c r="B540">
        <v>22.3</v>
      </c>
      <c r="C540">
        <v>19.2</v>
      </c>
      <c r="D540">
        <v>25.6</v>
      </c>
      <c r="E540">
        <v>0</v>
      </c>
      <c r="F540" t="str">
        <f>IF(OR(B540&lt;outliers!$B$7,B540&gt;outliers!$B$6),"Outlier","Normal")</f>
        <v>Normal</v>
      </c>
      <c r="G540" t="str">
        <f>IF(OR(C540&lt;outliers!$B$14,C540&gt;outliers!$B$13),"Outlier","Normal")</f>
        <v>Normal</v>
      </c>
      <c r="H540" t="str">
        <f>IF(OR(D540&lt;outliers!$B$21,D540&gt;outliers!$B$20),"Outlier","Normal")</f>
        <v>Normal</v>
      </c>
      <c r="I540" t="str">
        <f>IF(OR(E540&lt;outliers!$C$28,E540&gt;outliers!$B$27),"Outlier","Normal")</f>
        <v>Normal</v>
      </c>
      <c r="J540">
        <f t="shared" si="18"/>
        <v>2019</v>
      </c>
      <c r="K540" t="str">
        <f t="shared" si="17"/>
        <v>November</v>
      </c>
    </row>
    <row r="541" spans="1:11" x14ac:dyDescent="0.35">
      <c r="A541" s="1">
        <v>43792</v>
      </c>
      <c r="B541">
        <v>23.2</v>
      </c>
      <c r="C541">
        <v>17.3</v>
      </c>
      <c r="D541">
        <v>28</v>
      </c>
      <c r="E541">
        <v>0</v>
      </c>
      <c r="F541" t="str">
        <f>IF(OR(B541&lt;outliers!$B$7,B541&gt;outliers!$B$6),"Outlier","Normal")</f>
        <v>Normal</v>
      </c>
      <c r="G541" t="str">
        <f>IF(OR(C541&lt;outliers!$B$14,C541&gt;outliers!$B$13),"Outlier","Normal")</f>
        <v>Normal</v>
      </c>
      <c r="H541" t="str">
        <f>IF(OR(D541&lt;outliers!$B$21,D541&gt;outliers!$B$20),"Outlier","Normal")</f>
        <v>Normal</v>
      </c>
      <c r="I541" t="str">
        <f>IF(OR(E541&lt;outliers!$C$28,E541&gt;outliers!$B$27),"Outlier","Normal")</f>
        <v>Normal</v>
      </c>
      <c r="J541">
        <f t="shared" si="18"/>
        <v>2019</v>
      </c>
      <c r="K541" t="str">
        <f t="shared" si="17"/>
        <v>November</v>
      </c>
    </row>
    <row r="542" spans="1:11" x14ac:dyDescent="0.35">
      <c r="A542" s="1">
        <v>43796</v>
      </c>
      <c r="B542">
        <v>21.9</v>
      </c>
      <c r="C542">
        <v>20</v>
      </c>
      <c r="D542">
        <v>28.3</v>
      </c>
      <c r="E542">
        <v>0.3</v>
      </c>
      <c r="F542" t="str">
        <f>IF(OR(B542&lt;outliers!$B$7,B542&gt;outliers!$B$6),"Outlier","Normal")</f>
        <v>Normal</v>
      </c>
      <c r="G542" t="str">
        <f>IF(OR(C542&lt;outliers!$B$14,C542&gt;outliers!$B$13),"Outlier","Normal")</f>
        <v>Normal</v>
      </c>
      <c r="H542" t="str">
        <f>IF(OR(D542&lt;outliers!$B$21,D542&gt;outliers!$B$20),"Outlier","Normal")</f>
        <v>Normal</v>
      </c>
      <c r="I542" t="str">
        <f>IF(OR(E542&lt;outliers!$C$28,E542&gt;outliers!$B$27),"Outlier","Normal")</f>
        <v>Normal</v>
      </c>
      <c r="J542">
        <f t="shared" si="18"/>
        <v>2019</v>
      </c>
      <c r="K542" t="str">
        <f t="shared" si="17"/>
        <v>November</v>
      </c>
    </row>
    <row r="543" spans="1:11" x14ac:dyDescent="0.35">
      <c r="A543" s="1">
        <v>43797</v>
      </c>
      <c r="B543">
        <v>22.6</v>
      </c>
      <c r="C543">
        <v>19.2</v>
      </c>
      <c r="D543">
        <v>27.8</v>
      </c>
      <c r="E543">
        <v>0</v>
      </c>
      <c r="F543" t="str">
        <f>IF(OR(B543&lt;outliers!$B$7,B543&gt;outliers!$B$6),"Outlier","Normal")</f>
        <v>Normal</v>
      </c>
      <c r="G543" t="str">
        <f>IF(OR(C543&lt;outliers!$B$14,C543&gt;outliers!$B$13),"Outlier","Normal")</f>
        <v>Normal</v>
      </c>
      <c r="H543" t="str">
        <f>IF(OR(D543&lt;outliers!$B$21,D543&gt;outliers!$B$20),"Outlier","Normal")</f>
        <v>Normal</v>
      </c>
      <c r="I543" t="str">
        <f>IF(OR(E543&lt;outliers!$C$28,E543&gt;outliers!$B$27),"Outlier","Normal")</f>
        <v>Normal</v>
      </c>
      <c r="J543">
        <f t="shared" si="18"/>
        <v>2019</v>
      </c>
      <c r="K543" t="str">
        <f t="shared" si="17"/>
        <v>November</v>
      </c>
    </row>
    <row r="544" spans="1:11" x14ac:dyDescent="0.35">
      <c r="A544" s="1">
        <v>43798</v>
      </c>
      <c r="B544">
        <v>22.5</v>
      </c>
      <c r="C544">
        <v>19.399999999999999</v>
      </c>
      <c r="D544">
        <v>28.4</v>
      </c>
      <c r="E544">
        <v>0</v>
      </c>
      <c r="F544" t="str">
        <f>IF(OR(B544&lt;outliers!$B$7,B544&gt;outliers!$B$6),"Outlier","Normal")</f>
        <v>Normal</v>
      </c>
      <c r="G544" t="str">
        <f>IF(OR(C544&lt;outliers!$B$14,C544&gt;outliers!$B$13),"Outlier","Normal")</f>
        <v>Normal</v>
      </c>
      <c r="H544" t="str">
        <f>IF(OR(D544&lt;outliers!$B$21,D544&gt;outliers!$B$20),"Outlier","Normal")</f>
        <v>Normal</v>
      </c>
      <c r="I544" t="str">
        <f>IF(OR(E544&lt;outliers!$C$28,E544&gt;outliers!$B$27),"Outlier","Normal")</f>
        <v>Normal</v>
      </c>
      <c r="J544">
        <f t="shared" si="18"/>
        <v>2019</v>
      </c>
      <c r="K544" t="str">
        <f t="shared" si="17"/>
        <v>November</v>
      </c>
    </row>
    <row r="545" spans="1:11" x14ac:dyDescent="0.35">
      <c r="A545" s="1">
        <v>43799</v>
      </c>
      <c r="B545">
        <v>21.4</v>
      </c>
      <c r="C545">
        <v>18.7</v>
      </c>
      <c r="D545">
        <v>27</v>
      </c>
      <c r="E545">
        <v>1.5</v>
      </c>
      <c r="F545" t="str">
        <f>IF(OR(B545&lt;outliers!$B$7,B545&gt;outliers!$B$6),"Outlier","Normal")</f>
        <v>Normal</v>
      </c>
      <c r="G545" t="str">
        <f>IF(OR(C545&lt;outliers!$B$14,C545&gt;outliers!$B$13),"Outlier","Normal")</f>
        <v>Normal</v>
      </c>
      <c r="H545" t="str">
        <f>IF(OR(D545&lt;outliers!$B$21,D545&gt;outliers!$B$20),"Outlier","Normal")</f>
        <v>Normal</v>
      </c>
      <c r="I545" t="str">
        <f>IF(OR(E545&lt;outliers!$C$28,E545&gt;outliers!$B$27),"Outlier","Normal")</f>
        <v>Normal</v>
      </c>
      <c r="J545">
        <f t="shared" si="18"/>
        <v>2019</v>
      </c>
      <c r="K545" t="str">
        <f t="shared" si="17"/>
        <v>November</v>
      </c>
    </row>
    <row r="546" spans="1:11" x14ac:dyDescent="0.35">
      <c r="A546" s="1">
        <v>43800</v>
      </c>
      <c r="B546">
        <v>21.2</v>
      </c>
      <c r="C546">
        <v>19.399999999999999</v>
      </c>
      <c r="D546">
        <v>24.6</v>
      </c>
      <c r="E546">
        <v>1.8</v>
      </c>
      <c r="F546" t="str">
        <f>IF(OR(B546&lt;outliers!$B$7,B546&gt;outliers!$B$6),"Outlier","Normal")</f>
        <v>Normal</v>
      </c>
      <c r="G546" t="str">
        <f>IF(OR(C546&lt;outliers!$B$14,C546&gt;outliers!$B$13),"Outlier","Normal")</f>
        <v>Normal</v>
      </c>
      <c r="H546" t="str">
        <f>IF(OR(D546&lt;outliers!$B$21,D546&gt;outliers!$B$20),"Outlier","Normal")</f>
        <v>Normal</v>
      </c>
      <c r="I546" t="str">
        <f>IF(OR(E546&lt;outliers!$C$28,E546&gt;outliers!$B$27),"Outlier","Normal")</f>
        <v>Normal</v>
      </c>
      <c r="J546">
        <f t="shared" si="18"/>
        <v>2019</v>
      </c>
      <c r="K546" t="str">
        <f t="shared" si="17"/>
        <v>November</v>
      </c>
    </row>
    <row r="547" spans="1:11" x14ac:dyDescent="0.35">
      <c r="A547" s="1">
        <v>43801</v>
      </c>
      <c r="B547">
        <v>21.3</v>
      </c>
      <c r="C547">
        <v>19.2</v>
      </c>
      <c r="D547">
        <v>25</v>
      </c>
      <c r="E547">
        <v>6.9</v>
      </c>
      <c r="F547" t="str">
        <f>IF(OR(B547&lt;outliers!$B$7,B547&gt;outliers!$B$6),"Outlier","Normal")</f>
        <v>Normal</v>
      </c>
      <c r="G547" t="str">
        <f>IF(OR(C547&lt;outliers!$B$14,C547&gt;outliers!$B$13),"Outlier","Normal")</f>
        <v>Normal</v>
      </c>
      <c r="H547" t="str">
        <f>IF(OR(D547&lt;outliers!$B$21,D547&gt;outliers!$B$20),"Outlier","Normal")</f>
        <v>Normal</v>
      </c>
      <c r="I547" t="str">
        <f>IF(OR(E547&lt;outliers!$C$28,E547&gt;outliers!$B$27),"Outlier","Normal")</f>
        <v>Normal</v>
      </c>
      <c r="J547">
        <f t="shared" si="18"/>
        <v>2019</v>
      </c>
      <c r="K547" t="str">
        <f t="shared" si="17"/>
        <v>December</v>
      </c>
    </row>
    <row r="548" spans="1:11" x14ac:dyDescent="0.35">
      <c r="A548" s="1">
        <v>43802</v>
      </c>
      <c r="B548">
        <v>21.1</v>
      </c>
      <c r="C548">
        <v>19.399999999999999</v>
      </c>
      <c r="D548">
        <v>24.5</v>
      </c>
      <c r="E548">
        <v>0.5</v>
      </c>
      <c r="F548" t="str">
        <f>IF(OR(B548&lt;outliers!$B$7,B548&gt;outliers!$B$6),"Outlier","Normal")</f>
        <v>Normal</v>
      </c>
      <c r="G548" t="str">
        <f>IF(OR(C548&lt;outliers!$B$14,C548&gt;outliers!$B$13),"Outlier","Normal")</f>
        <v>Normal</v>
      </c>
      <c r="H548" t="str">
        <f>IF(OR(D548&lt;outliers!$B$21,D548&gt;outliers!$B$20),"Outlier","Normal")</f>
        <v>Normal</v>
      </c>
      <c r="I548" t="str">
        <f>IF(OR(E548&lt;outliers!$C$28,E548&gt;outliers!$B$27),"Outlier","Normal")</f>
        <v>Normal</v>
      </c>
      <c r="J548">
        <f t="shared" si="18"/>
        <v>2019</v>
      </c>
      <c r="K548" t="str">
        <f t="shared" si="17"/>
        <v>December</v>
      </c>
    </row>
    <row r="549" spans="1:11" x14ac:dyDescent="0.35">
      <c r="A549" s="1">
        <v>43803</v>
      </c>
      <c r="B549">
        <v>21.2</v>
      </c>
      <c r="C549">
        <v>18.8</v>
      </c>
      <c r="D549">
        <v>26</v>
      </c>
      <c r="E549">
        <v>0</v>
      </c>
      <c r="F549" t="str">
        <f>IF(OR(B549&lt;outliers!$B$7,B549&gt;outliers!$B$6),"Outlier","Normal")</f>
        <v>Normal</v>
      </c>
      <c r="G549" t="str">
        <f>IF(OR(C549&lt;outliers!$B$14,C549&gt;outliers!$B$13),"Outlier","Normal")</f>
        <v>Normal</v>
      </c>
      <c r="H549" t="str">
        <f>IF(OR(D549&lt;outliers!$B$21,D549&gt;outliers!$B$20),"Outlier","Normal")</f>
        <v>Normal</v>
      </c>
      <c r="I549" t="str">
        <f>IF(OR(E549&lt;outliers!$C$28,E549&gt;outliers!$B$27),"Outlier","Normal")</f>
        <v>Normal</v>
      </c>
      <c r="J549">
        <f t="shared" si="18"/>
        <v>2019</v>
      </c>
      <c r="K549" t="str">
        <f t="shared" si="17"/>
        <v>December</v>
      </c>
    </row>
    <row r="550" spans="1:11" x14ac:dyDescent="0.35">
      <c r="A550" s="1">
        <v>43804</v>
      </c>
      <c r="B550">
        <v>20.8</v>
      </c>
      <c r="C550">
        <v>18</v>
      </c>
      <c r="D550">
        <v>26</v>
      </c>
      <c r="E550">
        <v>0</v>
      </c>
      <c r="F550" t="str">
        <f>IF(OR(B550&lt;outliers!$B$7,B550&gt;outliers!$B$6),"Outlier","Normal")</f>
        <v>Normal</v>
      </c>
      <c r="G550" t="str">
        <f>IF(OR(C550&lt;outliers!$B$14,C550&gt;outliers!$B$13),"Outlier","Normal")</f>
        <v>Normal</v>
      </c>
      <c r="H550" t="str">
        <f>IF(OR(D550&lt;outliers!$B$21,D550&gt;outliers!$B$20),"Outlier","Normal")</f>
        <v>Normal</v>
      </c>
      <c r="I550" t="str">
        <f>IF(OR(E550&lt;outliers!$C$28,E550&gt;outliers!$B$27),"Outlier","Normal")</f>
        <v>Normal</v>
      </c>
      <c r="J550">
        <f t="shared" si="18"/>
        <v>2019</v>
      </c>
      <c r="K550" t="str">
        <f t="shared" si="17"/>
        <v>December</v>
      </c>
    </row>
    <row r="551" spans="1:11" x14ac:dyDescent="0.35">
      <c r="A551" s="1">
        <v>43807</v>
      </c>
      <c r="B551">
        <v>20.2</v>
      </c>
      <c r="C551">
        <v>17.8</v>
      </c>
      <c r="D551">
        <v>24.9</v>
      </c>
      <c r="E551">
        <v>0.5</v>
      </c>
      <c r="F551" t="str">
        <f>IF(OR(B551&lt;outliers!$B$7,B551&gt;outliers!$B$6),"Outlier","Normal")</f>
        <v>Normal</v>
      </c>
      <c r="G551" t="str">
        <f>IF(OR(C551&lt;outliers!$B$14,C551&gt;outliers!$B$13),"Outlier","Normal")</f>
        <v>Normal</v>
      </c>
      <c r="H551" t="str">
        <f>IF(OR(D551&lt;outliers!$B$21,D551&gt;outliers!$B$20),"Outlier","Normal")</f>
        <v>Normal</v>
      </c>
      <c r="I551" t="str">
        <f>IF(OR(E551&lt;outliers!$C$28,E551&gt;outliers!$B$27),"Outlier","Normal")</f>
        <v>Normal</v>
      </c>
      <c r="J551">
        <f t="shared" si="18"/>
        <v>2019</v>
      </c>
      <c r="K551" t="str">
        <f t="shared" si="17"/>
        <v>December</v>
      </c>
    </row>
    <row r="552" spans="1:11" x14ac:dyDescent="0.35">
      <c r="A552" s="1">
        <v>43808</v>
      </c>
      <c r="B552">
        <v>21.5</v>
      </c>
      <c r="C552">
        <v>17</v>
      </c>
      <c r="D552">
        <v>26.8</v>
      </c>
      <c r="E552">
        <v>0</v>
      </c>
      <c r="F552" t="str">
        <f>IF(OR(B552&lt;outliers!$B$7,B552&gt;outliers!$B$6),"Outlier","Normal")</f>
        <v>Normal</v>
      </c>
      <c r="G552" t="str">
        <f>IF(OR(C552&lt;outliers!$B$14,C552&gt;outliers!$B$13),"Outlier","Normal")</f>
        <v>Normal</v>
      </c>
      <c r="H552" t="str">
        <f>IF(OR(D552&lt;outliers!$B$21,D552&gt;outliers!$B$20),"Outlier","Normal")</f>
        <v>Normal</v>
      </c>
      <c r="I552" t="str">
        <f>IF(OR(E552&lt;outliers!$C$28,E552&gt;outliers!$B$27),"Outlier","Normal")</f>
        <v>Normal</v>
      </c>
      <c r="J552">
        <f t="shared" si="18"/>
        <v>2019</v>
      </c>
      <c r="K552" t="str">
        <f t="shared" si="17"/>
        <v>December</v>
      </c>
    </row>
    <row r="553" spans="1:11" x14ac:dyDescent="0.35">
      <c r="A553" s="1">
        <v>43813</v>
      </c>
      <c r="B553">
        <v>21.1</v>
      </c>
      <c r="C553">
        <v>18.8</v>
      </c>
      <c r="D553">
        <v>28.8</v>
      </c>
      <c r="E553">
        <v>0</v>
      </c>
      <c r="F553" t="str">
        <f>IF(OR(B553&lt;outliers!$B$7,B553&gt;outliers!$B$6),"Outlier","Normal")</f>
        <v>Normal</v>
      </c>
      <c r="G553" t="str">
        <f>IF(OR(C553&lt;outliers!$B$14,C553&gt;outliers!$B$13),"Outlier","Normal")</f>
        <v>Normal</v>
      </c>
      <c r="H553" t="str">
        <f>IF(OR(D553&lt;outliers!$B$21,D553&gt;outliers!$B$20),"Outlier","Normal")</f>
        <v>Normal</v>
      </c>
      <c r="I553" t="str">
        <f>IF(OR(E553&lt;outliers!$C$28,E553&gt;outliers!$B$27),"Outlier","Normal")</f>
        <v>Normal</v>
      </c>
      <c r="J553">
        <f t="shared" si="18"/>
        <v>2019</v>
      </c>
      <c r="K553" t="str">
        <f t="shared" si="17"/>
        <v>December</v>
      </c>
    </row>
    <row r="554" spans="1:11" x14ac:dyDescent="0.35">
      <c r="A554" s="1">
        <v>43814</v>
      </c>
      <c r="B554">
        <v>21.7</v>
      </c>
      <c r="C554">
        <v>17.600000000000001</v>
      </c>
      <c r="D554">
        <v>25.8</v>
      </c>
      <c r="E554">
        <v>2.8</v>
      </c>
      <c r="F554" t="str">
        <f>IF(OR(B554&lt;outliers!$B$7,B554&gt;outliers!$B$6),"Outlier","Normal")</f>
        <v>Normal</v>
      </c>
      <c r="G554" t="str">
        <f>IF(OR(C554&lt;outliers!$B$14,C554&gt;outliers!$B$13),"Outlier","Normal")</f>
        <v>Normal</v>
      </c>
      <c r="H554" t="str">
        <f>IF(OR(D554&lt;outliers!$B$21,D554&gt;outliers!$B$20),"Outlier","Normal")</f>
        <v>Normal</v>
      </c>
      <c r="I554" t="str">
        <f>IF(OR(E554&lt;outliers!$C$28,E554&gt;outliers!$B$27),"Outlier","Normal")</f>
        <v>Normal</v>
      </c>
      <c r="J554">
        <f t="shared" si="18"/>
        <v>2019</v>
      </c>
      <c r="K554" t="str">
        <f t="shared" si="17"/>
        <v>December</v>
      </c>
    </row>
    <row r="555" spans="1:11" x14ac:dyDescent="0.35">
      <c r="A555" s="1">
        <v>43815</v>
      </c>
      <c r="B555">
        <v>22.1</v>
      </c>
      <c r="C555">
        <v>17.399999999999999</v>
      </c>
      <c r="D555">
        <v>26.7</v>
      </c>
      <c r="E555">
        <v>0</v>
      </c>
      <c r="F555" t="str">
        <f>IF(OR(B555&lt;outliers!$B$7,B555&gt;outliers!$B$6),"Outlier","Normal")</f>
        <v>Normal</v>
      </c>
      <c r="G555" t="str">
        <f>IF(OR(C555&lt;outliers!$B$14,C555&gt;outliers!$B$13),"Outlier","Normal")</f>
        <v>Normal</v>
      </c>
      <c r="H555" t="str">
        <f>IF(OR(D555&lt;outliers!$B$21,D555&gt;outliers!$B$20),"Outlier","Normal")</f>
        <v>Normal</v>
      </c>
      <c r="I555" t="str">
        <f>IF(OR(E555&lt;outliers!$C$28,E555&gt;outliers!$B$27),"Outlier","Normal")</f>
        <v>Normal</v>
      </c>
      <c r="J555">
        <f t="shared" si="18"/>
        <v>2019</v>
      </c>
      <c r="K555" t="str">
        <f t="shared" si="17"/>
        <v>December</v>
      </c>
    </row>
    <row r="556" spans="1:11" x14ac:dyDescent="0.35">
      <c r="A556" s="1">
        <v>43816</v>
      </c>
      <c r="B556">
        <v>21.3</v>
      </c>
      <c r="C556">
        <v>18.399999999999999</v>
      </c>
      <c r="D556">
        <v>27.6</v>
      </c>
      <c r="E556">
        <v>0</v>
      </c>
      <c r="F556" t="str">
        <f>IF(OR(B556&lt;outliers!$B$7,B556&gt;outliers!$B$6),"Outlier","Normal")</f>
        <v>Normal</v>
      </c>
      <c r="G556" t="str">
        <f>IF(OR(C556&lt;outliers!$B$14,C556&gt;outliers!$B$13),"Outlier","Normal")</f>
        <v>Normal</v>
      </c>
      <c r="H556" t="str">
        <f>IF(OR(D556&lt;outliers!$B$21,D556&gt;outliers!$B$20),"Outlier","Normal")</f>
        <v>Normal</v>
      </c>
      <c r="I556" t="str">
        <f>IF(OR(E556&lt;outliers!$C$28,E556&gt;outliers!$B$27),"Outlier","Normal")</f>
        <v>Normal</v>
      </c>
      <c r="J556">
        <f t="shared" si="18"/>
        <v>2019</v>
      </c>
      <c r="K556" t="str">
        <f t="shared" si="17"/>
        <v>December</v>
      </c>
    </row>
    <row r="557" spans="1:11" x14ac:dyDescent="0.35">
      <c r="A557" s="1">
        <v>43817</v>
      </c>
      <c r="B557">
        <v>21.6</v>
      </c>
      <c r="C557">
        <v>17</v>
      </c>
      <c r="D557">
        <v>26.2</v>
      </c>
      <c r="E557">
        <v>0</v>
      </c>
      <c r="F557" t="str">
        <f>IF(OR(B557&lt;outliers!$B$7,B557&gt;outliers!$B$6),"Outlier","Normal")</f>
        <v>Normal</v>
      </c>
      <c r="G557" t="str">
        <f>IF(OR(C557&lt;outliers!$B$14,C557&gt;outliers!$B$13),"Outlier","Normal")</f>
        <v>Normal</v>
      </c>
      <c r="H557" t="str">
        <f>IF(OR(D557&lt;outliers!$B$21,D557&gt;outliers!$B$20),"Outlier","Normal")</f>
        <v>Normal</v>
      </c>
      <c r="I557" t="str">
        <f>IF(OR(E557&lt;outliers!$C$28,E557&gt;outliers!$B$27),"Outlier","Normal")</f>
        <v>Normal</v>
      </c>
      <c r="J557">
        <f t="shared" si="18"/>
        <v>2019</v>
      </c>
      <c r="K557" t="str">
        <f t="shared" si="17"/>
        <v>December</v>
      </c>
    </row>
    <row r="558" spans="1:11" x14ac:dyDescent="0.35">
      <c r="A558" s="1">
        <v>43834</v>
      </c>
      <c r="B558">
        <v>23.6</v>
      </c>
      <c r="C558">
        <v>18.600000000000001</v>
      </c>
      <c r="D558">
        <v>30.5</v>
      </c>
      <c r="E558">
        <v>0</v>
      </c>
      <c r="F558" t="str">
        <f>IF(OR(B558&lt;outliers!$B$7,B558&gt;outliers!$B$6),"Outlier","Normal")</f>
        <v>Normal</v>
      </c>
      <c r="G558" t="str">
        <f>IF(OR(C558&lt;outliers!$B$14,C558&gt;outliers!$B$13),"Outlier","Normal")</f>
        <v>Normal</v>
      </c>
      <c r="H558" t="str">
        <f>IF(OR(D558&lt;outliers!$B$21,D558&gt;outliers!$B$20),"Outlier","Normal")</f>
        <v>Normal</v>
      </c>
      <c r="I558" t="str">
        <f>IF(OR(E558&lt;outliers!$C$28,E558&gt;outliers!$B$27),"Outlier","Normal")</f>
        <v>Normal</v>
      </c>
      <c r="J558">
        <f t="shared" si="18"/>
        <v>2020</v>
      </c>
      <c r="K558" t="str">
        <f t="shared" si="17"/>
        <v>December</v>
      </c>
    </row>
    <row r="559" spans="1:11" x14ac:dyDescent="0.35">
      <c r="A559" s="1">
        <v>43836</v>
      </c>
      <c r="B559">
        <v>22.1</v>
      </c>
      <c r="C559">
        <v>20.399999999999999</v>
      </c>
      <c r="D559">
        <v>30.8</v>
      </c>
      <c r="E559">
        <v>0.3</v>
      </c>
      <c r="F559" t="str">
        <f>IF(OR(B559&lt;outliers!$B$7,B559&gt;outliers!$B$6),"Outlier","Normal")</f>
        <v>Normal</v>
      </c>
      <c r="G559" t="str">
        <f>IF(OR(C559&lt;outliers!$B$14,C559&gt;outliers!$B$13),"Outlier","Normal")</f>
        <v>Normal</v>
      </c>
      <c r="H559" t="str">
        <f>IF(OR(D559&lt;outliers!$B$21,D559&gt;outliers!$B$20),"Outlier","Normal")</f>
        <v>Normal</v>
      </c>
      <c r="I559" t="str">
        <f>IF(OR(E559&lt;outliers!$C$28,E559&gt;outliers!$B$27),"Outlier","Normal")</f>
        <v>Normal</v>
      </c>
      <c r="J559">
        <f t="shared" si="18"/>
        <v>2020</v>
      </c>
      <c r="K559" t="str">
        <f t="shared" si="17"/>
        <v>January</v>
      </c>
    </row>
    <row r="560" spans="1:11" x14ac:dyDescent="0.35">
      <c r="A560" s="1">
        <v>43837</v>
      </c>
      <c r="B560">
        <v>22.2</v>
      </c>
      <c r="C560">
        <v>18.8</v>
      </c>
      <c r="D560">
        <v>26.2</v>
      </c>
      <c r="E560">
        <v>0</v>
      </c>
      <c r="F560" t="str">
        <f>IF(OR(B560&lt;outliers!$B$7,B560&gt;outliers!$B$6),"Outlier","Normal")</f>
        <v>Normal</v>
      </c>
      <c r="G560" t="str">
        <f>IF(OR(C560&lt;outliers!$B$14,C560&gt;outliers!$B$13),"Outlier","Normal")</f>
        <v>Normal</v>
      </c>
      <c r="H560" t="str">
        <f>IF(OR(D560&lt;outliers!$B$21,D560&gt;outliers!$B$20),"Outlier","Normal")</f>
        <v>Normal</v>
      </c>
      <c r="I560" t="str">
        <f>IF(OR(E560&lt;outliers!$C$28,E560&gt;outliers!$B$27),"Outlier","Normal")</f>
        <v>Normal</v>
      </c>
      <c r="J560">
        <f t="shared" si="18"/>
        <v>2020</v>
      </c>
      <c r="K560" t="str">
        <f t="shared" si="17"/>
        <v>January</v>
      </c>
    </row>
    <row r="561" spans="1:11" x14ac:dyDescent="0.35">
      <c r="A561" s="1">
        <v>43893</v>
      </c>
      <c r="B561">
        <v>25.8</v>
      </c>
      <c r="C561">
        <v>20</v>
      </c>
      <c r="D561">
        <v>30.6</v>
      </c>
      <c r="E561">
        <v>0</v>
      </c>
      <c r="F561" t="str">
        <f>IF(OR(B561&lt;outliers!$B$7,B561&gt;outliers!$B$6),"Outlier","Normal")</f>
        <v>Normal</v>
      </c>
      <c r="G561" t="str">
        <f>IF(OR(C561&lt;outliers!$B$14,C561&gt;outliers!$B$13),"Outlier","Normal")</f>
        <v>Normal</v>
      </c>
      <c r="H561" t="str">
        <f>IF(OR(D561&lt;outliers!$B$21,D561&gt;outliers!$B$20),"Outlier","Normal")</f>
        <v>Normal</v>
      </c>
      <c r="I561" t="str">
        <f>IF(OR(E561&lt;outliers!$C$28,E561&gt;outliers!$B$27),"Outlier","Normal")</f>
        <v>Normal</v>
      </c>
      <c r="J561">
        <f t="shared" si="18"/>
        <v>2020</v>
      </c>
      <c r="K561" t="str">
        <f t="shared" si="17"/>
        <v>January</v>
      </c>
    </row>
    <row r="562" spans="1:11" x14ac:dyDescent="0.35">
      <c r="A562" s="1">
        <v>43894</v>
      </c>
      <c r="B562">
        <v>26.4</v>
      </c>
      <c r="C562">
        <v>21.4</v>
      </c>
      <c r="D562">
        <v>33</v>
      </c>
      <c r="E562">
        <v>1</v>
      </c>
      <c r="F562" t="str">
        <f>IF(OR(B562&lt;outliers!$B$7,B562&gt;outliers!$B$6),"Outlier","Normal")</f>
        <v>Normal</v>
      </c>
      <c r="G562" t="str">
        <f>IF(OR(C562&lt;outliers!$B$14,C562&gt;outliers!$B$13),"Outlier","Normal")</f>
        <v>Normal</v>
      </c>
      <c r="H562" t="str">
        <f>IF(OR(D562&lt;outliers!$B$21,D562&gt;outliers!$B$20),"Outlier","Normal")</f>
        <v>Normal</v>
      </c>
      <c r="I562" t="str">
        <f>IF(OR(E562&lt;outliers!$C$28,E562&gt;outliers!$B$27),"Outlier","Normal")</f>
        <v>Normal</v>
      </c>
      <c r="J562">
        <f t="shared" si="18"/>
        <v>2020</v>
      </c>
      <c r="K562" t="str">
        <f t="shared" si="17"/>
        <v>March</v>
      </c>
    </row>
    <row r="563" spans="1:11" x14ac:dyDescent="0.35">
      <c r="A563" s="1">
        <v>43895</v>
      </c>
      <c r="B563">
        <v>27.4</v>
      </c>
      <c r="C563">
        <v>21.6</v>
      </c>
      <c r="D563">
        <v>32.4</v>
      </c>
      <c r="E563">
        <v>0</v>
      </c>
      <c r="F563" t="str">
        <f>IF(OR(B563&lt;outliers!$B$7,B563&gt;outliers!$B$6),"Outlier","Normal")</f>
        <v>Normal</v>
      </c>
      <c r="G563" t="str">
        <f>IF(OR(C563&lt;outliers!$B$14,C563&gt;outliers!$B$13),"Outlier","Normal")</f>
        <v>Normal</v>
      </c>
      <c r="H563" t="str">
        <f>IF(OR(D563&lt;outliers!$B$21,D563&gt;outliers!$B$20),"Outlier","Normal")</f>
        <v>Normal</v>
      </c>
      <c r="I563" t="str">
        <f>IF(OR(E563&lt;outliers!$C$28,E563&gt;outliers!$B$27),"Outlier","Normal")</f>
        <v>Normal</v>
      </c>
      <c r="J563">
        <f t="shared" si="18"/>
        <v>2020</v>
      </c>
      <c r="K563" t="str">
        <f t="shared" si="17"/>
        <v>March</v>
      </c>
    </row>
    <row r="564" spans="1:11" x14ac:dyDescent="0.35">
      <c r="A564" s="1">
        <v>43897</v>
      </c>
      <c r="B564">
        <v>26.1</v>
      </c>
      <c r="C564">
        <v>22.3</v>
      </c>
      <c r="D564">
        <v>33.4</v>
      </c>
      <c r="E564">
        <v>1</v>
      </c>
      <c r="F564" t="str">
        <f>IF(OR(B564&lt;outliers!$B$7,B564&gt;outliers!$B$6),"Outlier","Normal")</f>
        <v>Normal</v>
      </c>
      <c r="G564" t="str">
        <f>IF(OR(C564&lt;outliers!$B$14,C564&gt;outliers!$B$13),"Outlier","Normal")</f>
        <v>Normal</v>
      </c>
      <c r="H564" t="str">
        <f>IF(OR(D564&lt;outliers!$B$21,D564&gt;outliers!$B$20),"Outlier","Normal")</f>
        <v>Normal</v>
      </c>
      <c r="I564" t="str">
        <f>IF(OR(E564&lt;outliers!$C$28,E564&gt;outliers!$B$27),"Outlier","Normal")</f>
        <v>Normal</v>
      </c>
      <c r="J564">
        <f t="shared" si="18"/>
        <v>2020</v>
      </c>
      <c r="K564" t="str">
        <f t="shared" si="17"/>
        <v>March</v>
      </c>
    </row>
    <row r="565" spans="1:11" x14ac:dyDescent="0.35">
      <c r="A565" s="1">
        <v>43898</v>
      </c>
      <c r="B565">
        <v>26.4</v>
      </c>
      <c r="C565">
        <v>21.2</v>
      </c>
      <c r="D565">
        <v>32.299999999999997</v>
      </c>
      <c r="E565">
        <v>0</v>
      </c>
      <c r="F565" t="str">
        <f>IF(OR(B565&lt;outliers!$B$7,B565&gt;outliers!$B$6),"Outlier","Normal")</f>
        <v>Normal</v>
      </c>
      <c r="G565" t="str">
        <f>IF(OR(C565&lt;outliers!$B$14,C565&gt;outliers!$B$13),"Outlier","Normal")</f>
        <v>Normal</v>
      </c>
      <c r="H565" t="str">
        <f>IF(OR(D565&lt;outliers!$B$21,D565&gt;outliers!$B$20),"Outlier","Normal")</f>
        <v>Normal</v>
      </c>
      <c r="I565" t="str">
        <f>IF(OR(E565&lt;outliers!$C$28,E565&gt;outliers!$B$27),"Outlier","Normal")</f>
        <v>Normal</v>
      </c>
      <c r="J565">
        <f t="shared" si="18"/>
        <v>2020</v>
      </c>
      <c r="K565" t="str">
        <f t="shared" si="17"/>
        <v>March</v>
      </c>
    </row>
    <row r="566" spans="1:11" x14ac:dyDescent="0.35">
      <c r="A566" s="1">
        <v>43911</v>
      </c>
      <c r="B566">
        <v>27.4</v>
      </c>
      <c r="C566">
        <v>22</v>
      </c>
      <c r="D566">
        <v>34.1</v>
      </c>
      <c r="E566">
        <v>1</v>
      </c>
      <c r="F566" t="str">
        <f>IF(OR(B566&lt;outliers!$B$7,B566&gt;outliers!$B$6),"Outlier","Normal")</f>
        <v>Normal</v>
      </c>
      <c r="G566" t="str">
        <f>IF(OR(C566&lt;outliers!$B$14,C566&gt;outliers!$B$13),"Outlier","Normal")</f>
        <v>Normal</v>
      </c>
      <c r="H566" t="str">
        <f>IF(OR(D566&lt;outliers!$B$21,D566&gt;outliers!$B$20),"Outlier","Normal")</f>
        <v>Normal</v>
      </c>
      <c r="I566" t="str">
        <f>IF(OR(E566&lt;outliers!$C$28,E566&gt;outliers!$B$27),"Outlier","Normal")</f>
        <v>Normal</v>
      </c>
      <c r="J566">
        <f t="shared" si="18"/>
        <v>2020</v>
      </c>
      <c r="K566" t="str">
        <f t="shared" si="17"/>
        <v>March</v>
      </c>
    </row>
    <row r="567" spans="1:11" x14ac:dyDescent="0.35">
      <c r="A567" s="1">
        <v>43912</v>
      </c>
      <c r="B567">
        <v>27.8</v>
      </c>
      <c r="C567">
        <v>22.8</v>
      </c>
      <c r="D567">
        <v>35.4</v>
      </c>
      <c r="E567">
        <v>0</v>
      </c>
      <c r="F567" t="str">
        <f>IF(OR(B567&lt;outliers!$B$7,B567&gt;outliers!$B$6),"Outlier","Normal")</f>
        <v>Normal</v>
      </c>
      <c r="G567" t="str">
        <f>IF(OR(C567&lt;outliers!$B$14,C567&gt;outliers!$B$13),"Outlier","Normal")</f>
        <v>Normal</v>
      </c>
      <c r="H567" t="str">
        <f>IF(OR(D567&lt;outliers!$B$21,D567&gt;outliers!$B$20),"Outlier","Normal")</f>
        <v>Normal</v>
      </c>
      <c r="I567" t="str">
        <f>IF(OR(E567&lt;outliers!$C$28,E567&gt;outliers!$B$27),"Outlier","Normal")</f>
        <v>Normal</v>
      </c>
      <c r="J567">
        <f t="shared" si="18"/>
        <v>2020</v>
      </c>
      <c r="K567" t="str">
        <f t="shared" si="17"/>
        <v>March</v>
      </c>
    </row>
    <row r="568" spans="1:11" x14ac:dyDescent="0.35">
      <c r="A568" s="1">
        <v>43913</v>
      </c>
      <c r="B568">
        <v>25.3</v>
      </c>
      <c r="C568">
        <v>22.8</v>
      </c>
      <c r="D568">
        <v>34.4</v>
      </c>
      <c r="E568">
        <v>0</v>
      </c>
      <c r="F568" t="str">
        <f>IF(OR(B568&lt;outliers!$B$7,B568&gt;outliers!$B$6),"Outlier","Normal")</f>
        <v>Normal</v>
      </c>
      <c r="G568" t="str">
        <f>IF(OR(C568&lt;outliers!$B$14,C568&gt;outliers!$B$13),"Outlier","Normal")</f>
        <v>Normal</v>
      </c>
      <c r="H568" t="str">
        <f>IF(OR(D568&lt;outliers!$B$21,D568&gt;outliers!$B$20),"Outlier","Normal")</f>
        <v>Normal</v>
      </c>
      <c r="I568" t="str">
        <f>IF(OR(E568&lt;outliers!$C$28,E568&gt;outliers!$B$27),"Outlier","Normal")</f>
        <v>Normal</v>
      </c>
      <c r="J568">
        <f t="shared" si="18"/>
        <v>2020</v>
      </c>
      <c r="K568" t="str">
        <f t="shared" si="17"/>
        <v>March</v>
      </c>
    </row>
    <row r="569" spans="1:11" x14ac:dyDescent="0.35">
      <c r="A569" s="1">
        <v>43914</v>
      </c>
      <c r="B569">
        <v>27.4</v>
      </c>
      <c r="C569">
        <v>20.8</v>
      </c>
      <c r="D569">
        <v>34.4</v>
      </c>
      <c r="E569">
        <v>5.0999999999999996</v>
      </c>
      <c r="F569" t="str">
        <f>IF(OR(B569&lt;outliers!$B$7,B569&gt;outliers!$B$6),"Outlier","Normal")</f>
        <v>Normal</v>
      </c>
      <c r="G569" t="str">
        <f>IF(OR(C569&lt;outliers!$B$14,C569&gt;outliers!$B$13),"Outlier","Normal")</f>
        <v>Normal</v>
      </c>
      <c r="H569" t="str">
        <f>IF(OR(D569&lt;outliers!$B$21,D569&gt;outliers!$B$20),"Outlier","Normal")</f>
        <v>Normal</v>
      </c>
      <c r="I569" t="str">
        <f>IF(OR(E569&lt;outliers!$C$28,E569&gt;outliers!$B$27),"Outlier","Normal")</f>
        <v>Normal</v>
      </c>
      <c r="J569">
        <f t="shared" si="18"/>
        <v>2020</v>
      </c>
      <c r="K569" t="str">
        <f t="shared" si="17"/>
        <v>March</v>
      </c>
    </row>
    <row r="570" spans="1:11" x14ac:dyDescent="0.35">
      <c r="A570" s="1">
        <v>43915</v>
      </c>
      <c r="B570">
        <v>26.8</v>
      </c>
      <c r="C570">
        <v>21</v>
      </c>
      <c r="D570">
        <v>34.700000000000003</v>
      </c>
      <c r="E570">
        <v>0</v>
      </c>
      <c r="F570" t="str">
        <f>IF(OR(B570&lt;outliers!$B$7,B570&gt;outliers!$B$6),"Outlier","Normal")</f>
        <v>Normal</v>
      </c>
      <c r="G570" t="str">
        <f>IF(OR(C570&lt;outliers!$B$14,C570&gt;outliers!$B$13),"Outlier","Normal")</f>
        <v>Normal</v>
      </c>
      <c r="H570" t="str">
        <f>IF(OR(D570&lt;outliers!$B$21,D570&gt;outliers!$B$20),"Outlier","Normal")</f>
        <v>Normal</v>
      </c>
      <c r="I570" t="str">
        <f>IF(OR(E570&lt;outliers!$C$28,E570&gt;outliers!$B$27),"Outlier","Normal")</f>
        <v>Normal</v>
      </c>
      <c r="J570">
        <f t="shared" si="18"/>
        <v>2020</v>
      </c>
      <c r="K570" t="str">
        <f t="shared" si="17"/>
        <v>March</v>
      </c>
    </row>
    <row r="571" spans="1:11" hidden="1" x14ac:dyDescent="0.35">
      <c r="A571" s="1">
        <v>43927</v>
      </c>
      <c r="B571">
        <v>27.7</v>
      </c>
      <c r="C571">
        <v>21.8</v>
      </c>
      <c r="D571">
        <v>36.4</v>
      </c>
      <c r="E571">
        <v>0</v>
      </c>
      <c r="F571" t="str">
        <f>IF(OR(B571&lt;outliers!$B$7,B571&gt;outliers!$B$6),"Outlier","Normal")</f>
        <v>Normal</v>
      </c>
      <c r="G571" t="str">
        <f>IF(OR(C571&lt;outliers!$B$14,C571&gt;outliers!$B$13),"Outlier","Normal")</f>
        <v>Normal</v>
      </c>
      <c r="H571" t="str">
        <f>IF(OR(D571&lt;outliers!$B$21,D571&gt;outliers!$B$20),"Outlier","Normal")</f>
        <v>Outlier</v>
      </c>
      <c r="I571" t="str">
        <f>IF(OR(E571&lt;outliers!$C$28,E571&gt;outliers!$B$27),"Outlier","Normal")</f>
        <v>Normal</v>
      </c>
      <c r="J571">
        <f t="shared" si="18"/>
        <v>2020</v>
      </c>
      <c r="K571" t="str">
        <f t="shared" si="17"/>
        <v>March</v>
      </c>
    </row>
    <row r="572" spans="1:11" hidden="1" x14ac:dyDescent="0.35">
      <c r="A572" s="1">
        <v>43928</v>
      </c>
      <c r="B572">
        <v>25</v>
      </c>
      <c r="C572">
        <v>21</v>
      </c>
      <c r="D572">
        <v>35.6</v>
      </c>
      <c r="E572">
        <v>30</v>
      </c>
      <c r="F572" t="str">
        <f>IF(OR(B572&lt;outliers!$B$7,B572&gt;outliers!$B$6),"Outlier","Normal")</f>
        <v>Normal</v>
      </c>
      <c r="G572" t="str">
        <f>IF(OR(C572&lt;outliers!$B$14,C572&gt;outliers!$B$13),"Outlier","Normal")</f>
        <v>Normal</v>
      </c>
      <c r="H572" t="str">
        <f>IF(OR(D572&lt;outliers!$B$21,D572&gt;outliers!$B$20),"Outlier","Normal")</f>
        <v>Normal</v>
      </c>
      <c r="I572" t="str">
        <f>IF(OR(E572&lt;outliers!$C$28,E572&gt;outliers!$B$27),"Outlier","Normal")</f>
        <v>Outlier</v>
      </c>
      <c r="J572">
        <f t="shared" si="18"/>
        <v>2020</v>
      </c>
      <c r="K572" t="str">
        <f t="shared" si="17"/>
        <v>April</v>
      </c>
    </row>
    <row r="573" spans="1:11" x14ac:dyDescent="0.35">
      <c r="A573" s="1">
        <v>43929</v>
      </c>
      <c r="B573">
        <v>26.8</v>
      </c>
      <c r="C573">
        <v>21</v>
      </c>
      <c r="D573">
        <v>32.799999999999997</v>
      </c>
      <c r="E573">
        <v>0</v>
      </c>
      <c r="F573" t="str">
        <f>IF(OR(B573&lt;outliers!$B$7,B573&gt;outliers!$B$6),"Outlier","Normal")</f>
        <v>Normal</v>
      </c>
      <c r="G573" t="str">
        <f>IF(OR(C573&lt;outliers!$B$14,C573&gt;outliers!$B$13),"Outlier","Normal")</f>
        <v>Normal</v>
      </c>
      <c r="H573" t="str">
        <f>IF(OR(D573&lt;outliers!$B$21,D573&gt;outliers!$B$20),"Outlier","Normal")</f>
        <v>Normal</v>
      </c>
      <c r="I573" t="str">
        <f>IF(OR(E573&lt;outliers!$C$28,E573&gt;outliers!$B$27),"Outlier","Normal")</f>
        <v>Normal</v>
      </c>
      <c r="J573">
        <f t="shared" si="18"/>
        <v>2020</v>
      </c>
      <c r="K573" t="str">
        <f t="shared" si="17"/>
        <v>April</v>
      </c>
    </row>
    <row r="574" spans="1:11" x14ac:dyDescent="0.35">
      <c r="A574" s="1">
        <v>43930</v>
      </c>
      <c r="B574">
        <v>24.9</v>
      </c>
      <c r="C574">
        <v>19.8</v>
      </c>
      <c r="D574">
        <v>33.700000000000003</v>
      </c>
      <c r="E574">
        <v>0</v>
      </c>
      <c r="F574" t="str">
        <f>IF(OR(B574&lt;outliers!$B$7,B574&gt;outliers!$B$6),"Outlier","Normal")</f>
        <v>Normal</v>
      </c>
      <c r="G574" t="str">
        <f>IF(OR(C574&lt;outliers!$B$14,C574&gt;outliers!$B$13),"Outlier","Normal")</f>
        <v>Normal</v>
      </c>
      <c r="H574" t="str">
        <f>IF(OR(D574&lt;outliers!$B$21,D574&gt;outliers!$B$20),"Outlier","Normal")</f>
        <v>Normal</v>
      </c>
      <c r="I574" t="str">
        <f>IF(OR(E574&lt;outliers!$C$28,E574&gt;outliers!$B$27),"Outlier","Normal")</f>
        <v>Normal</v>
      </c>
      <c r="J574">
        <f t="shared" si="18"/>
        <v>2020</v>
      </c>
      <c r="K574" t="str">
        <f t="shared" si="17"/>
        <v>April</v>
      </c>
    </row>
    <row r="575" spans="1:11" hidden="1" x14ac:dyDescent="0.35">
      <c r="A575" s="1">
        <v>43931</v>
      </c>
      <c r="B575">
        <v>24.7</v>
      </c>
      <c r="C575">
        <v>18.600000000000001</v>
      </c>
      <c r="D575">
        <v>33.4</v>
      </c>
      <c r="E575">
        <v>33.299999999999997</v>
      </c>
      <c r="F575" t="str">
        <f>IF(OR(B575&lt;outliers!$B$7,B575&gt;outliers!$B$6),"Outlier","Normal")</f>
        <v>Normal</v>
      </c>
      <c r="G575" t="str">
        <f>IF(OR(C575&lt;outliers!$B$14,C575&gt;outliers!$B$13),"Outlier","Normal")</f>
        <v>Normal</v>
      </c>
      <c r="H575" t="str">
        <f>IF(OR(D575&lt;outliers!$B$21,D575&gt;outliers!$B$20),"Outlier","Normal")</f>
        <v>Normal</v>
      </c>
      <c r="I575" t="str">
        <f>IF(OR(E575&lt;outliers!$C$28,E575&gt;outliers!$B$27),"Outlier","Normal")</f>
        <v>Outlier</v>
      </c>
      <c r="J575">
        <f t="shared" si="18"/>
        <v>2020</v>
      </c>
      <c r="K575" t="str">
        <f t="shared" si="17"/>
        <v>April</v>
      </c>
    </row>
    <row r="576" spans="1:11" x14ac:dyDescent="0.35">
      <c r="A576" s="1">
        <v>43932</v>
      </c>
      <c r="B576">
        <v>26.6</v>
      </c>
      <c r="C576">
        <v>21</v>
      </c>
      <c r="D576">
        <v>31.8</v>
      </c>
      <c r="E576">
        <v>0</v>
      </c>
      <c r="F576" t="str">
        <f>IF(OR(B576&lt;outliers!$B$7,B576&gt;outliers!$B$6),"Outlier","Normal")</f>
        <v>Normal</v>
      </c>
      <c r="G576" t="str">
        <f>IF(OR(C576&lt;outliers!$B$14,C576&gt;outliers!$B$13),"Outlier","Normal")</f>
        <v>Normal</v>
      </c>
      <c r="H576" t="str">
        <f>IF(OR(D576&lt;outliers!$B$21,D576&gt;outliers!$B$20),"Outlier","Normal")</f>
        <v>Normal</v>
      </c>
      <c r="I576" t="str">
        <f>IF(OR(E576&lt;outliers!$C$28,E576&gt;outliers!$B$27),"Outlier","Normal")</f>
        <v>Normal</v>
      </c>
      <c r="J576">
        <f t="shared" si="18"/>
        <v>2020</v>
      </c>
      <c r="K576" t="str">
        <f t="shared" si="17"/>
        <v>April</v>
      </c>
    </row>
    <row r="577" spans="1:11" hidden="1" x14ac:dyDescent="0.35">
      <c r="A577" s="1">
        <v>43945</v>
      </c>
      <c r="B577">
        <v>25.7</v>
      </c>
      <c r="C577">
        <v>20.5</v>
      </c>
      <c r="D577">
        <v>36</v>
      </c>
      <c r="E577">
        <v>23.1</v>
      </c>
      <c r="F577" t="str">
        <f>IF(OR(B577&lt;outliers!$B$7,B577&gt;outliers!$B$6),"Outlier","Normal")</f>
        <v>Normal</v>
      </c>
      <c r="G577" t="str">
        <f>IF(OR(C577&lt;outliers!$B$14,C577&gt;outliers!$B$13),"Outlier","Normal")</f>
        <v>Normal</v>
      </c>
      <c r="H577" t="str">
        <f>IF(OR(D577&lt;outliers!$B$21,D577&gt;outliers!$B$20),"Outlier","Normal")</f>
        <v>Normal</v>
      </c>
      <c r="I577" t="str">
        <f>IF(OR(E577&lt;outliers!$C$28,E577&gt;outliers!$B$27),"Outlier","Normal")</f>
        <v>Outlier</v>
      </c>
      <c r="J577">
        <f t="shared" si="18"/>
        <v>2020</v>
      </c>
      <c r="K577" t="str">
        <f t="shared" si="17"/>
        <v>April</v>
      </c>
    </row>
    <row r="578" spans="1:11" x14ac:dyDescent="0.35">
      <c r="A578" s="1">
        <v>43946</v>
      </c>
      <c r="B578">
        <v>25.8</v>
      </c>
      <c r="C578">
        <v>22.7</v>
      </c>
      <c r="D578">
        <v>30.8</v>
      </c>
      <c r="E578">
        <v>0</v>
      </c>
      <c r="F578" t="str">
        <f>IF(OR(B578&lt;outliers!$B$7,B578&gt;outliers!$B$6),"Outlier","Normal")</f>
        <v>Normal</v>
      </c>
      <c r="G578" t="str">
        <f>IF(OR(C578&lt;outliers!$B$14,C578&gt;outliers!$B$13),"Outlier","Normal")</f>
        <v>Normal</v>
      </c>
      <c r="H578" t="str">
        <f>IF(OR(D578&lt;outliers!$B$21,D578&gt;outliers!$B$20),"Outlier","Normal")</f>
        <v>Normal</v>
      </c>
      <c r="I578" t="str">
        <f>IF(OR(E578&lt;outliers!$C$28,E578&gt;outliers!$B$27),"Outlier","Normal")</f>
        <v>Normal</v>
      </c>
      <c r="J578">
        <f t="shared" si="18"/>
        <v>2020</v>
      </c>
      <c r="K578" t="str">
        <f t="shared" ref="K578:K641" si="19">TEXT(A577,"mmmm")</f>
        <v>April</v>
      </c>
    </row>
    <row r="579" spans="1:11" x14ac:dyDescent="0.35">
      <c r="A579" s="1">
        <v>43947</v>
      </c>
      <c r="B579">
        <v>26.7</v>
      </c>
      <c r="C579">
        <v>22.6</v>
      </c>
      <c r="D579">
        <v>32</v>
      </c>
      <c r="E579">
        <v>0</v>
      </c>
      <c r="F579" t="str">
        <f>IF(OR(B579&lt;outliers!$B$7,B579&gt;outliers!$B$6),"Outlier","Normal")</f>
        <v>Normal</v>
      </c>
      <c r="G579" t="str">
        <f>IF(OR(C579&lt;outliers!$B$14,C579&gt;outliers!$B$13),"Outlier","Normal")</f>
        <v>Normal</v>
      </c>
      <c r="H579" t="str">
        <f>IF(OR(D579&lt;outliers!$B$21,D579&gt;outliers!$B$20),"Outlier","Normal")</f>
        <v>Normal</v>
      </c>
      <c r="I579" t="str">
        <f>IF(OR(E579&lt;outliers!$C$28,E579&gt;outliers!$B$27),"Outlier","Normal")</f>
        <v>Normal</v>
      </c>
      <c r="J579">
        <f t="shared" si="18"/>
        <v>2020</v>
      </c>
      <c r="K579" t="str">
        <f t="shared" si="19"/>
        <v>April</v>
      </c>
    </row>
    <row r="580" spans="1:11" x14ac:dyDescent="0.35">
      <c r="A580" s="1">
        <v>43948</v>
      </c>
      <c r="B580">
        <v>26.7</v>
      </c>
      <c r="C580">
        <v>22.4</v>
      </c>
      <c r="D580">
        <v>31.6</v>
      </c>
      <c r="E580">
        <v>0</v>
      </c>
      <c r="F580" t="str">
        <f>IF(OR(B580&lt;outliers!$B$7,B580&gt;outliers!$B$6),"Outlier","Normal")</f>
        <v>Normal</v>
      </c>
      <c r="G580" t="str">
        <f>IF(OR(C580&lt;outliers!$B$14,C580&gt;outliers!$B$13),"Outlier","Normal")</f>
        <v>Normal</v>
      </c>
      <c r="H580" t="str">
        <f>IF(OR(D580&lt;outliers!$B$21,D580&gt;outliers!$B$20),"Outlier","Normal")</f>
        <v>Normal</v>
      </c>
      <c r="I580" t="str">
        <f>IF(OR(E580&lt;outliers!$C$28,E580&gt;outliers!$B$27),"Outlier","Normal")</f>
        <v>Normal</v>
      </c>
      <c r="J580">
        <f t="shared" si="18"/>
        <v>2020</v>
      </c>
      <c r="K580" t="str">
        <f t="shared" si="19"/>
        <v>April</v>
      </c>
    </row>
    <row r="581" spans="1:11" x14ac:dyDescent="0.35">
      <c r="A581" s="1">
        <v>43949</v>
      </c>
      <c r="B581">
        <v>27.2</v>
      </c>
      <c r="C581">
        <v>23</v>
      </c>
      <c r="D581">
        <v>34.799999999999997</v>
      </c>
      <c r="E581">
        <v>3</v>
      </c>
      <c r="F581" t="str">
        <f>IF(OR(B581&lt;outliers!$B$7,B581&gt;outliers!$B$6),"Outlier","Normal")</f>
        <v>Normal</v>
      </c>
      <c r="G581" t="str">
        <f>IF(OR(C581&lt;outliers!$B$14,C581&gt;outliers!$B$13),"Outlier","Normal")</f>
        <v>Normal</v>
      </c>
      <c r="H581" t="str">
        <f>IF(OR(D581&lt;outliers!$B$21,D581&gt;outliers!$B$20),"Outlier","Normal")</f>
        <v>Normal</v>
      </c>
      <c r="I581" t="str">
        <f>IF(OR(E581&lt;outliers!$C$28,E581&gt;outliers!$B$27),"Outlier","Normal")</f>
        <v>Normal</v>
      </c>
      <c r="J581">
        <f t="shared" si="18"/>
        <v>2020</v>
      </c>
      <c r="K581" t="str">
        <f t="shared" si="19"/>
        <v>April</v>
      </c>
    </row>
    <row r="582" spans="1:11" hidden="1" x14ac:dyDescent="0.35">
      <c r="A582" s="1">
        <v>43950</v>
      </c>
      <c r="B582">
        <v>23.2</v>
      </c>
      <c r="C582">
        <v>19.600000000000001</v>
      </c>
      <c r="D582">
        <v>34</v>
      </c>
      <c r="E582">
        <v>30.7</v>
      </c>
      <c r="F582" t="str">
        <f>IF(OR(B582&lt;outliers!$B$7,B582&gt;outliers!$B$6),"Outlier","Normal")</f>
        <v>Normal</v>
      </c>
      <c r="G582" t="str">
        <f>IF(OR(C582&lt;outliers!$B$14,C582&gt;outliers!$B$13),"Outlier","Normal")</f>
        <v>Normal</v>
      </c>
      <c r="H582" t="str">
        <f>IF(OR(D582&lt;outliers!$B$21,D582&gt;outliers!$B$20),"Outlier","Normal")</f>
        <v>Normal</v>
      </c>
      <c r="I582" t="str">
        <f>IF(OR(E582&lt;outliers!$C$28,E582&gt;outliers!$B$27),"Outlier","Normal")</f>
        <v>Outlier</v>
      </c>
      <c r="J582">
        <f t="shared" si="18"/>
        <v>2020</v>
      </c>
      <c r="K582" t="str">
        <f t="shared" si="19"/>
        <v>April</v>
      </c>
    </row>
    <row r="583" spans="1:11" x14ac:dyDescent="0.35">
      <c r="A583" s="1">
        <v>43951</v>
      </c>
      <c r="B583">
        <v>26.5</v>
      </c>
      <c r="C583">
        <v>21</v>
      </c>
      <c r="D583">
        <v>33.799999999999997</v>
      </c>
      <c r="E583">
        <v>1</v>
      </c>
      <c r="F583" t="str">
        <f>IF(OR(B583&lt;outliers!$B$7,B583&gt;outliers!$B$6),"Outlier","Normal")</f>
        <v>Normal</v>
      </c>
      <c r="G583" t="str">
        <f>IF(OR(C583&lt;outliers!$B$14,C583&gt;outliers!$B$13),"Outlier","Normal")</f>
        <v>Normal</v>
      </c>
      <c r="H583" t="str">
        <f>IF(OR(D583&lt;outliers!$B$21,D583&gt;outliers!$B$20),"Outlier","Normal")</f>
        <v>Normal</v>
      </c>
      <c r="I583" t="str">
        <f>IF(OR(E583&lt;outliers!$C$28,E583&gt;outliers!$B$27),"Outlier","Normal")</f>
        <v>Normal</v>
      </c>
      <c r="J583">
        <f t="shared" si="18"/>
        <v>2020</v>
      </c>
      <c r="K583" t="str">
        <f t="shared" si="19"/>
        <v>April</v>
      </c>
    </row>
    <row r="584" spans="1:11" hidden="1" x14ac:dyDescent="0.35">
      <c r="A584" s="1">
        <v>43969</v>
      </c>
      <c r="B584">
        <v>25.3</v>
      </c>
      <c r="C584">
        <v>21.2</v>
      </c>
      <c r="D584">
        <v>35.6</v>
      </c>
      <c r="E584">
        <v>10.9</v>
      </c>
      <c r="F584" t="str">
        <f>IF(OR(B584&lt;outliers!$B$7,B584&gt;outliers!$B$6),"Outlier","Normal")</f>
        <v>Normal</v>
      </c>
      <c r="G584" t="str">
        <f>IF(OR(C584&lt;outliers!$B$14,C584&gt;outliers!$B$13),"Outlier","Normal")</f>
        <v>Normal</v>
      </c>
      <c r="H584" t="str">
        <f>IF(OR(D584&lt;outliers!$B$21,D584&gt;outliers!$B$20),"Outlier","Normal")</f>
        <v>Normal</v>
      </c>
      <c r="I584" t="str">
        <f>IF(OR(E584&lt;outliers!$C$28,E584&gt;outliers!$B$27),"Outlier","Normal")</f>
        <v>Outlier</v>
      </c>
      <c r="J584">
        <f t="shared" si="18"/>
        <v>2020</v>
      </c>
      <c r="K584" t="str">
        <f t="shared" si="19"/>
        <v>April</v>
      </c>
    </row>
    <row r="585" spans="1:11" x14ac:dyDescent="0.35">
      <c r="A585" s="1">
        <v>43970</v>
      </c>
      <c r="B585">
        <v>26.7</v>
      </c>
      <c r="C585">
        <v>22.6</v>
      </c>
      <c r="D585">
        <v>31.5</v>
      </c>
      <c r="E585">
        <v>0</v>
      </c>
      <c r="F585" t="str">
        <f>IF(OR(B585&lt;outliers!$B$7,B585&gt;outliers!$B$6),"Outlier","Normal")</f>
        <v>Normal</v>
      </c>
      <c r="G585" t="str">
        <f>IF(OR(C585&lt;outliers!$B$14,C585&gt;outliers!$B$13),"Outlier","Normal")</f>
        <v>Normal</v>
      </c>
      <c r="H585" t="str">
        <f>IF(OR(D585&lt;outliers!$B$21,D585&gt;outliers!$B$20),"Outlier","Normal")</f>
        <v>Normal</v>
      </c>
      <c r="I585" t="str">
        <f>IF(OR(E585&lt;outliers!$C$28,E585&gt;outliers!$B$27),"Outlier","Normal")</f>
        <v>Normal</v>
      </c>
      <c r="J585">
        <f t="shared" si="18"/>
        <v>2020</v>
      </c>
      <c r="K585" t="str">
        <f t="shared" si="19"/>
        <v>May</v>
      </c>
    </row>
    <row r="586" spans="1:11" hidden="1" x14ac:dyDescent="0.35">
      <c r="A586" s="1">
        <v>43973</v>
      </c>
      <c r="B586">
        <v>28.6</v>
      </c>
      <c r="C586">
        <v>22.1</v>
      </c>
      <c r="D586">
        <v>34.6</v>
      </c>
      <c r="E586">
        <v>0</v>
      </c>
      <c r="F586" t="str">
        <f>IF(OR(B586&lt;outliers!$B$7,B586&gt;outliers!$B$6),"Outlier","Normal")</f>
        <v>Outlier</v>
      </c>
      <c r="G586" t="str">
        <f>IF(OR(C586&lt;outliers!$B$14,C586&gt;outliers!$B$13),"Outlier","Normal")</f>
        <v>Normal</v>
      </c>
      <c r="H586" t="str">
        <f>IF(OR(D586&lt;outliers!$B$21,D586&gt;outliers!$B$20),"Outlier","Normal")</f>
        <v>Normal</v>
      </c>
      <c r="I586" t="str">
        <f>IF(OR(E586&lt;outliers!$C$28,E586&gt;outliers!$B$27),"Outlier","Normal")</f>
        <v>Normal</v>
      </c>
      <c r="J586">
        <f t="shared" si="18"/>
        <v>2020</v>
      </c>
      <c r="K586" t="str">
        <f t="shared" si="19"/>
        <v>May</v>
      </c>
    </row>
    <row r="587" spans="1:11" x14ac:dyDescent="0.35">
      <c r="A587" s="1">
        <v>43975</v>
      </c>
      <c r="B587">
        <v>25.6</v>
      </c>
      <c r="C587">
        <v>21.8</v>
      </c>
      <c r="D587">
        <v>35.6</v>
      </c>
      <c r="E587">
        <v>0</v>
      </c>
      <c r="F587" t="str">
        <f>IF(OR(B587&lt;outliers!$B$7,B587&gt;outliers!$B$6),"Outlier","Normal")</f>
        <v>Normal</v>
      </c>
      <c r="G587" t="str">
        <f>IF(OR(C587&lt;outliers!$B$14,C587&gt;outliers!$B$13),"Outlier","Normal")</f>
        <v>Normal</v>
      </c>
      <c r="H587" t="str">
        <f>IF(OR(D587&lt;outliers!$B$21,D587&gt;outliers!$B$20),"Outlier","Normal")</f>
        <v>Normal</v>
      </c>
      <c r="I587" t="str">
        <f>IF(OR(E587&lt;outliers!$C$28,E587&gt;outliers!$B$27),"Outlier","Normal")</f>
        <v>Normal</v>
      </c>
      <c r="J587">
        <f t="shared" si="18"/>
        <v>2020</v>
      </c>
      <c r="K587" t="str">
        <f t="shared" si="19"/>
        <v>May</v>
      </c>
    </row>
    <row r="588" spans="1:11" hidden="1" x14ac:dyDescent="0.35">
      <c r="A588" s="1">
        <v>43976</v>
      </c>
      <c r="B588">
        <v>26.7</v>
      </c>
      <c r="C588">
        <v>22</v>
      </c>
      <c r="D588">
        <v>34.4</v>
      </c>
      <c r="E588">
        <v>35.299999999999997</v>
      </c>
      <c r="F588" t="str">
        <f>IF(OR(B588&lt;outliers!$B$7,B588&gt;outliers!$B$6),"Outlier","Normal")</f>
        <v>Normal</v>
      </c>
      <c r="G588" t="str">
        <f>IF(OR(C588&lt;outliers!$B$14,C588&gt;outliers!$B$13),"Outlier","Normal")</f>
        <v>Normal</v>
      </c>
      <c r="H588" t="str">
        <f>IF(OR(D588&lt;outliers!$B$21,D588&gt;outliers!$B$20),"Outlier","Normal")</f>
        <v>Normal</v>
      </c>
      <c r="I588" t="str">
        <f>IF(OR(E588&lt;outliers!$C$28,E588&gt;outliers!$B$27),"Outlier","Normal")</f>
        <v>Outlier</v>
      </c>
      <c r="J588">
        <f t="shared" si="18"/>
        <v>2020</v>
      </c>
      <c r="K588" t="str">
        <f t="shared" si="19"/>
        <v>May</v>
      </c>
    </row>
    <row r="589" spans="1:11" x14ac:dyDescent="0.35">
      <c r="A589" s="1">
        <v>43977</v>
      </c>
      <c r="B589">
        <v>25.6</v>
      </c>
      <c r="C589">
        <v>20.399999999999999</v>
      </c>
      <c r="D589">
        <v>33.4</v>
      </c>
      <c r="E589">
        <v>0</v>
      </c>
      <c r="F589" t="str">
        <f>IF(OR(B589&lt;outliers!$B$7,B589&gt;outliers!$B$6),"Outlier","Normal")</f>
        <v>Normal</v>
      </c>
      <c r="G589" t="str">
        <f>IF(OR(C589&lt;outliers!$B$14,C589&gt;outliers!$B$13),"Outlier","Normal")</f>
        <v>Normal</v>
      </c>
      <c r="H589" t="str">
        <f>IF(OR(D589&lt;outliers!$B$21,D589&gt;outliers!$B$20),"Outlier","Normal")</f>
        <v>Normal</v>
      </c>
      <c r="I589" t="str">
        <f>IF(OR(E589&lt;outliers!$C$28,E589&gt;outliers!$B$27),"Outlier","Normal")</f>
        <v>Normal</v>
      </c>
      <c r="J589">
        <f t="shared" si="18"/>
        <v>2020</v>
      </c>
      <c r="K589" t="str">
        <f t="shared" si="19"/>
        <v>May</v>
      </c>
    </row>
    <row r="590" spans="1:11" hidden="1" x14ac:dyDescent="0.35">
      <c r="A590" s="1">
        <v>43978</v>
      </c>
      <c r="B590">
        <v>24.1</v>
      </c>
      <c r="C590">
        <v>20.9</v>
      </c>
      <c r="D590">
        <v>32.9</v>
      </c>
      <c r="E590">
        <v>31</v>
      </c>
      <c r="F590" t="str">
        <f>IF(OR(B590&lt;outliers!$B$7,B590&gt;outliers!$B$6),"Outlier","Normal")</f>
        <v>Normal</v>
      </c>
      <c r="G590" t="str">
        <f>IF(OR(C590&lt;outliers!$B$14,C590&gt;outliers!$B$13),"Outlier","Normal")</f>
        <v>Normal</v>
      </c>
      <c r="H590" t="str">
        <f>IF(OR(D590&lt;outliers!$B$21,D590&gt;outliers!$B$20),"Outlier","Normal")</f>
        <v>Normal</v>
      </c>
      <c r="I590" t="str">
        <f>IF(OR(E590&lt;outliers!$C$28,E590&gt;outliers!$B$27),"Outlier","Normal")</f>
        <v>Outlier</v>
      </c>
      <c r="J590">
        <f t="shared" si="18"/>
        <v>2020</v>
      </c>
      <c r="K590" t="str">
        <f t="shared" si="19"/>
        <v>May</v>
      </c>
    </row>
    <row r="591" spans="1:11" x14ac:dyDescent="0.35">
      <c r="A591" s="1">
        <v>43979</v>
      </c>
      <c r="B591">
        <v>24.9</v>
      </c>
      <c r="C591">
        <v>20.8</v>
      </c>
      <c r="D591">
        <v>32.6</v>
      </c>
      <c r="E591">
        <v>0</v>
      </c>
      <c r="F591" t="str">
        <f>IF(OR(B591&lt;outliers!$B$7,B591&gt;outliers!$B$6),"Outlier","Normal")</f>
        <v>Normal</v>
      </c>
      <c r="G591" t="str">
        <f>IF(OR(C591&lt;outliers!$B$14,C591&gt;outliers!$B$13),"Outlier","Normal")</f>
        <v>Normal</v>
      </c>
      <c r="H591" t="str">
        <f>IF(OR(D591&lt;outliers!$B$21,D591&gt;outliers!$B$20),"Outlier","Normal")</f>
        <v>Normal</v>
      </c>
      <c r="I591" t="str">
        <f>IF(OR(E591&lt;outliers!$C$28,E591&gt;outliers!$B$27),"Outlier","Normal")</f>
        <v>Normal</v>
      </c>
      <c r="J591">
        <f t="shared" si="18"/>
        <v>2020</v>
      </c>
      <c r="K591" t="str">
        <f t="shared" si="19"/>
        <v>May</v>
      </c>
    </row>
    <row r="592" spans="1:11" x14ac:dyDescent="0.35">
      <c r="A592" s="1">
        <v>43980</v>
      </c>
      <c r="B592">
        <v>24.1</v>
      </c>
      <c r="C592">
        <v>20.6</v>
      </c>
      <c r="D592">
        <v>32.4</v>
      </c>
      <c r="E592">
        <v>4.3</v>
      </c>
      <c r="F592" t="str">
        <f>IF(OR(B592&lt;outliers!$B$7,B592&gt;outliers!$B$6),"Outlier","Normal")</f>
        <v>Normal</v>
      </c>
      <c r="G592" t="str">
        <f>IF(OR(C592&lt;outliers!$B$14,C592&gt;outliers!$B$13),"Outlier","Normal")</f>
        <v>Normal</v>
      </c>
      <c r="H592" t="str">
        <f>IF(OR(D592&lt;outliers!$B$21,D592&gt;outliers!$B$20),"Outlier","Normal")</f>
        <v>Normal</v>
      </c>
      <c r="I592" t="str">
        <f>IF(OR(E592&lt;outliers!$C$28,E592&gt;outliers!$B$27),"Outlier","Normal")</f>
        <v>Normal</v>
      </c>
      <c r="J592">
        <f t="shared" si="18"/>
        <v>2020</v>
      </c>
      <c r="K592" t="str">
        <f t="shared" si="19"/>
        <v>May</v>
      </c>
    </row>
    <row r="593" spans="1:11" hidden="1" x14ac:dyDescent="0.35">
      <c r="A593" s="1">
        <v>43981</v>
      </c>
      <c r="B593">
        <v>24.6</v>
      </c>
      <c r="C593">
        <v>20.2</v>
      </c>
      <c r="D593">
        <v>32.6</v>
      </c>
      <c r="E593">
        <v>24.4</v>
      </c>
      <c r="F593" t="str">
        <f>IF(OR(B593&lt;outliers!$B$7,B593&gt;outliers!$B$6),"Outlier","Normal")</f>
        <v>Normal</v>
      </c>
      <c r="G593" t="str">
        <f>IF(OR(C593&lt;outliers!$B$14,C593&gt;outliers!$B$13),"Outlier","Normal")</f>
        <v>Normal</v>
      </c>
      <c r="H593" t="str">
        <f>IF(OR(D593&lt;outliers!$B$21,D593&gt;outliers!$B$20),"Outlier","Normal")</f>
        <v>Normal</v>
      </c>
      <c r="I593" t="str">
        <f>IF(OR(E593&lt;outliers!$C$28,E593&gt;outliers!$B$27),"Outlier","Normal")</f>
        <v>Outlier</v>
      </c>
      <c r="J593">
        <f t="shared" ref="J593:J656" si="20">YEAR(A593)</f>
        <v>2020</v>
      </c>
      <c r="K593" t="str">
        <f t="shared" si="19"/>
        <v>May</v>
      </c>
    </row>
    <row r="594" spans="1:11" x14ac:dyDescent="0.35">
      <c r="A594" s="1">
        <v>43982</v>
      </c>
      <c r="B594">
        <v>26.3</v>
      </c>
      <c r="C594">
        <v>22.4</v>
      </c>
      <c r="D594">
        <v>31.9</v>
      </c>
      <c r="E594">
        <v>0.3</v>
      </c>
      <c r="F594" t="str">
        <f>IF(OR(B594&lt;outliers!$B$7,B594&gt;outliers!$B$6),"Outlier","Normal")</f>
        <v>Normal</v>
      </c>
      <c r="G594" t="str">
        <f>IF(OR(C594&lt;outliers!$B$14,C594&gt;outliers!$B$13),"Outlier","Normal")</f>
        <v>Normal</v>
      </c>
      <c r="H594" t="str">
        <f>IF(OR(D594&lt;outliers!$B$21,D594&gt;outliers!$B$20),"Outlier","Normal")</f>
        <v>Normal</v>
      </c>
      <c r="I594" t="str">
        <f>IF(OR(E594&lt;outliers!$C$28,E594&gt;outliers!$B$27),"Outlier","Normal")</f>
        <v>Normal</v>
      </c>
      <c r="J594">
        <f t="shared" si="20"/>
        <v>2020</v>
      </c>
      <c r="K594" t="str">
        <f t="shared" si="19"/>
        <v>May</v>
      </c>
    </row>
    <row r="595" spans="1:11" x14ac:dyDescent="0.35">
      <c r="A595" s="1">
        <v>43983</v>
      </c>
      <c r="B595">
        <v>25.9</v>
      </c>
      <c r="C595">
        <v>22.4</v>
      </c>
      <c r="D595">
        <v>32.799999999999997</v>
      </c>
      <c r="E595">
        <v>0</v>
      </c>
      <c r="F595" t="str">
        <f>IF(OR(B595&lt;outliers!$B$7,B595&gt;outliers!$B$6),"Outlier","Normal")</f>
        <v>Normal</v>
      </c>
      <c r="G595" t="str">
        <f>IF(OR(C595&lt;outliers!$B$14,C595&gt;outliers!$B$13),"Outlier","Normal")</f>
        <v>Normal</v>
      </c>
      <c r="H595" t="str">
        <f>IF(OR(D595&lt;outliers!$B$21,D595&gt;outliers!$B$20),"Outlier","Normal")</f>
        <v>Normal</v>
      </c>
      <c r="I595" t="str">
        <f>IF(OR(E595&lt;outliers!$C$28,E595&gt;outliers!$B$27),"Outlier","Normal")</f>
        <v>Normal</v>
      </c>
      <c r="J595">
        <f t="shared" si="20"/>
        <v>2020</v>
      </c>
      <c r="K595" t="str">
        <f t="shared" si="19"/>
        <v>May</v>
      </c>
    </row>
    <row r="596" spans="1:11" x14ac:dyDescent="0.35">
      <c r="A596" s="1">
        <v>43984</v>
      </c>
      <c r="B596">
        <v>24.4</v>
      </c>
      <c r="C596">
        <v>20.3</v>
      </c>
      <c r="D596">
        <v>32</v>
      </c>
      <c r="E596">
        <v>0</v>
      </c>
      <c r="F596" t="str">
        <f>IF(OR(B596&lt;outliers!$B$7,B596&gt;outliers!$B$6),"Outlier","Normal")</f>
        <v>Normal</v>
      </c>
      <c r="G596" t="str">
        <f>IF(OR(C596&lt;outliers!$B$14,C596&gt;outliers!$B$13),"Outlier","Normal")</f>
        <v>Normal</v>
      </c>
      <c r="H596" t="str">
        <f>IF(OR(D596&lt;outliers!$B$21,D596&gt;outliers!$B$20),"Outlier","Normal")</f>
        <v>Normal</v>
      </c>
      <c r="I596" t="str">
        <f>IF(OR(E596&lt;outliers!$C$28,E596&gt;outliers!$B$27),"Outlier","Normal")</f>
        <v>Normal</v>
      </c>
      <c r="J596">
        <f t="shared" si="20"/>
        <v>2020</v>
      </c>
      <c r="K596" t="str">
        <f t="shared" si="19"/>
        <v>June</v>
      </c>
    </row>
    <row r="597" spans="1:11" x14ac:dyDescent="0.35">
      <c r="A597" s="1">
        <v>43985</v>
      </c>
      <c r="B597">
        <v>24.7</v>
      </c>
      <c r="C597">
        <v>21.2</v>
      </c>
      <c r="D597">
        <v>28.8</v>
      </c>
      <c r="E597">
        <v>0</v>
      </c>
      <c r="F597" t="str">
        <f>IF(OR(B597&lt;outliers!$B$7,B597&gt;outliers!$B$6),"Outlier","Normal")</f>
        <v>Normal</v>
      </c>
      <c r="G597" t="str">
        <f>IF(OR(C597&lt;outliers!$B$14,C597&gt;outliers!$B$13),"Outlier","Normal")</f>
        <v>Normal</v>
      </c>
      <c r="H597" t="str">
        <f>IF(OR(D597&lt;outliers!$B$21,D597&gt;outliers!$B$20),"Outlier","Normal")</f>
        <v>Normal</v>
      </c>
      <c r="I597" t="str">
        <f>IF(OR(E597&lt;outliers!$C$28,E597&gt;outliers!$B$27),"Outlier","Normal")</f>
        <v>Normal</v>
      </c>
      <c r="J597">
        <f t="shared" si="20"/>
        <v>2020</v>
      </c>
      <c r="K597" t="str">
        <f t="shared" si="19"/>
        <v>June</v>
      </c>
    </row>
    <row r="598" spans="1:11" x14ac:dyDescent="0.35">
      <c r="A598" s="1">
        <v>43986</v>
      </c>
      <c r="B598">
        <v>25.4</v>
      </c>
      <c r="C598">
        <v>21.8</v>
      </c>
      <c r="D598">
        <v>29.4</v>
      </c>
      <c r="E598">
        <v>0</v>
      </c>
      <c r="F598" t="str">
        <f>IF(OR(B598&lt;outliers!$B$7,B598&gt;outliers!$B$6),"Outlier","Normal")</f>
        <v>Normal</v>
      </c>
      <c r="G598" t="str">
        <f>IF(OR(C598&lt;outliers!$B$14,C598&gt;outliers!$B$13),"Outlier","Normal")</f>
        <v>Normal</v>
      </c>
      <c r="H598" t="str">
        <f>IF(OR(D598&lt;outliers!$B$21,D598&gt;outliers!$B$20),"Outlier","Normal")</f>
        <v>Normal</v>
      </c>
      <c r="I598" t="str">
        <f>IF(OR(E598&lt;outliers!$C$28,E598&gt;outliers!$B$27),"Outlier","Normal")</f>
        <v>Normal</v>
      </c>
      <c r="J598">
        <f t="shared" si="20"/>
        <v>2020</v>
      </c>
      <c r="K598" t="str">
        <f t="shared" si="19"/>
        <v>June</v>
      </c>
    </row>
    <row r="599" spans="1:11" x14ac:dyDescent="0.35">
      <c r="A599" s="1">
        <v>43987</v>
      </c>
      <c r="B599">
        <v>25.7</v>
      </c>
      <c r="C599">
        <v>21.6</v>
      </c>
      <c r="D599">
        <v>31.2</v>
      </c>
      <c r="E599">
        <v>0</v>
      </c>
      <c r="F599" t="str">
        <f>IF(OR(B599&lt;outliers!$B$7,B599&gt;outliers!$B$6),"Outlier","Normal")</f>
        <v>Normal</v>
      </c>
      <c r="G599" t="str">
        <f>IF(OR(C599&lt;outliers!$B$14,C599&gt;outliers!$B$13),"Outlier","Normal")</f>
        <v>Normal</v>
      </c>
      <c r="H599" t="str">
        <f>IF(OR(D599&lt;outliers!$B$21,D599&gt;outliers!$B$20),"Outlier","Normal")</f>
        <v>Normal</v>
      </c>
      <c r="I599" t="str">
        <f>IF(OR(E599&lt;outliers!$C$28,E599&gt;outliers!$B$27),"Outlier","Normal")</f>
        <v>Normal</v>
      </c>
      <c r="J599">
        <f t="shared" si="20"/>
        <v>2020</v>
      </c>
      <c r="K599" t="str">
        <f t="shared" si="19"/>
        <v>June</v>
      </c>
    </row>
    <row r="600" spans="1:11" x14ac:dyDescent="0.35">
      <c r="A600" s="1">
        <v>43988</v>
      </c>
      <c r="B600">
        <v>24.6</v>
      </c>
      <c r="C600">
        <v>20.399999999999999</v>
      </c>
      <c r="D600">
        <v>31.4</v>
      </c>
      <c r="E600">
        <v>0</v>
      </c>
      <c r="F600" t="str">
        <f>IF(OR(B600&lt;outliers!$B$7,B600&gt;outliers!$B$6),"Outlier","Normal")</f>
        <v>Normal</v>
      </c>
      <c r="G600" t="str">
        <f>IF(OR(C600&lt;outliers!$B$14,C600&gt;outliers!$B$13),"Outlier","Normal")</f>
        <v>Normal</v>
      </c>
      <c r="H600" t="str">
        <f>IF(OR(D600&lt;outliers!$B$21,D600&gt;outliers!$B$20),"Outlier","Normal")</f>
        <v>Normal</v>
      </c>
      <c r="I600" t="str">
        <f>IF(OR(E600&lt;outliers!$C$28,E600&gt;outliers!$B$27),"Outlier","Normal")</f>
        <v>Normal</v>
      </c>
      <c r="J600">
        <f t="shared" si="20"/>
        <v>2020</v>
      </c>
      <c r="K600" t="str">
        <f t="shared" si="19"/>
        <v>June</v>
      </c>
    </row>
    <row r="601" spans="1:11" hidden="1" x14ac:dyDescent="0.35">
      <c r="A601" s="1">
        <v>43989</v>
      </c>
      <c r="B601">
        <v>24.5</v>
      </c>
      <c r="C601">
        <v>20.8</v>
      </c>
      <c r="D601">
        <v>30.4</v>
      </c>
      <c r="E601">
        <v>20.3</v>
      </c>
      <c r="F601" t="str">
        <f>IF(OR(B601&lt;outliers!$B$7,B601&gt;outliers!$B$6),"Outlier","Normal")</f>
        <v>Normal</v>
      </c>
      <c r="G601" t="str">
        <f>IF(OR(C601&lt;outliers!$B$14,C601&gt;outliers!$B$13),"Outlier","Normal")</f>
        <v>Normal</v>
      </c>
      <c r="H601" t="str">
        <f>IF(OR(D601&lt;outliers!$B$21,D601&gt;outliers!$B$20),"Outlier","Normal")</f>
        <v>Normal</v>
      </c>
      <c r="I601" t="str">
        <f>IF(OR(E601&lt;outliers!$C$28,E601&gt;outliers!$B$27),"Outlier","Normal")</f>
        <v>Outlier</v>
      </c>
      <c r="J601">
        <f t="shared" si="20"/>
        <v>2020</v>
      </c>
      <c r="K601" t="str">
        <f t="shared" si="19"/>
        <v>June</v>
      </c>
    </row>
    <row r="602" spans="1:11" x14ac:dyDescent="0.35">
      <c r="A602" s="1">
        <v>43990</v>
      </c>
      <c r="B602">
        <v>26.2</v>
      </c>
      <c r="C602">
        <v>21.2</v>
      </c>
      <c r="D602">
        <v>31.8</v>
      </c>
      <c r="E602">
        <v>0</v>
      </c>
      <c r="F602" t="str">
        <f>IF(OR(B602&lt;outliers!$B$7,B602&gt;outliers!$B$6),"Outlier","Normal")</f>
        <v>Normal</v>
      </c>
      <c r="G602" t="str">
        <f>IF(OR(C602&lt;outliers!$B$14,C602&gt;outliers!$B$13),"Outlier","Normal")</f>
        <v>Normal</v>
      </c>
      <c r="H602" t="str">
        <f>IF(OR(D602&lt;outliers!$B$21,D602&gt;outliers!$B$20),"Outlier","Normal")</f>
        <v>Normal</v>
      </c>
      <c r="I602" t="str">
        <f>IF(OR(E602&lt;outliers!$C$28,E602&gt;outliers!$B$27),"Outlier","Normal")</f>
        <v>Normal</v>
      </c>
      <c r="J602">
        <f t="shared" si="20"/>
        <v>2020</v>
      </c>
      <c r="K602" t="str">
        <f t="shared" si="19"/>
        <v>June</v>
      </c>
    </row>
    <row r="603" spans="1:11" x14ac:dyDescent="0.35">
      <c r="A603" s="1">
        <v>43991</v>
      </c>
      <c r="B603">
        <v>25.4</v>
      </c>
      <c r="C603">
        <v>21.6</v>
      </c>
      <c r="D603">
        <v>32.5</v>
      </c>
      <c r="E603">
        <v>0</v>
      </c>
      <c r="F603" t="str">
        <f>IF(OR(B603&lt;outliers!$B$7,B603&gt;outliers!$B$6),"Outlier","Normal")</f>
        <v>Normal</v>
      </c>
      <c r="G603" t="str">
        <f>IF(OR(C603&lt;outliers!$B$14,C603&gt;outliers!$B$13),"Outlier","Normal")</f>
        <v>Normal</v>
      </c>
      <c r="H603" t="str">
        <f>IF(OR(D603&lt;outliers!$B$21,D603&gt;outliers!$B$20),"Outlier","Normal")</f>
        <v>Normal</v>
      </c>
      <c r="I603" t="str">
        <f>IF(OR(E603&lt;outliers!$C$28,E603&gt;outliers!$B$27),"Outlier","Normal")</f>
        <v>Normal</v>
      </c>
      <c r="J603">
        <f t="shared" si="20"/>
        <v>2020</v>
      </c>
      <c r="K603" t="str">
        <f t="shared" si="19"/>
        <v>June</v>
      </c>
    </row>
    <row r="604" spans="1:11" x14ac:dyDescent="0.35">
      <c r="A604" s="1">
        <v>43993</v>
      </c>
      <c r="B604">
        <v>23.1</v>
      </c>
      <c r="C604">
        <v>19.8</v>
      </c>
      <c r="D604">
        <v>30.5</v>
      </c>
      <c r="E604">
        <v>1</v>
      </c>
      <c r="F604" t="str">
        <f>IF(OR(B604&lt;outliers!$B$7,B604&gt;outliers!$B$6),"Outlier","Normal")</f>
        <v>Normal</v>
      </c>
      <c r="G604" t="str">
        <f>IF(OR(C604&lt;outliers!$B$14,C604&gt;outliers!$B$13),"Outlier","Normal")</f>
        <v>Normal</v>
      </c>
      <c r="H604" t="str">
        <f>IF(OR(D604&lt;outliers!$B$21,D604&gt;outliers!$B$20),"Outlier","Normal")</f>
        <v>Normal</v>
      </c>
      <c r="I604" t="str">
        <f>IF(OR(E604&lt;outliers!$C$28,E604&gt;outliers!$B$27),"Outlier","Normal")</f>
        <v>Normal</v>
      </c>
      <c r="J604">
        <f t="shared" si="20"/>
        <v>2020</v>
      </c>
      <c r="K604" t="str">
        <f t="shared" si="19"/>
        <v>June</v>
      </c>
    </row>
    <row r="605" spans="1:11" hidden="1" x14ac:dyDescent="0.35">
      <c r="A605" s="1">
        <v>43994</v>
      </c>
      <c r="B605">
        <v>23</v>
      </c>
      <c r="C605">
        <v>19.8</v>
      </c>
      <c r="D605">
        <v>27.6</v>
      </c>
      <c r="E605">
        <v>20.6</v>
      </c>
      <c r="F605" t="str">
        <f>IF(OR(B605&lt;outliers!$B$7,B605&gt;outliers!$B$6),"Outlier","Normal")</f>
        <v>Normal</v>
      </c>
      <c r="G605" t="str">
        <f>IF(OR(C605&lt;outliers!$B$14,C605&gt;outliers!$B$13),"Outlier","Normal")</f>
        <v>Normal</v>
      </c>
      <c r="H605" t="str">
        <f>IF(OR(D605&lt;outliers!$B$21,D605&gt;outliers!$B$20),"Outlier","Normal")</f>
        <v>Normal</v>
      </c>
      <c r="I605" t="str">
        <f>IF(OR(E605&lt;outliers!$C$28,E605&gt;outliers!$B$27),"Outlier","Normal")</f>
        <v>Outlier</v>
      </c>
      <c r="J605">
        <f t="shared" si="20"/>
        <v>2020</v>
      </c>
      <c r="K605" t="str">
        <f t="shared" si="19"/>
        <v>June</v>
      </c>
    </row>
    <row r="606" spans="1:11" x14ac:dyDescent="0.35">
      <c r="A606" s="1">
        <v>43995</v>
      </c>
      <c r="B606">
        <v>23.3</v>
      </c>
      <c r="C606">
        <v>20</v>
      </c>
      <c r="D606">
        <v>28.4</v>
      </c>
      <c r="E606">
        <v>0</v>
      </c>
      <c r="F606" t="str">
        <f>IF(OR(B606&lt;outliers!$B$7,B606&gt;outliers!$B$6),"Outlier","Normal")</f>
        <v>Normal</v>
      </c>
      <c r="G606" t="str">
        <f>IF(OR(C606&lt;outliers!$B$14,C606&gt;outliers!$B$13),"Outlier","Normal")</f>
        <v>Normal</v>
      </c>
      <c r="H606" t="str">
        <f>IF(OR(D606&lt;outliers!$B$21,D606&gt;outliers!$B$20),"Outlier","Normal")</f>
        <v>Normal</v>
      </c>
      <c r="I606" t="str">
        <f>IF(OR(E606&lt;outliers!$C$28,E606&gt;outliers!$B$27),"Outlier","Normal")</f>
        <v>Normal</v>
      </c>
      <c r="J606">
        <f t="shared" si="20"/>
        <v>2020</v>
      </c>
      <c r="K606" t="str">
        <f t="shared" si="19"/>
        <v>June</v>
      </c>
    </row>
    <row r="607" spans="1:11" x14ac:dyDescent="0.35">
      <c r="A607" s="1">
        <v>43996</v>
      </c>
      <c r="B607">
        <v>23.9</v>
      </c>
      <c r="C607">
        <v>21</v>
      </c>
      <c r="D607">
        <v>29.8</v>
      </c>
      <c r="E607">
        <v>1.8</v>
      </c>
      <c r="F607" t="str">
        <f>IF(OR(B607&lt;outliers!$B$7,B607&gt;outliers!$B$6),"Outlier","Normal")</f>
        <v>Normal</v>
      </c>
      <c r="G607" t="str">
        <f>IF(OR(C607&lt;outliers!$B$14,C607&gt;outliers!$B$13),"Outlier","Normal")</f>
        <v>Normal</v>
      </c>
      <c r="H607" t="str">
        <f>IF(OR(D607&lt;outliers!$B$21,D607&gt;outliers!$B$20),"Outlier","Normal")</f>
        <v>Normal</v>
      </c>
      <c r="I607" t="str">
        <f>IF(OR(E607&lt;outliers!$C$28,E607&gt;outliers!$B$27),"Outlier","Normal")</f>
        <v>Normal</v>
      </c>
      <c r="J607">
        <f t="shared" si="20"/>
        <v>2020</v>
      </c>
      <c r="K607" t="str">
        <f t="shared" si="19"/>
        <v>June</v>
      </c>
    </row>
    <row r="608" spans="1:11" x14ac:dyDescent="0.35">
      <c r="A608" s="1">
        <v>43997</v>
      </c>
      <c r="B608">
        <v>25</v>
      </c>
      <c r="C608">
        <v>21.2</v>
      </c>
      <c r="D608">
        <v>28.9</v>
      </c>
      <c r="E608">
        <v>0</v>
      </c>
      <c r="F608" t="str">
        <f>IF(OR(B608&lt;outliers!$B$7,B608&gt;outliers!$B$6),"Outlier","Normal")</f>
        <v>Normal</v>
      </c>
      <c r="G608" t="str">
        <f>IF(OR(C608&lt;outliers!$B$14,C608&gt;outliers!$B$13),"Outlier","Normal")</f>
        <v>Normal</v>
      </c>
      <c r="H608" t="str">
        <f>IF(OR(D608&lt;outliers!$B$21,D608&gt;outliers!$B$20),"Outlier","Normal")</f>
        <v>Normal</v>
      </c>
      <c r="I608" t="str">
        <f>IF(OR(E608&lt;outliers!$C$28,E608&gt;outliers!$B$27),"Outlier","Normal")</f>
        <v>Normal</v>
      </c>
      <c r="J608">
        <f t="shared" si="20"/>
        <v>2020</v>
      </c>
      <c r="K608" t="str">
        <f t="shared" si="19"/>
        <v>June</v>
      </c>
    </row>
    <row r="609" spans="1:11" x14ac:dyDescent="0.35">
      <c r="A609" s="1">
        <v>43998</v>
      </c>
      <c r="B609">
        <v>24.8</v>
      </c>
      <c r="C609">
        <v>20.6</v>
      </c>
      <c r="D609">
        <v>34.299999999999997</v>
      </c>
      <c r="E609">
        <v>2</v>
      </c>
      <c r="F609" t="str">
        <f>IF(OR(B609&lt;outliers!$B$7,B609&gt;outliers!$B$6),"Outlier","Normal")</f>
        <v>Normal</v>
      </c>
      <c r="G609" t="str">
        <f>IF(OR(C609&lt;outliers!$B$14,C609&gt;outliers!$B$13),"Outlier","Normal")</f>
        <v>Normal</v>
      </c>
      <c r="H609" t="str">
        <f>IF(OR(D609&lt;outliers!$B$21,D609&gt;outliers!$B$20),"Outlier","Normal")</f>
        <v>Normal</v>
      </c>
      <c r="I609" t="str">
        <f>IF(OR(E609&lt;outliers!$C$28,E609&gt;outliers!$B$27),"Outlier","Normal")</f>
        <v>Normal</v>
      </c>
      <c r="J609">
        <f t="shared" si="20"/>
        <v>2020</v>
      </c>
      <c r="K609" t="str">
        <f t="shared" si="19"/>
        <v>June</v>
      </c>
    </row>
    <row r="610" spans="1:11" x14ac:dyDescent="0.35">
      <c r="A610" s="1">
        <v>43999</v>
      </c>
      <c r="B610">
        <v>23.4</v>
      </c>
      <c r="C610">
        <v>21.4</v>
      </c>
      <c r="D610">
        <v>28</v>
      </c>
      <c r="E610">
        <v>0</v>
      </c>
      <c r="F610" t="str">
        <f>IF(OR(B610&lt;outliers!$B$7,B610&gt;outliers!$B$6),"Outlier","Normal")</f>
        <v>Normal</v>
      </c>
      <c r="G610" t="str">
        <f>IF(OR(C610&lt;outliers!$B$14,C610&gt;outliers!$B$13),"Outlier","Normal")</f>
        <v>Normal</v>
      </c>
      <c r="H610" t="str">
        <f>IF(OR(D610&lt;outliers!$B$21,D610&gt;outliers!$B$20),"Outlier","Normal")</f>
        <v>Normal</v>
      </c>
      <c r="I610" t="str">
        <f>IF(OR(E610&lt;outliers!$C$28,E610&gt;outliers!$B$27),"Outlier","Normal")</f>
        <v>Normal</v>
      </c>
      <c r="J610">
        <f t="shared" si="20"/>
        <v>2020</v>
      </c>
      <c r="K610" t="str">
        <f t="shared" si="19"/>
        <v>June</v>
      </c>
    </row>
    <row r="611" spans="1:11" x14ac:dyDescent="0.35">
      <c r="A611" s="1">
        <v>44000</v>
      </c>
      <c r="B611">
        <v>23.3</v>
      </c>
      <c r="C611">
        <v>20.6</v>
      </c>
      <c r="D611">
        <v>27.2</v>
      </c>
      <c r="E611">
        <v>0</v>
      </c>
      <c r="F611" t="str">
        <f>IF(OR(B611&lt;outliers!$B$7,B611&gt;outliers!$B$6),"Outlier","Normal")</f>
        <v>Normal</v>
      </c>
      <c r="G611" t="str">
        <f>IF(OR(C611&lt;outliers!$B$14,C611&gt;outliers!$B$13),"Outlier","Normal")</f>
        <v>Normal</v>
      </c>
      <c r="H611" t="str">
        <f>IF(OR(D611&lt;outliers!$B$21,D611&gt;outliers!$B$20),"Outlier","Normal")</f>
        <v>Normal</v>
      </c>
      <c r="I611" t="str">
        <f>IF(OR(E611&lt;outliers!$C$28,E611&gt;outliers!$B$27),"Outlier","Normal")</f>
        <v>Normal</v>
      </c>
      <c r="J611">
        <f t="shared" si="20"/>
        <v>2020</v>
      </c>
      <c r="K611" t="str">
        <f t="shared" si="19"/>
        <v>June</v>
      </c>
    </row>
    <row r="612" spans="1:11" x14ac:dyDescent="0.35">
      <c r="A612" s="1">
        <v>44001</v>
      </c>
      <c r="B612">
        <v>24.7</v>
      </c>
      <c r="C612">
        <v>20.7</v>
      </c>
      <c r="D612">
        <v>30.8</v>
      </c>
      <c r="E612">
        <v>0</v>
      </c>
      <c r="F612" t="str">
        <f>IF(OR(B612&lt;outliers!$B$7,B612&gt;outliers!$B$6),"Outlier","Normal")</f>
        <v>Normal</v>
      </c>
      <c r="G612" t="str">
        <f>IF(OR(C612&lt;outliers!$B$14,C612&gt;outliers!$B$13),"Outlier","Normal")</f>
        <v>Normal</v>
      </c>
      <c r="H612" t="str">
        <f>IF(OR(D612&lt;outliers!$B$21,D612&gt;outliers!$B$20),"Outlier","Normal")</f>
        <v>Normal</v>
      </c>
      <c r="I612" t="str">
        <f>IF(OR(E612&lt;outliers!$C$28,E612&gt;outliers!$B$27),"Outlier","Normal")</f>
        <v>Normal</v>
      </c>
      <c r="J612">
        <f t="shared" si="20"/>
        <v>2020</v>
      </c>
      <c r="K612" t="str">
        <f t="shared" si="19"/>
        <v>June</v>
      </c>
    </row>
    <row r="613" spans="1:11" x14ac:dyDescent="0.35">
      <c r="A613" s="1">
        <v>44002</v>
      </c>
      <c r="B613">
        <v>25.2</v>
      </c>
      <c r="C613">
        <v>21.2</v>
      </c>
      <c r="D613">
        <v>29.6</v>
      </c>
      <c r="E613">
        <v>0</v>
      </c>
      <c r="F613" t="str">
        <f>IF(OR(B613&lt;outliers!$B$7,B613&gt;outliers!$B$6),"Outlier","Normal")</f>
        <v>Normal</v>
      </c>
      <c r="G613" t="str">
        <f>IF(OR(C613&lt;outliers!$B$14,C613&gt;outliers!$B$13),"Outlier","Normal")</f>
        <v>Normal</v>
      </c>
      <c r="H613" t="str">
        <f>IF(OR(D613&lt;outliers!$B$21,D613&gt;outliers!$B$20),"Outlier","Normal")</f>
        <v>Normal</v>
      </c>
      <c r="I613" t="str">
        <f>IF(OR(E613&lt;outliers!$C$28,E613&gt;outliers!$B$27),"Outlier","Normal")</f>
        <v>Normal</v>
      </c>
      <c r="J613">
        <f t="shared" si="20"/>
        <v>2020</v>
      </c>
      <c r="K613" t="str">
        <f t="shared" si="19"/>
        <v>June</v>
      </c>
    </row>
    <row r="614" spans="1:11" x14ac:dyDescent="0.35">
      <c r="A614" s="1">
        <v>44003</v>
      </c>
      <c r="B614">
        <v>23.8</v>
      </c>
      <c r="C614">
        <v>21.1</v>
      </c>
      <c r="D614">
        <v>30.3</v>
      </c>
      <c r="E614">
        <v>0</v>
      </c>
      <c r="F614" t="str">
        <f>IF(OR(B614&lt;outliers!$B$7,B614&gt;outliers!$B$6),"Outlier","Normal")</f>
        <v>Normal</v>
      </c>
      <c r="G614" t="str">
        <f>IF(OR(C614&lt;outliers!$B$14,C614&gt;outliers!$B$13),"Outlier","Normal")</f>
        <v>Normal</v>
      </c>
      <c r="H614" t="str">
        <f>IF(OR(D614&lt;outliers!$B$21,D614&gt;outliers!$B$20),"Outlier","Normal")</f>
        <v>Normal</v>
      </c>
      <c r="I614" t="str">
        <f>IF(OR(E614&lt;outliers!$C$28,E614&gt;outliers!$B$27),"Outlier","Normal")</f>
        <v>Normal</v>
      </c>
      <c r="J614">
        <f t="shared" si="20"/>
        <v>2020</v>
      </c>
      <c r="K614" t="str">
        <f t="shared" si="19"/>
        <v>June</v>
      </c>
    </row>
    <row r="615" spans="1:11" x14ac:dyDescent="0.35">
      <c r="A615" s="1">
        <v>44004</v>
      </c>
      <c r="B615">
        <v>23.4</v>
      </c>
      <c r="C615">
        <v>21</v>
      </c>
      <c r="D615">
        <v>28.8</v>
      </c>
      <c r="E615">
        <v>0.3</v>
      </c>
      <c r="F615" t="str">
        <f>IF(OR(B615&lt;outliers!$B$7,B615&gt;outliers!$B$6),"Outlier","Normal")</f>
        <v>Normal</v>
      </c>
      <c r="G615" t="str">
        <f>IF(OR(C615&lt;outliers!$B$14,C615&gt;outliers!$B$13),"Outlier","Normal")</f>
        <v>Normal</v>
      </c>
      <c r="H615" t="str">
        <f>IF(OR(D615&lt;outliers!$B$21,D615&gt;outliers!$B$20),"Outlier","Normal")</f>
        <v>Normal</v>
      </c>
      <c r="I615" t="str">
        <f>IF(OR(E615&lt;outliers!$C$28,E615&gt;outliers!$B$27),"Outlier","Normal")</f>
        <v>Normal</v>
      </c>
      <c r="J615">
        <f t="shared" si="20"/>
        <v>2020</v>
      </c>
      <c r="K615" t="str">
        <f t="shared" si="19"/>
        <v>June</v>
      </c>
    </row>
    <row r="616" spans="1:11" x14ac:dyDescent="0.35">
      <c r="A616" s="1">
        <v>44005</v>
      </c>
      <c r="B616">
        <v>25.3</v>
      </c>
      <c r="C616">
        <v>20.6</v>
      </c>
      <c r="D616">
        <v>30.8</v>
      </c>
      <c r="E616">
        <v>2.2999999999999998</v>
      </c>
      <c r="F616" t="str">
        <f>IF(OR(B616&lt;outliers!$B$7,B616&gt;outliers!$B$6),"Outlier","Normal")</f>
        <v>Normal</v>
      </c>
      <c r="G616" t="str">
        <f>IF(OR(C616&lt;outliers!$B$14,C616&gt;outliers!$B$13),"Outlier","Normal")</f>
        <v>Normal</v>
      </c>
      <c r="H616" t="str">
        <f>IF(OR(D616&lt;outliers!$B$21,D616&gt;outliers!$B$20),"Outlier","Normal")</f>
        <v>Normal</v>
      </c>
      <c r="I616" t="str">
        <f>IF(OR(E616&lt;outliers!$C$28,E616&gt;outliers!$B$27),"Outlier","Normal")</f>
        <v>Normal</v>
      </c>
      <c r="J616">
        <f t="shared" si="20"/>
        <v>2020</v>
      </c>
      <c r="K616" t="str">
        <f t="shared" si="19"/>
        <v>June</v>
      </c>
    </row>
    <row r="617" spans="1:11" x14ac:dyDescent="0.35">
      <c r="A617" s="1">
        <v>44006</v>
      </c>
      <c r="B617">
        <v>24.2</v>
      </c>
      <c r="C617">
        <v>20.2</v>
      </c>
      <c r="D617">
        <v>30.4</v>
      </c>
      <c r="E617">
        <v>4.5999999999999996</v>
      </c>
      <c r="F617" t="str">
        <f>IF(OR(B617&lt;outliers!$B$7,B617&gt;outliers!$B$6),"Outlier","Normal")</f>
        <v>Normal</v>
      </c>
      <c r="G617" t="str">
        <f>IF(OR(C617&lt;outliers!$B$14,C617&gt;outliers!$B$13),"Outlier","Normal")</f>
        <v>Normal</v>
      </c>
      <c r="H617" t="str">
        <f>IF(OR(D617&lt;outliers!$B$21,D617&gt;outliers!$B$20),"Outlier","Normal")</f>
        <v>Normal</v>
      </c>
      <c r="I617" t="str">
        <f>IF(OR(E617&lt;outliers!$C$28,E617&gt;outliers!$B$27),"Outlier","Normal")</f>
        <v>Normal</v>
      </c>
      <c r="J617">
        <f t="shared" si="20"/>
        <v>2020</v>
      </c>
      <c r="K617" t="str">
        <f t="shared" si="19"/>
        <v>June</v>
      </c>
    </row>
    <row r="618" spans="1:11" hidden="1" x14ac:dyDescent="0.35">
      <c r="A618" s="1">
        <v>44007</v>
      </c>
      <c r="B618">
        <v>23.7</v>
      </c>
      <c r="C618">
        <v>19.3</v>
      </c>
      <c r="D618">
        <v>31.4</v>
      </c>
      <c r="E618">
        <v>22.1</v>
      </c>
      <c r="F618" t="str">
        <f>IF(OR(B618&lt;outliers!$B$7,B618&gt;outliers!$B$6),"Outlier","Normal")</f>
        <v>Normal</v>
      </c>
      <c r="G618" t="str">
        <f>IF(OR(C618&lt;outliers!$B$14,C618&gt;outliers!$B$13),"Outlier","Normal")</f>
        <v>Normal</v>
      </c>
      <c r="H618" t="str">
        <f>IF(OR(D618&lt;outliers!$B$21,D618&gt;outliers!$B$20),"Outlier","Normal")</f>
        <v>Normal</v>
      </c>
      <c r="I618" t="str">
        <f>IF(OR(E618&lt;outliers!$C$28,E618&gt;outliers!$B$27),"Outlier","Normal")</f>
        <v>Outlier</v>
      </c>
      <c r="J618">
        <f t="shared" si="20"/>
        <v>2020</v>
      </c>
      <c r="K618" t="str">
        <f t="shared" si="19"/>
        <v>June</v>
      </c>
    </row>
    <row r="619" spans="1:11" hidden="1" x14ac:dyDescent="0.35">
      <c r="A619" s="1">
        <v>44008</v>
      </c>
      <c r="B619">
        <v>24.2</v>
      </c>
      <c r="C619">
        <v>20.399999999999999</v>
      </c>
      <c r="D619">
        <v>30.4</v>
      </c>
      <c r="E619">
        <v>39.6</v>
      </c>
      <c r="F619" t="str">
        <f>IF(OR(B619&lt;outliers!$B$7,B619&gt;outliers!$B$6),"Outlier","Normal")</f>
        <v>Normal</v>
      </c>
      <c r="G619" t="str">
        <f>IF(OR(C619&lt;outliers!$B$14,C619&gt;outliers!$B$13),"Outlier","Normal")</f>
        <v>Normal</v>
      </c>
      <c r="H619" t="str">
        <f>IF(OR(D619&lt;outliers!$B$21,D619&gt;outliers!$B$20),"Outlier","Normal")</f>
        <v>Normal</v>
      </c>
      <c r="I619" t="str">
        <f>IF(OR(E619&lt;outliers!$C$28,E619&gt;outliers!$B$27),"Outlier","Normal")</f>
        <v>Outlier</v>
      </c>
      <c r="J619">
        <f t="shared" si="20"/>
        <v>2020</v>
      </c>
      <c r="K619" t="str">
        <f t="shared" si="19"/>
        <v>June</v>
      </c>
    </row>
    <row r="620" spans="1:11" x14ac:dyDescent="0.35">
      <c r="A620" s="1">
        <v>44009</v>
      </c>
      <c r="B620">
        <v>24.4</v>
      </c>
      <c r="C620">
        <v>21</v>
      </c>
      <c r="D620">
        <v>29.2</v>
      </c>
      <c r="E620">
        <v>0</v>
      </c>
      <c r="F620" t="str">
        <f>IF(OR(B620&lt;outliers!$B$7,B620&gt;outliers!$B$6),"Outlier","Normal")</f>
        <v>Normal</v>
      </c>
      <c r="G620" t="str">
        <f>IF(OR(C620&lt;outliers!$B$14,C620&gt;outliers!$B$13),"Outlier","Normal")</f>
        <v>Normal</v>
      </c>
      <c r="H620" t="str">
        <f>IF(OR(D620&lt;outliers!$B$21,D620&gt;outliers!$B$20),"Outlier","Normal")</f>
        <v>Normal</v>
      </c>
      <c r="I620" t="str">
        <f>IF(OR(E620&lt;outliers!$C$28,E620&gt;outliers!$B$27),"Outlier","Normal")</f>
        <v>Normal</v>
      </c>
      <c r="J620">
        <f t="shared" si="20"/>
        <v>2020</v>
      </c>
      <c r="K620" t="str">
        <f t="shared" si="19"/>
        <v>June</v>
      </c>
    </row>
    <row r="621" spans="1:11" x14ac:dyDescent="0.35">
      <c r="A621" s="1">
        <v>44010</v>
      </c>
      <c r="B621">
        <v>24.8</v>
      </c>
      <c r="C621">
        <v>21.4</v>
      </c>
      <c r="D621">
        <v>29</v>
      </c>
      <c r="E621">
        <v>2.2999999999999998</v>
      </c>
      <c r="F621" t="str">
        <f>IF(OR(B621&lt;outliers!$B$7,B621&gt;outliers!$B$6),"Outlier","Normal")</f>
        <v>Normal</v>
      </c>
      <c r="G621" t="str">
        <f>IF(OR(C621&lt;outliers!$B$14,C621&gt;outliers!$B$13),"Outlier","Normal")</f>
        <v>Normal</v>
      </c>
      <c r="H621" t="str">
        <f>IF(OR(D621&lt;outliers!$B$21,D621&gt;outliers!$B$20),"Outlier","Normal")</f>
        <v>Normal</v>
      </c>
      <c r="I621" t="str">
        <f>IF(OR(E621&lt;outliers!$C$28,E621&gt;outliers!$B$27),"Outlier","Normal")</f>
        <v>Normal</v>
      </c>
      <c r="J621">
        <f t="shared" si="20"/>
        <v>2020</v>
      </c>
      <c r="K621" t="str">
        <f t="shared" si="19"/>
        <v>June</v>
      </c>
    </row>
    <row r="622" spans="1:11" x14ac:dyDescent="0.35">
      <c r="A622" s="1">
        <v>44011</v>
      </c>
      <c r="B622">
        <v>23.6</v>
      </c>
      <c r="C622">
        <v>21.2</v>
      </c>
      <c r="D622">
        <v>30</v>
      </c>
      <c r="E622">
        <v>0</v>
      </c>
      <c r="F622" t="str">
        <f>IF(OR(B622&lt;outliers!$B$7,B622&gt;outliers!$B$6),"Outlier","Normal")</f>
        <v>Normal</v>
      </c>
      <c r="G622" t="str">
        <f>IF(OR(C622&lt;outliers!$B$14,C622&gt;outliers!$B$13),"Outlier","Normal")</f>
        <v>Normal</v>
      </c>
      <c r="H622" t="str">
        <f>IF(OR(D622&lt;outliers!$B$21,D622&gt;outliers!$B$20),"Outlier","Normal")</f>
        <v>Normal</v>
      </c>
      <c r="I622" t="str">
        <f>IF(OR(E622&lt;outliers!$C$28,E622&gt;outliers!$B$27),"Outlier","Normal")</f>
        <v>Normal</v>
      </c>
      <c r="J622">
        <f t="shared" si="20"/>
        <v>2020</v>
      </c>
      <c r="K622" t="str">
        <f t="shared" si="19"/>
        <v>June</v>
      </c>
    </row>
    <row r="623" spans="1:11" x14ac:dyDescent="0.35">
      <c r="A623" s="1">
        <v>44012</v>
      </c>
      <c r="B623">
        <v>24.6</v>
      </c>
      <c r="C623">
        <v>20.2</v>
      </c>
      <c r="D623">
        <v>29.8</v>
      </c>
      <c r="E623">
        <v>1.3</v>
      </c>
      <c r="F623" t="str">
        <f>IF(OR(B623&lt;outliers!$B$7,B623&gt;outliers!$B$6),"Outlier","Normal")</f>
        <v>Normal</v>
      </c>
      <c r="G623" t="str">
        <f>IF(OR(C623&lt;outliers!$B$14,C623&gt;outliers!$B$13),"Outlier","Normal")</f>
        <v>Normal</v>
      </c>
      <c r="H623" t="str">
        <f>IF(OR(D623&lt;outliers!$B$21,D623&gt;outliers!$B$20),"Outlier","Normal")</f>
        <v>Normal</v>
      </c>
      <c r="I623" t="str">
        <f>IF(OR(E623&lt;outliers!$C$28,E623&gt;outliers!$B$27),"Outlier","Normal")</f>
        <v>Normal</v>
      </c>
      <c r="J623">
        <f t="shared" si="20"/>
        <v>2020</v>
      </c>
      <c r="K623" t="str">
        <f t="shared" si="19"/>
        <v>June</v>
      </c>
    </row>
    <row r="624" spans="1:11" x14ac:dyDescent="0.35">
      <c r="A624" s="1">
        <v>44013</v>
      </c>
      <c r="B624">
        <v>24.7</v>
      </c>
      <c r="C624">
        <v>21.2</v>
      </c>
      <c r="D624">
        <v>29.4</v>
      </c>
      <c r="E624">
        <v>0</v>
      </c>
      <c r="F624" t="str">
        <f>IF(OR(B624&lt;outliers!$B$7,B624&gt;outliers!$B$6),"Outlier","Normal")</f>
        <v>Normal</v>
      </c>
      <c r="G624" t="str">
        <f>IF(OR(C624&lt;outliers!$B$14,C624&gt;outliers!$B$13),"Outlier","Normal")</f>
        <v>Normal</v>
      </c>
      <c r="H624" t="str">
        <f>IF(OR(D624&lt;outliers!$B$21,D624&gt;outliers!$B$20),"Outlier","Normal")</f>
        <v>Normal</v>
      </c>
      <c r="I624" t="str">
        <f>IF(OR(E624&lt;outliers!$C$28,E624&gt;outliers!$B$27),"Outlier","Normal")</f>
        <v>Normal</v>
      </c>
      <c r="J624">
        <f t="shared" si="20"/>
        <v>2020</v>
      </c>
      <c r="K624" t="str">
        <f t="shared" si="19"/>
        <v>June</v>
      </c>
    </row>
    <row r="625" spans="1:11" x14ac:dyDescent="0.35">
      <c r="A625" s="1">
        <v>44015</v>
      </c>
      <c r="B625">
        <v>22.6</v>
      </c>
      <c r="C625">
        <v>19.7</v>
      </c>
      <c r="D625">
        <v>26.5</v>
      </c>
      <c r="E625">
        <v>7.1</v>
      </c>
      <c r="F625" t="str">
        <f>IF(OR(B625&lt;outliers!$B$7,B625&gt;outliers!$B$6),"Outlier","Normal")</f>
        <v>Normal</v>
      </c>
      <c r="G625" t="str">
        <f>IF(OR(C625&lt;outliers!$B$14,C625&gt;outliers!$B$13),"Outlier","Normal")</f>
        <v>Normal</v>
      </c>
      <c r="H625" t="str">
        <f>IF(OR(D625&lt;outliers!$B$21,D625&gt;outliers!$B$20),"Outlier","Normal")</f>
        <v>Normal</v>
      </c>
      <c r="I625" t="str">
        <f>IF(OR(E625&lt;outliers!$C$28,E625&gt;outliers!$B$27),"Outlier","Normal")</f>
        <v>Normal</v>
      </c>
      <c r="J625">
        <f t="shared" si="20"/>
        <v>2020</v>
      </c>
      <c r="K625" t="str">
        <f t="shared" si="19"/>
        <v>July</v>
      </c>
    </row>
    <row r="626" spans="1:11" x14ac:dyDescent="0.35">
      <c r="A626" s="1">
        <v>44016</v>
      </c>
      <c r="B626">
        <v>22.8</v>
      </c>
      <c r="C626">
        <v>20</v>
      </c>
      <c r="D626">
        <v>28.4</v>
      </c>
      <c r="E626">
        <v>7.1</v>
      </c>
      <c r="F626" t="str">
        <f>IF(OR(B626&lt;outliers!$B$7,B626&gt;outliers!$B$6),"Outlier","Normal")</f>
        <v>Normal</v>
      </c>
      <c r="G626" t="str">
        <f>IF(OR(C626&lt;outliers!$B$14,C626&gt;outliers!$B$13),"Outlier","Normal")</f>
        <v>Normal</v>
      </c>
      <c r="H626" t="str">
        <f>IF(OR(D626&lt;outliers!$B$21,D626&gt;outliers!$B$20),"Outlier","Normal")</f>
        <v>Normal</v>
      </c>
      <c r="I626" t="str">
        <f>IF(OR(E626&lt;outliers!$C$28,E626&gt;outliers!$B$27),"Outlier","Normal")</f>
        <v>Normal</v>
      </c>
      <c r="J626">
        <f t="shared" si="20"/>
        <v>2020</v>
      </c>
      <c r="K626" t="str">
        <f t="shared" si="19"/>
        <v>July</v>
      </c>
    </row>
    <row r="627" spans="1:11" x14ac:dyDescent="0.35">
      <c r="A627" s="1">
        <v>44017</v>
      </c>
      <c r="B627">
        <v>23.3</v>
      </c>
      <c r="C627">
        <v>21</v>
      </c>
      <c r="D627">
        <v>27.2</v>
      </c>
      <c r="E627">
        <v>0</v>
      </c>
      <c r="F627" t="str">
        <f>IF(OR(B627&lt;outliers!$B$7,B627&gt;outliers!$B$6),"Outlier","Normal")</f>
        <v>Normal</v>
      </c>
      <c r="G627" t="str">
        <f>IF(OR(C627&lt;outliers!$B$14,C627&gt;outliers!$B$13),"Outlier","Normal")</f>
        <v>Normal</v>
      </c>
      <c r="H627" t="str">
        <f>IF(OR(D627&lt;outliers!$B$21,D627&gt;outliers!$B$20),"Outlier","Normal")</f>
        <v>Normal</v>
      </c>
      <c r="I627" t="str">
        <f>IF(OR(E627&lt;outliers!$C$28,E627&gt;outliers!$B$27),"Outlier","Normal")</f>
        <v>Normal</v>
      </c>
      <c r="J627">
        <f t="shared" si="20"/>
        <v>2020</v>
      </c>
      <c r="K627" t="str">
        <f t="shared" si="19"/>
        <v>July</v>
      </c>
    </row>
    <row r="628" spans="1:11" x14ac:dyDescent="0.35">
      <c r="A628" s="1">
        <v>44018</v>
      </c>
      <c r="B628">
        <v>23.1</v>
      </c>
      <c r="C628">
        <v>20.6</v>
      </c>
      <c r="D628">
        <v>27.6</v>
      </c>
      <c r="E628">
        <v>0.5</v>
      </c>
      <c r="F628" t="str">
        <f>IF(OR(B628&lt;outliers!$B$7,B628&gt;outliers!$B$6),"Outlier","Normal")</f>
        <v>Normal</v>
      </c>
      <c r="G628" t="str">
        <f>IF(OR(C628&lt;outliers!$B$14,C628&gt;outliers!$B$13),"Outlier","Normal")</f>
        <v>Normal</v>
      </c>
      <c r="H628" t="str">
        <f>IF(OR(D628&lt;outliers!$B$21,D628&gt;outliers!$B$20),"Outlier","Normal")</f>
        <v>Normal</v>
      </c>
      <c r="I628" t="str">
        <f>IF(OR(E628&lt;outliers!$C$28,E628&gt;outliers!$B$27),"Outlier","Normal")</f>
        <v>Normal</v>
      </c>
      <c r="J628">
        <f t="shared" si="20"/>
        <v>2020</v>
      </c>
      <c r="K628" t="str">
        <f t="shared" si="19"/>
        <v>July</v>
      </c>
    </row>
    <row r="629" spans="1:11" x14ac:dyDescent="0.35">
      <c r="A629" s="1">
        <v>44019</v>
      </c>
      <c r="B629">
        <v>23.4</v>
      </c>
      <c r="C629">
        <v>20.8</v>
      </c>
      <c r="D629">
        <v>30</v>
      </c>
      <c r="E629">
        <v>0</v>
      </c>
      <c r="F629" t="str">
        <f>IF(OR(B629&lt;outliers!$B$7,B629&gt;outliers!$B$6),"Outlier","Normal")</f>
        <v>Normal</v>
      </c>
      <c r="G629" t="str">
        <f>IF(OR(C629&lt;outliers!$B$14,C629&gt;outliers!$B$13),"Outlier","Normal")</f>
        <v>Normal</v>
      </c>
      <c r="H629" t="str">
        <f>IF(OR(D629&lt;outliers!$B$21,D629&gt;outliers!$B$20),"Outlier","Normal")</f>
        <v>Normal</v>
      </c>
      <c r="I629" t="str">
        <f>IF(OR(E629&lt;outliers!$C$28,E629&gt;outliers!$B$27),"Outlier","Normal")</f>
        <v>Normal</v>
      </c>
      <c r="J629">
        <f t="shared" si="20"/>
        <v>2020</v>
      </c>
      <c r="K629" t="str">
        <f t="shared" si="19"/>
        <v>July</v>
      </c>
    </row>
    <row r="630" spans="1:11" x14ac:dyDescent="0.35">
      <c r="A630" s="1">
        <v>44020</v>
      </c>
      <c r="B630">
        <v>22.9</v>
      </c>
      <c r="C630">
        <v>20.6</v>
      </c>
      <c r="D630">
        <v>28.6</v>
      </c>
      <c r="E630">
        <v>7.4</v>
      </c>
      <c r="F630" t="str">
        <f>IF(OR(B630&lt;outliers!$B$7,B630&gt;outliers!$B$6),"Outlier","Normal")</f>
        <v>Normal</v>
      </c>
      <c r="G630" t="str">
        <f>IF(OR(C630&lt;outliers!$B$14,C630&gt;outliers!$B$13),"Outlier","Normal")</f>
        <v>Normal</v>
      </c>
      <c r="H630" t="str">
        <f>IF(OR(D630&lt;outliers!$B$21,D630&gt;outliers!$B$20),"Outlier","Normal")</f>
        <v>Normal</v>
      </c>
      <c r="I630" t="str">
        <f>IF(OR(E630&lt;outliers!$C$28,E630&gt;outliers!$B$27),"Outlier","Normal")</f>
        <v>Normal</v>
      </c>
      <c r="J630">
        <f t="shared" si="20"/>
        <v>2020</v>
      </c>
      <c r="K630" t="str">
        <f t="shared" si="19"/>
        <v>July</v>
      </c>
    </row>
    <row r="631" spans="1:11" hidden="1" x14ac:dyDescent="0.35">
      <c r="A631" s="1">
        <v>44021</v>
      </c>
      <c r="B631">
        <v>23.7</v>
      </c>
      <c r="C631">
        <v>20.2</v>
      </c>
      <c r="D631">
        <v>29.4</v>
      </c>
      <c r="E631">
        <v>24.4</v>
      </c>
      <c r="F631" t="str">
        <f>IF(OR(B631&lt;outliers!$B$7,B631&gt;outliers!$B$6),"Outlier","Normal")</f>
        <v>Normal</v>
      </c>
      <c r="G631" t="str">
        <f>IF(OR(C631&lt;outliers!$B$14,C631&gt;outliers!$B$13),"Outlier","Normal")</f>
        <v>Normal</v>
      </c>
      <c r="H631" t="str">
        <f>IF(OR(D631&lt;outliers!$B$21,D631&gt;outliers!$B$20),"Outlier","Normal")</f>
        <v>Normal</v>
      </c>
      <c r="I631" t="str">
        <f>IF(OR(E631&lt;outliers!$C$28,E631&gt;outliers!$B$27),"Outlier","Normal")</f>
        <v>Outlier</v>
      </c>
      <c r="J631">
        <f t="shared" si="20"/>
        <v>2020</v>
      </c>
      <c r="K631" t="str">
        <f t="shared" si="19"/>
        <v>July</v>
      </c>
    </row>
    <row r="632" spans="1:11" hidden="1" x14ac:dyDescent="0.35">
      <c r="A632" s="1">
        <v>44022</v>
      </c>
      <c r="B632">
        <v>23.1</v>
      </c>
      <c r="C632">
        <v>20.6</v>
      </c>
      <c r="D632">
        <v>28.8</v>
      </c>
      <c r="E632">
        <v>29.2</v>
      </c>
      <c r="F632" t="str">
        <f>IF(OR(B632&lt;outliers!$B$7,B632&gt;outliers!$B$6),"Outlier","Normal")</f>
        <v>Normal</v>
      </c>
      <c r="G632" t="str">
        <f>IF(OR(C632&lt;outliers!$B$14,C632&gt;outliers!$B$13),"Outlier","Normal")</f>
        <v>Normal</v>
      </c>
      <c r="H632" t="str">
        <f>IF(OR(D632&lt;outliers!$B$21,D632&gt;outliers!$B$20),"Outlier","Normal")</f>
        <v>Normal</v>
      </c>
      <c r="I632" t="str">
        <f>IF(OR(E632&lt;outliers!$C$28,E632&gt;outliers!$B$27),"Outlier","Normal")</f>
        <v>Outlier</v>
      </c>
      <c r="J632">
        <f t="shared" si="20"/>
        <v>2020</v>
      </c>
      <c r="K632" t="str">
        <f t="shared" si="19"/>
        <v>July</v>
      </c>
    </row>
    <row r="633" spans="1:11" x14ac:dyDescent="0.35">
      <c r="A633" s="1">
        <v>44023</v>
      </c>
      <c r="B633">
        <v>24.6</v>
      </c>
      <c r="C633">
        <v>21</v>
      </c>
      <c r="D633">
        <v>28.8</v>
      </c>
      <c r="E633">
        <v>0.5</v>
      </c>
      <c r="F633" t="str">
        <f>IF(OR(B633&lt;outliers!$B$7,B633&gt;outliers!$B$6),"Outlier","Normal")</f>
        <v>Normal</v>
      </c>
      <c r="G633" t="str">
        <f>IF(OR(C633&lt;outliers!$B$14,C633&gt;outliers!$B$13),"Outlier","Normal")</f>
        <v>Normal</v>
      </c>
      <c r="H633" t="str">
        <f>IF(OR(D633&lt;outliers!$B$21,D633&gt;outliers!$B$20),"Outlier","Normal")</f>
        <v>Normal</v>
      </c>
      <c r="I633" t="str">
        <f>IF(OR(E633&lt;outliers!$C$28,E633&gt;outliers!$B$27),"Outlier","Normal")</f>
        <v>Normal</v>
      </c>
      <c r="J633">
        <f t="shared" si="20"/>
        <v>2020</v>
      </c>
      <c r="K633" t="str">
        <f t="shared" si="19"/>
        <v>July</v>
      </c>
    </row>
    <row r="634" spans="1:11" x14ac:dyDescent="0.35">
      <c r="A634" s="1">
        <v>44024</v>
      </c>
      <c r="B634">
        <v>25.1</v>
      </c>
      <c r="C634">
        <v>21</v>
      </c>
      <c r="D634">
        <v>29.4</v>
      </c>
      <c r="E634">
        <v>0.3</v>
      </c>
      <c r="F634" t="str">
        <f>IF(OR(B634&lt;outliers!$B$7,B634&gt;outliers!$B$6),"Outlier","Normal")</f>
        <v>Normal</v>
      </c>
      <c r="G634" t="str">
        <f>IF(OR(C634&lt;outliers!$B$14,C634&gt;outliers!$B$13),"Outlier","Normal")</f>
        <v>Normal</v>
      </c>
      <c r="H634" t="str">
        <f>IF(OR(D634&lt;outliers!$B$21,D634&gt;outliers!$B$20),"Outlier","Normal")</f>
        <v>Normal</v>
      </c>
      <c r="I634" t="str">
        <f>IF(OR(E634&lt;outliers!$C$28,E634&gt;outliers!$B$27),"Outlier","Normal")</f>
        <v>Normal</v>
      </c>
      <c r="J634">
        <f t="shared" si="20"/>
        <v>2020</v>
      </c>
      <c r="K634" t="str">
        <f t="shared" si="19"/>
        <v>July</v>
      </c>
    </row>
    <row r="635" spans="1:11" x14ac:dyDescent="0.35">
      <c r="A635" s="1">
        <v>44025</v>
      </c>
      <c r="B635">
        <v>24.3</v>
      </c>
      <c r="C635">
        <v>21.5</v>
      </c>
      <c r="D635">
        <v>29.3</v>
      </c>
      <c r="E635">
        <v>0</v>
      </c>
      <c r="F635" t="str">
        <f>IF(OR(B635&lt;outliers!$B$7,B635&gt;outliers!$B$6),"Outlier","Normal")</f>
        <v>Normal</v>
      </c>
      <c r="G635" t="str">
        <f>IF(OR(C635&lt;outliers!$B$14,C635&gt;outliers!$B$13),"Outlier","Normal")</f>
        <v>Normal</v>
      </c>
      <c r="H635" t="str">
        <f>IF(OR(D635&lt;outliers!$B$21,D635&gt;outliers!$B$20),"Outlier","Normal")</f>
        <v>Normal</v>
      </c>
      <c r="I635" t="str">
        <f>IF(OR(E635&lt;outliers!$C$28,E635&gt;outliers!$B$27),"Outlier","Normal")</f>
        <v>Normal</v>
      </c>
      <c r="J635">
        <f t="shared" si="20"/>
        <v>2020</v>
      </c>
      <c r="K635" t="str">
        <f t="shared" si="19"/>
        <v>July</v>
      </c>
    </row>
    <row r="636" spans="1:11" x14ac:dyDescent="0.35">
      <c r="A636" s="1">
        <v>44026</v>
      </c>
      <c r="B636">
        <v>23.8</v>
      </c>
      <c r="C636">
        <v>21.4</v>
      </c>
      <c r="D636">
        <v>29.4</v>
      </c>
      <c r="E636">
        <v>0</v>
      </c>
      <c r="F636" t="str">
        <f>IF(OR(B636&lt;outliers!$B$7,B636&gt;outliers!$B$6),"Outlier","Normal")</f>
        <v>Normal</v>
      </c>
      <c r="G636" t="str">
        <f>IF(OR(C636&lt;outliers!$B$14,C636&gt;outliers!$B$13),"Outlier","Normal")</f>
        <v>Normal</v>
      </c>
      <c r="H636" t="str">
        <f>IF(OR(D636&lt;outliers!$B$21,D636&gt;outliers!$B$20),"Outlier","Normal")</f>
        <v>Normal</v>
      </c>
      <c r="I636" t="str">
        <f>IF(OR(E636&lt;outliers!$C$28,E636&gt;outliers!$B$27),"Outlier","Normal")</f>
        <v>Normal</v>
      </c>
      <c r="J636">
        <f t="shared" si="20"/>
        <v>2020</v>
      </c>
      <c r="K636" t="str">
        <f t="shared" si="19"/>
        <v>July</v>
      </c>
    </row>
    <row r="637" spans="1:11" x14ac:dyDescent="0.35">
      <c r="A637" s="1">
        <v>44027</v>
      </c>
      <c r="B637">
        <v>22.4</v>
      </c>
      <c r="C637">
        <v>21.8</v>
      </c>
      <c r="D637">
        <v>26.2</v>
      </c>
      <c r="E637">
        <v>0</v>
      </c>
      <c r="F637" t="str">
        <f>IF(OR(B637&lt;outliers!$B$7,B637&gt;outliers!$B$6),"Outlier","Normal")</f>
        <v>Normal</v>
      </c>
      <c r="G637" t="str">
        <f>IF(OR(C637&lt;outliers!$B$14,C637&gt;outliers!$B$13),"Outlier","Normal")</f>
        <v>Normal</v>
      </c>
      <c r="H637" t="str">
        <f>IF(OR(D637&lt;outliers!$B$21,D637&gt;outliers!$B$20),"Outlier","Normal")</f>
        <v>Normal</v>
      </c>
      <c r="I637" t="str">
        <f>IF(OR(E637&lt;outliers!$C$28,E637&gt;outliers!$B$27),"Outlier","Normal")</f>
        <v>Normal</v>
      </c>
      <c r="J637">
        <f t="shared" si="20"/>
        <v>2020</v>
      </c>
      <c r="K637" t="str">
        <f t="shared" si="19"/>
        <v>July</v>
      </c>
    </row>
    <row r="638" spans="1:11" x14ac:dyDescent="0.35">
      <c r="A638" s="1">
        <v>44028</v>
      </c>
      <c r="B638">
        <v>21.8</v>
      </c>
      <c r="C638">
        <v>20.6</v>
      </c>
      <c r="D638">
        <v>26</v>
      </c>
      <c r="E638">
        <v>6.6</v>
      </c>
      <c r="F638" t="str">
        <f>IF(OR(B638&lt;outliers!$B$7,B638&gt;outliers!$B$6),"Outlier","Normal")</f>
        <v>Normal</v>
      </c>
      <c r="G638" t="str">
        <f>IF(OR(C638&lt;outliers!$B$14,C638&gt;outliers!$B$13),"Outlier","Normal")</f>
        <v>Normal</v>
      </c>
      <c r="H638" t="str">
        <f>IF(OR(D638&lt;outliers!$B$21,D638&gt;outliers!$B$20),"Outlier","Normal")</f>
        <v>Normal</v>
      </c>
      <c r="I638" t="str">
        <f>IF(OR(E638&lt;outliers!$C$28,E638&gt;outliers!$B$27),"Outlier","Normal")</f>
        <v>Normal</v>
      </c>
      <c r="J638">
        <f t="shared" si="20"/>
        <v>2020</v>
      </c>
      <c r="K638" t="str">
        <f t="shared" si="19"/>
        <v>July</v>
      </c>
    </row>
    <row r="639" spans="1:11" hidden="1" x14ac:dyDescent="0.35">
      <c r="A639" s="1">
        <v>44029</v>
      </c>
      <c r="B639">
        <v>22.2</v>
      </c>
      <c r="C639">
        <v>20.399999999999999</v>
      </c>
      <c r="D639">
        <v>25.2</v>
      </c>
      <c r="E639">
        <v>10.9</v>
      </c>
      <c r="F639" t="str">
        <f>IF(OR(B639&lt;outliers!$B$7,B639&gt;outliers!$B$6),"Outlier","Normal")</f>
        <v>Normal</v>
      </c>
      <c r="G639" t="str">
        <f>IF(OR(C639&lt;outliers!$B$14,C639&gt;outliers!$B$13),"Outlier","Normal")</f>
        <v>Normal</v>
      </c>
      <c r="H639" t="str">
        <f>IF(OR(D639&lt;outliers!$B$21,D639&gt;outliers!$B$20),"Outlier","Normal")</f>
        <v>Normal</v>
      </c>
      <c r="I639" t="str">
        <f>IF(OR(E639&lt;outliers!$C$28,E639&gt;outliers!$B$27),"Outlier","Normal")</f>
        <v>Outlier</v>
      </c>
      <c r="J639">
        <f t="shared" si="20"/>
        <v>2020</v>
      </c>
      <c r="K639" t="str">
        <f t="shared" si="19"/>
        <v>July</v>
      </c>
    </row>
    <row r="640" spans="1:11" x14ac:dyDescent="0.35">
      <c r="A640" s="1">
        <v>44030</v>
      </c>
      <c r="B640">
        <v>23.4</v>
      </c>
      <c r="C640">
        <v>20.9</v>
      </c>
      <c r="D640">
        <v>27.8</v>
      </c>
      <c r="E640">
        <v>0</v>
      </c>
      <c r="F640" t="str">
        <f>IF(OR(B640&lt;outliers!$B$7,B640&gt;outliers!$B$6),"Outlier","Normal")</f>
        <v>Normal</v>
      </c>
      <c r="G640" t="str">
        <f>IF(OR(C640&lt;outliers!$B$14,C640&gt;outliers!$B$13),"Outlier","Normal")</f>
        <v>Normal</v>
      </c>
      <c r="H640" t="str">
        <f>IF(OR(D640&lt;outliers!$B$21,D640&gt;outliers!$B$20),"Outlier","Normal")</f>
        <v>Normal</v>
      </c>
      <c r="I640" t="str">
        <f>IF(OR(E640&lt;outliers!$C$28,E640&gt;outliers!$B$27),"Outlier","Normal")</f>
        <v>Normal</v>
      </c>
      <c r="J640">
        <f t="shared" si="20"/>
        <v>2020</v>
      </c>
      <c r="K640" t="str">
        <f t="shared" si="19"/>
        <v>July</v>
      </c>
    </row>
    <row r="641" spans="1:11" x14ac:dyDescent="0.35">
      <c r="A641" s="1">
        <v>44031</v>
      </c>
      <c r="B641">
        <v>24.4</v>
      </c>
      <c r="C641">
        <v>21.4</v>
      </c>
      <c r="D641">
        <v>29.8</v>
      </c>
      <c r="E641">
        <v>0.8</v>
      </c>
      <c r="F641" t="str">
        <f>IF(OR(B641&lt;outliers!$B$7,B641&gt;outliers!$B$6),"Outlier","Normal")</f>
        <v>Normal</v>
      </c>
      <c r="G641" t="str">
        <f>IF(OR(C641&lt;outliers!$B$14,C641&gt;outliers!$B$13),"Outlier","Normal")</f>
        <v>Normal</v>
      </c>
      <c r="H641" t="str">
        <f>IF(OR(D641&lt;outliers!$B$21,D641&gt;outliers!$B$20),"Outlier","Normal")</f>
        <v>Normal</v>
      </c>
      <c r="I641" t="str">
        <f>IF(OR(E641&lt;outliers!$C$28,E641&gt;outliers!$B$27),"Outlier","Normal")</f>
        <v>Normal</v>
      </c>
      <c r="J641">
        <f t="shared" si="20"/>
        <v>2020</v>
      </c>
      <c r="K641" t="str">
        <f t="shared" si="19"/>
        <v>July</v>
      </c>
    </row>
    <row r="642" spans="1:11" hidden="1" x14ac:dyDescent="0.35">
      <c r="A642" s="1">
        <v>44032</v>
      </c>
      <c r="B642">
        <v>23.4</v>
      </c>
      <c r="C642">
        <v>21.8</v>
      </c>
      <c r="D642">
        <v>29.6</v>
      </c>
      <c r="E642">
        <v>11.2</v>
      </c>
      <c r="F642" t="str">
        <f>IF(OR(B642&lt;outliers!$B$7,B642&gt;outliers!$B$6),"Outlier","Normal")</f>
        <v>Normal</v>
      </c>
      <c r="G642" t="str">
        <f>IF(OR(C642&lt;outliers!$B$14,C642&gt;outliers!$B$13),"Outlier","Normal")</f>
        <v>Normal</v>
      </c>
      <c r="H642" t="str">
        <f>IF(OR(D642&lt;outliers!$B$21,D642&gt;outliers!$B$20),"Outlier","Normal")</f>
        <v>Normal</v>
      </c>
      <c r="I642" t="str">
        <f>IF(OR(E642&lt;outliers!$C$28,E642&gt;outliers!$B$27),"Outlier","Normal")</f>
        <v>Outlier</v>
      </c>
      <c r="J642">
        <f t="shared" si="20"/>
        <v>2020</v>
      </c>
      <c r="K642" t="str">
        <f t="shared" ref="K642:K705" si="21">TEXT(A641,"mmmm")</f>
        <v>July</v>
      </c>
    </row>
    <row r="643" spans="1:11" hidden="1" x14ac:dyDescent="0.35">
      <c r="A643" s="1">
        <v>44033</v>
      </c>
      <c r="B643">
        <v>24.5</v>
      </c>
      <c r="C643">
        <v>19</v>
      </c>
      <c r="D643">
        <v>29.6</v>
      </c>
      <c r="E643">
        <v>24.1</v>
      </c>
      <c r="F643" t="str">
        <f>IF(OR(B643&lt;outliers!$B$7,B643&gt;outliers!$B$6),"Outlier","Normal")</f>
        <v>Normal</v>
      </c>
      <c r="G643" t="str">
        <f>IF(OR(C643&lt;outliers!$B$14,C643&gt;outliers!$B$13),"Outlier","Normal")</f>
        <v>Normal</v>
      </c>
      <c r="H643" t="str">
        <f>IF(OR(D643&lt;outliers!$B$21,D643&gt;outliers!$B$20),"Outlier","Normal")</f>
        <v>Normal</v>
      </c>
      <c r="I643" t="str">
        <f>IF(OR(E643&lt;outliers!$C$28,E643&gt;outliers!$B$27),"Outlier","Normal")</f>
        <v>Outlier</v>
      </c>
      <c r="J643">
        <f t="shared" si="20"/>
        <v>2020</v>
      </c>
      <c r="K643" t="str">
        <f t="shared" si="21"/>
        <v>July</v>
      </c>
    </row>
    <row r="644" spans="1:11" x14ac:dyDescent="0.35">
      <c r="A644" s="1">
        <v>44034</v>
      </c>
      <c r="B644">
        <v>25.8</v>
      </c>
      <c r="C644">
        <v>22</v>
      </c>
      <c r="D644">
        <v>30.4</v>
      </c>
      <c r="E644">
        <v>0</v>
      </c>
      <c r="F644" t="str">
        <f>IF(OR(B644&lt;outliers!$B$7,B644&gt;outliers!$B$6),"Outlier","Normal")</f>
        <v>Normal</v>
      </c>
      <c r="G644" t="str">
        <f>IF(OR(C644&lt;outliers!$B$14,C644&gt;outliers!$B$13),"Outlier","Normal")</f>
        <v>Normal</v>
      </c>
      <c r="H644" t="str">
        <f>IF(OR(D644&lt;outliers!$B$21,D644&gt;outliers!$B$20),"Outlier","Normal")</f>
        <v>Normal</v>
      </c>
      <c r="I644" t="str">
        <f>IF(OR(E644&lt;outliers!$C$28,E644&gt;outliers!$B$27),"Outlier","Normal")</f>
        <v>Normal</v>
      </c>
      <c r="J644">
        <f t="shared" si="20"/>
        <v>2020</v>
      </c>
      <c r="K644" t="str">
        <f t="shared" si="21"/>
        <v>July</v>
      </c>
    </row>
    <row r="645" spans="1:11" x14ac:dyDescent="0.35">
      <c r="A645" s="1">
        <v>44036</v>
      </c>
      <c r="B645">
        <v>23.8</v>
      </c>
      <c r="C645">
        <v>21.5</v>
      </c>
      <c r="D645">
        <v>30.8</v>
      </c>
      <c r="E645">
        <v>4.3</v>
      </c>
      <c r="F645" t="str">
        <f>IF(OR(B645&lt;outliers!$B$7,B645&gt;outliers!$B$6),"Outlier","Normal")</f>
        <v>Normal</v>
      </c>
      <c r="G645" t="str">
        <f>IF(OR(C645&lt;outliers!$B$14,C645&gt;outliers!$B$13),"Outlier","Normal")</f>
        <v>Normal</v>
      </c>
      <c r="H645" t="str">
        <f>IF(OR(D645&lt;outliers!$B$21,D645&gt;outliers!$B$20),"Outlier","Normal")</f>
        <v>Normal</v>
      </c>
      <c r="I645" t="str">
        <f>IF(OR(E645&lt;outliers!$C$28,E645&gt;outliers!$B$27),"Outlier","Normal")</f>
        <v>Normal</v>
      </c>
      <c r="J645">
        <f t="shared" si="20"/>
        <v>2020</v>
      </c>
      <c r="K645" t="str">
        <f t="shared" si="21"/>
        <v>July</v>
      </c>
    </row>
    <row r="646" spans="1:11" x14ac:dyDescent="0.35">
      <c r="A646" s="1">
        <v>44037</v>
      </c>
      <c r="B646">
        <v>23.7</v>
      </c>
      <c r="C646">
        <v>20.5</v>
      </c>
      <c r="D646">
        <v>29.8</v>
      </c>
      <c r="E646">
        <v>0</v>
      </c>
      <c r="F646" t="str">
        <f>IF(OR(B646&lt;outliers!$B$7,B646&gt;outliers!$B$6),"Outlier","Normal")</f>
        <v>Normal</v>
      </c>
      <c r="G646" t="str">
        <f>IF(OR(C646&lt;outliers!$B$14,C646&gt;outliers!$B$13),"Outlier","Normal")</f>
        <v>Normal</v>
      </c>
      <c r="H646" t="str">
        <f>IF(OR(D646&lt;outliers!$B$21,D646&gt;outliers!$B$20),"Outlier","Normal")</f>
        <v>Normal</v>
      </c>
      <c r="I646" t="str">
        <f>IF(OR(E646&lt;outliers!$C$28,E646&gt;outliers!$B$27),"Outlier","Normal")</f>
        <v>Normal</v>
      </c>
      <c r="J646">
        <f t="shared" si="20"/>
        <v>2020</v>
      </c>
      <c r="K646" t="str">
        <f t="shared" si="21"/>
        <v>July</v>
      </c>
    </row>
    <row r="647" spans="1:11" x14ac:dyDescent="0.35">
      <c r="A647" s="1">
        <v>44038</v>
      </c>
      <c r="B647">
        <v>23.6</v>
      </c>
      <c r="C647">
        <v>20.399999999999999</v>
      </c>
      <c r="D647">
        <v>29.4</v>
      </c>
      <c r="E647">
        <v>4.0999999999999996</v>
      </c>
      <c r="F647" t="str">
        <f>IF(OR(B647&lt;outliers!$B$7,B647&gt;outliers!$B$6),"Outlier","Normal")</f>
        <v>Normal</v>
      </c>
      <c r="G647" t="str">
        <f>IF(OR(C647&lt;outliers!$B$14,C647&gt;outliers!$B$13),"Outlier","Normal")</f>
        <v>Normal</v>
      </c>
      <c r="H647" t="str">
        <f>IF(OR(D647&lt;outliers!$B$21,D647&gt;outliers!$B$20),"Outlier","Normal")</f>
        <v>Normal</v>
      </c>
      <c r="I647" t="str">
        <f>IF(OR(E647&lt;outliers!$C$28,E647&gt;outliers!$B$27),"Outlier","Normal")</f>
        <v>Normal</v>
      </c>
      <c r="J647">
        <f t="shared" si="20"/>
        <v>2020</v>
      </c>
      <c r="K647" t="str">
        <f t="shared" si="21"/>
        <v>July</v>
      </c>
    </row>
    <row r="648" spans="1:11" x14ac:dyDescent="0.35">
      <c r="A648" s="1">
        <v>44039</v>
      </c>
      <c r="B648">
        <v>24.1</v>
      </c>
      <c r="C648">
        <v>20.399999999999999</v>
      </c>
      <c r="D648">
        <v>28.8</v>
      </c>
      <c r="E648">
        <v>0</v>
      </c>
      <c r="F648" t="str">
        <f>IF(OR(B648&lt;outliers!$B$7,B648&gt;outliers!$B$6),"Outlier","Normal")</f>
        <v>Normal</v>
      </c>
      <c r="G648" t="str">
        <f>IF(OR(C648&lt;outliers!$B$14,C648&gt;outliers!$B$13),"Outlier","Normal")</f>
        <v>Normal</v>
      </c>
      <c r="H648" t="str">
        <f>IF(OR(D648&lt;outliers!$B$21,D648&gt;outliers!$B$20),"Outlier","Normal")</f>
        <v>Normal</v>
      </c>
      <c r="I648" t="str">
        <f>IF(OR(E648&lt;outliers!$C$28,E648&gt;outliers!$B$27),"Outlier","Normal")</f>
        <v>Normal</v>
      </c>
      <c r="J648">
        <f t="shared" si="20"/>
        <v>2020</v>
      </c>
      <c r="K648" t="str">
        <f t="shared" si="21"/>
        <v>July</v>
      </c>
    </row>
    <row r="649" spans="1:11" x14ac:dyDescent="0.35">
      <c r="A649" s="1">
        <v>44040</v>
      </c>
      <c r="B649">
        <v>24.7</v>
      </c>
      <c r="C649">
        <v>20.6</v>
      </c>
      <c r="D649">
        <v>29</v>
      </c>
      <c r="E649">
        <v>2.2999999999999998</v>
      </c>
      <c r="F649" t="str">
        <f>IF(OR(B649&lt;outliers!$B$7,B649&gt;outliers!$B$6),"Outlier","Normal")</f>
        <v>Normal</v>
      </c>
      <c r="G649" t="str">
        <f>IF(OR(C649&lt;outliers!$B$14,C649&gt;outliers!$B$13),"Outlier","Normal")</f>
        <v>Normal</v>
      </c>
      <c r="H649" t="str">
        <f>IF(OR(D649&lt;outliers!$B$21,D649&gt;outliers!$B$20),"Outlier","Normal")</f>
        <v>Normal</v>
      </c>
      <c r="I649" t="str">
        <f>IF(OR(E649&lt;outliers!$C$28,E649&gt;outliers!$B$27),"Outlier","Normal")</f>
        <v>Normal</v>
      </c>
      <c r="J649">
        <f t="shared" si="20"/>
        <v>2020</v>
      </c>
      <c r="K649" t="str">
        <f t="shared" si="21"/>
        <v>July</v>
      </c>
    </row>
    <row r="650" spans="1:11" x14ac:dyDescent="0.35">
      <c r="A650" s="1">
        <v>44041</v>
      </c>
      <c r="B650">
        <v>22.9</v>
      </c>
      <c r="C650">
        <v>21.2</v>
      </c>
      <c r="D650">
        <v>29.5</v>
      </c>
      <c r="E650">
        <v>7.9</v>
      </c>
      <c r="F650" t="str">
        <f>IF(OR(B650&lt;outliers!$B$7,B650&gt;outliers!$B$6),"Outlier","Normal")</f>
        <v>Normal</v>
      </c>
      <c r="G650" t="str">
        <f>IF(OR(C650&lt;outliers!$B$14,C650&gt;outliers!$B$13),"Outlier","Normal")</f>
        <v>Normal</v>
      </c>
      <c r="H650" t="str">
        <f>IF(OR(D650&lt;outliers!$B$21,D650&gt;outliers!$B$20),"Outlier","Normal")</f>
        <v>Normal</v>
      </c>
      <c r="I650" t="str">
        <f>IF(OR(E650&lt;outliers!$C$28,E650&gt;outliers!$B$27),"Outlier","Normal")</f>
        <v>Normal</v>
      </c>
      <c r="J650">
        <f t="shared" si="20"/>
        <v>2020</v>
      </c>
      <c r="K650" t="str">
        <f t="shared" si="21"/>
        <v>July</v>
      </c>
    </row>
    <row r="651" spans="1:11" x14ac:dyDescent="0.35">
      <c r="A651" s="1">
        <v>44042</v>
      </c>
      <c r="B651">
        <v>23.5</v>
      </c>
      <c r="C651">
        <v>20.2</v>
      </c>
      <c r="D651">
        <v>28.8</v>
      </c>
      <c r="E651">
        <v>1.3</v>
      </c>
      <c r="F651" t="str">
        <f>IF(OR(B651&lt;outliers!$B$7,B651&gt;outliers!$B$6),"Outlier","Normal")</f>
        <v>Normal</v>
      </c>
      <c r="G651" t="str">
        <f>IF(OR(C651&lt;outliers!$B$14,C651&gt;outliers!$B$13),"Outlier","Normal")</f>
        <v>Normal</v>
      </c>
      <c r="H651" t="str">
        <f>IF(OR(D651&lt;outliers!$B$21,D651&gt;outliers!$B$20),"Outlier","Normal")</f>
        <v>Normal</v>
      </c>
      <c r="I651" t="str">
        <f>IF(OR(E651&lt;outliers!$C$28,E651&gt;outliers!$B$27),"Outlier","Normal")</f>
        <v>Normal</v>
      </c>
      <c r="J651">
        <f t="shared" si="20"/>
        <v>2020</v>
      </c>
      <c r="K651" t="str">
        <f t="shared" si="21"/>
        <v>July</v>
      </c>
    </row>
    <row r="652" spans="1:11" x14ac:dyDescent="0.35">
      <c r="A652" s="1">
        <v>44043</v>
      </c>
      <c r="B652">
        <v>23.9</v>
      </c>
      <c r="C652">
        <v>21.4</v>
      </c>
      <c r="D652">
        <v>28.6</v>
      </c>
      <c r="E652">
        <v>4.0999999999999996</v>
      </c>
      <c r="F652" t="str">
        <f>IF(OR(B652&lt;outliers!$B$7,B652&gt;outliers!$B$6),"Outlier","Normal")</f>
        <v>Normal</v>
      </c>
      <c r="G652" t="str">
        <f>IF(OR(C652&lt;outliers!$B$14,C652&gt;outliers!$B$13),"Outlier","Normal")</f>
        <v>Normal</v>
      </c>
      <c r="H652" t="str">
        <f>IF(OR(D652&lt;outliers!$B$21,D652&gt;outliers!$B$20),"Outlier","Normal")</f>
        <v>Normal</v>
      </c>
      <c r="I652" t="str">
        <f>IF(OR(E652&lt;outliers!$C$28,E652&gt;outliers!$B$27),"Outlier","Normal")</f>
        <v>Normal</v>
      </c>
      <c r="J652">
        <f t="shared" si="20"/>
        <v>2020</v>
      </c>
      <c r="K652" t="str">
        <f t="shared" si="21"/>
        <v>July</v>
      </c>
    </row>
    <row r="653" spans="1:11" x14ac:dyDescent="0.35">
      <c r="A653" s="1">
        <v>44044</v>
      </c>
      <c r="B653">
        <v>23</v>
      </c>
      <c r="C653">
        <v>20.399999999999999</v>
      </c>
      <c r="D653">
        <v>29.6</v>
      </c>
      <c r="E653">
        <v>2</v>
      </c>
      <c r="F653" t="str">
        <f>IF(OR(B653&lt;outliers!$B$7,B653&gt;outliers!$B$6),"Outlier","Normal")</f>
        <v>Normal</v>
      </c>
      <c r="G653" t="str">
        <f>IF(OR(C653&lt;outliers!$B$14,C653&gt;outliers!$B$13),"Outlier","Normal")</f>
        <v>Normal</v>
      </c>
      <c r="H653" t="str">
        <f>IF(OR(D653&lt;outliers!$B$21,D653&gt;outliers!$B$20),"Outlier","Normal")</f>
        <v>Normal</v>
      </c>
      <c r="I653" t="str">
        <f>IF(OR(E653&lt;outliers!$C$28,E653&gt;outliers!$B$27),"Outlier","Normal")</f>
        <v>Normal</v>
      </c>
      <c r="J653">
        <f t="shared" si="20"/>
        <v>2020</v>
      </c>
      <c r="K653" t="str">
        <f t="shared" si="21"/>
        <v>July</v>
      </c>
    </row>
    <row r="654" spans="1:11" x14ac:dyDescent="0.35">
      <c r="A654" s="1">
        <v>44045</v>
      </c>
      <c r="B654">
        <v>22.8</v>
      </c>
      <c r="C654">
        <v>19.600000000000001</v>
      </c>
      <c r="D654">
        <v>28</v>
      </c>
      <c r="E654">
        <v>3.3</v>
      </c>
      <c r="F654" t="str">
        <f>IF(OR(B654&lt;outliers!$B$7,B654&gt;outliers!$B$6),"Outlier","Normal")</f>
        <v>Normal</v>
      </c>
      <c r="G654" t="str">
        <f>IF(OR(C654&lt;outliers!$B$14,C654&gt;outliers!$B$13),"Outlier","Normal")</f>
        <v>Normal</v>
      </c>
      <c r="H654" t="str">
        <f>IF(OR(D654&lt;outliers!$B$21,D654&gt;outliers!$B$20),"Outlier","Normal")</f>
        <v>Normal</v>
      </c>
      <c r="I654" t="str">
        <f>IF(OR(E654&lt;outliers!$C$28,E654&gt;outliers!$B$27),"Outlier","Normal")</f>
        <v>Normal</v>
      </c>
      <c r="J654">
        <f t="shared" si="20"/>
        <v>2020</v>
      </c>
      <c r="K654" t="str">
        <f t="shared" si="21"/>
        <v>August</v>
      </c>
    </row>
    <row r="655" spans="1:11" x14ac:dyDescent="0.35">
      <c r="A655" s="1">
        <v>44046</v>
      </c>
      <c r="B655">
        <v>22.9</v>
      </c>
      <c r="C655">
        <v>20.399999999999999</v>
      </c>
      <c r="D655">
        <v>27.8</v>
      </c>
      <c r="E655">
        <v>2.5</v>
      </c>
      <c r="F655" t="str">
        <f>IF(OR(B655&lt;outliers!$B$7,B655&gt;outliers!$B$6),"Outlier","Normal")</f>
        <v>Normal</v>
      </c>
      <c r="G655" t="str">
        <f>IF(OR(C655&lt;outliers!$B$14,C655&gt;outliers!$B$13),"Outlier","Normal")</f>
        <v>Normal</v>
      </c>
      <c r="H655" t="str">
        <f>IF(OR(D655&lt;outliers!$B$21,D655&gt;outliers!$B$20),"Outlier","Normal")</f>
        <v>Normal</v>
      </c>
      <c r="I655" t="str">
        <f>IF(OR(E655&lt;outliers!$C$28,E655&gt;outliers!$B$27),"Outlier","Normal")</f>
        <v>Normal</v>
      </c>
      <c r="J655">
        <f t="shared" si="20"/>
        <v>2020</v>
      </c>
      <c r="K655" t="str">
        <f t="shared" si="21"/>
        <v>August</v>
      </c>
    </row>
    <row r="656" spans="1:11" x14ac:dyDescent="0.35">
      <c r="A656" s="1">
        <v>44047</v>
      </c>
      <c r="B656">
        <v>21.9</v>
      </c>
      <c r="C656">
        <v>19.8</v>
      </c>
      <c r="D656">
        <v>26</v>
      </c>
      <c r="E656">
        <v>1.5</v>
      </c>
      <c r="F656" t="str">
        <f>IF(OR(B656&lt;outliers!$B$7,B656&gt;outliers!$B$6),"Outlier","Normal")</f>
        <v>Normal</v>
      </c>
      <c r="G656" t="str">
        <f>IF(OR(C656&lt;outliers!$B$14,C656&gt;outliers!$B$13),"Outlier","Normal")</f>
        <v>Normal</v>
      </c>
      <c r="H656" t="str">
        <f>IF(OR(D656&lt;outliers!$B$21,D656&gt;outliers!$B$20),"Outlier","Normal")</f>
        <v>Normal</v>
      </c>
      <c r="I656" t="str">
        <f>IF(OR(E656&lt;outliers!$C$28,E656&gt;outliers!$B$27),"Outlier","Normal")</f>
        <v>Normal</v>
      </c>
      <c r="J656">
        <f t="shared" si="20"/>
        <v>2020</v>
      </c>
      <c r="K656" t="str">
        <f t="shared" si="21"/>
        <v>August</v>
      </c>
    </row>
    <row r="657" spans="1:11" x14ac:dyDescent="0.35">
      <c r="A657" s="1">
        <v>44048</v>
      </c>
      <c r="B657">
        <v>22.1</v>
      </c>
      <c r="C657">
        <v>19.8</v>
      </c>
      <c r="D657">
        <v>25.8</v>
      </c>
      <c r="E657">
        <v>1.8</v>
      </c>
      <c r="F657" t="str">
        <f>IF(OR(B657&lt;outliers!$B$7,B657&gt;outliers!$B$6),"Outlier","Normal")</f>
        <v>Normal</v>
      </c>
      <c r="G657" t="str">
        <f>IF(OR(C657&lt;outliers!$B$14,C657&gt;outliers!$B$13),"Outlier","Normal")</f>
        <v>Normal</v>
      </c>
      <c r="H657" t="str">
        <f>IF(OR(D657&lt;outliers!$B$21,D657&gt;outliers!$B$20),"Outlier","Normal")</f>
        <v>Normal</v>
      </c>
      <c r="I657" t="str">
        <f>IF(OR(E657&lt;outliers!$C$28,E657&gt;outliers!$B$27),"Outlier","Normal")</f>
        <v>Normal</v>
      </c>
      <c r="J657">
        <f t="shared" ref="J657:J720" si="22">YEAR(A657)</f>
        <v>2020</v>
      </c>
      <c r="K657" t="str">
        <f t="shared" si="21"/>
        <v>August</v>
      </c>
    </row>
    <row r="658" spans="1:11" x14ac:dyDescent="0.35">
      <c r="A658" s="1">
        <v>44049</v>
      </c>
      <c r="B658">
        <v>23.4</v>
      </c>
      <c r="C658">
        <v>20.8</v>
      </c>
      <c r="D658">
        <v>29.8</v>
      </c>
      <c r="E658">
        <v>2.8</v>
      </c>
      <c r="F658" t="str">
        <f>IF(OR(B658&lt;outliers!$B$7,B658&gt;outliers!$B$6),"Outlier","Normal")</f>
        <v>Normal</v>
      </c>
      <c r="G658" t="str">
        <f>IF(OR(C658&lt;outliers!$B$14,C658&gt;outliers!$B$13),"Outlier","Normal")</f>
        <v>Normal</v>
      </c>
      <c r="H658" t="str">
        <f>IF(OR(D658&lt;outliers!$B$21,D658&gt;outliers!$B$20),"Outlier","Normal")</f>
        <v>Normal</v>
      </c>
      <c r="I658" t="str">
        <f>IF(OR(E658&lt;outliers!$C$28,E658&gt;outliers!$B$27),"Outlier","Normal")</f>
        <v>Normal</v>
      </c>
      <c r="J658">
        <f t="shared" si="22"/>
        <v>2020</v>
      </c>
      <c r="K658" t="str">
        <f t="shared" si="21"/>
        <v>August</v>
      </c>
    </row>
    <row r="659" spans="1:11" x14ac:dyDescent="0.35">
      <c r="A659" s="1">
        <v>44050</v>
      </c>
      <c r="B659">
        <v>23.4</v>
      </c>
      <c r="C659">
        <v>21.4</v>
      </c>
      <c r="D659">
        <v>27.8</v>
      </c>
      <c r="E659">
        <v>1.3</v>
      </c>
      <c r="F659" t="str">
        <f>IF(OR(B659&lt;outliers!$B$7,B659&gt;outliers!$B$6),"Outlier","Normal")</f>
        <v>Normal</v>
      </c>
      <c r="G659" t="str">
        <f>IF(OR(C659&lt;outliers!$B$14,C659&gt;outliers!$B$13),"Outlier","Normal")</f>
        <v>Normal</v>
      </c>
      <c r="H659" t="str">
        <f>IF(OR(D659&lt;outliers!$B$21,D659&gt;outliers!$B$20),"Outlier","Normal")</f>
        <v>Normal</v>
      </c>
      <c r="I659" t="str">
        <f>IF(OR(E659&lt;outliers!$C$28,E659&gt;outliers!$B$27),"Outlier","Normal")</f>
        <v>Normal</v>
      </c>
      <c r="J659">
        <f t="shared" si="22"/>
        <v>2020</v>
      </c>
      <c r="K659" t="str">
        <f t="shared" si="21"/>
        <v>August</v>
      </c>
    </row>
    <row r="660" spans="1:11" x14ac:dyDescent="0.35">
      <c r="A660" s="1">
        <v>44051</v>
      </c>
      <c r="B660">
        <v>22.4</v>
      </c>
      <c r="C660">
        <v>20.3</v>
      </c>
      <c r="D660">
        <v>27.2</v>
      </c>
      <c r="E660">
        <v>0</v>
      </c>
      <c r="F660" t="str">
        <f>IF(OR(B660&lt;outliers!$B$7,B660&gt;outliers!$B$6),"Outlier","Normal")</f>
        <v>Normal</v>
      </c>
      <c r="G660" t="str">
        <f>IF(OR(C660&lt;outliers!$B$14,C660&gt;outliers!$B$13),"Outlier","Normal")</f>
        <v>Normal</v>
      </c>
      <c r="H660" t="str">
        <f>IF(OR(D660&lt;outliers!$B$21,D660&gt;outliers!$B$20),"Outlier","Normal")</f>
        <v>Normal</v>
      </c>
      <c r="I660" t="str">
        <f>IF(OR(E660&lt;outliers!$C$28,E660&gt;outliers!$B$27),"Outlier","Normal")</f>
        <v>Normal</v>
      </c>
      <c r="J660">
        <f t="shared" si="22"/>
        <v>2020</v>
      </c>
      <c r="K660" t="str">
        <f t="shared" si="21"/>
        <v>August</v>
      </c>
    </row>
    <row r="661" spans="1:11" x14ac:dyDescent="0.35">
      <c r="A661" s="1">
        <v>44052</v>
      </c>
      <c r="B661">
        <v>21.8</v>
      </c>
      <c r="C661">
        <v>20.2</v>
      </c>
      <c r="D661">
        <v>27.4</v>
      </c>
      <c r="E661">
        <v>2.2999999999999998</v>
      </c>
      <c r="F661" t="str">
        <f>IF(OR(B661&lt;outliers!$B$7,B661&gt;outliers!$B$6),"Outlier","Normal")</f>
        <v>Normal</v>
      </c>
      <c r="G661" t="str">
        <f>IF(OR(C661&lt;outliers!$B$14,C661&gt;outliers!$B$13),"Outlier","Normal")</f>
        <v>Normal</v>
      </c>
      <c r="H661" t="str">
        <f>IF(OR(D661&lt;outliers!$B$21,D661&gt;outliers!$B$20),"Outlier","Normal")</f>
        <v>Normal</v>
      </c>
      <c r="I661" t="str">
        <f>IF(OR(E661&lt;outliers!$C$28,E661&gt;outliers!$B$27),"Outlier","Normal")</f>
        <v>Normal</v>
      </c>
      <c r="J661">
        <f t="shared" si="22"/>
        <v>2020</v>
      </c>
      <c r="K661" t="str">
        <f t="shared" si="21"/>
        <v>August</v>
      </c>
    </row>
    <row r="662" spans="1:11" hidden="1" x14ac:dyDescent="0.35">
      <c r="A662" s="1">
        <v>44053</v>
      </c>
      <c r="B662">
        <v>21.9</v>
      </c>
      <c r="C662">
        <v>19.5</v>
      </c>
      <c r="D662">
        <v>26</v>
      </c>
      <c r="E662">
        <v>12.2</v>
      </c>
      <c r="F662" t="str">
        <f>IF(OR(B662&lt;outliers!$B$7,B662&gt;outliers!$B$6),"Outlier","Normal")</f>
        <v>Normal</v>
      </c>
      <c r="G662" t="str">
        <f>IF(OR(C662&lt;outliers!$B$14,C662&gt;outliers!$B$13),"Outlier","Normal")</f>
        <v>Normal</v>
      </c>
      <c r="H662" t="str">
        <f>IF(OR(D662&lt;outliers!$B$21,D662&gt;outliers!$B$20),"Outlier","Normal")</f>
        <v>Normal</v>
      </c>
      <c r="I662" t="str">
        <f>IF(OR(E662&lt;outliers!$C$28,E662&gt;outliers!$B$27),"Outlier","Normal")</f>
        <v>Outlier</v>
      </c>
      <c r="J662">
        <f t="shared" si="22"/>
        <v>2020</v>
      </c>
      <c r="K662" t="str">
        <f t="shared" si="21"/>
        <v>August</v>
      </c>
    </row>
    <row r="663" spans="1:11" x14ac:dyDescent="0.35">
      <c r="A663" s="1">
        <v>44054</v>
      </c>
      <c r="B663">
        <v>22.8</v>
      </c>
      <c r="C663">
        <v>20.6</v>
      </c>
      <c r="D663">
        <v>27.8</v>
      </c>
      <c r="E663">
        <v>0</v>
      </c>
      <c r="F663" t="str">
        <f>IF(OR(B663&lt;outliers!$B$7,B663&gt;outliers!$B$6),"Outlier","Normal")</f>
        <v>Normal</v>
      </c>
      <c r="G663" t="str">
        <f>IF(OR(C663&lt;outliers!$B$14,C663&gt;outliers!$B$13),"Outlier","Normal")</f>
        <v>Normal</v>
      </c>
      <c r="H663" t="str">
        <f>IF(OR(D663&lt;outliers!$B$21,D663&gt;outliers!$B$20),"Outlier","Normal")</f>
        <v>Normal</v>
      </c>
      <c r="I663" t="str">
        <f>IF(OR(E663&lt;outliers!$C$28,E663&gt;outliers!$B$27),"Outlier","Normal")</f>
        <v>Normal</v>
      </c>
      <c r="J663">
        <f t="shared" si="22"/>
        <v>2020</v>
      </c>
      <c r="K663" t="str">
        <f t="shared" si="21"/>
        <v>August</v>
      </c>
    </row>
    <row r="664" spans="1:11" x14ac:dyDescent="0.35">
      <c r="A664" s="1">
        <v>44055</v>
      </c>
      <c r="B664">
        <v>23.4</v>
      </c>
      <c r="C664">
        <v>20.5</v>
      </c>
      <c r="D664">
        <v>28</v>
      </c>
      <c r="E664">
        <v>5.0999999999999996</v>
      </c>
      <c r="F664" t="str">
        <f>IF(OR(B664&lt;outliers!$B$7,B664&gt;outliers!$B$6),"Outlier","Normal")</f>
        <v>Normal</v>
      </c>
      <c r="G664" t="str">
        <f>IF(OR(C664&lt;outliers!$B$14,C664&gt;outliers!$B$13),"Outlier","Normal")</f>
        <v>Normal</v>
      </c>
      <c r="H664" t="str">
        <f>IF(OR(D664&lt;outliers!$B$21,D664&gt;outliers!$B$20),"Outlier","Normal")</f>
        <v>Normal</v>
      </c>
      <c r="I664" t="str">
        <f>IF(OR(E664&lt;outliers!$C$28,E664&gt;outliers!$B$27),"Outlier","Normal")</f>
        <v>Normal</v>
      </c>
      <c r="J664">
        <f t="shared" si="22"/>
        <v>2020</v>
      </c>
      <c r="K664" t="str">
        <f t="shared" si="21"/>
        <v>August</v>
      </c>
    </row>
    <row r="665" spans="1:11" x14ac:dyDescent="0.35">
      <c r="A665" s="1">
        <v>44056</v>
      </c>
      <c r="B665">
        <v>23.7</v>
      </c>
      <c r="C665">
        <v>20.6</v>
      </c>
      <c r="D665">
        <v>27.9</v>
      </c>
      <c r="E665">
        <v>0</v>
      </c>
      <c r="F665" t="str">
        <f>IF(OR(B665&lt;outliers!$B$7,B665&gt;outliers!$B$6),"Outlier","Normal")</f>
        <v>Normal</v>
      </c>
      <c r="G665" t="str">
        <f>IF(OR(C665&lt;outliers!$B$14,C665&gt;outliers!$B$13),"Outlier","Normal")</f>
        <v>Normal</v>
      </c>
      <c r="H665" t="str">
        <f>IF(OR(D665&lt;outliers!$B$21,D665&gt;outliers!$B$20),"Outlier","Normal")</f>
        <v>Normal</v>
      </c>
      <c r="I665" t="str">
        <f>IF(OR(E665&lt;outliers!$C$28,E665&gt;outliers!$B$27),"Outlier","Normal")</f>
        <v>Normal</v>
      </c>
      <c r="J665">
        <f t="shared" si="22"/>
        <v>2020</v>
      </c>
      <c r="K665" t="str">
        <f t="shared" si="21"/>
        <v>August</v>
      </c>
    </row>
    <row r="666" spans="1:11" x14ac:dyDescent="0.35">
      <c r="A666" s="1">
        <v>44057</v>
      </c>
      <c r="B666">
        <v>22.7</v>
      </c>
      <c r="C666">
        <v>20.2</v>
      </c>
      <c r="D666">
        <v>28</v>
      </c>
      <c r="E666">
        <v>0</v>
      </c>
      <c r="F666" t="str">
        <f>IF(OR(B666&lt;outliers!$B$7,B666&gt;outliers!$B$6),"Outlier","Normal")</f>
        <v>Normal</v>
      </c>
      <c r="G666" t="str">
        <f>IF(OR(C666&lt;outliers!$B$14,C666&gt;outliers!$B$13),"Outlier","Normal")</f>
        <v>Normal</v>
      </c>
      <c r="H666" t="str">
        <f>IF(OR(D666&lt;outliers!$B$21,D666&gt;outliers!$B$20),"Outlier","Normal")</f>
        <v>Normal</v>
      </c>
      <c r="I666" t="str">
        <f>IF(OR(E666&lt;outliers!$C$28,E666&gt;outliers!$B$27),"Outlier","Normal")</f>
        <v>Normal</v>
      </c>
      <c r="J666">
        <f t="shared" si="22"/>
        <v>2020</v>
      </c>
      <c r="K666" t="str">
        <f t="shared" si="21"/>
        <v>August</v>
      </c>
    </row>
    <row r="667" spans="1:11" x14ac:dyDescent="0.35">
      <c r="A667" s="1">
        <v>44058</v>
      </c>
      <c r="B667">
        <v>22.4</v>
      </c>
      <c r="C667">
        <v>20.399999999999999</v>
      </c>
      <c r="D667">
        <v>25.6</v>
      </c>
      <c r="E667">
        <v>0</v>
      </c>
      <c r="F667" t="str">
        <f>IF(OR(B667&lt;outliers!$B$7,B667&gt;outliers!$B$6),"Outlier","Normal")</f>
        <v>Normal</v>
      </c>
      <c r="G667" t="str">
        <f>IF(OR(C667&lt;outliers!$B$14,C667&gt;outliers!$B$13),"Outlier","Normal")</f>
        <v>Normal</v>
      </c>
      <c r="H667" t="str">
        <f>IF(OR(D667&lt;outliers!$B$21,D667&gt;outliers!$B$20),"Outlier","Normal")</f>
        <v>Normal</v>
      </c>
      <c r="I667" t="str">
        <f>IF(OR(E667&lt;outliers!$C$28,E667&gt;outliers!$B$27),"Outlier","Normal")</f>
        <v>Normal</v>
      </c>
      <c r="J667">
        <f t="shared" si="22"/>
        <v>2020</v>
      </c>
      <c r="K667" t="str">
        <f t="shared" si="21"/>
        <v>August</v>
      </c>
    </row>
    <row r="668" spans="1:11" x14ac:dyDescent="0.35">
      <c r="A668" s="1">
        <v>44060</v>
      </c>
      <c r="B668">
        <v>22.2</v>
      </c>
      <c r="C668">
        <v>20.100000000000001</v>
      </c>
      <c r="D668">
        <v>26.8</v>
      </c>
      <c r="E668">
        <v>0.3</v>
      </c>
      <c r="F668" t="str">
        <f>IF(OR(B668&lt;outliers!$B$7,B668&gt;outliers!$B$6),"Outlier","Normal")</f>
        <v>Normal</v>
      </c>
      <c r="G668" t="str">
        <f>IF(OR(C668&lt;outliers!$B$14,C668&gt;outliers!$B$13),"Outlier","Normal")</f>
        <v>Normal</v>
      </c>
      <c r="H668" t="str">
        <f>IF(OR(D668&lt;outliers!$B$21,D668&gt;outliers!$B$20),"Outlier","Normal")</f>
        <v>Normal</v>
      </c>
      <c r="I668" t="str">
        <f>IF(OR(E668&lt;outliers!$C$28,E668&gt;outliers!$B$27),"Outlier","Normal")</f>
        <v>Normal</v>
      </c>
      <c r="J668">
        <f t="shared" si="22"/>
        <v>2020</v>
      </c>
      <c r="K668" t="str">
        <f t="shared" si="21"/>
        <v>August</v>
      </c>
    </row>
    <row r="669" spans="1:11" x14ac:dyDescent="0.35">
      <c r="A669" s="1">
        <v>44061</v>
      </c>
      <c r="B669">
        <v>23</v>
      </c>
      <c r="C669">
        <v>20.6</v>
      </c>
      <c r="D669">
        <v>26.2</v>
      </c>
      <c r="E669">
        <v>1</v>
      </c>
      <c r="F669" t="str">
        <f>IF(OR(B669&lt;outliers!$B$7,B669&gt;outliers!$B$6),"Outlier","Normal")</f>
        <v>Normal</v>
      </c>
      <c r="G669" t="str">
        <f>IF(OR(C669&lt;outliers!$B$14,C669&gt;outliers!$B$13),"Outlier","Normal")</f>
        <v>Normal</v>
      </c>
      <c r="H669" t="str">
        <f>IF(OR(D669&lt;outliers!$B$21,D669&gt;outliers!$B$20),"Outlier","Normal")</f>
        <v>Normal</v>
      </c>
      <c r="I669" t="str">
        <f>IF(OR(E669&lt;outliers!$C$28,E669&gt;outliers!$B$27),"Outlier","Normal")</f>
        <v>Normal</v>
      </c>
      <c r="J669">
        <f t="shared" si="22"/>
        <v>2020</v>
      </c>
      <c r="K669" t="str">
        <f t="shared" si="21"/>
        <v>August</v>
      </c>
    </row>
    <row r="670" spans="1:11" x14ac:dyDescent="0.35">
      <c r="A670" s="1">
        <v>44062</v>
      </c>
      <c r="B670">
        <v>23.1</v>
      </c>
      <c r="C670">
        <v>20.399999999999999</v>
      </c>
      <c r="D670">
        <v>26.4</v>
      </c>
      <c r="E670">
        <v>0</v>
      </c>
      <c r="F670" t="str">
        <f>IF(OR(B670&lt;outliers!$B$7,B670&gt;outliers!$B$6),"Outlier","Normal")</f>
        <v>Normal</v>
      </c>
      <c r="G670" t="str">
        <f>IF(OR(C670&lt;outliers!$B$14,C670&gt;outliers!$B$13),"Outlier","Normal")</f>
        <v>Normal</v>
      </c>
      <c r="H670" t="str">
        <f>IF(OR(D670&lt;outliers!$B$21,D670&gt;outliers!$B$20),"Outlier","Normal")</f>
        <v>Normal</v>
      </c>
      <c r="I670" t="str">
        <f>IF(OR(E670&lt;outliers!$C$28,E670&gt;outliers!$B$27),"Outlier","Normal")</f>
        <v>Normal</v>
      </c>
      <c r="J670">
        <f t="shared" si="22"/>
        <v>2020</v>
      </c>
      <c r="K670" t="str">
        <f t="shared" si="21"/>
        <v>August</v>
      </c>
    </row>
    <row r="671" spans="1:11" x14ac:dyDescent="0.35">
      <c r="A671" s="1">
        <v>44067</v>
      </c>
      <c r="B671">
        <v>24.1</v>
      </c>
      <c r="C671">
        <v>20.9</v>
      </c>
      <c r="D671">
        <v>27.8</v>
      </c>
      <c r="E671">
        <v>2</v>
      </c>
      <c r="F671" t="str">
        <f>IF(OR(B671&lt;outliers!$B$7,B671&gt;outliers!$B$6),"Outlier","Normal")</f>
        <v>Normal</v>
      </c>
      <c r="G671" t="str">
        <f>IF(OR(C671&lt;outliers!$B$14,C671&gt;outliers!$B$13),"Outlier","Normal")</f>
        <v>Normal</v>
      </c>
      <c r="H671" t="str">
        <f>IF(OR(D671&lt;outliers!$B$21,D671&gt;outliers!$B$20),"Outlier","Normal")</f>
        <v>Normal</v>
      </c>
      <c r="I671" t="str">
        <f>IF(OR(E671&lt;outliers!$C$28,E671&gt;outliers!$B$27),"Outlier","Normal")</f>
        <v>Normal</v>
      </c>
      <c r="J671">
        <f t="shared" si="22"/>
        <v>2020</v>
      </c>
      <c r="K671" t="str">
        <f t="shared" si="21"/>
        <v>August</v>
      </c>
    </row>
    <row r="672" spans="1:11" x14ac:dyDescent="0.35">
      <c r="A672" s="1">
        <v>44068</v>
      </c>
      <c r="B672">
        <v>25</v>
      </c>
      <c r="C672">
        <v>20.5</v>
      </c>
      <c r="D672">
        <v>29.8</v>
      </c>
      <c r="E672">
        <v>0</v>
      </c>
      <c r="F672" t="str">
        <f>IF(OR(B672&lt;outliers!$B$7,B672&gt;outliers!$B$6),"Outlier","Normal")</f>
        <v>Normal</v>
      </c>
      <c r="G672" t="str">
        <f>IF(OR(C672&lt;outliers!$B$14,C672&gt;outliers!$B$13),"Outlier","Normal")</f>
        <v>Normal</v>
      </c>
      <c r="H672" t="str">
        <f>IF(OR(D672&lt;outliers!$B$21,D672&gt;outliers!$B$20),"Outlier","Normal")</f>
        <v>Normal</v>
      </c>
      <c r="I672" t="str">
        <f>IF(OR(E672&lt;outliers!$C$28,E672&gt;outliers!$B$27),"Outlier","Normal")</f>
        <v>Normal</v>
      </c>
      <c r="J672">
        <f t="shared" si="22"/>
        <v>2020</v>
      </c>
      <c r="K672" t="str">
        <f t="shared" si="21"/>
        <v>August</v>
      </c>
    </row>
    <row r="673" spans="1:11" x14ac:dyDescent="0.35">
      <c r="A673" s="1">
        <v>44069</v>
      </c>
      <c r="B673">
        <v>25.6</v>
      </c>
      <c r="C673">
        <v>22</v>
      </c>
      <c r="D673">
        <v>30.2</v>
      </c>
      <c r="E673">
        <v>0</v>
      </c>
      <c r="F673" t="str">
        <f>IF(OR(B673&lt;outliers!$B$7,B673&gt;outliers!$B$6),"Outlier","Normal")</f>
        <v>Normal</v>
      </c>
      <c r="G673" t="str">
        <f>IF(OR(C673&lt;outliers!$B$14,C673&gt;outliers!$B$13),"Outlier","Normal")</f>
        <v>Normal</v>
      </c>
      <c r="H673" t="str">
        <f>IF(OR(D673&lt;outliers!$B$21,D673&gt;outliers!$B$20),"Outlier","Normal")</f>
        <v>Normal</v>
      </c>
      <c r="I673" t="str">
        <f>IF(OR(E673&lt;outliers!$C$28,E673&gt;outliers!$B$27),"Outlier","Normal")</f>
        <v>Normal</v>
      </c>
      <c r="J673">
        <f t="shared" si="22"/>
        <v>2020</v>
      </c>
      <c r="K673" t="str">
        <f t="shared" si="21"/>
        <v>August</v>
      </c>
    </row>
    <row r="674" spans="1:11" x14ac:dyDescent="0.35">
      <c r="A674" s="1">
        <v>44071</v>
      </c>
      <c r="B674">
        <v>25.3</v>
      </c>
      <c r="C674">
        <v>20.399999999999999</v>
      </c>
      <c r="D674">
        <v>30.8</v>
      </c>
      <c r="E674">
        <v>0</v>
      </c>
      <c r="F674" t="str">
        <f>IF(OR(B674&lt;outliers!$B$7,B674&gt;outliers!$B$6),"Outlier","Normal")</f>
        <v>Normal</v>
      </c>
      <c r="G674" t="str">
        <f>IF(OR(C674&lt;outliers!$B$14,C674&gt;outliers!$B$13),"Outlier","Normal")</f>
        <v>Normal</v>
      </c>
      <c r="H674" t="str">
        <f>IF(OR(D674&lt;outliers!$B$21,D674&gt;outliers!$B$20),"Outlier","Normal")</f>
        <v>Normal</v>
      </c>
      <c r="I674" t="str">
        <f>IF(OR(E674&lt;outliers!$C$28,E674&gt;outliers!$B$27),"Outlier","Normal")</f>
        <v>Normal</v>
      </c>
      <c r="J674">
        <f t="shared" si="22"/>
        <v>2020</v>
      </c>
      <c r="K674" t="str">
        <f t="shared" si="21"/>
        <v>August</v>
      </c>
    </row>
    <row r="675" spans="1:11" hidden="1" x14ac:dyDescent="0.35">
      <c r="A675" s="1">
        <v>44074</v>
      </c>
      <c r="B675">
        <v>24.4</v>
      </c>
      <c r="C675">
        <v>19.399999999999999</v>
      </c>
      <c r="D675">
        <v>31.7</v>
      </c>
      <c r="E675">
        <v>23.1</v>
      </c>
      <c r="F675" t="str">
        <f>IF(OR(B675&lt;outliers!$B$7,B675&gt;outliers!$B$6),"Outlier","Normal")</f>
        <v>Normal</v>
      </c>
      <c r="G675" t="str">
        <f>IF(OR(C675&lt;outliers!$B$14,C675&gt;outliers!$B$13),"Outlier","Normal")</f>
        <v>Normal</v>
      </c>
      <c r="H675" t="str">
        <f>IF(OR(D675&lt;outliers!$B$21,D675&gt;outliers!$B$20),"Outlier","Normal")</f>
        <v>Normal</v>
      </c>
      <c r="I675" t="str">
        <f>IF(OR(E675&lt;outliers!$C$28,E675&gt;outliers!$B$27),"Outlier","Normal")</f>
        <v>Outlier</v>
      </c>
      <c r="J675">
        <f t="shared" si="22"/>
        <v>2020</v>
      </c>
      <c r="K675" t="str">
        <f t="shared" si="21"/>
        <v>August</v>
      </c>
    </row>
    <row r="676" spans="1:11" hidden="1" x14ac:dyDescent="0.35">
      <c r="A676" s="1">
        <v>44075</v>
      </c>
      <c r="B676">
        <v>24</v>
      </c>
      <c r="C676">
        <v>20</v>
      </c>
      <c r="D676">
        <v>29.8</v>
      </c>
      <c r="E676">
        <v>18.8</v>
      </c>
      <c r="F676" t="str">
        <f>IF(OR(B676&lt;outliers!$B$7,B676&gt;outliers!$B$6),"Outlier","Normal")</f>
        <v>Normal</v>
      </c>
      <c r="G676" t="str">
        <f>IF(OR(C676&lt;outliers!$B$14,C676&gt;outliers!$B$13),"Outlier","Normal")</f>
        <v>Normal</v>
      </c>
      <c r="H676" t="str">
        <f>IF(OR(D676&lt;outliers!$B$21,D676&gt;outliers!$B$20),"Outlier","Normal")</f>
        <v>Normal</v>
      </c>
      <c r="I676" t="str">
        <f>IF(OR(E676&lt;outliers!$C$28,E676&gt;outliers!$B$27),"Outlier","Normal")</f>
        <v>Outlier</v>
      </c>
      <c r="J676">
        <f t="shared" si="22"/>
        <v>2020</v>
      </c>
      <c r="K676" t="str">
        <f t="shared" si="21"/>
        <v>August</v>
      </c>
    </row>
    <row r="677" spans="1:11" x14ac:dyDescent="0.35">
      <c r="A677" s="1">
        <v>44076</v>
      </c>
      <c r="B677">
        <v>22.9</v>
      </c>
      <c r="C677">
        <v>20.6</v>
      </c>
      <c r="D677">
        <v>28.4</v>
      </c>
      <c r="E677">
        <v>2</v>
      </c>
      <c r="F677" t="str">
        <f>IF(OR(B677&lt;outliers!$B$7,B677&gt;outliers!$B$6),"Outlier","Normal")</f>
        <v>Normal</v>
      </c>
      <c r="G677" t="str">
        <f>IF(OR(C677&lt;outliers!$B$14,C677&gt;outliers!$B$13),"Outlier","Normal")</f>
        <v>Normal</v>
      </c>
      <c r="H677" t="str">
        <f>IF(OR(D677&lt;outliers!$B$21,D677&gt;outliers!$B$20),"Outlier","Normal")</f>
        <v>Normal</v>
      </c>
      <c r="I677" t="str">
        <f>IF(OR(E677&lt;outliers!$C$28,E677&gt;outliers!$B$27),"Outlier","Normal")</f>
        <v>Normal</v>
      </c>
      <c r="J677">
        <f t="shared" si="22"/>
        <v>2020</v>
      </c>
      <c r="K677" t="str">
        <f t="shared" si="21"/>
        <v>September</v>
      </c>
    </row>
    <row r="678" spans="1:11" hidden="1" x14ac:dyDescent="0.35">
      <c r="A678" s="1">
        <v>44077</v>
      </c>
      <c r="B678">
        <v>23.8</v>
      </c>
      <c r="C678">
        <v>20.5</v>
      </c>
      <c r="D678">
        <v>27.8</v>
      </c>
      <c r="E678">
        <v>29.7</v>
      </c>
      <c r="F678" t="str">
        <f>IF(OR(B678&lt;outliers!$B$7,B678&gt;outliers!$B$6),"Outlier","Normal")</f>
        <v>Normal</v>
      </c>
      <c r="G678" t="str">
        <f>IF(OR(C678&lt;outliers!$B$14,C678&gt;outliers!$B$13),"Outlier","Normal")</f>
        <v>Normal</v>
      </c>
      <c r="H678" t="str">
        <f>IF(OR(D678&lt;outliers!$B$21,D678&gt;outliers!$B$20),"Outlier","Normal")</f>
        <v>Normal</v>
      </c>
      <c r="I678" t="str">
        <f>IF(OR(E678&lt;outliers!$C$28,E678&gt;outliers!$B$27),"Outlier","Normal")</f>
        <v>Outlier</v>
      </c>
      <c r="J678">
        <f t="shared" si="22"/>
        <v>2020</v>
      </c>
      <c r="K678" t="str">
        <f t="shared" si="21"/>
        <v>September</v>
      </c>
    </row>
    <row r="679" spans="1:11" x14ac:dyDescent="0.35">
      <c r="A679" s="1">
        <v>44078</v>
      </c>
      <c r="B679">
        <v>24.9</v>
      </c>
      <c r="C679">
        <v>21</v>
      </c>
      <c r="D679">
        <v>29.2</v>
      </c>
      <c r="E679">
        <v>9.6999999999999993</v>
      </c>
      <c r="F679" t="str">
        <f>IF(OR(B679&lt;outliers!$B$7,B679&gt;outliers!$B$6),"Outlier","Normal")</f>
        <v>Normal</v>
      </c>
      <c r="G679" t="str">
        <f>IF(OR(C679&lt;outliers!$B$14,C679&gt;outliers!$B$13),"Outlier","Normal")</f>
        <v>Normal</v>
      </c>
      <c r="H679" t="str">
        <f>IF(OR(D679&lt;outliers!$B$21,D679&gt;outliers!$B$20),"Outlier","Normal")</f>
        <v>Normal</v>
      </c>
      <c r="I679" t="str">
        <f>IF(OR(E679&lt;outliers!$C$28,E679&gt;outliers!$B$27),"Outlier","Normal")</f>
        <v>Normal</v>
      </c>
      <c r="J679">
        <f t="shared" si="22"/>
        <v>2020</v>
      </c>
      <c r="K679" t="str">
        <f t="shared" si="21"/>
        <v>September</v>
      </c>
    </row>
    <row r="680" spans="1:11" x14ac:dyDescent="0.35">
      <c r="A680" s="1">
        <v>44079</v>
      </c>
      <c r="B680">
        <v>24.8</v>
      </c>
      <c r="C680">
        <v>22.3</v>
      </c>
      <c r="D680">
        <v>29.2</v>
      </c>
      <c r="E680">
        <v>0</v>
      </c>
      <c r="F680" t="str">
        <f>IF(OR(B680&lt;outliers!$B$7,B680&gt;outliers!$B$6),"Outlier","Normal")</f>
        <v>Normal</v>
      </c>
      <c r="G680" t="str">
        <f>IF(OR(C680&lt;outliers!$B$14,C680&gt;outliers!$B$13),"Outlier","Normal")</f>
        <v>Normal</v>
      </c>
      <c r="H680" t="str">
        <f>IF(OR(D680&lt;outliers!$B$21,D680&gt;outliers!$B$20),"Outlier","Normal")</f>
        <v>Normal</v>
      </c>
      <c r="I680" t="str">
        <f>IF(OR(E680&lt;outliers!$C$28,E680&gt;outliers!$B$27),"Outlier","Normal")</f>
        <v>Normal</v>
      </c>
      <c r="J680">
        <f t="shared" si="22"/>
        <v>2020</v>
      </c>
      <c r="K680" t="str">
        <f t="shared" si="21"/>
        <v>September</v>
      </c>
    </row>
    <row r="681" spans="1:11" x14ac:dyDescent="0.35">
      <c r="A681" s="1">
        <v>44080</v>
      </c>
      <c r="B681">
        <v>25.5</v>
      </c>
      <c r="C681">
        <v>22.2</v>
      </c>
      <c r="D681">
        <v>29.6</v>
      </c>
      <c r="E681">
        <v>0</v>
      </c>
      <c r="F681" t="str">
        <f>IF(OR(B681&lt;outliers!$B$7,B681&gt;outliers!$B$6),"Outlier","Normal")</f>
        <v>Normal</v>
      </c>
      <c r="G681" t="str">
        <f>IF(OR(C681&lt;outliers!$B$14,C681&gt;outliers!$B$13),"Outlier","Normal")</f>
        <v>Normal</v>
      </c>
      <c r="H681" t="str">
        <f>IF(OR(D681&lt;outliers!$B$21,D681&gt;outliers!$B$20),"Outlier","Normal")</f>
        <v>Normal</v>
      </c>
      <c r="I681" t="str">
        <f>IF(OR(E681&lt;outliers!$C$28,E681&gt;outliers!$B$27),"Outlier","Normal")</f>
        <v>Normal</v>
      </c>
      <c r="J681">
        <f t="shared" si="22"/>
        <v>2020</v>
      </c>
      <c r="K681" t="str">
        <f t="shared" si="21"/>
        <v>September</v>
      </c>
    </row>
    <row r="682" spans="1:11" x14ac:dyDescent="0.35">
      <c r="A682" s="1">
        <v>44081</v>
      </c>
      <c r="B682">
        <v>24.4</v>
      </c>
      <c r="C682">
        <v>20.5</v>
      </c>
      <c r="D682">
        <v>30.5</v>
      </c>
      <c r="E682">
        <v>0</v>
      </c>
      <c r="F682" t="str">
        <f>IF(OR(B682&lt;outliers!$B$7,B682&gt;outliers!$B$6),"Outlier","Normal")</f>
        <v>Normal</v>
      </c>
      <c r="G682" t="str">
        <f>IF(OR(C682&lt;outliers!$B$14,C682&gt;outliers!$B$13),"Outlier","Normal")</f>
        <v>Normal</v>
      </c>
      <c r="H682" t="str">
        <f>IF(OR(D682&lt;outliers!$B$21,D682&gt;outliers!$B$20),"Outlier","Normal")</f>
        <v>Normal</v>
      </c>
      <c r="I682" t="str">
        <f>IF(OR(E682&lt;outliers!$C$28,E682&gt;outliers!$B$27),"Outlier","Normal")</f>
        <v>Normal</v>
      </c>
      <c r="J682">
        <f t="shared" si="22"/>
        <v>2020</v>
      </c>
      <c r="K682" t="str">
        <f t="shared" si="21"/>
        <v>September</v>
      </c>
    </row>
    <row r="683" spans="1:11" x14ac:dyDescent="0.35">
      <c r="A683" s="1">
        <v>44082</v>
      </c>
      <c r="B683">
        <v>24.4</v>
      </c>
      <c r="C683">
        <v>21.2</v>
      </c>
      <c r="D683">
        <v>29.8</v>
      </c>
      <c r="E683">
        <v>2</v>
      </c>
      <c r="F683" t="str">
        <f>IF(OR(B683&lt;outliers!$B$7,B683&gt;outliers!$B$6),"Outlier","Normal")</f>
        <v>Normal</v>
      </c>
      <c r="G683" t="str">
        <f>IF(OR(C683&lt;outliers!$B$14,C683&gt;outliers!$B$13),"Outlier","Normal")</f>
        <v>Normal</v>
      </c>
      <c r="H683" t="str">
        <f>IF(OR(D683&lt;outliers!$B$21,D683&gt;outliers!$B$20),"Outlier","Normal")</f>
        <v>Normal</v>
      </c>
      <c r="I683" t="str">
        <f>IF(OR(E683&lt;outliers!$C$28,E683&gt;outliers!$B$27),"Outlier","Normal")</f>
        <v>Normal</v>
      </c>
      <c r="J683">
        <f t="shared" si="22"/>
        <v>2020</v>
      </c>
      <c r="K683" t="str">
        <f t="shared" si="21"/>
        <v>September</v>
      </c>
    </row>
    <row r="684" spans="1:11" hidden="1" x14ac:dyDescent="0.35">
      <c r="A684" s="1">
        <v>44083</v>
      </c>
      <c r="B684">
        <v>23.9</v>
      </c>
      <c r="C684">
        <v>19.399999999999999</v>
      </c>
      <c r="D684">
        <v>30.2</v>
      </c>
      <c r="E684">
        <v>61</v>
      </c>
      <c r="F684" t="str">
        <f>IF(OR(B684&lt;outliers!$B$7,B684&gt;outliers!$B$6),"Outlier","Normal")</f>
        <v>Normal</v>
      </c>
      <c r="G684" t="str">
        <f>IF(OR(C684&lt;outliers!$B$14,C684&gt;outliers!$B$13),"Outlier","Normal")</f>
        <v>Normal</v>
      </c>
      <c r="H684" t="str">
        <f>IF(OR(D684&lt;outliers!$B$21,D684&gt;outliers!$B$20),"Outlier","Normal")</f>
        <v>Normal</v>
      </c>
      <c r="I684" t="str">
        <f>IF(OR(E684&lt;outliers!$C$28,E684&gt;outliers!$B$27),"Outlier","Normal")</f>
        <v>Outlier</v>
      </c>
      <c r="J684">
        <f t="shared" si="22"/>
        <v>2020</v>
      </c>
      <c r="K684" t="str">
        <f t="shared" si="21"/>
        <v>September</v>
      </c>
    </row>
    <row r="685" spans="1:11" hidden="1" x14ac:dyDescent="0.35">
      <c r="A685" s="1">
        <v>44084</v>
      </c>
      <c r="B685">
        <v>22.7</v>
      </c>
      <c r="C685">
        <v>19.2</v>
      </c>
      <c r="D685">
        <v>30.6</v>
      </c>
      <c r="E685">
        <v>65</v>
      </c>
      <c r="F685" t="str">
        <f>IF(OR(B685&lt;outliers!$B$7,B685&gt;outliers!$B$6),"Outlier","Normal")</f>
        <v>Normal</v>
      </c>
      <c r="G685" t="str">
        <f>IF(OR(C685&lt;outliers!$B$14,C685&gt;outliers!$B$13),"Outlier","Normal")</f>
        <v>Normal</v>
      </c>
      <c r="H685" t="str">
        <f>IF(OR(D685&lt;outliers!$B$21,D685&gt;outliers!$B$20),"Outlier","Normal")</f>
        <v>Normal</v>
      </c>
      <c r="I685" t="str">
        <f>IF(OR(E685&lt;outliers!$C$28,E685&gt;outliers!$B$27),"Outlier","Normal")</f>
        <v>Outlier</v>
      </c>
      <c r="J685">
        <f t="shared" si="22"/>
        <v>2020</v>
      </c>
      <c r="K685" t="str">
        <f t="shared" si="21"/>
        <v>September</v>
      </c>
    </row>
    <row r="686" spans="1:11" x14ac:dyDescent="0.35">
      <c r="A686" s="1">
        <v>44085</v>
      </c>
      <c r="B686">
        <v>22.1</v>
      </c>
      <c r="C686">
        <v>19.899999999999999</v>
      </c>
      <c r="D686">
        <v>27.6</v>
      </c>
      <c r="E686">
        <v>0</v>
      </c>
      <c r="F686" t="str">
        <f>IF(OR(B686&lt;outliers!$B$7,B686&gt;outliers!$B$6),"Outlier","Normal")</f>
        <v>Normal</v>
      </c>
      <c r="G686" t="str">
        <f>IF(OR(C686&lt;outliers!$B$14,C686&gt;outliers!$B$13),"Outlier","Normal")</f>
        <v>Normal</v>
      </c>
      <c r="H686" t="str">
        <f>IF(OR(D686&lt;outliers!$B$21,D686&gt;outliers!$B$20),"Outlier","Normal")</f>
        <v>Normal</v>
      </c>
      <c r="I686" t="str">
        <f>IF(OR(E686&lt;outliers!$C$28,E686&gt;outliers!$B$27),"Outlier","Normal")</f>
        <v>Normal</v>
      </c>
      <c r="J686">
        <f t="shared" si="22"/>
        <v>2020</v>
      </c>
      <c r="K686" t="str">
        <f t="shared" si="21"/>
        <v>September</v>
      </c>
    </row>
    <row r="687" spans="1:11" x14ac:dyDescent="0.35">
      <c r="A687" s="1">
        <v>44086</v>
      </c>
      <c r="B687">
        <v>21.5</v>
      </c>
      <c r="C687">
        <v>18.7</v>
      </c>
      <c r="D687">
        <v>25.8</v>
      </c>
      <c r="E687">
        <v>1.3</v>
      </c>
      <c r="F687" t="str">
        <f>IF(OR(B687&lt;outliers!$B$7,B687&gt;outliers!$B$6),"Outlier","Normal")</f>
        <v>Normal</v>
      </c>
      <c r="G687" t="str">
        <f>IF(OR(C687&lt;outliers!$B$14,C687&gt;outliers!$B$13),"Outlier","Normal")</f>
        <v>Normal</v>
      </c>
      <c r="H687" t="str">
        <f>IF(OR(D687&lt;outliers!$B$21,D687&gt;outliers!$B$20),"Outlier","Normal")</f>
        <v>Normal</v>
      </c>
      <c r="I687" t="str">
        <f>IF(OR(E687&lt;outliers!$C$28,E687&gt;outliers!$B$27),"Outlier","Normal")</f>
        <v>Normal</v>
      </c>
      <c r="J687">
        <f t="shared" si="22"/>
        <v>2020</v>
      </c>
      <c r="K687" t="str">
        <f t="shared" si="21"/>
        <v>September</v>
      </c>
    </row>
    <row r="688" spans="1:11" hidden="1" x14ac:dyDescent="0.35">
      <c r="A688" s="1">
        <v>44087</v>
      </c>
      <c r="B688">
        <v>21.6</v>
      </c>
      <c r="C688">
        <v>19.7</v>
      </c>
      <c r="D688">
        <v>25.5</v>
      </c>
      <c r="E688">
        <v>17.5</v>
      </c>
      <c r="F688" t="str">
        <f>IF(OR(B688&lt;outliers!$B$7,B688&gt;outliers!$B$6),"Outlier","Normal")</f>
        <v>Normal</v>
      </c>
      <c r="G688" t="str">
        <f>IF(OR(C688&lt;outliers!$B$14,C688&gt;outliers!$B$13),"Outlier","Normal")</f>
        <v>Normal</v>
      </c>
      <c r="H688" t="str">
        <f>IF(OR(D688&lt;outliers!$B$21,D688&gt;outliers!$B$20),"Outlier","Normal")</f>
        <v>Normal</v>
      </c>
      <c r="I688" t="str">
        <f>IF(OR(E688&lt;outliers!$C$28,E688&gt;outliers!$B$27),"Outlier","Normal")</f>
        <v>Outlier</v>
      </c>
      <c r="J688">
        <f t="shared" si="22"/>
        <v>2020</v>
      </c>
      <c r="K688" t="str">
        <f t="shared" si="21"/>
        <v>September</v>
      </c>
    </row>
    <row r="689" spans="1:11" x14ac:dyDescent="0.35">
      <c r="A689" s="1">
        <v>44088</v>
      </c>
      <c r="B689">
        <v>22.5</v>
      </c>
      <c r="C689">
        <v>20.399999999999999</v>
      </c>
      <c r="D689">
        <v>26.4</v>
      </c>
      <c r="E689">
        <v>1</v>
      </c>
      <c r="F689" t="str">
        <f>IF(OR(B689&lt;outliers!$B$7,B689&gt;outliers!$B$6),"Outlier","Normal")</f>
        <v>Normal</v>
      </c>
      <c r="G689" t="str">
        <f>IF(OR(C689&lt;outliers!$B$14,C689&gt;outliers!$B$13),"Outlier","Normal")</f>
        <v>Normal</v>
      </c>
      <c r="H689" t="str">
        <f>IF(OR(D689&lt;outliers!$B$21,D689&gt;outliers!$B$20),"Outlier","Normal")</f>
        <v>Normal</v>
      </c>
      <c r="I689" t="str">
        <f>IF(OR(E689&lt;outliers!$C$28,E689&gt;outliers!$B$27),"Outlier","Normal")</f>
        <v>Normal</v>
      </c>
      <c r="J689">
        <f t="shared" si="22"/>
        <v>2020</v>
      </c>
      <c r="K689" t="str">
        <f t="shared" si="21"/>
        <v>September</v>
      </c>
    </row>
    <row r="690" spans="1:11" x14ac:dyDescent="0.35">
      <c r="A690" s="1">
        <v>44089</v>
      </c>
      <c r="B690">
        <v>22.8</v>
      </c>
      <c r="C690">
        <v>20.2</v>
      </c>
      <c r="D690">
        <v>26.5</v>
      </c>
      <c r="E690">
        <v>0</v>
      </c>
      <c r="F690" t="str">
        <f>IF(OR(B690&lt;outliers!$B$7,B690&gt;outliers!$B$6),"Outlier","Normal")</f>
        <v>Normal</v>
      </c>
      <c r="G690" t="str">
        <f>IF(OR(C690&lt;outliers!$B$14,C690&gt;outliers!$B$13),"Outlier","Normal")</f>
        <v>Normal</v>
      </c>
      <c r="H690" t="str">
        <f>IF(OR(D690&lt;outliers!$B$21,D690&gt;outliers!$B$20),"Outlier","Normal")</f>
        <v>Normal</v>
      </c>
      <c r="I690" t="str">
        <f>IF(OR(E690&lt;outliers!$C$28,E690&gt;outliers!$B$27),"Outlier","Normal")</f>
        <v>Normal</v>
      </c>
      <c r="J690">
        <f t="shared" si="22"/>
        <v>2020</v>
      </c>
      <c r="K690" t="str">
        <f t="shared" si="21"/>
        <v>September</v>
      </c>
    </row>
    <row r="691" spans="1:11" x14ac:dyDescent="0.35">
      <c r="A691" s="1">
        <v>44090</v>
      </c>
      <c r="B691">
        <v>23.3</v>
      </c>
      <c r="C691">
        <v>20.2</v>
      </c>
      <c r="D691">
        <v>26.2</v>
      </c>
      <c r="E691">
        <v>0.3</v>
      </c>
      <c r="F691" t="str">
        <f>IF(OR(B691&lt;outliers!$B$7,B691&gt;outliers!$B$6),"Outlier","Normal")</f>
        <v>Normal</v>
      </c>
      <c r="G691" t="str">
        <f>IF(OR(C691&lt;outliers!$B$14,C691&gt;outliers!$B$13),"Outlier","Normal")</f>
        <v>Normal</v>
      </c>
      <c r="H691" t="str">
        <f>IF(OR(D691&lt;outliers!$B$21,D691&gt;outliers!$B$20),"Outlier","Normal")</f>
        <v>Normal</v>
      </c>
      <c r="I691" t="str">
        <f>IF(OR(E691&lt;outliers!$C$28,E691&gt;outliers!$B$27),"Outlier","Normal")</f>
        <v>Normal</v>
      </c>
      <c r="J691">
        <f t="shared" si="22"/>
        <v>2020</v>
      </c>
      <c r="K691" t="str">
        <f t="shared" si="21"/>
        <v>September</v>
      </c>
    </row>
    <row r="692" spans="1:11" x14ac:dyDescent="0.35">
      <c r="A692" s="1">
        <v>44091</v>
      </c>
      <c r="B692">
        <v>23.8</v>
      </c>
      <c r="C692">
        <v>21</v>
      </c>
      <c r="D692">
        <v>27</v>
      </c>
      <c r="E692">
        <v>0</v>
      </c>
      <c r="F692" t="str">
        <f>IF(OR(B692&lt;outliers!$B$7,B692&gt;outliers!$B$6),"Outlier","Normal")</f>
        <v>Normal</v>
      </c>
      <c r="G692" t="str">
        <f>IF(OR(C692&lt;outliers!$B$14,C692&gt;outliers!$B$13),"Outlier","Normal")</f>
        <v>Normal</v>
      </c>
      <c r="H692" t="str">
        <f>IF(OR(D692&lt;outliers!$B$21,D692&gt;outliers!$B$20),"Outlier","Normal")</f>
        <v>Normal</v>
      </c>
      <c r="I692" t="str">
        <f>IF(OR(E692&lt;outliers!$C$28,E692&gt;outliers!$B$27),"Outlier","Normal")</f>
        <v>Normal</v>
      </c>
      <c r="J692">
        <f t="shared" si="22"/>
        <v>2020</v>
      </c>
      <c r="K692" t="str">
        <f t="shared" si="21"/>
        <v>September</v>
      </c>
    </row>
    <row r="693" spans="1:11" x14ac:dyDescent="0.35">
      <c r="A693" s="1">
        <v>44092</v>
      </c>
      <c r="B693">
        <v>24</v>
      </c>
      <c r="C693">
        <v>19.8</v>
      </c>
      <c r="D693">
        <v>28.2</v>
      </c>
      <c r="E693">
        <v>0.3</v>
      </c>
      <c r="F693" t="str">
        <f>IF(OR(B693&lt;outliers!$B$7,B693&gt;outliers!$B$6),"Outlier","Normal")</f>
        <v>Normal</v>
      </c>
      <c r="G693" t="str">
        <f>IF(OR(C693&lt;outliers!$B$14,C693&gt;outliers!$B$13),"Outlier","Normal")</f>
        <v>Normal</v>
      </c>
      <c r="H693" t="str">
        <f>IF(OR(D693&lt;outliers!$B$21,D693&gt;outliers!$B$20),"Outlier","Normal")</f>
        <v>Normal</v>
      </c>
      <c r="I693" t="str">
        <f>IF(OR(E693&lt;outliers!$C$28,E693&gt;outliers!$B$27),"Outlier","Normal")</f>
        <v>Normal</v>
      </c>
      <c r="J693">
        <f t="shared" si="22"/>
        <v>2020</v>
      </c>
      <c r="K693" t="str">
        <f t="shared" si="21"/>
        <v>September</v>
      </c>
    </row>
    <row r="694" spans="1:11" x14ac:dyDescent="0.35">
      <c r="A694" s="1">
        <v>44093</v>
      </c>
      <c r="B694">
        <v>22.1</v>
      </c>
      <c r="C694">
        <v>19.3</v>
      </c>
      <c r="D694">
        <v>28.4</v>
      </c>
      <c r="E694">
        <v>0</v>
      </c>
      <c r="F694" t="str">
        <f>IF(OR(B694&lt;outliers!$B$7,B694&gt;outliers!$B$6),"Outlier","Normal")</f>
        <v>Normal</v>
      </c>
      <c r="G694" t="str">
        <f>IF(OR(C694&lt;outliers!$B$14,C694&gt;outliers!$B$13),"Outlier","Normal")</f>
        <v>Normal</v>
      </c>
      <c r="H694" t="str">
        <f>IF(OR(D694&lt;outliers!$B$21,D694&gt;outliers!$B$20),"Outlier","Normal")</f>
        <v>Normal</v>
      </c>
      <c r="I694" t="str">
        <f>IF(OR(E694&lt;outliers!$C$28,E694&gt;outliers!$B$27),"Outlier","Normal")</f>
        <v>Normal</v>
      </c>
      <c r="J694">
        <f t="shared" si="22"/>
        <v>2020</v>
      </c>
      <c r="K694" t="str">
        <f t="shared" si="21"/>
        <v>September</v>
      </c>
    </row>
    <row r="695" spans="1:11" hidden="1" x14ac:dyDescent="0.35">
      <c r="A695" s="1">
        <v>44094</v>
      </c>
      <c r="B695">
        <v>20.399999999999999</v>
      </c>
      <c r="C695">
        <v>18.600000000000001</v>
      </c>
      <c r="D695">
        <v>25.8</v>
      </c>
      <c r="E695">
        <v>20.8</v>
      </c>
      <c r="F695" t="str">
        <f>IF(OR(B695&lt;outliers!$B$7,B695&gt;outliers!$B$6),"Outlier","Normal")</f>
        <v>Normal</v>
      </c>
      <c r="G695" t="str">
        <f>IF(OR(C695&lt;outliers!$B$14,C695&gt;outliers!$B$13),"Outlier","Normal")</f>
        <v>Normal</v>
      </c>
      <c r="H695" t="str">
        <f>IF(OR(D695&lt;outliers!$B$21,D695&gt;outliers!$B$20),"Outlier","Normal")</f>
        <v>Normal</v>
      </c>
      <c r="I695" t="str">
        <f>IF(OR(E695&lt;outliers!$C$28,E695&gt;outliers!$B$27),"Outlier","Normal")</f>
        <v>Outlier</v>
      </c>
      <c r="J695">
        <f t="shared" si="22"/>
        <v>2020</v>
      </c>
      <c r="K695" t="str">
        <f t="shared" si="21"/>
        <v>September</v>
      </c>
    </row>
    <row r="696" spans="1:11" hidden="1" x14ac:dyDescent="0.35">
      <c r="A696" s="1">
        <v>44095</v>
      </c>
      <c r="B696">
        <v>22.1</v>
      </c>
      <c r="C696">
        <v>19</v>
      </c>
      <c r="D696">
        <v>27.8</v>
      </c>
      <c r="E696">
        <v>11.4</v>
      </c>
      <c r="F696" t="str">
        <f>IF(OR(B696&lt;outliers!$B$7,B696&gt;outliers!$B$6),"Outlier","Normal")</f>
        <v>Normal</v>
      </c>
      <c r="G696" t="str">
        <f>IF(OR(C696&lt;outliers!$B$14,C696&gt;outliers!$B$13),"Outlier","Normal")</f>
        <v>Normal</v>
      </c>
      <c r="H696" t="str">
        <f>IF(OR(D696&lt;outliers!$B$21,D696&gt;outliers!$B$20),"Outlier","Normal")</f>
        <v>Normal</v>
      </c>
      <c r="I696" t="str">
        <f>IF(OR(E696&lt;outliers!$C$28,E696&gt;outliers!$B$27),"Outlier","Normal")</f>
        <v>Outlier</v>
      </c>
      <c r="J696">
        <f t="shared" si="22"/>
        <v>2020</v>
      </c>
      <c r="K696" t="str">
        <f t="shared" si="21"/>
        <v>September</v>
      </c>
    </row>
    <row r="697" spans="1:11" x14ac:dyDescent="0.35">
      <c r="A697" s="1">
        <v>44096</v>
      </c>
      <c r="B697">
        <v>21.7</v>
      </c>
      <c r="C697">
        <v>18.600000000000001</v>
      </c>
      <c r="D697">
        <v>26.6</v>
      </c>
      <c r="E697">
        <v>0</v>
      </c>
      <c r="F697" t="str">
        <f>IF(OR(B697&lt;outliers!$B$7,B697&gt;outliers!$B$6),"Outlier","Normal")</f>
        <v>Normal</v>
      </c>
      <c r="G697" t="str">
        <f>IF(OR(C697&lt;outliers!$B$14,C697&gt;outliers!$B$13),"Outlier","Normal")</f>
        <v>Normal</v>
      </c>
      <c r="H697" t="str">
        <f>IF(OR(D697&lt;outliers!$B$21,D697&gt;outliers!$B$20),"Outlier","Normal")</f>
        <v>Normal</v>
      </c>
      <c r="I697" t="str">
        <f>IF(OR(E697&lt;outliers!$C$28,E697&gt;outliers!$B$27),"Outlier","Normal")</f>
        <v>Normal</v>
      </c>
      <c r="J697">
        <f t="shared" si="22"/>
        <v>2020</v>
      </c>
      <c r="K697" t="str">
        <f t="shared" si="21"/>
        <v>September</v>
      </c>
    </row>
    <row r="698" spans="1:11" x14ac:dyDescent="0.35">
      <c r="A698" s="1">
        <v>44097</v>
      </c>
      <c r="B698">
        <v>22.8</v>
      </c>
      <c r="C698">
        <v>18.600000000000001</v>
      </c>
      <c r="D698">
        <v>27.8</v>
      </c>
      <c r="E698">
        <v>0</v>
      </c>
      <c r="F698" t="str">
        <f>IF(OR(B698&lt;outliers!$B$7,B698&gt;outliers!$B$6),"Outlier","Normal")</f>
        <v>Normal</v>
      </c>
      <c r="G698" t="str">
        <f>IF(OR(C698&lt;outliers!$B$14,C698&gt;outliers!$B$13),"Outlier","Normal")</f>
        <v>Normal</v>
      </c>
      <c r="H698" t="str">
        <f>IF(OR(D698&lt;outliers!$B$21,D698&gt;outliers!$B$20),"Outlier","Normal")</f>
        <v>Normal</v>
      </c>
      <c r="I698" t="str">
        <f>IF(OR(E698&lt;outliers!$C$28,E698&gt;outliers!$B$27),"Outlier","Normal")</f>
        <v>Normal</v>
      </c>
      <c r="J698">
        <f t="shared" si="22"/>
        <v>2020</v>
      </c>
      <c r="K698" t="str">
        <f t="shared" si="21"/>
        <v>September</v>
      </c>
    </row>
    <row r="699" spans="1:11" x14ac:dyDescent="0.35">
      <c r="A699" s="1">
        <v>44099</v>
      </c>
      <c r="B699">
        <v>24.3</v>
      </c>
      <c r="C699">
        <v>20.9</v>
      </c>
      <c r="D699">
        <v>29.8</v>
      </c>
      <c r="E699">
        <v>0.3</v>
      </c>
      <c r="F699" t="str">
        <f>IF(OR(B699&lt;outliers!$B$7,B699&gt;outliers!$B$6),"Outlier","Normal")</f>
        <v>Normal</v>
      </c>
      <c r="G699" t="str">
        <f>IF(OR(C699&lt;outliers!$B$14,C699&gt;outliers!$B$13),"Outlier","Normal")</f>
        <v>Normal</v>
      </c>
      <c r="H699" t="str">
        <f>IF(OR(D699&lt;outliers!$B$21,D699&gt;outliers!$B$20),"Outlier","Normal")</f>
        <v>Normal</v>
      </c>
      <c r="I699" t="str">
        <f>IF(OR(E699&lt;outliers!$C$28,E699&gt;outliers!$B$27),"Outlier","Normal")</f>
        <v>Normal</v>
      </c>
      <c r="J699">
        <f t="shared" si="22"/>
        <v>2020</v>
      </c>
      <c r="K699" t="str">
        <f t="shared" si="21"/>
        <v>September</v>
      </c>
    </row>
    <row r="700" spans="1:11" x14ac:dyDescent="0.35">
      <c r="A700" s="1">
        <v>44100</v>
      </c>
      <c r="B700">
        <v>22.8</v>
      </c>
      <c r="C700">
        <v>20.6</v>
      </c>
      <c r="D700">
        <v>29.6</v>
      </c>
      <c r="E700">
        <v>3</v>
      </c>
      <c r="F700" t="str">
        <f>IF(OR(B700&lt;outliers!$B$7,B700&gt;outliers!$B$6),"Outlier","Normal")</f>
        <v>Normal</v>
      </c>
      <c r="G700" t="str">
        <f>IF(OR(C700&lt;outliers!$B$14,C700&gt;outliers!$B$13),"Outlier","Normal")</f>
        <v>Normal</v>
      </c>
      <c r="H700" t="str">
        <f>IF(OR(D700&lt;outliers!$B$21,D700&gt;outliers!$B$20),"Outlier","Normal")</f>
        <v>Normal</v>
      </c>
      <c r="I700" t="str">
        <f>IF(OR(E700&lt;outliers!$C$28,E700&gt;outliers!$B$27),"Outlier","Normal")</f>
        <v>Normal</v>
      </c>
      <c r="J700">
        <f t="shared" si="22"/>
        <v>2020</v>
      </c>
      <c r="K700" t="str">
        <f t="shared" si="21"/>
        <v>September</v>
      </c>
    </row>
    <row r="701" spans="1:11" x14ac:dyDescent="0.35">
      <c r="A701" s="1">
        <v>44101</v>
      </c>
      <c r="B701">
        <v>23.3</v>
      </c>
      <c r="C701">
        <v>20.5</v>
      </c>
      <c r="D701">
        <v>27.8</v>
      </c>
      <c r="E701">
        <v>0</v>
      </c>
      <c r="F701" t="str">
        <f>IF(OR(B701&lt;outliers!$B$7,B701&gt;outliers!$B$6),"Outlier","Normal")</f>
        <v>Normal</v>
      </c>
      <c r="G701" t="str">
        <f>IF(OR(C701&lt;outliers!$B$14,C701&gt;outliers!$B$13),"Outlier","Normal")</f>
        <v>Normal</v>
      </c>
      <c r="H701" t="str">
        <f>IF(OR(D701&lt;outliers!$B$21,D701&gt;outliers!$B$20),"Outlier","Normal")</f>
        <v>Normal</v>
      </c>
      <c r="I701" t="str">
        <f>IF(OR(E701&lt;outliers!$C$28,E701&gt;outliers!$B$27),"Outlier","Normal")</f>
        <v>Normal</v>
      </c>
      <c r="J701">
        <f t="shared" si="22"/>
        <v>2020</v>
      </c>
      <c r="K701" t="str">
        <f t="shared" si="21"/>
        <v>September</v>
      </c>
    </row>
    <row r="702" spans="1:11" x14ac:dyDescent="0.35">
      <c r="A702" s="1">
        <v>44102</v>
      </c>
      <c r="B702">
        <v>24.1</v>
      </c>
      <c r="C702">
        <v>20.6</v>
      </c>
      <c r="D702">
        <v>27</v>
      </c>
      <c r="E702">
        <v>0</v>
      </c>
      <c r="F702" t="str">
        <f>IF(OR(B702&lt;outliers!$B$7,B702&gt;outliers!$B$6),"Outlier","Normal")</f>
        <v>Normal</v>
      </c>
      <c r="G702" t="str">
        <f>IF(OR(C702&lt;outliers!$B$14,C702&gt;outliers!$B$13),"Outlier","Normal")</f>
        <v>Normal</v>
      </c>
      <c r="H702" t="str">
        <f>IF(OR(D702&lt;outliers!$B$21,D702&gt;outliers!$B$20),"Outlier","Normal")</f>
        <v>Normal</v>
      </c>
      <c r="I702" t="str">
        <f>IF(OR(E702&lt;outliers!$C$28,E702&gt;outliers!$B$27),"Outlier","Normal")</f>
        <v>Normal</v>
      </c>
      <c r="J702">
        <f t="shared" si="22"/>
        <v>2020</v>
      </c>
      <c r="K702" t="str">
        <f t="shared" si="21"/>
        <v>September</v>
      </c>
    </row>
    <row r="703" spans="1:11" x14ac:dyDescent="0.35">
      <c r="A703" s="1">
        <v>44103</v>
      </c>
      <c r="B703">
        <v>22.4</v>
      </c>
      <c r="C703">
        <v>19.8</v>
      </c>
      <c r="D703">
        <v>28.1</v>
      </c>
      <c r="E703">
        <v>0</v>
      </c>
      <c r="F703" t="str">
        <f>IF(OR(B703&lt;outliers!$B$7,B703&gt;outliers!$B$6),"Outlier","Normal")</f>
        <v>Normal</v>
      </c>
      <c r="G703" t="str">
        <f>IF(OR(C703&lt;outliers!$B$14,C703&gt;outliers!$B$13),"Outlier","Normal")</f>
        <v>Normal</v>
      </c>
      <c r="H703" t="str">
        <f>IF(OR(D703&lt;outliers!$B$21,D703&gt;outliers!$B$20),"Outlier","Normal")</f>
        <v>Normal</v>
      </c>
      <c r="I703" t="str">
        <f>IF(OR(E703&lt;outliers!$C$28,E703&gt;outliers!$B$27),"Outlier","Normal")</f>
        <v>Normal</v>
      </c>
      <c r="J703">
        <f t="shared" si="22"/>
        <v>2020</v>
      </c>
      <c r="K703" t="str">
        <f t="shared" si="21"/>
        <v>September</v>
      </c>
    </row>
    <row r="704" spans="1:11" hidden="1" x14ac:dyDescent="0.35">
      <c r="A704" s="1">
        <v>44104</v>
      </c>
      <c r="B704">
        <v>22.3</v>
      </c>
      <c r="C704">
        <v>19</v>
      </c>
      <c r="D704">
        <v>27.8</v>
      </c>
      <c r="E704">
        <v>54.4</v>
      </c>
      <c r="F704" t="str">
        <f>IF(OR(B704&lt;outliers!$B$7,B704&gt;outliers!$B$6),"Outlier","Normal")</f>
        <v>Normal</v>
      </c>
      <c r="G704" t="str">
        <f>IF(OR(C704&lt;outliers!$B$14,C704&gt;outliers!$B$13),"Outlier","Normal")</f>
        <v>Normal</v>
      </c>
      <c r="H704" t="str">
        <f>IF(OR(D704&lt;outliers!$B$21,D704&gt;outliers!$B$20),"Outlier","Normal")</f>
        <v>Normal</v>
      </c>
      <c r="I704" t="str">
        <f>IF(OR(E704&lt;outliers!$C$28,E704&gt;outliers!$B$27),"Outlier","Normal")</f>
        <v>Outlier</v>
      </c>
      <c r="J704">
        <f t="shared" si="22"/>
        <v>2020</v>
      </c>
      <c r="K704" t="str">
        <f t="shared" si="21"/>
        <v>September</v>
      </c>
    </row>
    <row r="705" spans="1:11" x14ac:dyDescent="0.35">
      <c r="A705" s="1">
        <v>44105</v>
      </c>
      <c r="B705">
        <v>23.5</v>
      </c>
      <c r="C705">
        <v>19.5</v>
      </c>
      <c r="D705">
        <v>27.1</v>
      </c>
      <c r="E705">
        <v>0</v>
      </c>
      <c r="F705" t="str">
        <f>IF(OR(B705&lt;outliers!$B$7,B705&gt;outliers!$B$6),"Outlier","Normal")</f>
        <v>Normal</v>
      </c>
      <c r="G705" t="str">
        <f>IF(OR(C705&lt;outliers!$B$14,C705&gt;outliers!$B$13),"Outlier","Normal")</f>
        <v>Normal</v>
      </c>
      <c r="H705" t="str">
        <f>IF(OR(D705&lt;outliers!$B$21,D705&gt;outliers!$B$20),"Outlier","Normal")</f>
        <v>Normal</v>
      </c>
      <c r="I705" t="str">
        <f>IF(OR(E705&lt;outliers!$C$28,E705&gt;outliers!$B$27),"Outlier","Normal")</f>
        <v>Normal</v>
      </c>
      <c r="J705">
        <f t="shared" si="22"/>
        <v>2020</v>
      </c>
      <c r="K705" t="str">
        <f t="shared" si="21"/>
        <v>September</v>
      </c>
    </row>
    <row r="706" spans="1:11" x14ac:dyDescent="0.35">
      <c r="A706" s="1">
        <v>44106</v>
      </c>
      <c r="B706">
        <v>24.7</v>
      </c>
      <c r="C706">
        <v>21</v>
      </c>
      <c r="D706">
        <v>28.5</v>
      </c>
      <c r="E706">
        <v>0</v>
      </c>
      <c r="F706" t="str">
        <f>IF(OR(B706&lt;outliers!$B$7,B706&gt;outliers!$B$6),"Outlier","Normal")</f>
        <v>Normal</v>
      </c>
      <c r="G706" t="str">
        <f>IF(OR(C706&lt;outliers!$B$14,C706&gt;outliers!$B$13),"Outlier","Normal")</f>
        <v>Normal</v>
      </c>
      <c r="H706" t="str">
        <f>IF(OR(D706&lt;outliers!$B$21,D706&gt;outliers!$B$20),"Outlier","Normal")</f>
        <v>Normal</v>
      </c>
      <c r="I706" t="str">
        <f>IF(OR(E706&lt;outliers!$C$28,E706&gt;outliers!$B$27),"Outlier","Normal")</f>
        <v>Normal</v>
      </c>
      <c r="J706">
        <f t="shared" si="22"/>
        <v>2020</v>
      </c>
      <c r="K706" t="str">
        <f t="shared" ref="K706:K769" si="23">TEXT(A705,"mmmm")</f>
        <v>October</v>
      </c>
    </row>
    <row r="707" spans="1:11" x14ac:dyDescent="0.35">
      <c r="A707" s="1">
        <v>44107</v>
      </c>
      <c r="B707">
        <v>23.5</v>
      </c>
      <c r="C707">
        <v>19.600000000000001</v>
      </c>
      <c r="D707">
        <v>29.6</v>
      </c>
      <c r="E707">
        <v>0.5</v>
      </c>
      <c r="F707" t="str">
        <f>IF(OR(B707&lt;outliers!$B$7,B707&gt;outliers!$B$6),"Outlier","Normal")</f>
        <v>Normal</v>
      </c>
      <c r="G707" t="str">
        <f>IF(OR(C707&lt;outliers!$B$14,C707&gt;outliers!$B$13),"Outlier","Normal")</f>
        <v>Normal</v>
      </c>
      <c r="H707" t="str">
        <f>IF(OR(D707&lt;outliers!$B$21,D707&gt;outliers!$B$20),"Outlier","Normal")</f>
        <v>Normal</v>
      </c>
      <c r="I707" t="str">
        <f>IF(OR(E707&lt;outliers!$C$28,E707&gt;outliers!$B$27),"Outlier","Normal")</f>
        <v>Normal</v>
      </c>
      <c r="J707">
        <f t="shared" si="22"/>
        <v>2020</v>
      </c>
      <c r="K707" t="str">
        <f t="shared" si="23"/>
        <v>October</v>
      </c>
    </row>
    <row r="708" spans="1:11" x14ac:dyDescent="0.35">
      <c r="A708" s="1">
        <v>44108</v>
      </c>
      <c r="B708">
        <v>22.5</v>
      </c>
      <c r="C708">
        <v>20</v>
      </c>
      <c r="D708">
        <v>28.4</v>
      </c>
      <c r="E708">
        <v>0</v>
      </c>
      <c r="F708" t="str">
        <f>IF(OR(B708&lt;outliers!$B$7,B708&gt;outliers!$B$6),"Outlier","Normal")</f>
        <v>Normal</v>
      </c>
      <c r="G708" t="str">
        <f>IF(OR(C708&lt;outliers!$B$14,C708&gt;outliers!$B$13),"Outlier","Normal")</f>
        <v>Normal</v>
      </c>
      <c r="H708" t="str">
        <f>IF(OR(D708&lt;outliers!$B$21,D708&gt;outliers!$B$20),"Outlier","Normal")</f>
        <v>Normal</v>
      </c>
      <c r="I708" t="str">
        <f>IF(OR(E708&lt;outliers!$C$28,E708&gt;outliers!$B$27),"Outlier","Normal")</f>
        <v>Normal</v>
      </c>
      <c r="J708">
        <f t="shared" si="22"/>
        <v>2020</v>
      </c>
      <c r="K708" t="str">
        <f t="shared" si="23"/>
        <v>October</v>
      </c>
    </row>
    <row r="709" spans="1:11" x14ac:dyDescent="0.35">
      <c r="A709" s="1">
        <v>44109</v>
      </c>
      <c r="B709">
        <v>23.6</v>
      </c>
      <c r="C709">
        <v>19</v>
      </c>
      <c r="D709">
        <v>28.8</v>
      </c>
      <c r="E709">
        <v>0.3</v>
      </c>
      <c r="F709" t="str">
        <f>IF(OR(B709&lt;outliers!$B$7,B709&gt;outliers!$B$6),"Outlier","Normal")</f>
        <v>Normal</v>
      </c>
      <c r="G709" t="str">
        <f>IF(OR(C709&lt;outliers!$B$14,C709&gt;outliers!$B$13),"Outlier","Normal")</f>
        <v>Normal</v>
      </c>
      <c r="H709" t="str">
        <f>IF(OR(D709&lt;outliers!$B$21,D709&gt;outliers!$B$20),"Outlier","Normal")</f>
        <v>Normal</v>
      </c>
      <c r="I709" t="str">
        <f>IF(OR(E709&lt;outliers!$C$28,E709&gt;outliers!$B$27),"Outlier","Normal")</f>
        <v>Normal</v>
      </c>
      <c r="J709">
        <f t="shared" si="22"/>
        <v>2020</v>
      </c>
      <c r="K709" t="str">
        <f t="shared" si="23"/>
        <v>October</v>
      </c>
    </row>
    <row r="710" spans="1:11" x14ac:dyDescent="0.35">
      <c r="A710" s="1">
        <v>44110</v>
      </c>
      <c r="B710">
        <v>25.1</v>
      </c>
      <c r="C710">
        <v>20.2</v>
      </c>
      <c r="D710">
        <v>30.8</v>
      </c>
      <c r="E710">
        <v>0</v>
      </c>
      <c r="F710" t="str">
        <f>IF(OR(B710&lt;outliers!$B$7,B710&gt;outliers!$B$6),"Outlier","Normal")</f>
        <v>Normal</v>
      </c>
      <c r="G710" t="str">
        <f>IF(OR(C710&lt;outliers!$B$14,C710&gt;outliers!$B$13),"Outlier","Normal")</f>
        <v>Normal</v>
      </c>
      <c r="H710" t="str">
        <f>IF(OR(D710&lt;outliers!$B$21,D710&gt;outliers!$B$20),"Outlier","Normal")</f>
        <v>Normal</v>
      </c>
      <c r="I710" t="str">
        <f>IF(OR(E710&lt;outliers!$C$28,E710&gt;outliers!$B$27),"Outlier","Normal")</f>
        <v>Normal</v>
      </c>
      <c r="J710">
        <f t="shared" si="22"/>
        <v>2020</v>
      </c>
      <c r="K710" t="str">
        <f t="shared" si="23"/>
        <v>October</v>
      </c>
    </row>
    <row r="711" spans="1:11" x14ac:dyDescent="0.35">
      <c r="A711" s="1">
        <v>44113</v>
      </c>
      <c r="B711">
        <v>23.7</v>
      </c>
      <c r="C711">
        <v>20.399999999999999</v>
      </c>
      <c r="D711">
        <v>31.2</v>
      </c>
      <c r="E711">
        <v>0</v>
      </c>
      <c r="F711" t="str">
        <f>IF(OR(B711&lt;outliers!$B$7,B711&gt;outliers!$B$6),"Outlier","Normal")</f>
        <v>Normal</v>
      </c>
      <c r="G711" t="str">
        <f>IF(OR(C711&lt;outliers!$B$14,C711&gt;outliers!$B$13),"Outlier","Normal")</f>
        <v>Normal</v>
      </c>
      <c r="H711" t="str">
        <f>IF(OR(D711&lt;outliers!$B$21,D711&gt;outliers!$B$20),"Outlier","Normal")</f>
        <v>Normal</v>
      </c>
      <c r="I711" t="str">
        <f>IF(OR(E711&lt;outliers!$C$28,E711&gt;outliers!$B$27),"Outlier","Normal")</f>
        <v>Normal</v>
      </c>
      <c r="J711">
        <f t="shared" si="22"/>
        <v>2020</v>
      </c>
      <c r="K711" t="str">
        <f t="shared" si="23"/>
        <v>October</v>
      </c>
    </row>
    <row r="712" spans="1:11" hidden="1" x14ac:dyDescent="0.35">
      <c r="A712" s="1">
        <v>44114</v>
      </c>
      <c r="B712">
        <v>23.1</v>
      </c>
      <c r="C712">
        <v>18.600000000000001</v>
      </c>
      <c r="D712">
        <v>30</v>
      </c>
      <c r="E712">
        <v>23.6</v>
      </c>
      <c r="F712" t="str">
        <f>IF(OR(B712&lt;outliers!$B$7,B712&gt;outliers!$B$6),"Outlier","Normal")</f>
        <v>Normal</v>
      </c>
      <c r="G712" t="str">
        <f>IF(OR(C712&lt;outliers!$B$14,C712&gt;outliers!$B$13),"Outlier","Normal")</f>
        <v>Normal</v>
      </c>
      <c r="H712" t="str">
        <f>IF(OR(D712&lt;outliers!$B$21,D712&gt;outliers!$B$20),"Outlier","Normal")</f>
        <v>Normal</v>
      </c>
      <c r="I712" t="str">
        <f>IF(OR(E712&lt;outliers!$C$28,E712&gt;outliers!$B$27),"Outlier","Normal")</f>
        <v>Outlier</v>
      </c>
      <c r="J712">
        <f t="shared" si="22"/>
        <v>2020</v>
      </c>
      <c r="K712" t="str">
        <f t="shared" si="23"/>
        <v>October</v>
      </c>
    </row>
    <row r="713" spans="1:11" hidden="1" x14ac:dyDescent="0.35">
      <c r="A713" s="1">
        <v>44115</v>
      </c>
      <c r="B713">
        <v>21.7</v>
      </c>
      <c r="C713">
        <v>19.2</v>
      </c>
      <c r="D713">
        <v>28.2</v>
      </c>
      <c r="E713">
        <v>51.1</v>
      </c>
      <c r="F713" t="str">
        <f>IF(OR(B713&lt;outliers!$B$7,B713&gt;outliers!$B$6),"Outlier","Normal")</f>
        <v>Normal</v>
      </c>
      <c r="G713" t="str">
        <f>IF(OR(C713&lt;outliers!$B$14,C713&gt;outliers!$B$13),"Outlier","Normal")</f>
        <v>Normal</v>
      </c>
      <c r="H713" t="str">
        <f>IF(OR(D713&lt;outliers!$B$21,D713&gt;outliers!$B$20),"Outlier","Normal")</f>
        <v>Normal</v>
      </c>
      <c r="I713" t="str">
        <f>IF(OR(E713&lt;outliers!$C$28,E713&gt;outliers!$B$27),"Outlier","Normal")</f>
        <v>Outlier</v>
      </c>
      <c r="J713">
        <f t="shared" si="22"/>
        <v>2020</v>
      </c>
      <c r="K713" t="str">
        <f t="shared" si="23"/>
        <v>October</v>
      </c>
    </row>
    <row r="714" spans="1:11" x14ac:dyDescent="0.35">
      <c r="A714" s="1">
        <v>44116</v>
      </c>
      <c r="B714">
        <v>21.8</v>
      </c>
      <c r="C714">
        <v>20</v>
      </c>
      <c r="D714">
        <v>25.6</v>
      </c>
      <c r="E714">
        <v>3</v>
      </c>
      <c r="F714" t="str">
        <f>IF(OR(B714&lt;outliers!$B$7,B714&gt;outliers!$B$6),"Outlier","Normal")</f>
        <v>Normal</v>
      </c>
      <c r="G714" t="str">
        <f>IF(OR(C714&lt;outliers!$B$14,C714&gt;outliers!$B$13),"Outlier","Normal")</f>
        <v>Normal</v>
      </c>
      <c r="H714" t="str">
        <f>IF(OR(D714&lt;outliers!$B$21,D714&gt;outliers!$B$20),"Outlier","Normal")</f>
        <v>Normal</v>
      </c>
      <c r="I714" t="str">
        <f>IF(OR(E714&lt;outliers!$C$28,E714&gt;outliers!$B$27),"Outlier","Normal")</f>
        <v>Normal</v>
      </c>
      <c r="J714">
        <f t="shared" si="22"/>
        <v>2020</v>
      </c>
      <c r="K714" t="str">
        <f t="shared" si="23"/>
        <v>October</v>
      </c>
    </row>
    <row r="715" spans="1:11" x14ac:dyDescent="0.35">
      <c r="A715" s="1">
        <v>44117</v>
      </c>
      <c r="B715">
        <v>21.2</v>
      </c>
      <c r="C715">
        <v>19.8</v>
      </c>
      <c r="D715">
        <v>25.4</v>
      </c>
      <c r="E715">
        <v>5.0999999999999996</v>
      </c>
      <c r="F715" t="str">
        <f>IF(OR(B715&lt;outliers!$B$7,B715&gt;outliers!$B$6),"Outlier","Normal")</f>
        <v>Normal</v>
      </c>
      <c r="G715" t="str">
        <f>IF(OR(C715&lt;outliers!$B$14,C715&gt;outliers!$B$13),"Outlier","Normal")</f>
        <v>Normal</v>
      </c>
      <c r="H715" t="str">
        <f>IF(OR(D715&lt;outliers!$B$21,D715&gt;outliers!$B$20),"Outlier","Normal")</f>
        <v>Normal</v>
      </c>
      <c r="I715" t="str">
        <f>IF(OR(E715&lt;outliers!$C$28,E715&gt;outliers!$B$27),"Outlier","Normal")</f>
        <v>Normal</v>
      </c>
      <c r="J715">
        <f t="shared" si="22"/>
        <v>2020</v>
      </c>
      <c r="K715" t="str">
        <f t="shared" si="23"/>
        <v>October</v>
      </c>
    </row>
    <row r="716" spans="1:11" x14ac:dyDescent="0.35">
      <c r="A716" s="1">
        <v>44118</v>
      </c>
      <c r="B716">
        <v>21.5</v>
      </c>
      <c r="C716">
        <v>19.8</v>
      </c>
      <c r="D716">
        <v>25.8</v>
      </c>
      <c r="E716">
        <v>0.5</v>
      </c>
      <c r="F716" t="str">
        <f>IF(OR(B716&lt;outliers!$B$7,B716&gt;outliers!$B$6),"Outlier","Normal")</f>
        <v>Normal</v>
      </c>
      <c r="G716" t="str">
        <f>IF(OR(C716&lt;outliers!$B$14,C716&gt;outliers!$B$13),"Outlier","Normal")</f>
        <v>Normal</v>
      </c>
      <c r="H716" t="str">
        <f>IF(OR(D716&lt;outliers!$B$21,D716&gt;outliers!$B$20),"Outlier","Normal")</f>
        <v>Normal</v>
      </c>
      <c r="I716" t="str">
        <f>IF(OR(E716&lt;outliers!$C$28,E716&gt;outliers!$B$27),"Outlier","Normal")</f>
        <v>Normal</v>
      </c>
      <c r="J716">
        <f t="shared" si="22"/>
        <v>2020</v>
      </c>
      <c r="K716" t="str">
        <f t="shared" si="23"/>
        <v>October</v>
      </c>
    </row>
    <row r="717" spans="1:11" x14ac:dyDescent="0.35">
      <c r="A717" s="1">
        <v>44119</v>
      </c>
      <c r="B717">
        <v>22.5</v>
      </c>
      <c r="C717">
        <v>19.2</v>
      </c>
      <c r="D717">
        <v>26.6</v>
      </c>
      <c r="E717">
        <v>0</v>
      </c>
      <c r="F717" t="str">
        <f>IF(OR(B717&lt;outliers!$B$7,B717&gt;outliers!$B$6),"Outlier","Normal")</f>
        <v>Normal</v>
      </c>
      <c r="G717" t="str">
        <f>IF(OR(C717&lt;outliers!$B$14,C717&gt;outliers!$B$13),"Outlier","Normal")</f>
        <v>Normal</v>
      </c>
      <c r="H717" t="str">
        <f>IF(OR(D717&lt;outliers!$B$21,D717&gt;outliers!$B$20),"Outlier","Normal")</f>
        <v>Normal</v>
      </c>
      <c r="I717" t="str">
        <f>IF(OR(E717&lt;outliers!$C$28,E717&gt;outliers!$B$27),"Outlier","Normal")</f>
        <v>Normal</v>
      </c>
      <c r="J717">
        <f t="shared" si="22"/>
        <v>2020</v>
      </c>
      <c r="K717" t="str">
        <f t="shared" si="23"/>
        <v>October</v>
      </c>
    </row>
    <row r="718" spans="1:11" x14ac:dyDescent="0.35">
      <c r="A718" s="1">
        <v>44120</v>
      </c>
      <c r="B718">
        <v>23.4</v>
      </c>
      <c r="C718">
        <v>17.600000000000001</v>
      </c>
      <c r="D718">
        <v>28.8</v>
      </c>
      <c r="E718">
        <v>0</v>
      </c>
      <c r="F718" t="str">
        <f>IF(OR(B718&lt;outliers!$B$7,B718&gt;outliers!$B$6),"Outlier","Normal")</f>
        <v>Normal</v>
      </c>
      <c r="G718" t="str">
        <f>IF(OR(C718&lt;outliers!$B$14,C718&gt;outliers!$B$13),"Outlier","Normal")</f>
        <v>Normal</v>
      </c>
      <c r="H718" t="str">
        <f>IF(OR(D718&lt;outliers!$B$21,D718&gt;outliers!$B$20),"Outlier","Normal")</f>
        <v>Normal</v>
      </c>
      <c r="I718" t="str">
        <f>IF(OR(E718&lt;outliers!$C$28,E718&gt;outliers!$B$27),"Outlier","Normal")</f>
        <v>Normal</v>
      </c>
      <c r="J718">
        <f t="shared" si="22"/>
        <v>2020</v>
      </c>
      <c r="K718" t="str">
        <f t="shared" si="23"/>
        <v>October</v>
      </c>
    </row>
    <row r="719" spans="1:11" x14ac:dyDescent="0.35">
      <c r="A719" s="1">
        <v>44122</v>
      </c>
      <c r="B719">
        <v>23.8</v>
      </c>
      <c r="C719">
        <v>20.8</v>
      </c>
      <c r="D719">
        <v>28</v>
      </c>
      <c r="E719">
        <v>0.3</v>
      </c>
      <c r="F719" t="str">
        <f>IF(OR(B719&lt;outliers!$B$7,B719&gt;outliers!$B$6),"Outlier","Normal")</f>
        <v>Normal</v>
      </c>
      <c r="G719" t="str">
        <f>IF(OR(C719&lt;outliers!$B$14,C719&gt;outliers!$B$13),"Outlier","Normal")</f>
        <v>Normal</v>
      </c>
      <c r="H719" t="str">
        <f>IF(OR(D719&lt;outliers!$B$21,D719&gt;outliers!$B$20),"Outlier","Normal")</f>
        <v>Normal</v>
      </c>
      <c r="I719" t="str">
        <f>IF(OR(E719&lt;outliers!$C$28,E719&gt;outliers!$B$27),"Outlier","Normal")</f>
        <v>Normal</v>
      </c>
      <c r="J719">
        <f t="shared" si="22"/>
        <v>2020</v>
      </c>
      <c r="K719" t="str">
        <f t="shared" si="23"/>
        <v>October</v>
      </c>
    </row>
    <row r="720" spans="1:11" x14ac:dyDescent="0.35">
      <c r="A720" s="1">
        <v>44123</v>
      </c>
      <c r="B720">
        <v>23.3</v>
      </c>
      <c r="C720">
        <v>21</v>
      </c>
      <c r="D720">
        <v>28</v>
      </c>
      <c r="E720">
        <v>1.8</v>
      </c>
      <c r="F720" t="str">
        <f>IF(OR(B720&lt;outliers!$B$7,B720&gt;outliers!$B$6),"Outlier","Normal")</f>
        <v>Normal</v>
      </c>
      <c r="G720" t="str">
        <f>IF(OR(C720&lt;outliers!$B$14,C720&gt;outliers!$B$13),"Outlier","Normal")</f>
        <v>Normal</v>
      </c>
      <c r="H720" t="str">
        <f>IF(OR(D720&lt;outliers!$B$21,D720&gt;outliers!$B$20),"Outlier","Normal")</f>
        <v>Normal</v>
      </c>
      <c r="I720" t="str">
        <f>IF(OR(E720&lt;outliers!$C$28,E720&gt;outliers!$B$27),"Outlier","Normal")</f>
        <v>Normal</v>
      </c>
      <c r="J720">
        <f t="shared" si="22"/>
        <v>2020</v>
      </c>
      <c r="K720" t="str">
        <f t="shared" si="23"/>
        <v>October</v>
      </c>
    </row>
    <row r="721" spans="1:11" x14ac:dyDescent="0.35">
      <c r="A721" s="1">
        <v>44124</v>
      </c>
      <c r="B721">
        <v>22.9</v>
      </c>
      <c r="C721">
        <v>20</v>
      </c>
      <c r="D721">
        <v>26.6</v>
      </c>
      <c r="E721">
        <v>3.8</v>
      </c>
      <c r="F721" t="str">
        <f>IF(OR(B721&lt;outliers!$B$7,B721&gt;outliers!$B$6),"Outlier","Normal")</f>
        <v>Normal</v>
      </c>
      <c r="G721" t="str">
        <f>IF(OR(C721&lt;outliers!$B$14,C721&gt;outliers!$B$13),"Outlier","Normal")</f>
        <v>Normal</v>
      </c>
      <c r="H721" t="str">
        <f>IF(OR(D721&lt;outliers!$B$21,D721&gt;outliers!$B$20),"Outlier","Normal")</f>
        <v>Normal</v>
      </c>
      <c r="I721" t="str">
        <f>IF(OR(E721&lt;outliers!$C$28,E721&gt;outliers!$B$27),"Outlier","Normal")</f>
        <v>Normal</v>
      </c>
      <c r="J721">
        <f t="shared" ref="J721:J784" si="24">YEAR(A721)</f>
        <v>2020</v>
      </c>
      <c r="K721" t="str">
        <f t="shared" si="23"/>
        <v>October</v>
      </c>
    </row>
    <row r="722" spans="1:11" hidden="1" x14ac:dyDescent="0.35">
      <c r="A722" s="1">
        <v>44125</v>
      </c>
      <c r="B722">
        <v>22.7</v>
      </c>
      <c r="C722">
        <v>20.399999999999999</v>
      </c>
      <c r="D722">
        <v>26.2</v>
      </c>
      <c r="E722">
        <v>67.099999999999994</v>
      </c>
      <c r="F722" t="str">
        <f>IF(OR(B722&lt;outliers!$B$7,B722&gt;outliers!$B$6),"Outlier","Normal")</f>
        <v>Normal</v>
      </c>
      <c r="G722" t="str">
        <f>IF(OR(C722&lt;outliers!$B$14,C722&gt;outliers!$B$13),"Outlier","Normal")</f>
        <v>Normal</v>
      </c>
      <c r="H722" t="str">
        <f>IF(OR(D722&lt;outliers!$B$21,D722&gt;outliers!$B$20),"Outlier","Normal")</f>
        <v>Normal</v>
      </c>
      <c r="I722" t="str">
        <f>IF(OR(E722&lt;outliers!$C$28,E722&gt;outliers!$B$27),"Outlier","Normal")</f>
        <v>Outlier</v>
      </c>
      <c r="J722">
        <f t="shared" si="24"/>
        <v>2020</v>
      </c>
      <c r="K722" t="str">
        <f t="shared" si="23"/>
        <v>October</v>
      </c>
    </row>
    <row r="723" spans="1:11" x14ac:dyDescent="0.35">
      <c r="A723" s="1">
        <v>44126</v>
      </c>
      <c r="B723">
        <v>22.2</v>
      </c>
      <c r="C723">
        <v>19.3</v>
      </c>
      <c r="D723">
        <v>26.4</v>
      </c>
      <c r="E723">
        <v>5.3</v>
      </c>
      <c r="F723" t="str">
        <f>IF(OR(B723&lt;outliers!$B$7,B723&gt;outliers!$B$6),"Outlier","Normal")</f>
        <v>Normal</v>
      </c>
      <c r="G723" t="str">
        <f>IF(OR(C723&lt;outliers!$B$14,C723&gt;outliers!$B$13),"Outlier","Normal")</f>
        <v>Normal</v>
      </c>
      <c r="H723" t="str">
        <f>IF(OR(D723&lt;outliers!$B$21,D723&gt;outliers!$B$20),"Outlier","Normal")</f>
        <v>Normal</v>
      </c>
      <c r="I723" t="str">
        <f>IF(OR(E723&lt;outliers!$C$28,E723&gt;outliers!$B$27),"Outlier","Normal")</f>
        <v>Normal</v>
      </c>
      <c r="J723">
        <f t="shared" si="24"/>
        <v>2020</v>
      </c>
      <c r="K723" t="str">
        <f t="shared" si="23"/>
        <v>October</v>
      </c>
    </row>
    <row r="724" spans="1:11" hidden="1" x14ac:dyDescent="0.35">
      <c r="A724" s="1">
        <v>44127</v>
      </c>
      <c r="B724">
        <v>21</v>
      </c>
      <c r="C724">
        <v>17.8</v>
      </c>
      <c r="D724">
        <v>27.5</v>
      </c>
      <c r="E724">
        <v>17.5</v>
      </c>
      <c r="F724" t="str">
        <f>IF(OR(B724&lt;outliers!$B$7,B724&gt;outliers!$B$6),"Outlier","Normal")</f>
        <v>Normal</v>
      </c>
      <c r="G724" t="str">
        <f>IF(OR(C724&lt;outliers!$B$14,C724&gt;outliers!$B$13),"Outlier","Normal")</f>
        <v>Normal</v>
      </c>
      <c r="H724" t="str">
        <f>IF(OR(D724&lt;outliers!$B$21,D724&gt;outliers!$B$20),"Outlier","Normal")</f>
        <v>Normal</v>
      </c>
      <c r="I724" t="str">
        <f>IF(OR(E724&lt;outliers!$C$28,E724&gt;outliers!$B$27),"Outlier","Normal")</f>
        <v>Outlier</v>
      </c>
      <c r="J724">
        <f t="shared" si="24"/>
        <v>2020</v>
      </c>
      <c r="K724" t="str">
        <f t="shared" si="23"/>
        <v>October</v>
      </c>
    </row>
    <row r="725" spans="1:11" hidden="1" x14ac:dyDescent="0.35">
      <c r="A725" s="1">
        <v>44128</v>
      </c>
      <c r="B725">
        <v>22</v>
      </c>
      <c r="C725">
        <v>17</v>
      </c>
      <c r="D725">
        <v>27</v>
      </c>
      <c r="E725">
        <v>17.3</v>
      </c>
      <c r="F725" t="str">
        <f>IF(OR(B725&lt;outliers!$B$7,B725&gt;outliers!$B$6),"Outlier","Normal")</f>
        <v>Normal</v>
      </c>
      <c r="G725" t="str">
        <f>IF(OR(C725&lt;outliers!$B$14,C725&gt;outliers!$B$13),"Outlier","Normal")</f>
        <v>Normal</v>
      </c>
      <c r="H725" t="str">
        <f>IF(OR(D725&lt;outliers!$B$21,D725&gt;outliers!$B$20),"Outlier","Normal")</f>
        <v>Normal</v>
      </c>
      <c r="I725" t="str">
        <f>IF(OR(E725&lt;outliers!$C$28,E725&gt;outliers!$B$27),"Outlier","Normal")</f>
        <v>Outlier</v>
      </c>
      <c r="J725">
        <f t="shared" si="24"/>
        <v>2020</v>
      </c>
      <c r="K725" t="str">
        <f t="shared" si="23"/>
        <v>October</v>
      </c>
    </row>
    <row r="726" spans="1:11" x14ac:dyDescent="0.35">
      <c r="A726" s="1">
        <v>44129</v>
      </c>
      <c r="B726">
        <v>23.5</v>
      </c>
      <c r="C726">
        <v>20.2</v>
      </c>
      <c r="D726">
        <v>29.8</v>
      </c>
      <c r="E726">
        <v>0</v>
      </c>
      <c r="F726" t="str">
        <f>IF(OR(B726&lt;outliers!$B$7,B726&gt;outliers!$B$6),"Outlier","Normal")</f>
        <v>Normal</v>
      </c>
      <c r="G726" t="str">
        <f>IF(OR(C726&lt;outliers!$B$14,C726&gt;outliers!$B$13),"Outlier","Normal")</f>
        <v>Normal</v>
      </c>
      <c r="H726" t="str">
        <f>IF(OR(D726&lt;outliers!$B$21,D726&gt;outliers!$B$20),"Outlier","Normal")</f>
        <v>Normal</v>
      </c>
      <c r="I726" t="str">
        <f>IF(OR(E726&lt;outliers!$C$28,E726&gt;outliers!$B$27),"Outlier","Normal")</f>
        <v>Normal</v>
      </c>
      <c r="J726">
        <f t="shared" si="24"/>
        <v>2020</v>
      </c>
      <c r="K726" t="str">
        <f t="shared" si="23"/>
        <v>October</v>
      </c>
    </row>
    <row r="727" spans="1:11" x14ac:dyDescent="0.35">
      <c r="A727" s="1">
        <v>44130</v>
      </c>
      <c r="B727">
        <v>23.6</v>
      </c>
      <c r="C727">
        <v>19.399999999999999</v>
      </c>
      <c r="D727">
        <v>29.4</v>
      </c>
      <c r="E727">
        <v>7.9</v>
      </c>
      <c r="F727" t="str">
        <f>IF(OR(B727&lt;outliers!$B$7,B727&gt;outliers!$B$6),"Outlier","Normal")</f>
        <v>Normal</v>
      </c>
      <c r="G727" t="str">
        <f>IF(OR(C727&lt;outliers!$B$14,C727&gt;outliers!$B$13),"Outlier","Normal")</f>
        <v>Normal</v>
      </c>
      <c r="H727" t="str">
        <f>IF(OR(D727&lt;outliers!$B$21,D727&gt;outliers!$B$20),"Outlier","Normal")</f>
        <v>Normal</v>
      </c>
      <c r="I727" t="str">
        <f>IF(OR(E727&lt;outliers!$C$28,E727&gt;outliers!$B$27),"Outlier","Normal")</f>
        <v>Normal</v>
      </c>
      <c r="J727">
        <f t="shared" si="24"/>
        <v>2020</v>
      </c>
      <c r="K727" t="str">
        <f t="shared" si="23"/>
        <v>October</v>
      </c>
    </row>
    <row r="728" spans="1:11" x14ac:dyDescent="0.35">
      <c r="A728" s="1">
        <v>44131</v>
      </c>
      <c r="B728">
        <v>23.7</v>
      </c>
      <c r="C728">
        <v>19</v>
      </c>
      <c r="D728">
        <v>30</v>
      </c>
      <c r="E728">
        <v>0</v>
      </c>
      <c r="F728" t="str">
        <f>IF(OR(B728&lt;outliers!$B$7,B728&gt;outliers!$B$6),"Outlier","Normal")</f>
        <v>Normal</v>
      </c>
      <c r="G728" t="str">
        <f>IF(OR(C728&lt;outliers!$B$14,C728&gt;outliers!$B$13),"Outlier","Normal")</f>
        <v>Normal</v>
      </c>
      <c r="H728" t="str">
        <f>IF(OR(D728&lt;outliers!$B$21,D728&gt;outliers!$B$20),"Outlier","Normal")</f>
        <v>Normal</v>
      </c>
      <c r="I728" t="str">
        <f>IF(OR(E728&lt;outliers!$C$28,E728&gt;outliers!$B$27),"Outlier","Normal")</f>
        <v>Normal</v>
      </c>
      <c r="J728">
        <f t="shared" si="24"/>
        <v>2020</v>
      </c>
      <c r="K728" t="str">
        <f t="shared" si="23"/>
        <v>October</v>
      </c>
    </row>
    <row r="729" spans="1:11" x14ac:dyDescent="0.35">
      <c r="A729" s="1">
        <v>44134</v>
      </c>
      <c r="B729">
        <v>22.9</v>
      </c>
      <c r="C729">
        <v>17.8</v>
      </c>
      <c r="D729">
        <v>28.3</v>
      </c>
      <c r="E729">
        <v>0</v>
      </c>
      <c r="F729" t="str">
        <f>IF(OR(B729&lt;outliers!$B$7,B729&gt;outliers!$B$6),"Outlier","Normal")</f>
        <v>Normal</v>
      </c>
      <c r="G729" t="str">
        <f>IF(OR(C729&lt;outliers!$B$14,C729&gt;outliers!$B$13),"Outlier","Normal")</f>
        <v>Normal</v>
      </c>
      <c r="H729" t="str">
        <f>IF(OR(D729&lt;outliers!$B$21,D729&gt;outliers!$B$20),"Outlier","Normal")</f>
        <v>Normal</v>
      </c>
      <c r="I729" t="str">
        <f>IF(OR(E729&lt;outliers!$C$28,E729&gt;outliers!$B$27),"Outlier","Normal")</f>
        <v>Normal</v>
      </c>
      <c r="J729">
        <f t="shared" si="24"/>
        <v>2020</v>
      </c>
      <c r="K729" t="str">
        <f t="shared" si="23"/>
        <v>October</v>
      </c>
    </row>
    <row r="730" spans="1:11" x14ac:dyDescent="0.35">
      <c r="A730" s="1">
        <v>44136</v>
      </c>
      <c r="B730">
        <v>24.8</v>
      </c>
      <c r="C730">
        <v>19</v>
      </c>
      <c r="D730">
        <v>29.1</v>
      </c>
      <c r="E730">
        <v>0</v>
      </c>
      <c r="F730" t="str">
        <f>IF(OR(B730&lt;outliers!$B$7,B730&gt;outliers!$B$6),"Outlier","Normal")</f>
        <v>Normal</v>
      </c>
      <c r="G730" t="str">
        <f>IF(OR(C730&lt;outliers!$B$14,C730&gt;outliers!$B$13),"Outlier","Normal")</f>
        <v>Normal</v>
      </c>
      <c r="H730" t="str">
        <f>IF(OR(D730&lt;outliers!$B$21,D730&gt;outliers!$B$20),"Outlier","Normal")</f>
        <v>Normal</v>
      </c>
      <c r="I730" t="str">
        <f>IF(OR(E730&lt;outliers!$C$28,E730&gt;outliers!$B$27),"Outlier","Normal")</f>
        <v>Normal</v>
      </c>
      <c r="J730">
        <f t="shared" si="24"/>
        <v>2020</v>
      </c>
      <c r="K730" t="str">
        <f t="shared" si="23"/>
        <v>October</v>
      </c>
    </row>
    <row r="731" spans="1:11" x14ac:dyDescent="0.35">
      <c r="A731" s="1">
        <v>44137</v>
      </c>
      <c r="B731">
        <v>24.3</v>
      </c>
      <c r="C731">
        <v>20.399999999999999</v>
      </c>
      <c r="D731">
        <v>31.5</v>
      </c>
      <c r="E731">
        <v>0.3</v>
      </c>
      <c r="F731" t="str">
        <f>IF(OR(B731&lt;outliers!$B$7,B731&gt;outliers!$B$6),"Outlier","Normal")</f>
        <v>Normal</v>
      </c>
      <c r="G731" t="str">
        <f>IF(OR(C731&lt;outliers!$B$14,C731&gt;outliers!$B$13),"Outlier","Normal")</f>
        <v>Normal</v>
      </c>
      <c r="H731" t="str">
        <f>IF(OR(D731&lt;outliers!$B$21,D731&gt;outliers!$B$20),"Outlier","Normal")</f>
        <v>Normal</v>
      </c>
      <c r="I731" t="str">
        <f>IF(OR(E731&lt;outliers!$C$28,E731&gt;outliers!$B$27),"Outlier","Normal")</f>
        <v>Normal</v>
      </c>
      <c r="J731">
        <f t="shared" si="24"/>
        <v>2020</v>
      </c>
      <c r="K731" t="str">
        <f t="shared" si="23"/>
        <v>November</v>
      </c>
    </row>
    <row r="732" spans="1:11" x14ac:dyDescent="0.35">
      <c r="A732" s="1">
        <v>44138</v>
      </c>
      <c r="B732">
        <v>24.7</v>
      </c>
      <c r="C732">
        <v>19.8</v>
      </c>
      <c r="D732">
        <v>29</v>
      </c>
      <c r="E732">
        <v>0</v>
      </c>
      <c r="F732" t="str">
        <f>IF(OR(B732&lt;outliers!$B$7,B732&gt;outliers!$B$6),"Outlier","Normal")</f>
        <v>Normal</v>
      </c>
      <c r="G732" t="str">
        <f>IF(OR(C732&lt;outliers!$B$14,C732&gt;outliers!$B$13),"Outlier","Normal")</f>
        <v>Normal</v>
      </c>
      <c r="H732" t="str">
        <f>IF(OR(D732&lt;outliers!$B$21,D732&gt;outliers!$B$20),"Outlier","Normal")</f>
        <v>Normal</v>
      </c>
      <c r="I732" t="str">
        <f>IF(OR(E732&lt;outliers!$C$28,E732&gt;outliers!$B$27),"Outlier","Normal")</f>
        <v>Normal</v>
      </c>
      <c r="J732">
        <f t="shared" si="24"/>
        <v>2020</v>
      </c>
      <c r="K732" t="str">
        <f t="shared" si="23"/>
        <v>November</v>
      </c>
    </row>
    <row r="733" spans="1:11" hidden="1" x14ac:dyDescent="0.35">
      <c r="A733" s="1">
        <v>44141</v>
      </c>
      <c r="B733">
        <v>23.8</v>
      </c>
      <c r="C733">
        <v>20.8</v>
      </c>
      <c r="D733">
        <v>30.4</v>
      </c>
      <c r="E733">
        <v>22.9</v>
      </c>
      <c r="F733" t="str">
        <f>IF(OR(B733&lt;outliers!$B$7,B733&gt;outliers!$B$6),"Outlier","Normal")</f>
        <v>Normal</v>
      </c>
      <c r="G733" t="str">
        <f>IF(OR(C733&lt;outliers!$B$14,C733&gt;outliers!$B$13),"Outlier","Normal")</f>
        <v>Normal</v>
      </c>
      <c r="H733" t="str">
        <f>IF(OR(D733&lt;outliers!$B$21,D733&gt;outliers!$B$20),"Outlier","Normal")</f>
        <v>Normal</v>
      </c>
      <c r="I733" t="str">
        <f>IF(OR(E733&lt;outliers!$C$28,E733&gt;outliers!$B$27),"Outlier","Normal")</f>
        <v>Outlier</v>
      </c>
      <c r="J733">
        <f t="shared" si="24"/>
        <v>2020</v>
      </c>
      <c r="K733" t="str">
        <f t="shared" si="23"/>
        <v>November</v>
      </c>
    </row>
    <row r="734" spans="1:11" x14ac:dyDescent="0.35">
      <c r="A734" s="1">
        <v>44142</v>
      </c>
      <c r="B734">
        <v>23.4</v>
      </c>
      <c r="C734">
        <v>20.2</v>
      </c>
      <c r="D734">
        <v>29.2</v>
      </c>
      <c r="E734">
        <v>0</v>
      </c>
      <c r="F734" t="str">
        <f>IF(OR(B734&lt;outliers!$B$7,B734&gt;outliers!$B$6),"Outlier","Normal")</f>
        <v>Normal</v>
      </c>
      <c r="G734" t="str">
        <f>IF(OR(C734&lt;outliers!$B$14,C734&gt;outliers!$B$13),"Outlier","Normal")</f>
        <v>Normal</v>
      </c>
      <c r="H734" t="str">
        <f>IF(OR(D734&lt;outliers!$B$21,D734&gt;outliers!$B$20),"Outlier","Normal")</f>
        <v>Normal</v>
      </c>
      <c r="I734" t="str">
        <f>IF(OR(E734&lt;outliers!$C$28,E734&gt;outliers!$B$27),"Outlier","Normal")</f>
        <v>Normal</v>
      </c>
      <c r="J734">
        <f t="shared" si="24"/>
        <v>2020</v>
      </c>
      <c r="K734" t="str">
        <f t="shared" si="23"/>
        <v>November</v>
      </c>
    </row>
    <row r="735" spans="1:11" x14ac:dyDescent="0.35">
      <c r="A735" s="1">
        <v>44143</v>
      </c>
      <c r="B735">
        <v>23.4</v>
      </c>
      <c r="C735">
        <v>20.8</v>
      </c>
      <c r="D735">
        <v>30.2</v>
      </c>
      <c r="E735">
        <v>3.3</v>
      </c>
      <c r="F735" t="str">
        <f>IF(OR(B735&lt;outliers!$B$7,B735&gt;outliers!$B$6),"Outlier","Normal")</f>
        <v>Normal</v>
      </c>
      <c r="G735" t="str">
        <f>IF(OR(C735&lt;outliers!$B$14,C735&gt;outliers!$B$13),"Outlier","Normal")</f>
        <v>Normal</v>
      </c>
      <c r="H735" t="str">
        <f>IF(OR(D735&lt;outliers!$B$21,D735&gt;outliers!$B$20),"Outlier","Normal")</f>
        <v>Normal</v>
      </c>
      <c r="I735" t="str">
        <f>IF(OR(E735&lt;outliers!$C$28,E735&gt;outliers!$B$27),"Outlier","Normal")</f>
        <v>Normal</v>
      </c>
      <c r="J735">
        <f t="shared" si="24"/>
        <v>2020</v>
      </c>
      <c r="K735" t="str">
        <f t="shared" si="23"/>
        <v>November</v>
      </c>
    </row>
    <row r="736" spans="1:11" x14ac:dyDescent="0.35">
      <c r="A736" s="1">
        <v>44144</v>
      </c>
      <c r="B736">
        <v>22.7</v>
      </c>
      <c r="C736">
        <v>19.5</v>
      </c>
      <c r="D736">
        <v>27.8</v>
      </c>
      <c r="E736">
        <v>0</v>
      </c>
      <c r="F736" t="str">
        <f>IF(OR(B736&lt;outliers!$B$7,B736&gt;outliers!$B$6),"Outlier","Normal")</f>
        <v>Normal</v>
      </c>
      <c r="G736" t="str">
        <f>IF(OR(C736&lt;outliers!$B$14,C736&gt;outliers!$B$13),"Outlier","Normal")</f>
        <v>Normal</v>
      </c>
      <c r="H736" t="str">
        <f>IF(OR(D736&lt;outliers!$B$21,D736&gt;outliers!$B$20),"Outlier","Normal")</f>
        <v>Normal</v>
      </c>
      <c r="I736" t="str">
        <f>IF(OR(E736&lt;outliers!$C$28,E736&gt;outliers!$B$27),"Outlier","Normal")</f>
        <v>Normal</v>
      </c>
      <c r="J736">
        <f t="shared" si="24"/>
        <v>2020</v>
      </c>
      <c r="K736" t="str">
        <f t="shared" si="23"/>
        <v>November</v>
      </c>
    </row>
    <row r="737" spans="1:11" x14ac:dyDescent="0.35">
      <c r="A737" s="1">
        <v>44148</v>
      </c>
      <c r="B737">
        <v>22.1</v>
      </c>
      <c r="C737">
        <v>20.399999999999999</v>
      </c>
      <c r="D737">
        <v>28</v>
      </c>
      <c r="E737">
        <v>0</v>
      </c>
      <c r="F737" t="str">
        <f>IF(OR(B737&lt;outliers!$B$7,B737&gt;outliers!$B$6),"Outlier","Normal")</f>
        <v>Normal</v>
      </c>
      <c r="G737" t="str">
        <f>IF(OR(C737&lt;outliers!$B$14,C737&gt;outliers!$B$13),"Outlier","Normal")</f>
        <v>Normal</v>
      </c>
      <c r="H737" t="str">
        <f>IF(OR(D737&lt;outliers!$B$21,D737&gt;outliers!$B$20),"Outlier","Normal")</f>
        <v>Normal</v>
      </c>
      <c r="I737" t="str">
        <f>IF(OR(E737&lt;outliers!$C$28,E737&gt;outliers!$B$27),"Outlier","Normal")</f>
        <v>Normal</v>
      </c>
      <c r="J737">
        <f t="shared" si="24"/>
        <v>2020</v>
      </c>
      <c r="K737" t="str">
        <f t="shared" si="23"/>
        <v>November</v>
      </c>
    </row>
    <row r="738" spans="1:11" x14ac:dyDescent="0.35">
      <c r="A738" s="1">
        <v>44149</v>
      </c>
      <c r="B738">
        <v>22.8</v>
      </c>
      <c r="C738">
        <v>20</v>
      </c>
      <c r="D738">
        <v>27.8</v>
      </c>
      <c r="E738">
        <v>8.9</v>
      </c>
      <c r="F738" t="str">
        <f>IF(OR(B738&lt;outliers!$B$7,B738&gt;outliers!$B$6),"Outlier","Normal")</f>
        <v>Normal</v>
      </c>
      <c r="G738" t="str">
        <f>IF(OR(C738&lt;outliers!$B$14,C738&gt;outliers!$B$13),"Outlier","Normal")</f>
        <v>Normal</v>
      </c>
      <c r="H738" t="str">
        <f>IF(OR(D738&lt;outliers!$B$21,D738&gt;outliers!$B$20),"Outlier","Normal")</f>
        <v>Normal</v>
      </c>
      <c r="I738" t="str">
        <f>IF(OR(E738&lt;outliers!$C$28,E738&gt;outliers!$B$27),"Outlier","Normal")</f>
        <v>Normal</v>
      </c>
      <c r="J738">
        <f t="shared" si="24"/>
        <v>2020</v>
      </c>
      <c r="K738" t="str">
        <f t="shared" si="23"/>
        <v>November</v>
      </c>
    </row>
    <row r="739" spans="1:11" x14ac:dyDescent="0.35">
      <c r="A739" s="1">
        <v>44150</v>
      </c>
      <c r="B739">
        <v>21.6</v>
      </c>
      <c r="C739">
        <v>19.100000000000001</v>
      </c>
      <c r="D739">
        <v>28.2</v>
      </c>
      <c r="E739">
        <v>0</v>
      </c>
      <c r="F739" t="str">
        <f>IF(OR(B739&lt;outliers!$B$7,B739&gt;outliers!$B$6),"Outlier","Normal")</f>
        <v>Normal</v>
      </c>
      <c r="G739" t="str">
        <f>IF(OR(C739&lt;outliers!$B$14,C739&gt;outliers!$B$13),"Outlier","Normal")</f>
        <v>Normal</v>
      </c>
      <c r="H739" t="str">
        <f>IF(OR(D739&lt;outliers!$B$21,D739&gt;outliers!$B$20),"Outlier","Normal")</f>
        <v>Normal</v>
      </c>
      <c r="I739" t="str">
        <f>IF(OR(E739&lt;outliers!$C$28,E739&gt;outliers!$B$27),"Outlier","Normal")</f>
        <v>Normal</v>
      </c>
      <c r="J739">
        <f t="shared" si="24"/>
        <v>2020</v>
      </c>
      <c r="K739" t="str">
        <f t="shared" si="23"/>
        <v>November</v>
      </c>
    </row>
    <row r="740" spans="1:11" x14ac:dyDescent="0.35">
      <c r="A740" s="1">
        <v>44151</v>
      </c>
      <c r="B740">
        <v>21.6</v>
      </c>
      <c r="C740">
        <v>19.2</v>
      </c>
      <c r="D740">
        <v>25.8</v>
      </c>
      <c r="E740">
        <v>9.9</v>
      </c>
      <c r="F740" t="str">
        <f>IF(OR(B740&lt;outliers!$B$7,B740&gt;outliers!$B$6),"Outlier","Normal")</f>
        <v>Normal</v>
      </c>
      <c r="G740" t="str">
        <f>IF(OR(C740&lt;outliers!$B$14,C740&gt;outliers!$B$13),"Outlier","Normal")</f>
        <v>Normal</v>
      </c>
      <c r="H740" t="str">
        <f>IF(OR(D740&lt;outliers!$B$21,D740&gt;outliers!$B$20),"Outlier","Normal")</f>
        <v>Normal</v>
      </c>
      <c r="I740" t="str">
        <f>IF(OR(E740&lt;outliers!$C$28,E740&gt;outliers!$B$27),"Outlier","Normal")</f>
        <v>Normal</v>
      </c>
      <c r="J740">
        <f t="shared" si="24"/>
        <v>2020</v>
      </c>
      <c r="K740" t="str">
        <f t="shared" si="23"/>
        <v>November</v>
      </c>
    </row>
    <row r="741" spans="1:11" hidden="1" x14ac:dyDescent="0.35">
      <c r="A741" s="1">
        <v>44152</v>
      </c>
      <c r="B741">
        <v>22.2</v>
      </c>
      <c r="C741">
        <v>19.399999999999999</v>
      </c>
      <c r="D741">
        <v>25</v>
      </c>
      <c r="E741">
        <v>21.1</v>
      </c>
      <c r="F741" t="str">
        <f>IF(OR(B741&lt;outliers!$B$7,B741&gt;outliers!$B$6),"Outlier","Normal")</f>
        <v>Normal</v>
      </c>
      <c r="G741" t="str">
        <f>IF(OR(C741&lt;outliers!$B$14,C741&gt;outliers!$B$13),"Outlier","Normal")</f>
        <v>Normal</v>
      </c>
      <c r="H741" t="str">
        <f>IF(OR(D741&lt;outliers!$B$21,D741&gt;outliers!$B$20),"Outlier","Normal")</f>
        <v>Normal</v>
      </c>
      <c r="I741" t="str">
        <f>IF(OR(E741&lt;outliers!$C$28,E741&gt;outliers!$B$27),"Outlier","Normal")</f>
        <v>Outlier</v>
      </c>
      <c r="J741">
        <f t="shared" si="24"/>
        <v>2020</v>
      </c>
      <c r="K741" t="str">
        <f t="shared" si="23"/>
        <v>November</v>
      </c>
    </row>
    <row r="742" spans="1:11" x14ac:dyDescent="0.35">
      <c r="A742" s="1">
        <v>44153</v>
      </c>
      <c r="B742">
        <v>22.8</v>
      </c>
      <c r="C742">
        <v>19.2</v>
      </c>
      <c r="D742">
        <v>28.3</v>
      </c>
      <c r="E742">
        <v>0</v>
      </c>
      <c r="F742" t="str">
        <f>IF(OR(B742&lt;outliers!$B$7,B742&gt;outliers!$B$6),"Outlier","Normal")</f>
        <v>Normal</v>
      </c>
      <c r="G742" t="str">
        <f>IF(OR(C742&lt;outliers!$B$14,C742&gt;outliers!$B$13),"Outlier","Normal")</f>
        <v>Normal</v>
      </c>
      <c r="H742" t="str">
        <f>IF(OR(D742&lt;outliers!$B$21,D742&gt;outliers!$B$20),"Outlier","Normal")</f>
        <v>Normal</v>
      </c>
      <c r="I742" t="str">
        <f>IF(OR(E742&lt;outliers!$C$28,E742&gt;outliers!$B$27),"Outlier","Normal")</f>
        <v>Normal</v>
      </c>
      <c r="J742">
        <f t="shared" si="24"/>
        <v>2020</v>
      </c>
      <c r="K742" t="str">
        <f t="shared" si="23"/>
        <v>November</v>
      </c>
    </row>
    <row r="743" spans="1:11" x14ac:dyDescent="0.35">
      <c r="A743" s="1">
        <v>44154</v>
      </c>
      <c r="B743">
        <v>22.9</v>
      </c>
      <c r="C743">
        <v>20</v>
      </c>
      <c r="D743">
        <v>28.3</v>
      </c>
      <c r="E743">
        <v>0</v>
      </c>
      <c r="F743" t="str">
        <f>IF(OR(B743&lt;outliers!$B$7,B743&gt;outliers!$B$6),"Outlier","Normal")</f>
        <v>Normal</v>
      </c>
      <c r="G743" t="str">
        <f>IF(OR(C743&lt;outliers!$B$14,C743&gt;outliers!$B$13),"Outlier","Normal")</f>
        <v>Normal</v>
      </c>
      <c r="H743" t="str">
        <f>IF(OR(D743&lt;outliers!$B$21,D743&gt;outliers!$B$20),"Outlier","Normal")</f>
        <v>Normal</v>
      </c>
      <c r="I743" t="str">
        <f>IF(OR(E743&lt;outliers!$C$28,E743&gt;outliers!$B$27),"Outlier","Normal")</f>
        <v>Normal</v>
      </c>
      <c r="J743">
        <f t="shared" si="24"/>
        <v>2020</v>
      </c>
      <c r="K743" t="str">
        <f t="shared" si="23"/>
        <v>November</v>
      </c>
    </row>
    <row r="744" spans="1:11" x14ac:dyDescent="0.35">
      <c r="A744" s="1">
        <v>44161</v>
      </c>
      <c r="B744">
        <v>19.399999999999999</v>
      </c>
      <c r="C744">
        <v>17.8</v>
      </c>
      <c r="D744">
        <v>23.8</v>
      </c>
      <c r="E744">
        <v>2</v>
      </c>
      <c r="F744" t="str">
        <f>IF(OR(B744&lt;outliers!$B$7,B744&gt;outliers!$B$6),"Outlier","Normal")</f>
        <v>Normal</v>
      </c>
      <c r="G744" t="str">
        <f>IF(OR(C744&lt;outliers!$B$14,C744&gt;outliers!$B$13),"Outlier","Normal")</f>
        <v>Normal</v>
      </c>
      <c r="H744" t="str">
        <f>IF(OR(D744&lt;outliers!$B$21,D744&gt;outliers!$B$20),"Outlier","Normal")</f>
        <v>Normal</v>
      </c>
      <c r="I744" t="str">
        <f>IF(OR(E744&lt;outliers!$C$28,E744&gt;outliers!$B$27),"Outlier","Normal")</f>
        <v>Normal</v>
      </c>
      <c r="J744">
        <f t="shared" si="24"/>
        <v>2020</v>
      </c>
      <c r="K744" t="str">
        <f t="shared" si="23"/>
        <v>November</v>
      </c>
    </row>
    <row r="745" spans="1:11" hidden="1" x14ac:dyDescent="0.35">
      <c r="A745" s="1">
        <v>44162</v>
      </c>
      <c r="B745">
        <v>19.7</v>
      </c>
      <c r="C745">
        <v>17.8</v>
      </c>
      <c r="D745">
        <v>21.8</v>
      </c>
      <c r="E745">
        <v>13.2</v>
      </c>
      <c r="F745" t="str">
        <f>IF(OR(B745&lt;outliers!$B$7,B745&gt;outliers!$B$6),"Outlier","Normal")</f>
        <v>Normal</v>
      </c>
      <c r="G745" t="str">
        <f>IF(OR(C745&lt;outliers!$B$14,C745&gt;outliers!$B$13),"Outlier","Normal")</f>
        <v>Normal</v>
      </c>
      <c r="H745" t="str">
        <f>IF(OR(D745&lt;outliers!$B$21,D745&gt;outliers!$B$20),"Outlier","Normal")</f>
        <v>Outlier</v>
      </c>
      <c r="I745" t="str">
        <f>IF(OR(E745&lt;outliers!$C$28,E745&gt;outliers!$B$27),"Outlier","Normal")</f>
        <v>Outlier</v>
      </c>
      <c r="J745">
        <f t="shared" si="24"/>
        <v>2020</v>
      </c>
      <c r="K745" t="str">
        <f t="shared" si="23"/>
        <v>November</v>
      </c>
    </row>
    <row r="746" spans="1:11" x14ac:dyDescent="0.35">
      <c r="A746" s="1">
        <v>44163</v>
      </c>
      <c r="B746">
        <v>21.5</v>
      </c>
      <c r="C746">
        <v>17</v>
      </c>
      <c r="D746">
        <v>25.9</v>
      </c>
      <c r="E746">
        <v>0.3</v>
      </c>
      <c r="F746" t="str">
        <f>IF(OR(B746&lt;outliers!$B$7,B746&gt;outliers!$B$6),"Outlier","Normal")</f>
        <v>Normal</v>
      </c>
      <c r="G746" t="str">
        <f>IF(OR(C746&lt;outliers!$B$14,C746&gt;outliers!$B$13),"Outlier","Normal")</f>
        <v>Normal</v>
      </c>
      <c r="H746" t="str">
        <f>IF(OR(D746&lt;outliers!$B$21,D746&gt;outliers!$B$20),"Outlier","Normal")</f>
        <v>Normal</v>
      </c>
      <c r="I746" t="str">
        <f>IF(OR(E746&lt;outliers!$C$28,E746&gt;outliers!$B$27),"Outlier","Normal")</f>
        <v>Normal</v>
      </c>
      <c r="J746">
        <f t="shared" si="24"/>
        <v>2020</v>
      </c>
      <c r="K746" t="str">
        <f t="shared" si="23"/>
        <v>November</v>
      </c>
    </row>
    <row r="747" spans="1:11" x14ac:dyDescent="0.35">
      <c r="A747" s="1">
        <v>44164</v>
      </c>
      <c r="B747">
        <v>21.6</v>
      </c>
      <c r="C747">
        <v>19</v>
      </c>
      <c r="D747">
        <v>25.6</v>
      </c>
      <c r="E747">
        <v>0</v>
      </c>
      <c r="F747" t="str">
        <f>IF(OR(B747&lt;outliers!$B$7,B747&gt;outliers!$B$6),"Outlier","Normal")</f>
        <v>Normal</v>
      </c>
      <c r="G747" t="str">
        <f>IF(OR(C747&lt;outliers!$B$14,C747&gt;outliers!$B$13),"Outlier","Normal")</f>
        <v>Normal</v>
      </c>
      <c r="H747" t="str">
        <f>IF(OR(D747&lt;outliers!$B$21,D747&gt;outliers!$B$20),"Outlier","Normal")</f>
        <v>Normal</v>
      </c>
      <c r="I747" t="str">
        <f>IF(OR(E747&lt;outliers!$C$28,E747&gt;outliers!$B$27),"Outlier","Normal")</f>
        <v>Normal</v>
      </c>
      <c r="J747">
        <f t="shared" si="24"/>
        <v>2020</v>
      </c>
      <c r="K747" t="str">
        <f t="shared" si="23"/>
        <v>November</v>
      </c>
    </row>
    <row r="748" spans="1:11" x14ac:dyDescent="0.35">
      <c r="A748" s="1">
        <v>44165</v>
      </c>
      <c r="B748">
        <v>21.9</v>
      </c>
      <c r="C748">
        <v>18</v>
      </c>
      <c r="D748">
        <v>26.8</v>
      </c>
      <c r="E748">
        <v>0</v>
      </c>
      <c r="F748" t="str">
        <f>IF(OR(B748&lt;outliers!$B$7,B748&gt;outliers!$B$6),"Outlier","Normal")</f>
        <v>Normal</v>
      </c>
      <c r="G748" t="str">
        <f>IF(OR(C748&lt;outliers!$B$14,C748&gt;outliers!$B$13),"Outlier","Normal")</f>
        <v>Normal</v>
      </c>
      <c r="H748" t="str">
        <f>IF(OR(D748&lt;outliers!$B$21,D748&gt;outliers!$B$20),"Outlier","Normal")</f>
        <v>Normal</v>
      </c>
      <c r="I748" t="str">
        <f>IF(OR(E748&lt;outliers!$C$28,E748&gt;outliers!$B$27),"Outlier","Normal")</f>
        <v>Normal</v>
      </c>
      <c r="J748">
        <f t="shared" si="24"/>
        <v>2020</v>
      </c>
      <c r="K748" t="str">
        <f t="shared" si="23"/>
        <v>November</v>
      </c>
    </row>
    <row r="749" spans="1:11" x14ac:dyDescent="0.35">
      <c r="A749" s="1">
        <v>44168</v>
      </c>
      <c r="B749">
        <v>19.899999999999999</v>
      </c>
      <c r="C749">
        <v>18</v>
      </c>
      <c r="D749">
        <v>26.4</v>
      </c>
      <c r="E749">
        <v>2.2999999999999998</v>
      </c>
      <c r="F749" t="str">
        <f>IF(OR(B749&lt;outliers!$B$7,B749&gt;outliers!$B$6),"Outlier","Normal")</f>
        <v>Normal</v>
      </c>
      <c r="G749" t="str">
        <f>IF(OR(C749&lt;outliers!$B$14,C749&gt;outliers!$B$13),"Outlier","Normal")</f>
        <v>Normal</v>
      </c>
      <c r="H749" t="str">
        <f>IF(OR(D749&lt;outliers!$B$21,D749&gt;outliers!$B$20),"Outlier","Normal")</f>
        <v>Normal</v>
      </c>
      <c r="I749" t="str">
        <f>IF(OR(E749&lt;outliers!$C$28,E749&gt;outliers!$B$27),"Outlier","Normal")</f>
        <v>Normal</v>
      </c>
      <c r="J749">
        <f t="shared" si="24"/>
        <v>2020</v>
      </c>
      <c r="K749" t="str">
        <f t="shared" si="23"/>
        <v>November</v>
      </c>
    </row>
    <row r="750" spans="1:11" x14ac:dyDescent="0.35">
      <c r="A750" s="1">
        <v>44169</v>
      </c>
      <c r="B750">
        <v>20.8</v>
      </c>
      <c r="C750">
        <v>19.2</v>
      </c>
      <c r="D750">
        <v>22.8</v>
      </c>
      <c r="E750">
        <v>1.8</v>
      </c>
      <c r="F750" t="str">
        <f>IF(OR(B750&lt;outliers!$B$7,B750&gt;outliers!$B$6),"Outlier","Normal")</f>
        <v>Normal</v>
      </c>
      <c r="G750" t="str">
        <f>IF(OR(C750&lt;outliers!$B$14,C750&gt;outliers!$B$13),"Outlier","Normal")</f>
        <v>Normal</v>
      </c>
      <c r="H750" t="str">
        <f>IF(OR(D750&lt;outliers!$B$21,D750&gt;outliers!$B$20),"Outlier","Normal")</f>
        <v>Normal</v>
      </c>
      <c r="I750" t="str">
        <f>IF(OR(E750&lt;outliers!$C$28,E750&gt;outliers!$B$27),"Outlier","Normal")</f>
        <v>Normal</v>
      </c>
      <c r="J750">
        <f t="shared" si="24"/>
        <v>2020</v>
      </c>
      <c r="K750" t="str">
        <f t="shared" si="23"/>
        <v>December</v>
      </c>
    </row>
    <row r="751" spans="1:11" x14ac:dyDescent="0.35">
      <c r="A751" s="1">
        <v>44170</v>
      </c>
      <c r="B751">
        <v>21</v>
      </c>
      <c r="C751">
        <v>19.399999999999999</v>
      </c>
      <c r="D751">
        <v>23.2</v>
      </c>
      <c r="E751">
        <v>0.8</v>
      </c>
      <c r="F751" t="str">
        <f>IF(OR(B751&lt;outliers!$B$7,B751&gt;outliers!$B$6),"Outlier","Normal")</f>
        <v>Normal</v>
      </c>
      <c r="G751" t="str">
        <f>IF(OR(C751&lt;outliers!$B$14,C751&gt;outliers!$B$13),"Outlier","Normal")</f>
        <v>Normal</v>
      </c>
      <c r="H751" t="str">
        <f>IF(OR(D751&lt;outliers!$B$21,D751&gt;outliers!$B$20),"Outlier","Normal")</f>
        <v>Normal</v>
      </c>
      <c r="I751" t="str">
        <f>IF(OR(E751&lt;outliers!$C$28,E751&gt;outliers!$B$27),"Outlier","Normal")</f>
        <v>Normal</v>
      </c>
      <c r="J751">
        <f t="shared" si="24"/>
        <v>2020</v>
      </c>
      <c r="K751" t="str">
        <f t="shared" si="23"/>
        <v>December</v>
      </c>
    </row>
    <row r="752" spans="1:11" x14ac:dyDescent="0.35">
      <c r="A752" s="1">
        <v>44171</v>
      </c>
      <c r="B752">
        <v>20.9</v>
      </c>
      <c r="C752">
        <v>18.5</v>
      </c>
      <c r="D752">
        <v>24</v>
      </c>
      <c r="E752">
        <v>1.3</v>
      </c>
      <c r="F752" t="str">
        <f>IF(OR(B752&lt;outliers!$B$7,B752&gt;outliers!$B$6),"Outlier","Normal")</f>
        <v>Normal</v>
      </c>
      <c r="G752" t="str">
        <f>IF(OR(C752&lt;outliers!$B$14,C752&gt;outliers!$B$13),"Outlier","Normal")</f>
        <v>Normal</v>
      </c>
      <c r="H752" t="str">
        <f>IF(OR(D752&lt;outliers!$B$21,D752&gt;outliers!$B$20),"Outlier","Normal")</f>
        <v>Normal</v>
      </c>
      <c r="I752" t="str">
        <f>IF(OR(E752&lt;outliers!$C$28,E752&gt;outliers!$B$27),"Outlier","Normal")</f>
        <v>Normal</v>
      </c>
      <c r="J752">
        <f t="shared" si="24"/>
        <v>2020</v>
      </c>
      <c r="K752" t="str">
        <f t="shared" si="23"/>
        <v>December</v>
      </c>
    </row>
    <row r="753" spans="1:11" x14ac:dyDescent="0.35">
      <c r="A753" s="1">
        <v>44172</v>
      </c>
      <c r="B753">
        <v>21.7</v>
      </c>
      <c r="C753">
        <v>19.399999999999999</v>
      </c>
      <c r="D753">
        <v>24.8</v>
      </c>
      <c r="E753">
        <v>7.6</v>
      </c>
      <c r="F753" t="str">
        <f>IF(OR(B753&lt;outliers!$B$7,B753&gt;outliers!$B$6),"Outlier","Normal")</f>
        <v>Normal</v>
      </c>
      <c r="G753" t="str">
        <f>IF(OR(C753&lt;outliers!$B$14,C753&gt;outliers!$B$13),"Outlier","Normal")</f>
        <v>Normal</v>
      </c>
      <c r="H753" t="str">
        <f>IF(OR(D753&lt;outliers!$B$21,D753&gt;outliers!$B$20),"Outlier","Normal")</f>
        <v>Normal</v>
      </c>
      <c r="I753" t="str">
        <f>IF(OR(E753&lt;outliers!$C$28,E753&gt;outliers!$B$27),"Outlier","Normal")</f>
        <v>Normal</v>
      </c>
      <c r="J753">
        <f t="shared" si="24"/>
        <v>2020</v>
      </c>
      <c r="K753" t="str">
        <f t="shared" si="23"/>
        <v>December</v>
      </c>
    </row>
    <row r="754" spans="1:11" x14ac:dyDescent="0.35">
      <c r="A754" s="1">
        <v>44173</v>
      </c>
      <c r="B754">
        <v>21.3</v>
      </c>
      <c r="C754">
        <v>19.5</v>
      </c>
      <c r="D754">
        <v>26.2</v>
      </c>
      <c r="E754">
        <v>5.6</v>
      </c>
      <c r="F754" t="str">
        <f>IF(OR(B754&lt;outliers!$B$7,B754&gt;outliers!$B$6),"Outlier","Normal")</f>
        <v>Normal</v>
      </c>
      <c r="G754" t="str">
        <f>IF(OR(C754&lt;outliers!$B$14,C754&gt;outliers!$B$13),"Outlier","Normal")</f>
        <v>Normal</v>
      </c>
      <c r="H754" t="str">
        <f>IF(OR(D754&lt;outliers!$B$21,D754&gt;outliers!$B$20),"Outlier","Normal")</f>
        <v>Normal</v>
      </c>
      <c r="I754" t="str">
        <f>IF(OR(E754&lt;outliers!$C$28,E754&gt;outliers!$B$27),"Outlier","Normal")</f>
        <v>Normal</v>
      </c>
      <c r="J754">
        <f t="shared" si="24"/>
        <v>2020</v>
      </c>
      <c r="K754" t="str">
        <f t="shared" si="23"/>
        <v>December</v>
      </c>
    </row>
    <row r="755" spans="1:11" x14ac:dyDescent="0.35">
      <c r="A755" s="1">
        <v>44174</v>
      </c>
      <c r="B755">
        <v>21.7</v>
      </c>
      <c r="C755">
        <v>19.399999999999999</v>
      </c>
      <c r="D755">
        <v>25</v>
      </c>
      <c r="E755">
        <v>0.8</v>
      </c>
      <c r="F755" t="str">
        <f>IF(OR(B755&lt;outliers!$B$7,B755&gt;outliers!$B$6),"Outlier","Normal")</f>
        <v>Normal</v>
      </c>
      <c r="G755" t="str">
        <f>IF(OR(C755&lt;outliers!$B$14,C755&gt;outliers!$B$13),"Outlier","Normal")</f>
        <v>Normal</v>
      </c>
      <c r="H755" t="str">
        <f>IF(OR(D755&lt;outliers!$B$21,D755&gt;outliers!$B$20),"Outlier","Normal")</f>
        <v>Normal</v>
      </c>
      <c r="I755" t="str">
        <f>IF(OR(E755&lt;outliers!$C$28,E755&gt;outliers!$B$27),"Outlier","Normal")</f>
        <v>Normal</v>
      </c>
      <c r="J755">
        <f t="shared" si="24"/>
        <v>2020</v>
      </c>
      <c r="K755" t="str">
        <f t="shared" si="23"/>
        <v>December</v>
      </c>
    </row>
    <row r="756" spans="1:11" hidden="1" x14ac:dyDescent="0.35">
      <c r="A756" s="1">
        <v>44175</v>
      </c>
      <c r="B756">
        <v>21.3</v>
      </c>
      <c r="C756">
        <v>16.399999999999999</v>
      </c>
      <c r="D756">
        <v>26.8</v>
      </c>
      <c r="E756">
        <v>0</v>
      </c>
      <c r="F756" t="str">
        <f>IF(OR(B756&lt;outliers!$B$7,B756&gt;outliers!$B$6),"Outlier","Normal")</f>
        <v>Normal</v>
      </c>
      <c r="G756" t="str">
        <f>IF(OR(C756&lt;outliers!$B$14,C756&gt;outliers!$B$13),"Outlier","Normal")</f>
        <v>Outlier</v>
      </c>
      <c r="H756" t="str">
        <f>IF(OR(D756&lt;outliers!$B$21,D756&gt;outliers!$B$20),"Outlier","Normal")</f>
        <v>Normal</v>
      </c>
      <c r="I756" t="str">
        <f>IF(OR(E756&lt;outliers!$C$28,E756&gt;outliers!$B$27),"Outlier","Normal")</f>
        <v>Normal</v>
      </c>
      <c r="J756">
        <f t="shared" si="24"/>
        <v>2020</v>
      </c>
      <c r="K756" t="str">
        <f t="shared" si="23"/>
        <v>December</v>
      </c>
    </row>
    <row r="757" spans="1:11" hidden="1" x14ac:dyDescent="0.35">
      <c r="A757" s="1">
        <v>44176</v>
      </c>
      <c r="B757">
        <v>21.2</v>
      </c>
      <c r="C757">
        <v>16.600000000000001</v>
      </c>
      <c r="D757">
        <v>28.4</v>
      </c>
      <c r="E757">
        <v>0</v>
      </c>
      <c r="F757" t="str">
        <f>IF(OR(B757&lt;outliers!$B$7,B757&gt;outliers!$B$6),"Outlier","Normal")</f>
        <v>Normal</v>
      </c>
      <c r="G757" t="str">
        <f>IF(OR(C757&lt;outliers!$B$14,C757&gt;outliers!$B$13),"Outlier","Normal")</f>
        <v>Outlier</v>
      </c>
      <c r="H757" t="str">
        <f>IF(OR(D757&lt;outliers!$B$21,D757&gt;outliers!$B$20),"Outlier","Normal")</f>
        <v>Normal</v>
      </c>
      <c r="I757" t="str">
        <f>IF(OR(E757&lt;outliers!$C$28,E757&gt;outliers!$B$27),"Outlier","Normal")</f>
        <v>Normal</v>
      </c>
      <c r="J757">
        <f t="shared" si="24"/>
        <v>2020</v>
      </c>
      <c r="K757" t="str">
        <f t="shared" si="23"/>
        <v>December</v>
      </c>
    </row>
    <row r="758" spans="1:11" x14ac:dyDescent="0.35">
      <c r="A758" s="1">
        <v>44182</v>
      </c>
      <c r="B758">
        <v>21.7</v>
      </c>
      <c r="C758">
        <v>19.5</v>
      </c>
      <c r="D758">
        <v>26.8</v>
      </c>
      <c r="E758">
        <v>0.3</v>
      </c>
      <c r="F758" t="str">
        <f>IF(OR(B758&lt;outliers!$B$7,B758&gt;outliers!$B$6),"Outlier","Normal")</f>
        <v>Normal</v>
      </c>
      <c r="G758" t="str">
        <f>IF(OR(C758&lt;outliers!$B$14,C758&gt;outliers!$B$13),"Outlier","Normal")</f>
        <v>Normal</v>
      </c>
      <c r="H758" t="str">
        <f>IF(OR(D758&lt;outliers!$B$21,D758&gt;outliers!$B$20),"Outlier","Normal")</f>
        <v>Normal</v>
      </c>
      <c r="I758" t="str">
        <f>IF(OR(E758&lt;outliers!$C$28,E758&gt;outliers!$B$27),"Outlier","Normal")</f>
        <v>Normal</v>
      </c>
      <c r="J758">
        <f t="shared" si="24"/>
        <v>2020</v>
      </c>
      <c r="K758" t="str">
        <f t="shared" si="23"/>
        <v>December</v>
      </c>
    </row>
    <row r="759" spans="1:11" x14ac:dyDescent="0.35">
      <c r="A759" s="1">
        <v>44183</v>
      </c>
      <c r="B759">
        <v>22.1</v>
      </c>
      <c r="C759">
        <v>18.399999999999999</v>
      </c>
      <c r="D759">
        <v>26.6</v>
      </c>
      <c r="E759">
        <v>0</v>
      </c>
      <c r="F759" t="str">
        <f>IF(OR(B759&lt;outliers!$B$7,B759&gt;outliers!$B$6),"Outlier","Normal")</f>
        <v>Normal</v>
      </c>
      <c r="G759" t="str">
        <f>IF(OR(C759&lt;outliers!$B$14,C759&gt;outliers!$B$13),"Outlier","Normal")</f>
        <v>Normal</v>
      </c>
      <c r="H759" t="str">
        <f>IF(OR(D759&lt;outliers!$B$21,D759&gt;outliers!$B$20),"Outlier","Normal")</f>
        <v>Normal</v>
      </c>
      <c r="I759" t="str">
        <f>IF(OR(E759&lt;outliers!$C$28,E759&gt;outliers!$B$27),"Outlier","Normal")</f>
        <v>Normal</v>
      </c>
      <c r="J759">
        <f t="shared" si="24"/>
        <v>2020</v>
      </c>
      <c r="K759" t="str">
        <f t="shared" si="23"/>
        <v>December</v>
      </c>
    </row>
    <row r="760" spans="1:11" x14ac:dyDescent="0.35">
      <c r="A760" s="1">
        <v>44196</v>
      </c>
      <c r="B760">
        <v>21.1</v>
      </c>
      <c r="C760">
        <v>18.8</v>
      </c>
      <c r="D760">
        <v>29.6</v>
      </c>
      <c r="E760">
        <v>0</v>
      </c>
      <c r="F760" t="str">
        <f>IF(OR(B760&lt;outliers!$B$7,B760&gt;outliers!$B$6),"Outlier","Normal")</f>
        <v>Normal</v>
      </c>
      <c r="G760" t="str">
        <f>IF(OR(C760&lt;outliers!$B$14,C760&gt;outliers!$B$13),"Outlier","Normal")</f>
        <v>Normal</v>
      </c>
      <c r="H760" t="str">
        <f>IF(OR(D760&lt;outliers!$B$21,D760&gt;outliers!$B$20),"Outlier","Normal")</f>
        <v>Normal</v>
      </c>
      <c r="I760" t="str">
        <f>IF(OR(E760&lt;outliers!$C$28,E760&gt;outliers!$B$27),"Outlier","Normal")</f>
        <v>Normal</v>
      </c>
      <c r="J760">
        <f t="shared" si="24"/>
        <v>2020</v>
      </c>
      <c r="K760" t="str">
        <f t="shared" si="23"/>
        <v>December</v>
      </c>
    </row>
    <row r="761" spans="1:11" hidden="1" x14ac:dyDescent="0.35">
      <c r="A761" s="1">
        <v>44197</v>
      </c>
      <c r="B761">
        <v>20.6</v>
      </c>
      <c r="C761">
        <v>16.600000000000001</v>
      </c>
      <c r="D761">
        <v>25.3</v>
      </c>
      <c r="E761">
        <v>0.5</v>
      </c>
      <c r="F761" t="str">
        <f>IF(OR(B761&lt;outliers!$B$7,B761&gt;outliers!$B$6),"Outlier","Normal")</f>
        <v>Normal</v>
      </c>
      <c r="G761" t="str">
        <f>IF(OR(C761&lt;outliers!$B$14,C761&gt;outliers!$B$13),"Outlier","Normal")</f>
        <v>Outlier</v>
      </c>
      <c r="H761" t="str">
        <f>IF(OR(D761&lt;outliers!$B$21,D761&gt;outliers!$B$20),"Outlier","Normal")</f>
        <v>Normal</v>
      </c>
      <c r="I761" t="str">
        <f>IF(OR(E761&lt;outliers!$C$28,E761&gt;outliers!$B$27),"Outlier","Normal")</f>
        <v>Normal</v>
      </c>
      <c r="J761">
        <f t="shared" si="24"/>
        <v>2021</v>
      </c>
      <c r="K761" t="str">
        <f t="shared" si="23"/>
        <v>December</v>
      </c>
    </row>
    <row r="762" spans="1:11" hidden="1" x14ac:dyDescent="0.35">
      <c r="A762" s="1">
        <v>44198</v>
      </c>
      <c r="B762">
        <v>20.9</v>
      </c>
      <c r="C762">
        <v>16.600000000000001</v>
      </c>
      <c r="D762">
        <v>26</v>
      </c>
      <c r="E762">
        <v>0.4</v>
      </c>
      <c r="F762" t="str">
        <f>IF(OR(B762&lt;outliers!$B$7,B762&gt;outliers!$B$6),"Outlier","Normal")</f>
        <v>Normal</v>
      </c>
      <c r="G762" t="str">
        <f>IF(OR(C762&lt;outliers!$B$14,C762&gt;outliers!$B$13),"Outlier","Normal")</f>
        <v>Outlier</v>
      </c>
      <c r="H762" t="str">
        <f>IF(OR(D762&lt;outliers!$B$21,D762&gt;outliers!$B$20),"Outlier","Normal")</f>
        <v>Normal</v>
      </c>
      <c r="I762" t="str">
        <f>IF(OR(E762&lt;outliers!$C$28,E762&gt;outliers!$B$27),"Outlier","Normal")</f>
        <v>Normal</v>
      </c>
      <c r="J762">
        <f t="shared" si="24"/>
        <v>2021</v>
      </c>
      <c r="K762" t="str">
        <f t="shared" si="23"/>
        <v>January</v>
      </c>
    </row>
    <row r="763" spans="1:11" x14ac:dyDescent="0.35">
      <c r="A763" s="1">
        <v>44199</v>
      </c>
      <c r="B763">
        <v>21.9</v>
      </c>
      <c r="C763">
        <v>18.8</v>
      </c>
      <c r="D763">
        <v>26</v>
      </c>
      <c r="E763">
        <v>0</v>
      </c>
      <c r="F763" t="str">
        <f>IF(OR(B763&lt;outliers!$B$7,B763&gt;outliers!$B$6),"Outlier","Normal")</f>
        <v>Normal</v>
      </c>
      <c r="G763" t="str">
        <f>IF(OR(C763&lt;outliers!$B$14,C763&gt;outliers!$B$13),"Outlier","Normal")</f>
        <v>Normal</v>
      </c>
      <c r="H763" t="str">
        <f>IF(OR(D763&lt;outliers!$B$21,D763&gt;outliers!$B$20),"Outlier","Normal")</f>
        <v>Normal</v>
      </c>
      <c r="I763" t="str">
        <f>IF(OR(E763&lt;outliers!$C$28,E763&gt;outliers!$B$27),"Outlier","Normal")</f>
        <v>Normal</v>
      </c>
      <c r="J763">
        <f t="shared" si="24"/>
        <v>2021</v>
      </c>
      <c r="K763" t="str">
        <f t="shared" si="23"/>
        <v>January</v>
      </c>
    </row>
    <row r="764" spans="1:11" x14ac:dyDescent="0.35">
      <c r="A764" s="1">
        <v>44200</v>
      </c>
      <c r="B764">
        <v>20.8</v>
      </c>
      <c r="C764">
        <v>18.600000000000001</v>
      </c>
      <c r="D764">
        <v>27.6</v>
      </c>
      <c r="E764">
        <v>0</v>
      </c>
      <c r="F764" t="str">
        <f>IF(OR(B764&lt;outliers!$B$7,B764&gt;outliers!$B$6),"Outlier","Normal")</f>
        <v>Normal</v>
      </c>
      <c r="G764" t="str">
        <f>IF(OR(C764&lt;outliers!$B$14,C764&gt;outliers!$B$13),"Outlier","Normal")</f>
        <v>Normal</v>
      </c>
      <c r="H764" t="str">
        <f>IF(OR(D764&lt;outliers!$B$21,D764&gt;outliers!$B$20),"Outlier","Normal")</f>
        <v>Normal</v>
      </c>
      <c r="I764" t="str">
        <f>IF(OR(E764&lt;outliers!$C$28,E764&gt;outliers!$B$27),"Outlier","Normal")</f>
        <v>Normal</v>
      </c>
      <c r="J764">
        <f t="shared" si="24"/>
        <v>2021</v>
      </c>
      <c r="K764" t="str">
        <f t="shared" si="23"/>
        <v>January</v>
      </c>
    </row>
    <row r="765" spans="1:11" x14ac:dyDescent="0.35">
      <c r="A765" s="1">
        <v>44201</v>
      </c>
      <c r="B765">
        <v>21.9</v>
      </c>
      <c r="C765">
        <v>18.7</v>
      </c>
      <c r="D765">
        <v>26.2</v>
      </c>
      <c r="E765">
        <v>0</v>
      </c>
      <c r="F765" t="str">
        <f>IF(OR(B765&lt;outliers!$B$7,B765&gt;outliers!$B$6),"Outlier","Normal")</f>
        <v>Normal</v>
      </c>
      <c r="G765" t="str">
        <f>IF(OR(C765&lt;outliers!$B$14,C765&gt;outliers!$B$13),"Outlier","Normal")</f>
        <v>Normal</v>
      </c>
      <c r="H765" t="str">
        <f>IF(OR(D765&lt;outliers!$B$21,D765&gt;outliers!$B$20),"Outlier","Normal")</f>
        <v>Normal</v>
      </c>
      <c r="I765" t="str">
        <f>IF(OR(E765&lt;outliers!$C$28,E765&gt;outliers!$B$27),"Outlier","Normal")</f>
        <v>Normal</v>
      </c>
      <c r="J765">
        <f t="shared" si="24"/>
        <v>2021</v>
      </c>
      <c r="K765" t="str">
        <f t="shared" si="23"/>
        <v>January</v>
      </c>
    </row>
    <row r="766" spans="1:11" x14ac:dyDescent="0.35">
      <c r="A766" s="1">
        <v>44202</v>
      </c>
      <c r="B766">
        <v>21.2</v>
      </c>
      <c r="C766">
        <v>20</v>
      </c>
      <c r="D766">
        <v>27.3</v>
      </c>
      <c r="E766">
        <v>7.5</v>
      </c>
      <c r="F766" t="str">
        <f>IF(OR(B766&lt;outliers!$B$7,B766&gt;outliers!$B$6),"Outlier","Normal")</f>
        <v>Normal</v>
      </c>
      <c r="G766" t="str">
        <f>IF(OR(C766&lt;outliers!$B$14,C766&gt;outliers!$B$13),"Outlier","Normal")</f>
        <v>Normal</v>
      </c>
      <c r="H766" t="str">
        <f>IF(OR(D766&lt;outliers!$B$21,D766&gt;outliers!$B$20),"Outlier","Normal")</f>
        <v>Normal</v>
      </c>
      <c r="I766" t="str">
        <f>IF(OR(E766&lt;outliers!$C$28,E766&gt;outliers!$B$27),"Outlier","Normal")</f>
        <v>Normal</v>
      </c>
      <c r="J766">
        <f t="shared" si="24"/>
        <v>2021</v>
      </c>
      <c r="K766" t="str">
        <f t="shared" si="23"/>
        <v>January</v>
      </c>
    </row>
    <row r="767" spans="1:11" x14ac:dyDescent="0.35">
      <c r="A767" s="1">
        <v>44203</v>
      </c>
      <c r="B767">
        <v>21.6</v>
      </c>
      <c r="C767">
        <v>19.100000000000001</v>
      </c>
      <c r="D767">
        <v>25.4</v>
      </c>
      <c r="E767">
        <v>0.8</v>
      </c>
      <c r="F767" t="str">
        <f>IF(OR(B767&lt;outliers!$B$7,B767&gt;outliers!$B$6),"Outlier","Normal")</f>
        <v>Normal</v>
      </c>
      <c r="G767" t="str">
        <f>IF(OR(C767&lt;outliers!$B$14,C767&gt;outliers!$B$13),"Outlier","Normal")</f>
        <v>Normal</v>
      </c>
      <c r="H767" t="str">
        <f>IF(OR(D767&lt;outliers!$B$21,D767&gt;outliers!$B$20),"Outlier","Normal")</f>
        <v>Normal</v>
      </c>
      <c r="I767" t="str">
        <f>IF(OR(E767&lt;outliers!$C$28,E767&gt;outliers!$B$27),"Outlier","Normal")</f>
        <v>Normal</v>
      </c>
      <c r="J767">
        <f t="shared" si="24"/>
        <v>2021</v>
      </c>
      <c r="K767" t="str">
        <f t="shared" si="23"/>
        <v>January</v>
      </c>
    </row>
    <row r="768" spans="1:11" x14ac:dyDescent="0.35">
      <c r="A768" s="1">
        <v>44204</v>
      </c>
      <c r="B768">
        <v>22.3</v>
      </c>
      <c r="C768">
        <v>20</v>
      </c>
      <c r="D768">
        <v>27</v>
      </c>
      <c r="E768">
        <v>9</v>
      </c>
      <c r="F768" t="str">
        <f>IF(OR(B768&lt;outliers!$B$7,B768&gt;outliers!$B$6),"Outlier","Normal")</f>
        <v>Normal</v>
      </c>
      <c r="G768" t="str">
        <f>IF(OR(C768&lt;outliers!$B$14,C768&gt;outliers!$B$13),"Outlier","Normal")</f>
        <v>Normal</v>
      </c>
      <c r="H768" t="str">
        <f>IF(OR(D768&lt;outliers!$B$21,D768&gt;outliers!$B$20),"Outlier","Normal")</f>
        <v>Normal</v>
      </c>
      <c r="I768" t="str">
        <f>IF(OR(E768&lt;outliers!$C$28,E768&gt;outliers!$B$27),"Outlier","Normal")</f>
        <v>Normal</v>
      </c>
      <c r="J768">
        <f t="shared" si="24"/>
        <v>2021</v>
      </c>
      <c r="K768" t="str">
        <f t="shared" si="23"/>
        <v>January</v>
      </c>
    </row>
    <row r="769" spans="1:11" x14ac:dyDescent="0.35">
      <c r="A769" s="1">
        <v>44205</v>
      </c>
      <c r="B769">
        <v>21.4</v>
      </c>
      <c r="C769">
        <v>18.8</v>
      </c>
      <c r="D769">
        <v>27</v>
      </c>
      <c r="E769">
        <v>0</v>
      </c>
      <c r="F769" t="str">
        <f>IF(OR(B769&lt;outliers!$B$7,B769&gt;outliers!$B$6),"Outlier","Normal")</f>
        <v>Normal</v>
      </c>
      <c r="G769" t="str">
        <f>IF(OR(C769&lt;outliers!$B$14,C769&gt;outliers!$B$13),"Outlier","Normal")</f>
        <v>Normal</v>
      </c>
      <c r="H769" t="str">
        <f>IF(OR(D769&lt;outliers!$B$21,D769&gt;outliers!$B$20),"Outlier","Normal")</f>
        <v>Normal</v>
      </c>
      <c r="I769" t="str">
        <f>IF(OR(E769&lt;outliers!$C$28,E769&gt;outliers!$B$27),"Outlier","Normal")</f>
        <v>Normal</v>
      </c>
      <c r="J769">
        <f t="shared" si="24"/>
        <v>2021</v>
      </c>
      <c r="K769" t="str">
        <f t="shared" si="23"/>
        <v>January</v>
      </c>
    </row>
    <row r="770" spans="1:11" x14ac:dyDescent="0.35">
      <c r="A770" s="1">
        <v>44206</v>
      </c>
      <c r="B770">
        <v>22.2</v>
      </c>
      <c r="C770">
        <v>18.600000000000001</v>
      </c>
      <c r="D770">
        <v>26.2</v>
      </c>
      <c r="E770">
        <v>0</v>
      </c>
      <c r="F770" t="str">
        <f>IF(OR(B770&lt;outliers!$B$7,B770&gt;outliers!$B$6),"Outlier","Normal")</f>
        <v>Normal</v>
      </c>
      <c r="G770" t="str">
        <f>IF(OR(C770&lt;outliers!$B$14,C770&gt;outliers!$B$13),"Outlier","Normal")</f>
        <v>Normal</v>
      </c>
      <c r="H770" t="str">
        <f>IF(OR(D770&lt;outliers!$B$21,D770&gt;outliers!$B$20),"Outlier","Normal")</f>
        <v>Normal</v>
      </c>
      <c r="I770" t="str">
        <f>IF(OR(E770&lt;outliers!$C$28,E770&gt;outliers!$B$27),"Outlier","Normal")</f>
        <v>Normal</v>
      </c>
      <c r="J770">
        <f t="shared" si="24"/>
        <v>2021</v>
      </c>
      <c r="K770" t="str">
        <f t="shared" ref="K770:K833" si="25">TEXT(A769,"mmmm")</f>
        <v>January</v>
      </c>
    </row>
    <row r="771" spans="1:11" x14ac:dyDescent="0.35">
      <c r="A771" s="1">
        <v>44207</v>
      </c>
      <c r="B771">
        <v>21.6</v>
      </c>
      <c r="C771">
        <v>18.2</v>
      </c>
      <c r="D771">
        <v>26.9</v>
      </c>
      <c r="E771">
        <v>0</v>
      </c>
      <c r="F771" t="str">
        <f>IF(OR(B771&lt;outliers!$B$7,B771&gt;outliers!$B$6),"Outlier","Normal")</f>
        <v>Normal</v>
      </c>
      <c r="G771" t="str">
        <f>IF(OR(C771&lt;outliers!$B$14,C771&gt;outliers!$B$13),"Outlier","Normal")</f>
        <v>Normal</v>
      </c>
      <c r="H771" t="str">
        <f>IF(OR(D771&lt;outliers!$B$21,D771&gt;outliers!$B$20),"Outlier","Normal")</f>
        <v>Normal</v>
      </c>
      <c r="I771" t="str">
        <f>IF(OR(E771&lt;outliers!$C$28,E771&gt;outliers!$B$27),"Outlier","Normal")</f>
        <v>Normal</v>
      </c>
      <c r="J771">
        <f t="shared" si="24"/>
        <v>2021</v>
      </c>
      <c r="K771" t="str">
        <f t="shared" si="25"/>
        <v>January</v>
      </c>
    </row>
    <row r="772" spans="1:11" x14ac:dyDescent="0.35">
      <c r="A772" s="1">
        <v>44208</v>
      </c>
      <c r="B772">
        <v>20.399999999999999</v>
      </c>
      <c r="C772">
        <v>18.2</v>
      </c>
      <c r="D772">
        <v>25.4</v>
      </c>
      <c r="E772">
        <v>0</v>
      </c>
      <c r="F772" t="str">
        <f>IF(OR(B772&lt;outliers!$B$7,B772&gt;outliers!$B$6),"Outlier","Normal")</f>
        <v>Normal</v>
      </c>
      <c r="G772" t="str">
        <f>IF(OR(C772&lt;outliers!$B$14,C772&gt;outliers!$B$13),"Outlier","Normal")</f>
        <v>Normal</v>
      </c>
      <c r="H772" t="str">
        <f>IF(OR(D772&lt;outliers!$B$21,D772&gt;outliers!$B$20),"Outlier","Normal")</f>
        <v>Normal</v>
      </c>
      <c r="I772" t="str">
        <f>IF(OR(E772&lt;outliers!$C$28,E772&gt;outliers!$B$27),"Outlier","Normal")</f>
        <v>Normal</v>
      </c>
      <c r="J772">
        <f t="shared" si="24"/>
        <v>2021</v>
      </c>
      <c r="K772" t="str">
        <f t="shared" si="25"/>
        <v>January</v>
      </c>
    </row>
    <row r="773" spans="1:11" hidden="1" x14ac:dyDescent="0.35">
      <c r="A773" s="1">
        <v>44209</v>
      </c>
      <c r="B773">
        <v>21.3</v>
      </c>
      <c r="C773">
        <v>16.8</v>
      </c>
      <c r="D773">
        <v>26.3</v>
      </c>
      <c r="E773">
        <v>0</v>
      </c>
      <c r="F773" t="str">
        <f>IF(OR(B773&lt;outliers!$B$7,B773&gt;outliers!$B$6),"Outlier","Normal")</f>
        <v>Normal</v>
      </c>
      <c r="G773" t="str">
        <f>IF(OR(C773&lt;outliers!$B$14,C773&gt;outliers!$B$13),"Outlier","Normal")</f>
        <v>Outlier</v>
      </c>
      <c r="H773" t="str">
        <f>IF(OR(D773&lt;outliers!$B$21,D773&gt;outliers!$B$20),"Outlier","Normal")</f>
        <v>Normal</v>
      </c>
      <c r="I773" t="str">
        <f>IF(OR(E773&lt;outliers!$C$28,E773&gt;outliers!$B$27),"Outlier","Normal")</f>
        <v>Normal</v>
      </c>
      <c r="J773">
        <f t="shared" si="24"/>
        <v>2021</v>
      </c>
      <c r="K773" t="str">
        <f t="shared" si="25"/>
        <v>January</v>
      </c>
    </row>
    <row r="774" spans="1:11" hidden="1" x14ac:dyDescent="0.35">
      <c r="A774" s="1">
        <v>44210</v>
      </c>
      <c r="B774">
        <v>20.8</v>
      </c>
      <c r="C774">
        <v>16.399999999999999</v>
      </c>
      <c r="D774">
        <v>27.7</v>
      </c>
      <c r="E774">
        <v>0.2</v>
      </c>
      <c r="F774" t="str">
        <f>IF(OR(B774&lt;outliers!$B$7,B774&gt;outliers!$B$6),"Outlier","Normal")</f>
        <v>Normal</v>
      </c>
      <c r="G774" t="str">
        <f>IF(OR(C774&lt;outliers!$B$14,C774&gt;outliers!$B$13),"Outlier","Normal")</f>
        <v>Outlier</v>
      </c>
      <c r="H774" t="str">
        <f>IF(OR(D774&lt;outliers!$B$21,D774&gt;outliers!$B$20),"Outlier","Normal")</f>
        <v>Normal</v>
      </c>
      <c r="I774" t="str">
        <f>IF(OR(E774&lt;outliers!$C$28,E774&gt;outliers!$B$27),"Outlier","Normal")</f>
        <v>Normal</v>
      </c>
      <c r="J774">
        <f t="shared" si="24"/>
        <v>2021</v>
      </c>
      <c r="K774" t="str">
        <f t="shared" si="25"/>
        <v>January</v>
      </c>
    </row>
    <row r="775" spans="1:11" x14ac:dyDescent="0.35">
      <c r="A775" s="1">
        <v>44211</v>
      </c>
      <c r="B775">
        <v>21.8</v>
      </c>
      <c r="C775">
        <v>17.3</v>
      </c>
      <c r="D775">
        <v>26.3</v>
      </c>
      <c r="E775">
        <v>0</v>
      </c>
      <c r="F775" t="str">
        <f>IF(OR(B775&lt;outliers!$B$7,B775&gt;outliers!$B$6),"Outlier","Normal")</f>
        <v>Normal</v>
      </c>
      <c r="G775" t="str">
        <f>IF(OR(C775&lt;outliers!$B$14,C775&gt;outliers!$B$13),"Outlier","Normal")</f>
        <v>Normal</v>
      </c>
      <c r="H775" t="str">
        <f>IF(OR(D775&lt;outliers!$B$21,D775&gt;outliers!$B$20),"Outlier","Normal")</f>
        <v>Normal</v>
      </c>
      <c r="I775" t="str">
        <f>IF(OR(E775&lt;outliers!$C$28,E775&gt;outliers!$B$27),"Outlier","Normal")</f>
        <v>Normal</v>
      </c>
      <c r="J775">
        <f t="shared" si="24"/>
        <v>2021</v>
      </c>
      <c r="K775" t="str">
        <f t="shared" si="25"/>
        <v>January</v>
      </c>
    </row>
    <row r="776" spans="1:11" x14ac:dyDescent="0.35">
      <c r="A776" s="1">
        <v>44212</v>
      </c>
      <c r="B776">
        <v>22.2</v>
      </c>
      <c r="C776">
        <v>18.100000000000001</v>
      </c>
      <c r="D776">
        <v>27.4</v>
      </c>
      <c r="E776">
        <v>0</v>
      </c>
      <c r="F776" t="str">
        <f>IF(OR(B776&lt;outliers!$B$7,B776&gt;outliers!$B$6),"Outlier","Normal")</f>
        <v>Normal</v>
      </c>
      <c r="G776" t="str">
        <f>IF(OR(C776&lt;outliers!$B$14,C776&gt;outliers!$B$13),"Outlier","Normal")</f>
        <v>Normal</v>
      </c>
      <c r="H776" t="str">
        <f>IF(OR(D776&lt;outliers!$B$21,D776&gt;outliers!$B$20),"Outlier","Normal")</f>
        <v>Normal</v>
      </c>
      <c r="I776" t="str">
        <f>IF(OR(E776&lt;outliers!$C$28,E776&gt;outliers!$B$27),"Outlier","Normal")</f>
        <v>Normal</v>
      </c>
      <c r="J776">
        <f t="shared" si="24"/>
        <v>2021</v>
      </c>
      <c r="K776" t="str">
        <f t="shared" si="25"/>
        <v>January</v>
      </c>
    </row>
    <row r="777" spans="1:11" x14ac:dyDescent="0.35">
      <c r="A777" s="1">
        <v>44213</v>
      </c>
      <c r="B777">
        <v>22.2</v>
      </c>
      <c r="C777">
        <v>17</v>
      </c>
      <c r="D777">
        <v>29.2</v>
      </c>
      <c r="E777">
        <v>0</v>
      </c>
      <c r="F777" t="str">
        <f>IF(OR(B777&lt;outliers!$B$7,B777&gt;outliers!$B$6),"Outlier","Normal")</f>
        <v>Normal</v>
      </c>
      <c r="G777" t="str">
        <f>IF(OR(C777&lt;outliers!$B$14,C777&gt;outliers!$B$13),"Outlier","Normal")</f>
        <v>Normal</v>
      </c>
      <c r="H777" t="str">
        <f>IF(OR(D777&lt;outliers!$B$21,D777&gt;outliers!$B$20),"Outlier","Normal")</f>
        <v>Normal</v>
      </c>
      <c r="I777" t="str">
        <f>IF(OR(E777&lt;outliers!$C$28,E777&gt;outliers!$B$27),"Outlier","Normal")</f>
        <v>Normal</v>
      </c>
      <c r="J777">
        <f t="shared" si="24"/>
        <v>2021</v>
      </c>
      <c r="K777" t="str">
        <f t="shared" si="25"/>
        <v>January</v>
      </c>
    </row>
    <row r="778" spans="1:11" hidden="1" x14ac:dyDescent="0.35">
      <c r="A778" s="1">
        <v>44214</v>
      </c>
      <c r="B778">
        <v>21.8</v>
      </c>
      <c r="C778">
        <v>15.5</v>
      </c>
      <c r="D778">
        <v>29.6</v>
      </c>
      <c r="E778">
        <v>0</v>
      </c>
      <c r="F778" t="str">
        <f>IF(OR(B778&lt;outliers!$B$7,B778&gt;outliers!$B$6),"Outlier","Normal")</f>
        <v>Normal</v>
      </c>
      <c r="G778" t="str">
        <f>IF(OR(C778&lt;outliers!$B$14,C778&gt;outliers!$B$13),"Outlier","Normal")</f>
        <v>Outlier</v>
      </c>
      <c r="H778" t="str">
        <f>IF(OR(D778&lt;outliers!$B$21,D778&gt;outliers!$B$20),"Outlier","Normal")</f>
        <v>Normal</v>
      </c>
      <c r="I778" t="str">
        <f>IF(OR(E778&lt;outliers!$C$28,E778&gt;outliers!$B$27),"Outlier","Normal")</f>
        <v>Normal</v>
      </c>
      <c r="J778">
        <f t="shared" si="24"/>
        <v>2021</v>
      </c>
      <c r="K778" t="str">
        <f t="shared" si="25"/>
        <v>January</v>
      </c>
    </row>
    <row r="779" spans="1:11" hidden="1" x14ac:dyDescent="0.35">
      <c r="A779" s="1">
        <v>44215</v>
      </c>
      <c r="B779">
        <v>21.8</v>
      </c>
      <c r="C779">
        <v>16.100000000000001</v>
      </c>
      <c r="D779">
        <v>28.8</v>
      </c>
      <c r="E779">
        <v>0</v>
      </c>
      <c r="F779" t="str">
        <f>IF(OR(B779&lt;outliers!$B$7,B779&gt;outliers!$B$6),"Outlier","Normal")</f>
        <v>Normal</v>
      </c>
      <c r="G779" t="str">
        <f>IF(OR(C779&lt;outliers!$B$14,C779&gt;outliers!$B$13),"Outlier","Normal")</f>
        <v>Outlier</v>
      </c>
      <c r="H779" t="str">
        <f>IF(OR(D779&lt;outliers!$B$21,D779&gt;outliers!$B$20),"Outlier","Normal")</f>
        <v>Normal</v>
      </c>
      <c r="I779" t="str">
        <f>IF(OR(E779&lt;outliers!$C$28,E779&gt;outliers!$B$27),"Outlier","Normal")</f>
        <v>Normal</v>
      </c>
      <c r="J779">
        <f t="shared" si="24"/>
        <v>2021</v>
      </c>
      <c r="K779" t="str">
        <f t="shared" si="25"/>
        <v>January</v>
      </c>
    </row>
    <row r="780" spans="1:11" hidden="1" x14ac:dyDescent="0.35">
      <c r="A780" s="1">
        <v>44216</v>
      </c>
      <c r="B780">
        <v>22.7</v>
      </c>
      <c r="C780">
        <v>16</v>
      </c>
      <c r="D780">
        <v>28.4</v>
      </c>
      <c r="E780">
        <v>0</v>
      </c>
      <c r="F780" t="str">
        <f>IF(OR(B780&lt;outliers!$B$7,B780&gt;outliers!$B$6),"Outlier","Normal")</f>
        <v>Normal</v>
      </c>
      <c r="G780" t="str">
        <f>IF(OR(C780&lt;outliers!$B$14,C780&gt;outliers!$B$13),"Outlier","Normal")</f>
        <v>Outlier</v>
      </c>
      <c r="H780" t="str">
        <f>IF(OR(D780&lt;outliers!$B$21,D780&gt;outliers!$B$20),"Outlier","Normal")</f>
        <v>Normal</v>
      </c>
      <c r="I780" t="str">
        <f>IF(OR(E780&lt;outliers!$C$28,E780&gt;outliers!$B$27),"Outlier","Normal")</f>
        <v>Normal</v>
      </c>
      <c r="J780">
        <f t="shared" si="24"/>
        <v>2021</v>
      </c>
      <c r="K780" t="str">
        <f t="shared" si="25"/>
        <v>January</v>
      </c>
    </row>
    <row r="781" spans="1:11" x14ac:dyDescent="0.35">
      <c r="A781" s="1">
        <v>44217</v>
      </c>
      <c r="B781">
        <v>23.8</v>
      </c>
      <c r="C781">
        <v>17</v>
      </c>
      <c r="D781">
        <v>31.1</v>
      </c>
      <c r="E781">
        <v>0</v>
      </c>
      <c r="F781" t="str">
        <f>IF(OR(B781&lt;outliers!$B$7,B781&gt;outliers!$B$6),"Outlier","Normal")</f>
        <v>Normal</v>
      </c>
      <c r="G781" t="str">
        <f>IF(OR(C781&lt;outliers!$B$14,C781&gt;outliers!$B$13),"Outlier","Normal")</f>
        <v>Normal</v>
      </c>
      <c r="H781" t="str">
        <f>IF(OR(D781&lt;outliers!$B$21,D781&gt;outliers!$B$20),"Outlier","Normal")</f>
        <v>Normal</v>
      </c>
      <c r="I781" t="str">
        <f>IF(OR(E781&lt;outliers!$C$28,E781&gt;outliers!$B$27),"Outlier","Normal")</f>
        <v>Normal</v>
      </c>
      <c r="J781">
        <f t="shared" si="24"/>
        <v>2021</v>
      </c>
      <c r="K781" t="str">
        <f t="shared" si="25"/>
        <v>January</v>
      </c>
    </row>
    <row r="782" spans="1:11" x14ac:dyDescent="0.35">
      <c r="A782" s="1">
        <v>44218</v>
      </c>
      <c r="B782">
        <v>23.8</v>
      </c>
      <c r="C782">
        <v>18.399999999999999</v>
      </c>
      <c r="D782">
        <v>31.1</v>
      </c>
      <c r="E782">
        <v>0.1</v>
      </c>
      <c r="F782" t="str">
        <f>IF(OR(B782&lt;outliers!$B$7,B782&gt;outliers!$B$6),"Outlier","Normal")</f>
        <v>Normal</v>
      </c>
      <c r="G782" t="str">
        <f>IF(OR(C782&lt;outliers!$B$14,C782&gt;outliers!$B$13),"Outlier","Normal")</f>
        <v>Normal</v>
      </c>
      <c r="H782" t="str">
        <f>IF(OR(D782&lt;outliers!$B$21,D782&gt;outliers!$B$20),"Outlier","Normal")</f>
        <v>Normal</v>
      </c>
      <c r="I782" t="str">
        <f>IF(OR(E782&lt;outliers!$C$28,E782&gt;outliers!$B$27),"Outlier","Normal")</f>
        <v>Normal</v>
      </c>
      <c r="J782">
        <f t="shared" si="24"/>
        <v>2021</v>
      </c>
      <c r="K782" t="str">
        <f t="shared" si="25"/>
        <v>January</v>
      </c>
    </row>
    <row r="783" spans="1:11" x14ac:dyDescent="0.35">
      <c r="A783" s="1">
        <v>44219</v>
      </c>
      <c r="B783">
        <v>22.5</v>
      </c>
      <c r="C783">
        <v>18</v>
      </c>
      <c r="D783">
        <v>30.3</v>
      </c>
      <c r="E783">
        <v>0</v>
      </c>
      <c r="F783" t="str">
        <f>IF(OR(B783&lt;outliers!$B$7,B783&gt;outliers!$B$6),"Outlier","Normal")</f>
        <v>Normal</v>
      </c>
      <c r="G783" t="str">
        <f>IF(OR(C783&lt;outliers!$B$14,C783&gt;outliers!$B$13),"Outlier","Normal")</f>
        <v>Normal</v>
      </c>
      <c r="H783" t="str">
        <f>IF(OR(D783&lt;outliers!$B$21,D783&gt;outliers!$B$20),"Outlier","Normal")</f>
        <v>Normal</v>
      </c>
      <c r="I783" t="str">
        <f>IF(OR(E783&lt;outliers!$C$28,E783&gt;outliers!$B$27),"Outlier","Normal")</f>
        <v>Normal</v>
      </c>
      <c r="J783">
        <f t="shared" si="24"/>
        <v>2021</v>
      </c>
      <c r="K783" t="str">
        <f t="shared" si="25"/>
        <v>January</v>
      </c>
    </row>
    <row r="784" spans="1:11" x14ac:dyDescent="0.35">
      <c r="A784" s="1">
        <v>44220</v>
      </c>
      <c r="B784">
        <v>21.9</v>
      </c>
      <c r="C784">
        <v>17</v>
      </c>
      <c r="D784">
        <v>29.2</v>
      </c>
      <c r="E784">
        <v>0</v>
      </c>
      <c r="F784" t="str">
        <f>IF(OR(B784&lt;outliers!$B$7,B784&gt;outliers!$B$6),"Outlier","Normal")</f>
        <v>Normal</v>
      </c>
      <c r="G784" t="str">
        <f>IF(OR(C784&lt;outliers!$B$14,C784&gt;outliers!$B$13),"Outlier","Normal")</f>
        <v>Normal</v>
      </c>
      <c r="H784" t="str">
        <f>IF(OR(D784&lt;outliers!$B$21,D784&gt;outliers!$B$20),"Outlier","Normal")</f>
        <v>Normal</v>
      </c>
      <c r="I784" t="str">
        <f>IF(OR(E784&lt;outliers!$C$28,E784&gt;outliers!$B$27),"Outlier","Normal")</f>
        <v>Normal</v>
      </c>
      <c r="J784">
        <f t="shared" si="24"/>
        <v>2021</v>
      </c>
      <c r="K784" t="str">
        <f t="shared" si="25"/>
        <v>January</v>
      </c>
    </row>
    <row r="785" spans="1:11" hidden="1" x14ac:dyDescent="0.35">
      <c r="A785" s="1">
        <v>44221</v>
      </c>
      <c r="B785">
        <v>21.6</v>
      </c>
      <c r="C785">
        <v>16.3</v>
      </c>
      <c r="D785">
        <v>29.5</v>
      </c>
      <c r="E785">
        <v>0</v>
      </c>
      <c r="F785" t="str">
        <f>IF(OR(B785&lt;outliers!$B$7,B785&gt;outliers!$B$6),"Outlier","Normal")</f>
        <v>Normal</v>
      </c>
      <c r="G785" t="str">
        <f>IF(OR(C785&lt;outliers!$B$14,C785&gt;outliers!$B$13),"Outlier","Normal")</f>
        <v>Outlier</v>
      </c>
      <c r="H785" t="str">
        <f>IF(OR(D785&lt;outliers!$B$21,D785&gt;outliers!$B$20),"Outlier","Normal")</f>
        <v>Normal</v>
      </c>
      <c r="I785" t="str">
        <f>IF(OR(E785&lt;outliers!$C$28,E785&gt;outliers!$B$27),"Outlier","Normal")</f>
        <v>Normal</v>
      </c>
      <c r="J785">
        <f t="shared" ref="J785:J848" si="26">YEAR(A785)</f>
        <v>2021</v>
      </c>
      <c r="K785" t="str">
        <f t="shared" si="25"/>
        <v>January</v>
      </c>
    </row>
    <row r="786" spans="1:11" hidden="1" x14ac:dyDescent="0.35">
      <c r="A786" s="1">
        <v>44222</v>
      </c>
      <c r="B786">
        <v>21.9</v>
      </c>
      <c r="C786">
        <v>15.4</v>
      </c>
      <c r="D786">
        <v>29.4</v>
      </c>
      <c r="E786">
        <v>0</v>
      </c>
      <c r="F786" t="str">
        <f>IF(OR(B786&lt;outliers!$B$7,B786&gt;outliers!$B$6),"Outlier","Normal")</f>
        <v>Normal</v>
      </c>
      <c r="G786" t="str">
        <f>IF(OR(C786&lt;outliers!$B$14,C786&gt;outliers!$B$13),"Outlier","Normal")</f>
        <v>Outlier</v>
      </c>
      <c r="H786" t="str">
        <f>IF(OR(D786&lt;outliers!$B$21,D786&gt;outliers!$B$20),"Outlier","Normal")</f>
        <v>Normal</v>
      </c>
      <c r="I786" t="str">
        <f>IF(OR(E786&lt;outliers!$C$28,E786&gt;outliers!$B$27),"Outlier","Normal")</f>
        <v>Normal</v>
      </c>
      <c r="J786">
        <f t="shared" si="26"/>
        <v>2021</v>
      </c>
      <c r="K786" t="str">
        <f t="shared" si="25"/>
        <v>January</v>
      </c>
    </row>
    <row r="787" spans="1:11" hidden="1" x14ac:dyDescent="0.35">
      <c r="A787" s="1">
        <v>44223</v>
      </c>
      <c r="B787">
        <v>21.7</v>
      </c>
      <c r="C787">
        <v>15.4</v>
      </c>
      <c r="D787">
        <v>30.8</v>
      </c>
      <c r="E787">
        <v>0</v>
      </c>
      <c r="F787" t="str">
        <f>IF(OR(B787&lt;outliers!$B$7,B787&gt;outliers!$B$6),"Outlier","Normal")</f>
        <v>Normal</v>
      </c>
      <c r="G787" t="str">
        <f>IF(OR(C787&lt;outliers!$B$14,C787&gt;outliers!$B$13),"Outlier","Normal")</f>
        <v>Outlier</v>
      </c>
      <c r="H787" t="str">
        <f>IF(OR(D787&lt;outliers!$B$21,D787&gt;outliers!$B$20),"Outlier","Normal")</f>
        <v>Normal</v>
      </c>
      <c r="I787" t="str">
        <f>IF(OR(E787&lt;outliers!$C$28,E787&gt;outliers!$B$27),"Outlier","Normal")</f>
        <v>Normal</v>
      </c>
      <c r="J787">
        <f t="shared" si="26"/>
        <v>2021</v>
      </c>
      <c r="K787" t="str">
        <f t="shared" si="25"/>
        <v>January</v>
      </c>
    </row>
    <row r="788" spans="1:11" hidden="1" x14ac:dyDescent="0.35">
      <c r="A788" s="1">
        <v>44224</v>
      </c>
      <c r="B788">
        <v>21.6</v>
      </c>
      <c r="C788">
        <v>16</v>
      </c>
      <c r="D788">
        <v>30.2</v>
      </c>
      <c r="E788">
        <v>0</v>
      </c>
      <c r="F788" t="str">
        <f>IF(OR(B788&lt;outliers!$B$7,B788&gt;outliers!$B$6),"Outlier","Normal")</f>
        <v>Normal</v>
      </c>
      <c r="G788" t="str">
        <f>IF(OR(C788&lt;outliers!$B$14,C788&gt;outliers!$B$13),"Outlier","Normal")</f>
        <v>Outlier</v>
      </c>
      <c r="H788" t="str">
        <f>IF(OR(D788&lt;outliers!$B$21,D788&gt;outliers!$B$20),"Outlier","Normal")</f>
        <v>Normal</v>
      </c>
      <c r="I788" t="str">
        <f>IF(OR(E788&lt;outliers!$C$28,E788&gt;outliers!$B$27),"Outlier","Normal")</f>
        <v>Normal</v>
      </c>
      <c r="J788">
        <f t="shared" si="26"/>
        <v>2021</v>
      </c>
      <c r="K788" t="str">
        <f t="shared" si="25"/>
        <v>January</v>
      </c>
    </row>
    <row r="789" spans="1:11" x14ac:dyDescent="0.35">
      <c r="A789" s="1">
        <v>44225</v>
      </c>
      <c r="B789">
        <v>22.4</v>
      </c>
      <c r="C789">
        <v>18</v>
      </c>
      <c r="D789">
        <v>28.4</v>
      </c>
      <c r="E789">
        <v>0</v>
      </c>
      <c r="F789" t="str">
        <f>IF(OR(B789&lt;outliers!$B$7,B789&gt;outliers!$B$6),"Outlier","Normal")</f>
        <v>Normal</v>
      </c>
      <c r="G789" t="str">
        <f>IF(OR(C789&lt;outliers!$B$14,C789&gt;outliers!$B$13),"Outlier","Normal")</f>
        <v>Normal</v>
      </c>
      <c r="H789" t="str">
        <f>IF(OR(D789&lt;outliers!$B$21,D789&gt;outliers!$B$20),"Outlier","Normal")</f>
        <v>Normal</v>
      </c>
      <c r="I789" t="str">
        <f>IF(OR(E789&lt;outliers!$C$28,E789&gt;outliers!$B$27),"Outlier","Normal")</f>
        <v>Normal</v>
      </c>
      <c r="J789">
        <f t="shared" si="26"/>
        <v>2021</v>
      </c>
      <c r="K789" t="str">
        <f t="shared" si="25"/>
        <v>January</v>
      </c>
    </row>
    <row r="790" spans="1:11" x14ac:dyDescent="0.35">
      <c r="A790" s="1">
        <v>44226</v>
      </c>
      <c r="B790">
        <v>22.8</v>
      </c>
      <c r="C790">
        <v>17.399999999999999</v>
      </c>
      <c r="D790">
        <v>29.3</v>
      </c>
      <c r="E790">
        <v>0</v>
      </c>
      <c r="F790" t="str">
        <f>IF(OR(B790&lt;outliers!$B$7,B790&gt;outliers!$B$6),"Outlier","Normal")</f>
        <v>Normal</v>
      </c>
      <c r="G790" t="str">
        <f>IF(OR(C790&lt;outliers!$B$14,C790&gt;outliers!$B$13),"Outlier","Normal")</f>
        <v>Normal</v>
      </c>
      <c r="H790" t="str">
        <f>IF(OR(D790&lt;outliers!$B$21,D790&gt;outliers!$B$20),"Outlier","Normal")</f>
        <v>Normal</v>
      </c>
      <c r="I790" t="str">
        <f>IF(OR(E790&lt;outliers!$C$28,E790&gt;outliers!$B$27),"Outlier","Normal")</f>
        <v>Normal</v>
      </c>
      <c r="J790">
        <f t="shared" si="26"/>
        <v>2021</v>
      </c>
      <c r="K790" t="str">
        <f t="shared" si="25"/>
        <v>January</v>
      </c>
    </row>
    <row r="791" spans="1:11" x14ac:dyDescent="0.35">
      <c r="A791" s="1">
        <v>44227</v>
      </c>
      <c r="B791">
        <v>22.7</v>
      </c>
      <c r="C791">
        <v>17.2</v>
      </c>
      <c r="D791">
        <v>29.8</v>
      </c>
      <c r="E791">
        <v>0</v>
      </c>
      <c r="F791" t="str">
        <f>IF(OR(B791&lt;outliers!$B$7,B791&gt;outliers!$B$6),"Outlier","Normal")</f>
        <v>Normal</v>
      </c>
      <c r="G791" t="str">
        <f>IF(OR(C791&lt;outliers!$B$14,C791&gt;outliers!$B$13),"Outlier","Normal")</f>
        <v>Normal</v>
      </c>
      <c r="H791" t="str">
        <f>IF(OR(D791&lt;outliers!$B$21,D791&gt;outliers!$B$20),"Outlier","Normal")</f>
        <v>Normal</v>
      </c>
      <c r="I791" t="str">
        <f>IF(OR(E791&lt;outliers!$C$28,E791&gt;outliers!$B$27),"Outlier","Normal")</f>
        <v>Normal</v>
      </c>
      <c r="J791">
        <f t="shared" si="26"/>
        <v>2021</v>
      </c>
      <c r="K791" t="str">
        <f t="shared" si="25"/>
        <v>January</v>
      </c>
    </row>
    <row r="792" spans="1:11" hidden="1" x14ac:dyDescent="0.35">
      <c r="A792" s="1">
        <v>44228</v>
      </c>
      <c r="B792">
        <v>22.8</v>
      </c>
      <c r="C792">
        <v>16.8</v>
      </c>
      <c r="D792">
        <v>30.1</v>
      </c>
      <c r="E792">
        <v>0</v>
      </c>
      <c r="F792" t="str">
        <f>IF(OR(B792&lt;outliers!$B$7,B792&gt;outliers!$B$6),"Outlier","Normal")</f>
        <v>Normal</v>
      </c>
      <c r="G792" t="str">
        <f>IF(OR(C792&lt;outliers!$B$14,C792&gt;outliers!$B$13),"Outlier","Normal")</f>
        <v>Outlier</v>
      </c>
      <c r="H792" t="str">
        <f>IF(OR(D792&lt;outliers!$B$21,D792&gt;outliers!$B$20),"Outlier","Normal")</f>
        <v>Normal</v>
      </c>
      <c r="I792" t="str">
        <f>IF(OR(E792&lt;outliers!$C$28,E792&gt;outliers!$B$27),"Outlier","Normal")</f>
        <v>Normal</v>
      </c>
      <c r="J792">
        <f t="shared" si="26"/>
        <v>2021</v>
      </c>
      <c r="K792" t="str">
        <f t="shared" si="25"/>
        <v>January</v>
      </c>
    </row>
    <row r="793" spans="1:11" hidden="1" x14ac:dyDescent="0.35">
      <c r="A793" s="1">
        <v>44229</v>
      </c>
      <c r="B793">
        <v>22.1</v>
      </c>
      <c r="C793">
        <v>16.8</v>
      </c>
      <c r="D793">
        <v>29.6</v>
      </c>
      <c r="E793">
        <v>0</v>
      </c>
      <c r="F793" t="str">
        <f>IF(OR(B793&lt;outliers!$B$7,B793&gt;outliers!$B$6),"Outlier","Normal")</f>
        <v>Normal</v>
      </c>
      <c r="G793" t="str">
        <f>IF(OR(C793&lt;outliers!$B$14,C793&gt;outliers!$B$13),"Outlier","Normal")</f>
        <v>Outlier</v>
      </c>
      <c r="H793" t="str">
        <f>IF(OR(D793&lt;outliers!$B$21,D793&gt;outliers!$B$20),"Outlier","Normal")</f>
        <v>Normal</v>
      </c>
      <c r="I793" t="str">
        <f>IF(OR(E793&lt;outliers!$C$28,E793&gt;outliers!$B$27),"Outlier","Normal")</f>
        <v>Normal</v>
      </c>
      <c r="J793">
        <f t="shared" si="26"/>
        <v>2021</v>
      </c>
      <c r="K793" t="str">
        <f t="shared" si="25"/>
        <v>February</v>
      </c>
    </row>
    <row r="794" spans="1:11" x14ac:dyDescent="0.35">
      <c r="A794" s="1">
        <v>44230</v>
      </c>
      <c r="B794">
        <v>21.8</v>
      </c>
      <c r="C794">
        <v>17.899999999999999</v>
      </c>
      <c r="D794">
        <v>28.6</v>
      </c>
      <c r="E794">
        <v>0</v>
      </c>
      <c r="F794" t="str">
        <f>IF(OR(B794&lt;outliers!$B$7,B794&gt;outliers!$B$6),"Outlier","Normal")</f>
        <v>Normal</v>
      </c>
      <c r="G794" t="str">
        <f>IF(OR(C794&lt;outliers!$B$14,C794&gt;outliers!$B$13),"Outlier","Normal")</f>
        <v>Normal</v>
      </c>
      <c r="H794" t="str">
        <f>IF(OR(D794&lt;outliers!$B$21,D794&gt;outliers!$B$20),"Outlier","Normal")</f>
        <v>Normal</v>
      </c>
      <c r="I794" t="str">
        <f>IF(OR(E794&lt;outliers!$C$28,E794&gt;outliers!$B$27),"Outlier","Normal")</f>
        <v>Normal</v>
      </c>
      <c r="J794">
        <f t="shared" si="26"/>
        <v>2021</v>
      </c>
      <c r="K794" t="str">
        <f t="shared" si="25"/>
        <v>February</v>
      </c>
    </row>
    <row r="795" spans="1:11" hidden="1" x14ac:dyDescent="0.35">
      <c r="A795" s="1">
        <v>44231</v>
      </c>
      <c r="B795">
        <v>22.1</v>
      </c>
      <c r="C795">
        <v>16.100000000000001</v>
      </c>
      <c r="D795">
        <v>28.5</v>
      </c>
      <c r="E795">
        <v>0</v>
      </c>
      <c r="F795" t="str">
        <f>IF(OR(B795&lt;outliers!$B$7,B795&gt;outliers!$B$6),"Outlier","Normal")</f>
        <v>Normal</v>
      </c>
      <c r="G795" t="str">
        <f>IF(OR(C795&lt;outliers!$B$14,C795&gt;outliers!$B$13),"Outlier","Normal")</f>
        <v>Outlier</v>
      </c>
      <c r="H795" t="str">
        <f>IF(OR(D795&lt;outliers!$B$21,D795&gt;outliers!$B$20),"Outlier","Normal")</f>
        <v>Normal</v>
      </c>
      <c r="I795" t="str">
        <f>IF(OR(E795&lt;outliers!$C$28,E795&gt;outliers!$B$27),"Outlier","Normal")</f>
        <v>Normal</v>
      </c>
      <c r="J795">
        <f t="shared" si="26"/>
        <v>2021</v>
      </c>
      <c r="K795" t="str">
        <f t="shared" si="25"/>
        <v>February</v>
      </c>
    </row>
    <row r="796" spans="1:11" hidden="1" x14ac:dyDescent="0.35">
      <c r="A796" s="1">
        <v>44232</v>
      </c>
      <c r="B796">
        <v>22.2</v>
      </c>
      <c r="C796">
        <v>15.4</v>
      </c>
      <c r="D796">
        <v>29.4</v>
      </c>
      <c r="E796">
        <v>0</v>
      </c>
      <c r="F796" t="str">
        <f>IF(OR(B796&lt;outliers!$B$7,B796&gt;outliers!$B$6),"Outlier","Normal")</f>
        <v>Normal</v>
      </c>
      <c r="G796" t="str">
        <f>IF(OR(C796&lt;outliers!$B$14,C796&gt;outliers!$B$13),"Outlier","Normal")</f>
        <v>Outlier</v>
      </c>
      <c r="H796" t="str">
        <f>IF(OR(D796&lt;outliers!$B$21,D796&gt;outliers!$B$20),"Outlier","Normal")</f>
        <v>Normal</v>
      </c>
      <c r="I796" t="str">
        <f>IF(OR(E796&lt;outliers!$C$28,E796&gt;outliers!$B$27),"Outlier","Normal")</f>
        <v>Normal</v>
      </c>
      <c r="J796">
        <f t="shared" si="26"/>
        <v>2021</v>
      </c>
      <c r="K796" t="str">
        <f t="shared" si="25"/>
        <v>February</v>
      </c>
    </row>
    <row r="797" spans="1:11" hidden="1" x14ac:dyDescent="0.35">
      <c r="A797" s="1">
        <v>44233</v>
      </c>
      <c r="B797">
        <v>22.4</v>
      </c>
      <c r="C797">
        <v>15.6</v>
      </c>
      <c r="D797">
        <v>30.4</v>
      </c>
      <c r="E797">
        <v>0</v>
      </c>
      <c r="F797" t="str">
        <f>IF(OR(B797&lt;outliers!$B$7,B797&gt;outliers!$B$6),"Outlier","Normal")</f>
        <v>Normal</v>
      </c>
      <c r="G797" t="str">
        <f>IF(OR(C797&lt;outliers!$B$14,C797&gt;outliers!$B$13),"Outlier","Normal")</f>
        <v>Outlier</v>
      </c>
      <c r="H797" t="str">
        <f>IF(OR(D797&lt;outliers!$B$21,D797&gt;outliers!$B$20),"Outlier","Normal")</f>
        <v>Normal</v>
      </c>
      <c r="I797" t="str">
        <f>IF(OR(E797&lt;outliers!$C$28,E797&gt;outliers!$B$27),"Outlier","Normal")</f>
        <v>Normal</v>
      </c>
      <c r="J797">
        <f t="shared" si="26"/>
        <v>2021</v>
      </c>
      <c r="K797" t="str">
        <f t="shared" si="25"/>
        <v>February</v>
      </c>
    </row>
    <row r="798" spans="1:11" hidden="1" x14ac:dyDescent="0.35">
      <c r="A798" s="1">
        <v>44234</v>
      </c>
      <c r="B798">
        <v>22.3</v>
      </c>
      <c r="C798">
        <v>15</v>
      </c>
      <c r="D798">
        <v>30.4</v>
      </c>
      <c r="E798">
        <v>0</v>
      </c>
      <c r="F798" t="str">
        <f>IF(OR(B798&lt;outliers!$B$7,B798&gt;outliers!$B$6),"Outlier","Normal")</f>
        <v>Normal</v>
      </c>
      <c r="G798" t="str">
        <f>IF(OR(C798&lt;outliers!$B$14,C798&gt;outliers!$B$13),"Outlier","Normal")</f>
        <v>Outlier</v>
      </c>
      <c r="H798" t="str">
        <f>IF(OR(D798&lt;outliers!$B$21,D798&gt;outliers!$B$20),"Outlier","Normal")</f>
        <v>Normal</v>
      </c>
      <c r="I798" t="str">
        <f>IF(OR(E798&lt;outliers!$C$28,E798&gt;outliers!$B$27),"Outlier","Normal")</f>
        <v>Normal</v>
      </c>
      <c r="J798">
        <f t="shared" si="26"/>
        <v>2021</v>
      </c>
      <c r="K798" t="str">
        <f t="shared" si="25"/>
        <v>February</v>
      </c>
    </row>
    <row r="799" spans="1:11" hidden="1" x14ac:dyDescent="0.35">
      <c r="A799" s="1">
        <v>44235</v>
      </c>
      <c r="B799">
        <v>22.1</v>
      </c>
      <c r="C799">
        <v>16.100000000000001</v>
      </c>
      <c r="D799">
        <v>30.1</v>
      </c>
      <c r="E799">
        <v>0</v>
      </c>
      <c r="F799" t="str">
        <f>IF(OR(B799&lt;outliers!$B$7,B799&gt;outliers!$B$6),"Outlier","Normal")</f>
        <v>Normal</v>
      </c>
      <c r="G799" t="str">
        <f>IF(OR(C799&lt;outliers!$B$14,C799&gt;outliers!$B$13),"Outlier","Normal")</f>
        <v>Outlier</v>
      </c>
      <c r="H799" t="str">
        <f>IF(OR(D799&lt;outliers!$B$21,D799&gt;outliers!$B$20),"Outlier","Normal")</f>
        <v>Normal</v>
      </c>
      <c r="I799" t="str">
        <f>IF(OR(E799&lt;outliers!$C$28,E799&gt;outliers!$B$27),"Outlier","Normal")</f>
        <v>Normal</v>
      </c>
      <c r="J799">
        <f t="shared" si="26"/>
        <v>2021</v>
      </c>
      <c r="K799" t="str">
        <f t="shared" si="25"/>
        <v>February</v>
      </c>
    </row>
    <row r="800" spans="1:11" hidden="1" x14ac:dyDescent="0.35">
      <c r="A800" s="1">
        <v>44236</v>
      </c>
      <c r="B800">
        <v>20.6</v>
      </c>
      <c r="C800">
        <v>14.9</v>
      </c>
      <c r="D800">
        <v>29.8</v>
      </c>
      <c r="E800">
        <v>0</v>
      </c>
      <c r="F800" t="str">
        <f>IF(OR(B800&lt;outliers!$B$7,B800&gt;outliers!$B$6),"Outlier","Normal")</f>
        <v>Normal</v>
      </c>
      <c r="G800" t="str">
        <f>IF(OR(C800&lt;outliers!$B$14,C800&gt;outliers!$B$13),"Outlier","Normal")</f>
        <v>Outlier</v>
      </c>
      <c r="H800" t="str">
        <f>IF(OR(D800&lt;outliers!$B$21,D800&gt;outliers!$B$20),"Outlier","Normal")</f>
        <v>Normal</v>
      </c>
      <c r="I800" t="str">
        <f>IF(OR(E800&lt;outliers!$C$28,E800&gt;outliers!$B$27),"Outlier","Normal")</f>
        <v>Normal</v>
      </c>
      <c r="J800">
        <f t="shared" si="26"/>
        <v>2021</v>
      </c>
      <c r="K800" t="str">
        <f t="shared" si="25"/>
        <v>February</v>
      </c>
    </row>
    <row r="801" spans="1:11" hidden="1" x14ac:dyDescent="0.35">
      <c r="A801" s="1">
        <v>44237</v>
      </c>
      <c r="B801">
        <v>21.7</v>
      </c>
      <c r="C801">
        <v>14.4</v>
      </c>
      <c r="D801">
        <v>28.6</v>
      </c>
      <c r="E801">
        <v>0</v>
      </c>
      <c r="F801" t="str">
        <f>IF(OR(B801&lt;outliers!$B$7,B801&gt;outliers!$B$6),"Outlier","Normal")</f>
        <v>Normal</v>
      </c>
      <c r="G801" t="str">
        <f>IF(OR(C801&lt;outliers!$B$14,C801&gt;outliers!$B$13),"Outlier","Normal")</f>
        <v>Outlier</v>
      </c>
      <c r="H801" t="str">
        <f>IF(OR(D801&lt;outliers!$B$21,D801&gt;outliers!$B$20),"Outlier","Normal")</f>
        <v>Normal</v>
      </c>
      <c r="I801" t="str">
        <f>IF(OR(E801&lt;outliers!$C$28,E801&gt;outliers!$B$27),"Outlier","Normal")</f>
        <v>Normal</v>
      </c>
      <c r="J801">
        <f t="shared" si="26"/>
        <v>2021</v>
      </c>
      <c r="K801" t="str">
        <f t="shared" si="25"/>
        <v>February</v>
      </c>
    </row>
    <row r="802" spans="1:11" hidden="1" x14ac:dyDescent="0.35">
      <c r="A802" s="1">
        <v>44238</v>
      </c>
      <c r="B802">
        <v>20.3</v>
      </c>
      <c r="C802">
        <v>13.5</v>
      </c>
      <c r="D802">
        <v>28.1</v>
      </c>
      <c r="E802">
        <v>0</v>
      </c>
      <c r="F802" t="str">
        <f>IF(OR(B802&lt;outliers!$B$7,B802&gt;outliers!$B$6),"Outlier","Normal")</f>
        <v>Normal</v>
      </c>
      <c r="G802" t="str">
        <f>IF(OR(C802&lt;outliers!$B$14,C802&gt;outliers!$B$13),"Outlier","Normal")</f>
        <v>Outlier</v>
      </c>
      <c r="H802" t="str">
        <f>IF(OR(D802&lt;outliers!$B$21,D802&gt;outliers!$B$20),"Outlier","Normal")</f>
        <v>Normal</v>
      </c>
      <c r="I802" t="str">
        <f>IF(OR(E802&lt;outliers!$C$28,E802&gt;outliers!$B$27),"Outlier","Normal")</f>
        <v>Normal</v>
      </c>
      <c r="J802">
        <f t="shared" si="26"/>
        <v>2021</v>
      </c>
      <c r="K802" t="str">
        <f t="shared" si="25"/>
        <v>February</v>
      </c>
    </row>
    <row r="803" spans="1:11" hidden="1" x14ac:dyDescent="0.35">
      <c r="A803" s="1">
        <v>44239</v>
      </c>
      <c r="B803">
        <v>20.7</v>
      </c>
      <c r="C803">
        <v>12.2</v>
      </c>
      <c r="D803">
        <v>28.9</v>
      </c>
      <c r="E803">
        <v>0</v>
      </c>
      <c r="F803" t="str">
        <f>IF(OR(B803&lt;outliers!$B$7,B803&gt;outliers!$B$6),"Outlier","Normal")</f>
        <v>Normal</v>
      </c>
      <c r="G803" t="str">
        <f>IF(OR(C803&lt;outliers!$B$14,C803&gt;outliers!$B$13),"Outlier","Normal")</f>
        <v>Outlier</v>
      </c>
      <c r="H803" t="str">
        <f>IF(OR(D803&lt;outliers!$B$21,D803&gt;outliers!$B$20),"Outlier","Normal")</f>
        <v>Normal</v>
      </c>
      <c r="I803" t="str">
        <f>IF(OR(E803&lt;outliers!$C$28,E803&gt;outliers!$B$27),"Outlier","Normal")</f>
        <v>Normal</v>
      </c>
      <c r="J803">
        <f t="shared" si="26"/>
        <v>2021</v>
      </c>
      <c r="K803" t="str">
        <f t="shared" si="25"/>
        <v>February</v>
      </c>
    </row>
    <row r="804" spans="1:11" hidden="1" x14ac:dyDescent="0.35">
      <c r="A804" s="1">
        <v>44240</v>
      </c>
      <c r="B804">
        <v>20.6</v>
      </c>
      <c r="C804">
        <v>13</v>
      </c>
      <c r="D804">
        <v>29.8</v>
      </c>
      <c r="E804">
        <v>0</v>
      </c>
      <c r="F804" t="str">
        <f>IF(OR(B804&lt;outliers!$B$7,B804&gt;outliers!$B$6),"Outlier","Normal")</f>
        <v>Normal</v>
      </c>
      <c r="G804" t="str">
        <f>IF(OR(C804&lt;outliers!$B$14,C804&gt;outliers!$B$13),"Outlier","Normal")</f>
        <v>Outlier</v>
      </c>
      <c r="H804" t="str">
        <f>IF(OR(D804&lt;outliers!$B$21,D804&gt;outliers!$B$20),"Outlier","Normal")</f>
        <v>Normal</v>
      </c>
      <c r="I804" t="str">
        <f>IF(OR(E804&lt;outliers!$C$28,E804&gt;outliers!$B$27),"Outlier","Normal")</f>
        <v>Normal</v>
      </c>
      <c r="J804">
        <f t="shared" si="26"/>
        <v>2021</v>
      </c>
      <c r="K804" t="str">
        <f t="shared" si="25"/>
        <v>February</v>
      </c>
    </row>
    <row r="805" spans="1:11" hidden="1" x14ac:dyDescent="0.35">
      <c r="A805" s="1">
        <v>44241</v>
      </c>
      <c r="B805">
        <v>23</v>
      </c>
      <c r="C805">
        <v>16.2</v>
      </c>
      <c r="D805">
        <v>31</v>
      </c>
      <c r="E805">
        <v>0</v>
      </c>
      <c r="F805" t="str">
        <f>IF(OR(B805&lt;outliers!$B$7,B805&gt;outliers!$B$6),"Outlier","Normal")</f>
        <v>Normal</v>
      </c>
      <c r="G805" t="str">
        <f>IF(OR(C805&lt;outliers!$B$14,C805&gt;outliers!$B$13),"Outlier","Normal")</f>
        <v>Outlier</v>
      </c>
      <c r="H805" t="str">
        <f>IF(OR(D805&lt;outliers!$B$21,D805&gt;outliers!$B$20),"Outlier","Normal")</f>
        <v>Normal</v>
      </c>
      <c r="I805" t="str">
        <f>IF(OR(E805&lt;outliers!$C$28,E805&gt;outliers!$B$27),"Outlier","Normal")</f>
        <v>Normal</v>
      </c>
      <c r="J805">
        <f t="shared" si="26"/>
        <v>2021</v>
      </c>
      <c r="K805" t="str">
        <f t="shared" si="25"/>
        <v>February</v>
      </c>
    </row>
    <row r="806" spans="1:11" x14ac:dyDescent="0.35">
      <c r="A806" s="1">
        <v>44242</v>
      </c>
      <c r="B806">
        <v>24</v>
      </c>
      <c r="C806">
        <v>17.899999999999999</v>
      </c>
      <c r="D806">
        <v>31.5</v>
      </c>
      <c r="E806">
        <v>0</v>
      </c>
      <c r="F806" t="str">
        <f>IF(OR(B806&lt;outliers!$B$7,B806&gt;outliers!$B$6),"Outlier","Normal")</f>
        <v>Normal</v>
      </c>
      <c r="G806" t="str">
        <f>IF(OR(C806&lt;outliers!$B$14,C806&gt;outliers!$B$13),"Outlier","Normal")</f>
        <v>Normal</v>
      </c>
      <c r="H806" t="str">
        <f>IF(OR(D806&lt;outliers!$B$21,D806&gt;outliers!$B$20),"Outlier","Normal")</f>
        <v>Normal</v>
      </c>
      <c r="I806" t="str">
        <f>IF(OR(E806&lt;outliers!$C$28,E806&gt;outliers!$B$27),"Outlier","Normal")</f>
        <v>Normal</v>
      </c>
      <c r="J806">
        <f t="shared" si="26"/>
        <v>2021</v>
      </c>
      <c r="K806" t="str">
        <f t="shared" si="25"/>
        <v>February</v>
      </c>
    </row>
    <row r="807" spans="1:11" x14ac:dyDescent="0.35">
      <c r="A807" s="1">
        <v>44243</v>
      </c>
      <c r="B807">
        <v>23.9</v>
      </c>
      <c r="C807">
        <v>18.399999999999999</v>
      </c>
      <c r="D807">
        <v>32</v>
      </c>
      <c r="E807">
        <v>0</v>
      </c>
      <c r="F807" t="str">
        <f>IF(OR(B807&lt;outliers!$B$7,B807&gt;outliers!$B$6),"Outlier","Normal")</f>
        <v>Normal</v>
      </c>
      <c r="G807" t="str">
        <f>IF(OR(C807&lt;outliers!$B$14,C807&gt;outliers!$B$13),"Outlier","Normal")</f>
        <v>Normal</v>
      </c>
      <c r="H807" t="str">
        <f>IF(OR(D807&lt;outliers!$B$21,D807&gt;outliers!$B$20),"Outlier","Normal")</f>
        <v>Normal</v>
      </c>
      <c r="I807" t="str">
        <f>IF(OR(E807&lt;outliers!$C$28,E807&gt;outliers!$B$27),"Outlier","Normal")</f>
        <v>Normal</v>
      </c>
      <c r="J807">
        <f t="shared" si="26"/>
        <v>2021</v>
      </c>
      <c r="K807" t="str">
        <f t="shared" si="25"/>
        <v>February</v>
      </c>
    </row>
    <row r="808" spans="1:11" x14ac:dyDescent="0.35">
      <c r="A808" s="1">
        <v>44244</v>
      </c>
      <c r="B808">
        <v>23.8</v>
      </c>
      <c r="C808">
        <v>18.399999999999999</v>
      </c>
      <c r="D808">
        <v>31.4</v>
      </c>
      <c r="E808">
        <v>0</v>
      </c>
      <c r="F808" t="str">
        <f>IF(OR(B808&lt;outliers!$B$7,B808&gt;outliers!$B$6),"Outlier","Normal")</f>
        <v>Normal</v>
      </c>
      <c r="G808" t="str">
        <f>IF(OR(C808&lt;outliers!$B$14,C808&gt;outliers!$B$13),"Outlier","Normal")</f>
        <v>Normal</v>
      </c>
      <c r="H808" t="str">
        <f>IF(OR(D808&lt;outliers!$B$21,D808&gt;outliers!$B$20),"Outlier","Normal")</f>
        <v>Normal</v>
      </c>
      <c r="I808" t="str">
        <f>IF(OR(E808&lt;outliers!$C$28,E808&gt;outliers!$B$27),"Outlier","Normal")</f>
        <v>Normal</v>
      </c>
      <c r="J808">
        <f t="shared" si="26"/>
        <v>2021</v>
      </c>
      <c r="K808" t="str">
        <f t="shared" si="25"/>
        <v>February</v>
      </c>
    </row>
    <row r="809" spans="1:11" x14ac:dyDescent="0.35">
      <c r="A809" s="1">
        <v>44245</v>
      </c>
      <c r="B809">
        <v>22.8</v>
      </c>
      <c r="C809">
        <v>18</v>
      </c>
      <c r="D809">
        <v>31.2</v>
      </c>
      <c r="E809">
        <v>0.1</v>
      </c>
      <c r="F809" t="str">
        <f>IF(OR(B809&lt;outliers!$B$7,B809&gt;outliers!$B$6),"Outlier","Normal")</f>
        <v>Normal</v>
      </c>
      <c r="G809" t="str">
        <f>IF(OR(C809&lt;outliers!$B$14,C809&gt;outliers!$B$13),"Outlier","Normal")</f>
        <v>Normal</v>
      </c>
      <c r="H809" t="str">
        <f>IF(OR(D809&lt;outliers!$B$21,D809&gt;outliers!$B$20),"Outlier","Normal")</f>
        <v>Normal</v>
      </c>
      <c r="I809" t="str">
        <f>IF(OR(E809&lt;outliers!$C$28,E809&gt;outliers!$B$27),"Outlier","Normal")</f>
        <v>Normal</v>
      </c>
      <c r="J809">
        <f t="shared" si="26"/>
        <v>2021</v>
      </c>
      <c r="K809" t="str">
        <f t="shared" si="25"/>
        <v>February</v>
      </c>
    </row>
    <row r="810" spans="1:11" x14ac:dyDescent="0.35">
      <c r="A810" s="1">
        <v>44246</v>
      </c>
      <c r="B810">
        <v>22.8</v>
      </c>
      <c r="C810">
        <v>18.2</v>
      </c>
      <c r="D810">
        <v>29.3</v>
      </c>
      <c r="E810">
        <v>1.7</v>
      </c>
      <c r="F810" t="str">
        <f>IF(OR(B810&lt;outliers!$B$7,B810&gt;outliers!$B$6),"Outlier","Normal")</f>
        <v>Normal</v>
      </c>
      <c r="G810" t="str">
        <f>IF(OR(C810&lt;outliers!$B$14,C810&gt;outliers!$B$13),"Outlier","Normal")</f>
        <v>Normal</v>
      </c>
      <c r="H810" t="str">
        <f>IF(OR(D810&lt;outliers!$B$21,D810&gt;outliers!$B$20),"Outlier","Normal")</f>
        <v>Normal</v>
      </c>
      <c r="I810" t="str">
        <f>IF(OR(E810&lt;outliers!$C$28,E810&gt;outliers!$B$27),"Outlier","Normal")</f>
        <v>Normal</v>
      </c>
      <c r="J810">
        <f t="shared" si="26"/>
        <v>2021</v>
      </c>
      <c r="K810" t="str">
        <f t="shared" si="25"/>
        <v>February</v>
      </c>
    </row>
    <row r="811" spans="1:11" hidden="1" x14ac:dyDescent="0.35">
      <c r="A811" s="1">
        <v>44247</v>
      </c>
      <c r="B811">
        <v>19.8</v>
      </c>
      <c r="C811">
        <v>16.8</v>
      </c>
      <c r="D811">
        <v>24.5</v>
      </c>
      <c r="E811">
        <v>4.2</v>
      </c>
      <c r="F811" t="str">
        <f>IF(OR(B811&lt;outliers!$B$7,B811&gt;outliers!$B$6),"Outlier","Normal")</f>
        <v>Normal</v>
      </c>
      <c r="G811" t="str">
        <f>IF(OR(C811&lt;outliers!$B$14,C811&gt;outliers!$B$13),"Outlier","Normal")</f>
        <v>Outlier</v>
      </c>
      <c r="H811" t="str">
        <f>IF(OR(D811&lt;outliers!$B$21,D811&gt;outliers!$B$20),"Outlier","Normal")</f>
        <v>Normal</v>
      </c>
      <c r="I811" t="str">
        <f>IF(OR(E811&lt;outliers!$C$28,E811&gt;outliers!$B$27),"Outlier","Normal")</f>
        <v>Normal</v>
      </c>
      <c r="J811">
        <f t="shared" si="26"/>
        <v>2021</v>
      </c>
      <c r="K811" t="str">
        <f t="shared" si="25"/>
        <v>February</v>
      </c>
    </row>
    <row r="812" spans="1:11" x14ac:dyDescent="0.35">
      <c r="A812" s="1">
        <v>44248</v>
      </c>
      <c r="B812">
        <v>20.6</v>
      </c>
      <c r="C812">
        <v>17.100000000000001</v>
      </c>
      <c r="D812">
        <v>24.2</v>
      </c>
      <c r="E812">
        <v>4.7</v>
      </c>
      <c r="F812" t="str">
        <f>IF(OR(B812&lt;outliers!$B$7,B812&gt;outliers!$B$6),"Outlier","Normal")</f>
        <v>Normal</v>
      </c>
      <c r="G812" t="str">
        <f>IF(OR(C812&lt;outliers!$B$14,C812&gt;outliers!$B$13),"Outlier","Normal")</f>
        <v>Normal</v>
      </c>
      <c r="H812" t="str">
        <f>IF(OR(D812&lt;outliers!$B$21,D812&gt;outliers!$B$20),"Outlier","Normal")</f>
        <v>Normal</v>
      </c>
      <c r="I812" t="str">
        <f>IF(OR(E812&lt;outliers!$C$28,E812&gt;outliers!$B$27),"Outlier","Normal")</f>
        <v>Normal</v>
      </c>
      <c r="J812">
        <f t="shared" si="26"/>
        <v>2021</v>
      </c>
      <c r="K812" t="str">
        <f t="shared" si="25"/>
        <v>February</v>
      </c>
    </row>
    <row r="813" spans="1:11" x14ac:dyDescent="0.35">
      <c r="A813" s="1">
        <v>44249</v>
      </c>
      <c r="B813">
        <v>22.8</v>
      </c>
      <c r="C813">
        <v>18.100000000000001</v>
      </c>
      <c r="D813">
        <v>28</v>
      </c>
      <c r="E813">
        <v>0.4</v>
      </c>
      <c r="F813" t="str">
        <f>IF(OR(B813&lt;outliers!$B$7,B813&gt;outliers!$B$6),"Outlier","Normal")</f>
        <v>Normal</v>
      </c>
      <c r="G813" t="str">
        <f>IF(OR(C813&lt;outliers!$B$14,C813&gt;outliers!$B$13),"Outlier","Normal")</f>
        <v>Normal</v>
      </c>
      <c r="H813" t="str">
        <f>IF(OR(D813&lt;outliers!$B$21,D813&gt;outliers!$B$20),"Outlier","Normal")</f>
        <v>Normal</v>
      </c>
      <c r="I813" t="str">
        <f>IF(OR(E813&lt;outliers!$C$28,E813&gt;outliers!$B$27),"Outlier","Normal")</f>
        <v>Normal</v>
      </c>
      <c r="J813">
        <f t="shared" si="26"/>
        <v>2021</v>
      </c>
      <c r="K813" t="str">
        <f t="shared" si="25"/>
        <v>February</v>
      </c>
    </row>
    <row r="814" spans="1:11" x14ac:dyDescent="0.35">
      <c r="A814" s="1">
        <v>44250</v>
      </c>
      <c r="B814">
        <v>24.5</v>
      </c>
      <c r="C814">
        <v>18.2</v>
      </c>
      <c r="D814">
        <v>30.4</v>
      </c>
      <c r="E814">
        <v>0</v>
      </c>
      <c r="F814" t="str">
        <f>IF(OR(B814&lt;outliers!$B$7,B814&gt;outliers!$B$6),"Outlier","Normal")</f>
        <v>Normal</v>
      </c>
      <c r="G814" t="str">
        <f>IF(OR(C814&lt;outliers!$B$14,C814&gt;outliers!$B$13),"Outlier","Normal")</f>
        <v>Normal</v>
      </c>
      <c r="H814" t="str">
        <f>IF(OR(D814&lt;outliers!$B$21,D814&gt;outliers!$B$20),"Outlier","Normal")</f>
        <v>Normal</v>
      </c>
      <c r="I814" t="str">
        <f>IF(OR(E814&lt;outliers!$C$28,E814&gt;outliers!$B$27),"Outlier","Normal")</f>
        <v>Normal</v>
      </c>
      <c r="J814">
        <f t="shared" si="26"/>
        <v>2021</v>
      </c>
      <c r="K814" t="str">
        <f t="shared" si="25"/>
        <v>February</v>
      </c>
    </row>
    <row r="815" spans="1:11" x14ac:dyDescent="0.35">
      <c r="A815" s="1">
        <v>44251</v>
      </c>
      <c r="B815">
        <v>24.4</v>
      </c>
      <c r="C815">
        <v>18</v>
      </c>
      <c r="D815">
        <v>31.1</v>
      </c>
      <c r="E815">
        <v>0</v>
      </c>
      <c r="F815" t="str">
        <f>IF(OR(B815&lt;outliers!$B$7,B815&gt;outliers!$B$6),"Outlier","Normal")</f>
        <v>Normal</v>
      </c>
      <c r="G815" t="str">
        <f>IF(OR(C815&lt;outliers!$B$14,C815&gt;outliers!$B$13),"Outlier","Normal")</f>
        <v>Normal</v>
      </c>
      <c r="H815" t="str">
        <f>IF(OR(D815&lt;outliers!$B$21,D815&gt;outliers!$B$20),"Outlier","Normal")</f>
        <v>Normal</v>
      </c>
      <c r="I815" t="str">
        <f>IF(OR(E815&lt;outliers!$C$28,E815&gt;outliers!$B$27),"Outlier","Normal")</f>
        <v>Normal</v>
      </c>
      <c r="J815">
        <f t="shared" si="26"/>
        <v>2021</v>
      </c>
      <c r="K815" t="str">
        <f t="shared" si="25"/>
        <v>February</v>
      </c>
    </row>
    <row r="816" spans="1:11" x14ac:dyDescent="0.35">
      <c r="A816" s="1">
        <v>44252</v>
      </c>
      <c r="B816">
        <v>25.3</v>
      </c>
      <c r="C816">
        <v>17.399999999999999</v>
      </c>
      <c r="D816">
        <v>32</v>
      </c>
      <c r="E816">
        <v>0</v>
      </c>
      <c r="F816" t="str">
        <f>IF(OR(B816&lt;outliers!$B$7,B816&gt;outliers!$B$6),"Outlier","Normal")</f>
        <v>Normal</v>
      </c>
      <c r="G816" t="str">
        <f>IF(OR(C816&lt;outliers!$B$14,C816&gt;outliers!$B$13),"Outlier","Normal")</f>
        <v>Normal</v>
      </c>
      <c r="H816" t="str">
        <f>IF(OR(D816&lt;outliers!$B$21,D816&gt;outliers!$B$20),"Outlier","Normal")</f>
        <v>Normal</v>
      </c>
      <c r="I816" t="str">
        <f>IF(OR(E816&lt;outliers!$C$28,E816&gt;outliers!$B$27),"Outlier","Normal")</f>
        <v>Normal</v>
      </c>
      <c r="J816">
        <f t="shared" si="26"/>
        <v>2021</v>
      </c>
      <c r="K816" t="str">
        <f t="shared" si="25"/>
        <v>February</v>
      </c>
    </row>
    <row r="817" spans="1:11" x14ac:dyDescent="0.35">
      <c r="A817" s="1">
        <v>44253</v>
      </c>
      <c r="B817">
        <v>25.8</v>
      </c>
      <c r="C817">
        <v>18.399999999999999</v>
      </c>
      <c r="D817">
        <v>33</v>
      </c>
      <c r="E817">
        <v>0</v>
      </c>
      <c r="F817" t="str">
        <f>IF(OR(B817&lt;outliers!$B$7,B817&gt;outliers!$B$6),"Outlier","Normal")</f>
        <v>Normal</v>
      </c>
      <c r="G817" t="str">
        <f>IF(OR(C817&lt;outliers!$B$14,C817&gt;outliers!$B$13),"Outlier","Normal")</f>
        <v>Normal</v>
      </c>
      <c r="H817" t="str">
        <f>IF(OR(D817&lt;outliers!$B$21,D817&gt;outliers!$B$20),"Outlier","Normal")</f>
        <v>Normal</v>
      </c>
      <c r="I817" t="str">
        <f>IF(OR(E817&lt;outliers!$C$28,E817&gt;outliers!$B$27),"Outlier","Normal")</f>
        <v>Normal</v>
      </c>
      <c r="J817">
        <f t="shared" si="26"/>
        <v>2021</v>
      </c>
      <c r="K817" t="str">
        <f t="shared" si="25"/>
        <v>February</v>
      </c>
    </row>
    <row r="818" spans="1:11" x14ac:dyDescent="0.35">
      <c r="A818" s="1">
        <v>44254</v>
      </c>
      <c r="B818">
        <v>26.2</v>
      </c>
      <c r="C818">
        <v>19</v>
      </c>
      <c r="D818">
        <v>34.1</v>
      </c>
      <c r="E818">
        <v>0</v>
      </c>
      <c r="F818" t="str">
        <f>IF(OR(B818&lt;outliers!$B$7,B818&gt;outliers!$B$6),"Outlier","Normal")</f>
        <v>Normal</v>
      </c>
      <c r="G818" t="str">
        <f>IF(OR(C818&lt;outliers!$B$14,C818&gt;outliers!$B$13),"Outlier","Normal")</f>
        <v>Normal</v>
      </c>
      <c r="H818" t="str">
        <f>IF(OR(D818&lt;outliers!$B$21,D818&gt;outliers!$B$20),"Outlier","Normal")</f>
        <v>Normal</v>
      </c>
      <c r="I818" t="str">
        <f>IF(OR(E818&lt;outliers!$C$28,E818&gt;outliers!$B$27),"Outlier","Normal")</f>
        <v>Normal</v>
      </c>
      <c r="J818">
        <f t="shared" si="26"/>
        <v>2021</v>
      </c>
      <c r="K818" t="str">
        <f t="shared" si="25"/>
        <v>February</v>
      </c>
    </row>
    <row r="819" spans="1:11" x14ac:dyDescent="0.35">
      <c r="A819" s="1">
        <v>44255</v>
      </c>
      <c r="B819">
        <v>26</v>
      </c>
      <c r="C819">
        <v>20</v>
      </c>
      <c r="D819">
        <v>33.799999999999997</v>
      </c>
      <c r="E819">
        <v>0</v>
      </c>
      <c r="F819" t="str">
        <f>IF(OR(B819&lt;outliers!$B$7,B819&gt;outliers!$B$6),"Outlier","Normal")</f>
        <v>Normal</v>
      </c>
      <c r="G819" t="str">
        <f>IF(OR(C819&lt;outliers!$B$14,C819&gt;outliers!$B$13),"Outlier","Normal")</f>
        <v>Normal</v>
      </c>
      <c r="H819" t="str">
        <f>IF(OR(D819&lt;outliers!$B$21,D819&gt;outliers!$B$20),"Outlier","Normal")</f>
        <v>Normal</v>
      </c>
      <c r="I819" t="str">
        <f>IF(OR(E819&lt;outliers!$C$28,E819&gt;outliers!$B$27),"Outlier","Normal")</f>
        <v>Normal</v>
      </c>
      <c r="J819">
        <f t="shared" si="26"/>
        <v>2021</v>
      </c>
      <c r="K819" t="str">
        <f t="shared" si="25"/>
        <v>February</v>
      </c>
    </row>
    <row r="820" spans="1:11" x14ac:dyDescent="0.35">
      <c r="A820" s="1">
        <v>44256</v>
      </c>
      <c r="B820">
        <v>25.4</v>
      </c>
      <c r="C820">
        <v>17.399999999999999</v>
      </c>
      <c r="D820">
        <v>33.799999999999997</v>
      </c>
      <c r="E820">
        <v>0</v>
      </c>
      <c r="F820" t="str">
        <f>IF(OR(B820&lt;outliers!$B$7,B820&gt;outliers!$B$6),"Outlier","Normal")</f>
        <v>Normal</v>
      </c>
      <c r="G820" t="str">
        <f>IF(OR(C820&lt;outliers!$B$14,C820&gt;outliers!$B$13),"Outlier","Normal")</f>
        <v>Normal</v>
      </c>
      <c r="H820" t="str">
        <f>IF(OR(D820&lt;outliers!$B$21,D820&gt;outliers!$B$20),"Outlier","Normal")</f>
        <v>Normal</v>
      </c>
      <c r="I820" t="str">
        <f>IF(OR(E820&lt;outliers!$C$28,E820&gt;outliers!$B$27),"Outlier","Normal")</f>
        <v>Normal</v>
      </c>
      <c r="J820">
        <f t="shared" si="26"/>
        <v>2021</v>
      </c>
      <c r="K820" t="str">
        <f t="shared" si="25"/>
        <v>February</v>
      </c>
    </row>
    <row r="821" spans="1:11" x14ac:dyDescent="0.35">
      <c r="A821" s="1">
        <v>44257</v>
      </c>
      <c r="B821">
        <v>25.3</v>
      </c>
      <c r="C821">
        <v>18.399999999999999</v>
      </c>
      <c r="D821">
        <v>33.6</v>
      </c>
      <c r="E821">
        <v>0</v>
      </c>
      <c r="F821" t="str">
        <f>IF(OR(B821&lt;outliers!$B$7,B821&gt;outliers!$B$6),"Outlier","Normal")</f>
        <v>Normal</v>
      </c>
      <c r="G821" t="str">
        <f>IF(OR(C821&lt;outliers!$B$14,C821&gt;outliers!$B$13),"Outlier","Normal")</f>
        <v>Normal</v>
      </c>
      <c r="H821" t="str">
        <f>IF(OR(D821&lt;outliers!$B$21,D821&gt;outliers!$B$20),"Outlier","Normal")</f>
        <v>Normal</v>
      </c>
      <c r="I821" t="str">
        <f>IF(OR(E821&lt;outliers!$C$28,E821&gt;outliers!$B$27),"Outlier","Normal")</f>
        <v>Normal</v>
      </c>
      <c r="J821">
        <f t="shared" si="26"/>
        <v>2021</v>
      </c>
      <c r="K821" t="str">
        <f t="shared" si="25"/>
        <v>March</v>
      </c>
    </row>
    <row r="822" spans="1:11" x14ac:dyDescent="0.35">
      <c r="A822" s="1">
        <v>44258</v>
      </c>
      <c r="B822">
        <v>25</v>
      </c>
      <c r="C822">
        <v>18.2</v>
      </c>
      <c r="D822">
        <v>32.5</v>
      </c>
      <c r="E822">
        <v>0</v>
      </c>
      <c r="F822" t="str">
        <f>IF(OR(B822&lt;outliers!$B$7,B822&gt;outliers!$B$6),"Outlier","Normal")</f>
        <v>Normal</v>
      </c>
      <c r="G822" t="str">
        <f>IF(OR(C822&lt;outliers!$B$14,C822&gt;outliers!$B$13),"Outlier","Normal")</f>
        <v>Normal</v>
      </c>
      <c r="H822" t="str">
        <f>IF(OR(D822&lt;outliers!$B$21,D822&gt;outliers!$B$20),"Outlier","Normal")</f>
        <v>Normal</v>
      </c>
      <c r="I822" t="str">
        <f>IF(OR(E822&lt;outliers!$C$28,E822&gt;outliers!$B$27),"Outlier","Normal")</f>
        <v>Normal</v>
      </c>
      <c r="J822">
        <f t="shared" si="26"/>
        <v>2021</v>
      </c>
      <c r="K822" t="str">
        <f t="shared" si="25"/>
        <v>March</v>
      </c>
    </row>
    <row r="823" spans="1:11" hidden="1" x14ac:dyDescent="0.35">
      <c r="A823" s="1">
        <v>44259</v>
      </c>
      <c r="B823">
        <v>24.6</v>
      </c>
      <c r="C823">
        <v>16.5</v>
      </c>
      <c r="D823">
        <v>32.299999999999997</v>
      </c>
      <c r="E823">
        <v>0</v>
      </c>
      <c r="F823" t="str">
        <f>IF(OR(B823&lt;outliers!$B$7,B823&gt;outliers!$B$6),"Outlier","Normal")</f>
        <v>Normal</v>
      </c>
      <c r="G823" t="str">
        <f>IF(OR(C823&lt;outliers!$B$14,C823&gt;outliers!$B$13),"Outlier","Normal")</f>
        <v>Outlier</v>
      </c>
      <c r="H823" t="str">
        <f>IF(OR(D823&lt;outliers!$B$21,D823&gt;outliers!$B$20),"Outlier","Normal")</f>
        <v>Normal</v>
      </c>
      <c r="I823" t="str">
        <f>IF(OR(E823&lt;outliers!$C$28,E823&gt;outliers!$B$27),"Outlier","Normal")</f>
        <v>Normal</v>
      </c>
      <c r="J823">
        <f t="shared" si="26"/>
        <v>2021</v>
      </c>
      <c r="K823" t="str">
        <f t="shared" si="25"/>
        <v>March</v>
      </c>
    </row>
    <row r="824" spans="1:11" hidden="1" x14ac:dyDescent="0.35">
      <c r="A824" s="1">
        <v>44260</v>
      </c>
      <c r="B824">
        <v>24.9</v>
      </c>
      <c r="C824">
        <v>16.7</v>
      </c>
      <c r="D824">
        <v>32</v>
      </c>
      <c r="E824">
        <v>0</v>
      </c>
      <c r="F824" t="str">
        <f>IF(OR(B824&lt;outliers!$B$7,B824&gt;outliers!$B$6),"Outlier","Normal")</f>
        <v>Normal</v>
      </c>
      <c r="G824" t="str">
        <f>IF(OR(C824&lt;outliers!$B$14,C824&gt;outliers!$B$13),"Outlier","Normal")</f>
        <v>Outlier</v>
      </c>
      <c r="H824" t="str">
        <f>IF(OR(D824&lt;outliers!$B$21,D824&gt;outliers!$B$20),"Outlier","Normal")</f>
        <v>Normal</v>
      </c>
      <c r="I824" t="str">
        <f>IF(OR(E824&lt;outliers!$C$28,E824&gt;outliers!$B$27),"Outlier","Normal")</f>
        <v>Normal</v>
      </c>
      <c r="J824">
        <f t="shared" si="26"/>
        <v>2021</v>
      </c>
      <c r="K824" t="str">
        <f t="shared" si="25"/>
        <v>March</v>
      </c>
    </row>
    <row r="825" spans="1:11" x14ac:dyDescent="0.35">
      <c r="A825" s="1">
        <v>44261</v>
      </c>
      <c r="B825">
        <v>26.7</v>
      </c>
      <c r="C825">
        <v>18.399999999999999</v>
      </c>
      <c r="D825">
        <v>34.4</v>
      </c>
      <c r="E825">
        <v>0</v>
      </c>
      <c r="F825" t="str">
        <f>IF(OR(B825&lt;outliers!$B$7,B825&gt;outliers!$B$6),"Outlier","Normal")</f>
        <v>Normal</v>
      </c>
      <c r="G825" t="str">
        <f>IF(OR(C825&lt;outliers!$B$14,C825&gt;outliers!$B$13),"Outlier","Normal")</f>
        <v>Normal</v>
      </c>
      <c r="H825" t="str">
        <f>IF(OR(D825&lt;outliers!$B$21,D825&gt;outliers!$B$20),"Outlier","Normal")</f>
        <v>Normal</v>
      </c>
      <c r="I825" t="str">
        <f>IF(OR(E825&lt;outliers!$C$28,E825&gt;outliers!$B$27),"Outlier","Normal")</f>
        <v>Normal</v>
      </c>
      <c r="J825">
        <f t="shared" si="26"/>
        <v>2021</v>
      </c>
      <c r="K825" t="str">
        <f t="shared" si="25"/>
        <v>March</v>
      </c>
    </row>
    <row r="826" spans="1:11" x14ac:dyDescent="0.35">
      <c r="A826" s="1">
        <v>44262</v>
      </c>
      <c r="B826">
        <v>26.5</v>
      </c>
      <c r="C826">
        <v>17.5</v>
      </c>
      <c r="D826">
        <v>35.9</v>
      </c>
      <c r="E826">
        <v>0</v>
      </c>
      <c r="F826" t="str">
        <f>IF(OR(B826&lt;outliers!$B$7,B826&gt;outliers!$B$6),"Outlier","Normal")</f>
        <v>Normal</v>
      </c>
      <c r="G826" t="str">
        <f>IF(OR(C826&lt;outliers!$B$14,C826&gt;outliers!$B$13),"Outlier","Normal")</f>
        <v>Normal</v>
      </c>
      <c r="H826" t="str">
        <f>IF(OR(D826&lt;outliers!$B$21,D826&gt;outliers!$B$20),"Outlier","Normal")</f>
        <v>Normal</v>
      </c>
      <c r="I826" t="str">
        <f>IF(OR(E826&lt;outliers!$C$28,E826&gt;outliers!$B$27),"Outlier","Normal")</f>
        <v>Normal</v>
      </c>
      <c r="J826">
        <f t="shared" si="26"/>
        <v>2021</v>
      </c>
      <c r="K826" t="str">
        <f t="shared" si="25"/>
        <v>March</v>
      </c>
    </row>
    <row r="827" spans="1:11" x14ac:dyDescent="0.35">
      <c r="A827" s="1">
        <v>44263</v>
      </c>
      <c r="B827">
        <v>26</v>
      </c>
      <c r="C827">
        <v>19</v>
      </c>
      <c r="D827">
        <v>33.799999999999997</v>
      </c>
      <c r="E827">
        <v>0</v>
      </c>
      <c r="F827" t="str">
        <f>IF(OR(B827&lt;outliers!$B$7,B827&gt;outliers!$B$6),"Outlier","Normal")</f>
        <v>Normal</v>
      </c>
      <c r="G827" t="str">
        <f>IF(OR(C827&lt;outliers!$B$14,C827&gt;outliers!$B$13),"Outlier","Normal")</f>
        <v>Normal</v>
      </c>
      <c r="H827" t="str">
        <f>IF(OR(D827&lt;outliers!$B$21,D827&gt;outliers!$B$20),"Outlier","Normal")</f>
        <v>Normal</v>
      </c>
      <c r="I827" t="str">
        <f>IF(OR(E827&lt;outliers!$C$28,E827&gt;outliers!$B$27),"Outlier","Normal")</f>
        <v>Normal</v>
      </c>
      <c r="J827">
        <f t="shared" si="26"/>
        <v>2021</v>
      </c>
      <c r="K827" t="str">
        <f t="shared" si="25"/>
        <v>March</v>
      </c>
    </row>
    <row r="828" spans="1:11" x14ac:dyDescent="0.35">
      <c r="A828" s="1">
        <v>44264</v>
      </c>
      <c r="B828">
        <v>25.6</v>
      </c>
      <c r="C828">
        <v>18.7</v>
      </c>
      <c r="D828">
        <v>33.5</v>
      </c>
      <c r="E828">
        <v>0</v>
      </c>
      <c r="F828" t="str">
        <f>IF(OR(B828&lt;outliers!$B$7,B828&gt;outliers!$B$6),"Outlier","Normal")</f>
        <v>Normal</v>
      </c>
      <c r="G828" t="str">
        <f>IF(OR(C828&lt;outliers!$B$14,C828&gt;outliers!$B$13),"Outlier","Normal")</f>
        <v>Normal</v>
      </c>
      <c r="H828" t="str">
        <f>IF(OR(D828&lt;outliers!$B$21,D828&gt;outliers!$B$20),"Outlier","Normal")</f>
        <v>Normal</v>
      </c>
      <c r="I828" t="str">
        <f>IF(OR(E828&lt;outliers!$C$28,E828&gt;outliers!$B$27),"Outlier","Normal")</f>
        <v>Normal</v>
      </c>
      <c r="J828">
        <f t="shared" si="26"/>
        <v>2021</v>
      </c>
      <c r="K828" t="str">
        <f t="shared" si="25"/>
        <v>March</v>
      </c>
    </row>
    <row r="829" spans="1:11" x14ac:dyDescent="0.35">
      <c r="A829" s="1">
        <v>44265</v>
      </c>
      <c r="B829">
        <v>27</v>
      </c>
      <c r="C829">
        <v>19.5</v>
      </c>
      <c r="D829">
        <v>33.6</v>
      </c>
      <c r="E829">
        <v>0</v>
      </c>
      <c r="F829" t="str">
        <f>IF(OR(B829&lt;outliers!$B$7,B829&gt;outliers!$B$6),"Outlier","Normal")</f>
        <v>Normal</v>
      </c>
      <c r="G829" t="str">
        <f>IF(OR(C829&lt;outliers!$B$14,C829&gt;outliers!$B$13),"Outlier","Normal")</f>
        <v>Normal</v>
      </c>
      <c r="H829" t="str">
        <f>IF(OR(D829&lt;outliers!$B$21,D829&gt;outliers!$B$20),"Outlier","Normal")</f>
        <v>Normal</v>
      </c>
      <c r="I829" t="str">
        <f>IF(OR(E829&lt;outliers!$C$28,E829&gt;outliers!$B$27),"Outlier","Normal")</f>
        <v>Normal</v>
      </c>
      <c r="J829">
        <f t="shared" si="26"/>
        <v>2021</v>
      </c>
      <c r="K829" t="str">
        <f t="shared" si="25"/>
        <v>March</v>
      </c>
    </row>
    <row r="830" spans="1:11" x14ac:dyDescent="0.35">
      <c r="A830" s="1">
        <v>44266</v>
      </c>
      <c r="B830">
        <v>25</v>
      </c>
      <c r="C830">
        <v>18.8</v>
      </c>
      <c r="D830">
        <v>32</v>
      </c>
      <c r="E830">
        <v>0</v>
      </c>
      <c r="F830" t="str">
        <f>IF(OR(B830&lt;outliers!$B$7,B830&gt;outliers!$B$6),"Outlier","Normal")</f>
        <v>Normal</v>
      </c>
      <c r="G830" t="str">
        <f>IF(OR(C830&lt;outliers!$B$14,C830&gt;outliers!$B$13),"Outlier","Normal")</f>
        <v>Normal</v>
      </c>
      <c r="H830" t="str">
        <f>IF(OR(D830&lt;outliers!$B$21,D830&gt;outliers!$B$20),"Outlier","Normal")</f>
        <v>Normal</v>
      </c>
      <c r="I830" t="str">
        <f>IF(OR(E830&lt;outliers!$C$28,E830&gt;outliers!$B$27),"Outlier","Normal")</f>
        <v>Normal</v>
      </c>
      <c r="J830">
        <f t="shared" si="26"/>
        <v>2021</v>
      </c>
      <c r="K830" t="str">
        <f t="shared" si="25"/>
        <v>March</v>
      </c>
    </row>
    <row r="831" spans="1:11" x14ac:dyDescent="0.35">
      <c r="A831" s="1">
        <v>44267</v>
      </c>
      <c r="B831">
        <v>24.6</v>
      </c>
      <c r="C831">
        <v>17.3</v>
      </c>
      <c r="D831">
        <v>32.200000000000003</v>
      </c>
      <c r="E831">
        <v>0</v>
      </c>
      <c r="F831" t="str">
        <f>IF(OR(B831&lt;outliers!$B$7,B831&gt;outliers!$B$6),"Outlier","Normal")</f>
        <v>Normal</v>
      </c>
      <c r="G831" t="str">
        <f>IF(OR(C831&lt;outliers!$B$14,C831&gt;outliers!$B$13),"Outlier","Normal")</f>
        <v>Normal</v>
      </c>
      <c r="H831" t="str">
        <f>IF(OR(D831&lt;outliers!$B$21,D831&gt;outliers!$B$20),"Outlier","Normal")</f>
        <v>Normal</v>
      </c>
      <c r="I831" t="str">
        <f>IF(OR(E831&lt;outliers!$C$28,E831&gt;outliers!$B$27),"Outlier","Normal")</f>
        <v>Normal</v>
      </c>
      <c r="J831">
        <f t="shared" si="26"/>
        <v>2021</v>
      </c>
      <c r="K831" t="str">
        <f t="shared" si="25"/>
        <v>March</v>
      </c>
    </row>
    <row r="832" spans="1:11" hidden="1" x14ac:dyDescent="0.35">
      <c r="A832" s="1">
        <v>44268</v>
      </c>
      <c r="B832">
        <v>24.1</v>
      </c>
      <c r="C832">
        <v>15.3</v>
      </c>
      <c r="D832">
        <v>31</v>
      </c>
      <c r="E832">
        <v>0</v>
      </c>
      <c r="F832" t="str">
        <f>IF(OR(B832&lt;outliers!$B$7,B832&gt;outliers!$B$6),"Outlier","Normal")</f>
        <v>Normal</v>
      </c>
      <c r="G832" t="str">
        <f>IF(OR(C832&lt;outliers!$B$14,C832&gt;outliers!$B$13),"Outlier","Normal")</f>
        <v>Outlier</v>
      </c>
      <c r="H832" t="str">
        <f>IF(OR(D832&lt;outliers!$B$21,D832&gt;outliers!$B$20),"Outlier","Normal")</f>
        <v>Normal</v>
      </c>
      <c r="I832" t="str">
        <f>IF(OR(E832&lt;outliers!$C$28,E832&gt;outliers!$B$27),"Outlier","Normal")</f>
        <v>Normal</v>
      </c>
      <c r="J832">
        <f t="shared" si="26"/>
        <v>2021</v>
      </c>
      <c r="K832" t="str">
        <f t="shared" si="25"/>
        <v>March</v>
      </c>
    </row>
    <row r="833" spans="1:11" hidden="1" x14ac:dyDescent="0.35">
      <c r="A833" s="1">
        <v>44269</v>
      </c>
      <c r="B833">
        <v>24.7</v>
      </c>
      <c r="C833">
        <v>15.6</v>
      </c>
      <c r="D833">
        <v>32.4</v>
      </c>
      <c r="E833">
        <v>0</v>
      </c>
      <c r="F833" t="str">
        <f>IF(OR(B833&lt;outliers!$B$7,B833&gt;outliers!$B$6),"Outlier","Normal")</f>
        <v>Normal</v>
      </c>
      <c r="G833" t="str">
        <f>IF(OR(C833&lt;outliers!$B$14,C833&gt;outliers!$B$13),"Outlier","Normal")</f>
        <v>Outlier</v>
      </c>
      <c r="H833" t="str">
        <f>IF(OR(D833&lt;outliers!$B$21,D833&gt;outliers!$B$20),"Outlier","Normal")</f>
        <v>Normal</v>
      </c>
      <c r="I833" t="str">
        <f>IF(OR(E833&lt;outliers!$C$28,E833&gt;outliers!$B$27),"Outlier","Normal")</f>
        <v>Normal</v>
      </c>
      <c r="J833">
        <f t="shared" si="26"/>
        <v>2021</v>
      </c>
      <c r="K833" t="str">
        <f t="shared" si="25"/>
        <v>March</v>
      </c>
    </row>
    <row r="834" spans="1:11" hidden="1" x14ac:dyDescent="0.35">
      <c r="A834" s="1">
        <v>44270</v>
      </c>
      <c r="B834">
        <v>25.1</v>
      </c>
      <c r="C834">
        <v>16.2</v>
      </c>
      <c r="D834">
        <v>32.4</v>
      </c>
      <c r="E834">
        <v>0</v>
      </c>
      <c r="F834" t="str">
        <f>IF(OR(B834&lt;outliers!$B$7,B834&gt;outliers!$B$6),"Outlier","Normal")</f>
        <v>Normal</v>
      </c>
      <c r="G834" t="str">
        <f>IF(OR(C834&lt;outliers!$B$14,C834&gt;outliers!$B$13),"Outlier","Normal")</f>
        <v>Outlier</v>
      </c>
      <c r="H834" t="str">
        <f>IF(OR(D834&lt;outliers!$B$21,D834&gt;outliers!$B$20),"Outlier","Normal")</f>
        <v>Normal</v>
      </c>
      <c r="I834" t="str">
        <f>IF(OR(E834&lt;outliers!$C$28,E834&gt;outliers!$B$27),"Outlier","Normal")</f>
        <v>Normal</v>
      </c>
      <c r="J834">
        <f t="shared" si="26"/>
        <v>2021</v>
      </c>
      <c r="K834" t="str">
        <f t="shared" ref="K834:K897" si="27">TEXT(A833,"mmmm")</f>
        <v>March</v>
      </c>
    </row>
    <row r="835" spans="1:11" x14ac:dyDescent="0.35">
      <c r="A835" s="1">
        <v>44271</v>
      </c>
      <c r="B835">
        <v>25.9</v>
      </c>
      <c r="C835">
        <v>17.899999999999999</v>
      </c>
      <c r="D835">
        <v>32.799999999999997</v>
      </c>
      <c r="E835">
        <v>0</v>
      </c>
      <c r="F835" t="str">
        <f>IF(OR(B835&lt;outliers!$B$7,B835&gt;outliers!$B$6),"Outlier","Normal")</f>
        <v>Normal</v>
      </c>
      <c r="G835" t="str">
        <f>IF(OR(C835&lt;outliers!$B$14,C835&gt;outliers!$B$13),"Outlier","Normal")</f>
        <v>Normal</v>
      </c>
      <c r="H835" t="str">
        <f>IF(OR(D835&lt;outliers!$B$21,D835&gt;outliers!$B$20),"Outlier","Normal")</f>
        <v>Normal</v>
      </c>
      <c r="I835" t="str">
        <f>IF(OR(E835&lt;outliers!$C$28,E835&gt;outliers!$B$27),"Outlier","Normal")</f>
        <v>Normal</v>
      </c>
      <c r="J835">
        <f t="shared" si="26"/>
        <v>2021</v>
      </c>
      <c r="K835" t="str">
        <f t="shared" si="27"/>
        <v>March</v>
      </c>
    </row>
    <row r="836" spans="1:11" hidden="1" x14ac:dyDescent="0.35">
      <c r="A836" s="1">
        <v>44272</v>
      </c>
      <c r="B836">
        <v>25.5</v>
      </c>
      <c r="C836">
        <v>16.399999999999999</v>
      </c>
      <c r="D836">
        <v>32.4</v>
      </c>
      <c r="E836">
        <v>0</v>
      </c>
      <c r="F836" t="str">
        <f>IF(OR(B836&lt;outliers!$B$7,B836&gt;outliers!$B$6),"Outlier","Normal")</f>
        <v>Normal</v>
      </c>
      <c r="G836" t="str">
        <f>IF(OR(C836&lt;outliers!$B$14,C836&gt;outliers!$B$13),"Outlier","Normal")</f>
        <v>Outlier</v>
      </c>
      <c r="H836" t="str">
        <f>IF(OR(D836&lt;outliers!$B$21,D836&gt;outliers!$B$20),"Outlier","Normal")</f>
        <v>Normal</v>
      </c>
      <c r="I836" t="str">
        <f>IF(OR(E836&lt;outliers!$C$28,E836&gt;outliers!$B$27),"Outlier","Normal")</f>
        <v>Normal</v>
      </c>
      <c r="J836">
        <f t="shared" si="26"/>
        <v>2021</v>
      </c>
      <c r="K836" t="str">
        <f t="shared" si="27"/>
        <v>March</v>
      </c>
    </row>
    <row r="837" spans="1:11" x14ac:dyDescent="0.35">
      <c r="A837" s="1">
        <v>44273</v>
      </c>
      <c r="B837">
        <v>25.5</v>
      </c>
      <c r="C837">
        <v>17</v>
      </c>
      <c r="D837">
        <v>32.799999999999997</v>
      </c>
      <c r="E837">
        <v>0</v>
      </c>
      <c r="F837" t="str">
        <f>IF(OR(B837&lt;outliers!$B$7,B837&gt;outliers!$B$6),"Outlier","Normal")</f>
        <v>Normal</v>
      </c>
      <c r="G837" t="str">
        <f>IF(OR(C837&lt;outliers!$B$14,C837&gt;outliers!$B$13),"Outlier","Normal")</f>
        <v>Normal</v>
      </c>
      <c r="H837" t="str">
        <f>IF(OR(D837&lt;outliers!$B$21,D837&gt;outliers!$B$20),"Outlier","Normal")</f>
        <v>Normal</v>
      </c>
      <c r="I837" t="str">
        <f>IF(OR(E837&lt;outliers!$C$28,E837&gt;outliers!$B$27),"Outlier","Normal")</f>
        <v>Normal</v>
      </c>
      <c r="J837">
        <f t="shared" si="26"/>
        <v>2021</v>
      </c>
      <c r="K837" t="str">
        <f t="shared" si="27"/>
        <v>March</v>
      </c>
    </row>
    <row r="838" spans="1:11" x14ac:dyDescent="0.35">
      <c r="A838" s="1">
        <v>44274</v>
      </c>
      <c r="B838">
        <v>25.3</v>
      </c>
      <c r="C838">
        <v>17.8</v>
      </c>
      <c r="D838">
        <v>32.799999999999997</v>
      </c>
      <c r="E838">
        <v>0</v>
      </c>
      <c r="F838" t="str">
        <f>IF(OR(B838&lt;outliers!$B$7,B838&gt;outliers!$B$6),"Outlier","Normal")</f>
        <v>Normal</v>
      </c>
      <c r="G838" t="str">
        <f>IF(OR(C838&lt;outliers!$B$14,C838&gt;outliers!$B$13),"Outlier","Normal")</f>
        <v>Normal</v>
      </c>
      <c r="H838" t="str">
        <f>IF(OR(D838&lt;outliers!$B$21,D838&gt;outliers!$B$20),"Outlier","Normal")</f>
        <v>Normal</v>
      </c>
      <c r="I838" t="str">
        <f>IF(OR(E838&lt;outliers!$C$28,E838&gt;outliers!$B$27),"Outlier","Normal")</f>
        <v>Normal</v>
      </c>
      <c r="J838">
        <f t="shared" si="26"/>
        <v>2021</v>
      </c>
      <c r="K838" t="str">
        <f t="shared" si="27"/>
        <v>March</v>
      </c>
    </row>
    <row r="839" spans="1:11" x14ac:dyDescent="0.35">
      <c r="A839" s="1">
        <v>44275</v>
      </c>
      <c r="B839">
        <v>25.3</v>
      </c>
      <c r="C839">
        <v>16.899999999999999</v>
      </c>
      <c r="D839">
        <v>32.200000000000003</v>
      </c>
      <c r="E839">
        <v>0</v>
      </c>
      <c r="F839" t="str">
        <f>IF(OR(B839&lt;outliers!$B$7,B839&gt;outliers!$B$6),"Outlier","Normal")</f>
        <v>Normal</v>
      </c>
      <c r="G839" t="str">
        <f>IF(OR(C839&lt;outliers!$B$14,C839&gt;outliers!$B$13),"Outlier","Normal")</f>
        <v>Normal</v>
      </c>
      <c r="H839" t="str">
        <f>IF(OR(D839&lt;outliers!$B$21,D839&gt;outliers!$B$20),"Outlier","Normal")</f>
        <v>Normal</v>
      </c>
      <c r="I839" t="str">
        <f>IF(OR(E839&lt;outliers!$C$28,E839&gt;outliers!$B$27),"Outlier","Normal")</f>
        <v>Normal</v>
      </c>
      <c r="J839">
        <f t="shared" si="26"/>
        <v>2021</v>
      </c>
      <c r="K839" t="str">
        <f t="shared" si="27"/>
        <v>March</v>
      </c>
    </row>
    <row r="840" spans="1:11" x14ac:dyDescent="0.35">
      <c r="A840" s="1">
        <v>44276</v>
      </c>
      <c r="B840">
        <v>25.9</v>
      </c>
      <c r="C840">
        <v>18.399999999999999</v>
      </c>
      <c r="D840">
        <v>33</v>
      </c>
      <c r="E840">
        <v>0</v>
      </c>
      <c r="F840" t="str">
        <f>IF(OR(B840&lt;outliers!$B$7,B840&gt;outliers!$B$6),"Outlier","Normal")</f>
        <v>Normal</v>
      </c>
      <c r="G840" t="str">
        <f>IF(OR(C840&lt;outliers!$B$14,C840&gt;outliers!$B$13),"Outlier","Normal")</f>
        <v>Normal</v>
      </c>
      <c r="H840" t="str">
        <f>IF(OR(D840&lt;outliers!$B$21,D840&gt;outliers!$B$20),"Outlier","Normal")</f>
        <v>Normal</v>
      </c>
      <c r="I840" t="str">
        <f>IF(OR(E840&lt;outliers!$C$28,E840&gt;outliers!$B$27),"Outlier","Normal")</f>
        <v>Normal</v>
      </c>
      <c r="J840">
        <f t="shared" si="26"/>
        <v>2021</v>
      </c>
      <c r="K840" t="str">
        <f t="shared" si="27"/>
        <v>March</v>
      </c>
    </row>
    <row r="841" spans="1:11" x14ac:dyDescent="0.35">
      <c r="A841" s="1">
        <v>44277</v>
      </c>
      <c r="B841">
        <v>26.2</v>
      </c>
      <c r="C841">
        <v>17.5</v>
      </c>
      <c r="D841">
        <v>33.799999999999997</v>
      </c>
      <c r="E841">
        <v>0</v>
      </c>
      <c r="F841" t="str">
        <f>IF(OR(B841&lt;outliers!$B$7,B841&gt;outliers!$B$6),"Outlier","Normal")</f>
        <v>Normal</v>
      </c>
      <c r="G841" t="str">
        <f>IF(OR(C841&lt;outliers!$B$14,C841&gt;outliers!$B$13),"Outlier","Normal")</f>
        <v>Normal</v>
      </c>
      <c r="H841" t="str">
        <f>IF(OR(D841&lt;outliers!$B$21,D841&gt;outliers!$B$20),"Outlier","Normal")</f>
        <v>Normal</v>
      </c>
      <c r="I841" t="str">
        <f>IF(OR(E841&lt;outliers!$C$28,E841&gt;outliers!$B$27),"Outlier","Normal")</f>
        <v>Normal</v>
      </c>
      <c r="J841">
        <f t="shared" si="26"/>
        <v>2021</v>
      </c>
      <c r="K841" t="str">
        <f t="shared" si="27"/>
        <v>March</v>
      </c>
    </row>
    <row r="842" spans="1:11" x14ac:dyDescent="0.35">
      <c r="A842" s="1">
        <v>44278</v>
      </c>
      <c r="B842">
        <v>26.6</v>
      </c>
      <c r="C842">
        <v>18.2</v>
      </c>
      <c r="D842">
        <v>34.200000000000003</v>
      </c>
      <c r="E842">
        <v>0</v>
      </c>
      <c r="F842" t="str">
        <f>IF(OR(B842&lt;outliers!$B$7,B842&gt;outliers!$B$6),"Outlier","Normal")</f>
        <v>Normal</v>
      </c>
      <c r="G842" t="str">
        <f>IF(OR(C842&lt;outliers!$B$14,C842&gt;outliers!$B$13),"Outlier","Normal")</f>
        <v>Normal</v>
      </c>
      <c r="H842" t="str">
        <f>IF(OR(D842&lt;outliers!$B$21,D842&gt;outliers!$B$20),"Outlier","Normal")</f>
        <v>Normal</v>
      </c>
      <c r="I842" t="str">
        <f>IF(OR(E842&lt;outliers!$C$28,E842&gt;outliers!$B$27),"Outlier","Normal")</f>
        <v>Normal</v>
      </c>
      <c r="J842">
        <f t="shared" si="26"/>
        <v>2021</v>
      </c>
      <c r="K842" t="str">
        <f t="shared" si="27"/>
        <v>March</v>
      </c>
    </row>
    <row r="843" spans="1:11" x14ac:dyDescent="0.35">
      <c r="A843" s="1">
        <v>44279</v>
      </c>
      <c r="B843">
        <v>26.7</v>
      </c>
      <c r="C843">
        <v>18.3</v>
      </c>
      <c r="D843">
        <v>33.799999999999997</v>
      </c>
      <c r="E843">
        <v>0</v>
      </c>
      <c r="F843" t="str">
        <f>IF(OR(B843&lt;outliers!$B$7,B843&gt;outliers!$B$6),"Outlier","Normal")</f>
        <v>Normal</v>
      </c>
      <c r="G843" t="str">
        <f>IF(OR(C843&lt;outliers!$B$14,C843&gt;outliers!$B$13),"Outlier","Normal")</f>
        <v>Normal</v>
      </c>
      <c r="H843" t="str">
        <f>IF(OR(D843&lt;outliers!$B$21,D843&gt;outliers!$B$20),"Outlier","Normal")</f>
        <v>Normal</v>
      </c>
      <c r="I843" t="str">
        <f>IF(OR(E843&lt;outliers!$C$28,E843&gt;outliers!$B$27),"Outlier","Normal")</f>
        <v>Normal</v>
      </c>
      <c r="J843">
        <f t="shared" si="26"/>
        <v>2021</v>
      </c>
      <c r="K843" t="str">
        <f t="shared" si="27"/>
        <v>March</v>
      </c>
    </row>
    <row r="844" spans="1:11" x14ac:dyDescent="0.35">
      <c r="A844" s="1">
        <v>44280</v>
      </c>
      <c r="B844">
        <v>27.2</v>
      </c>
      <c r="C844">
        <v>18.7</v>
      </c>
      <c r="D844">
        <v>33.6</v>
      </c>
      <c r="E844">
        <v>0</v>
      </c>
      <c r="F844" t="str">
        <f>IF(OR(B844&lt;outliers!$B$7,B844&gt;outliers!$B$6),"Outlier","Normal")</f>
        <v>Normal</v>
      </c>
      <c r="G844" t="str">
        <f>IF(OR(C844&lt;outliers!$B$14,C844&gt;outliers!$B$13),"Outlier","Normal")</f>
        <v>Normal</v>
      </c>
      <c r="H844" t="str">
        <f>IF(OR(D844&lt;outliers!$B$21,D844&gt;outliers!$B$20),"Outlier","Normal")</f>
        <v>Normal</v>
      </c>
      <c r="I844" t="str">
        <f>IF(OR(E844&lt;outliers!$C$28,E844&gt;outliers!$B$27),"Outlier","Normal")</f>
        <v>Normal</v>
      </c>
      <c r="J844">
        <f t="shared" si="26"/>
        <v>2021</v>
      </c>
      <c r="K844" t="str">
        <f t="shared" si="27"/>
        <v>March</v>
      </c>
    </row>
    <row r="845" spans="1:11" x14ac:dyDescent="0.35">
      <c r="A845" s="1">
        <v>44281</v>
      </c>
      <c r="B845">
        <v>27.2</v>
      </c>
      <c r="C845">
        <v>19.3</v>
      </c>
      <c r="D845">
        <v>35</v>
      </c>
      <c r="E845">
        <v>0</v>
      </c>
      <c r="F845" t="str">
        <f>IF(OR(B845&lt;outliers!$B$7,B845&gt;outliers!$B$6),"Outlier","Normal")</f>
        <v>Normal</v>
      </c>
      <c r="G845" t="str">
        <f>IF(OR(C845&lt;outliers!$B$14,C845&gt;outliers!$B$13),"Outlier","Normal")</f>
        <v>Normal</v>
      </c>
      <c r="H845" t="str">
        <f>IF(OR(D845&lt;outliers!$B$21,D845&gt;outliers!$B$20),"Outlier","Normal")</f>
        <v>Normal</v>
      </c>
      <c r="I845" t="str">
        <f>IF(OR(E845&lt;outliers!$C$28,E845&gt;outliers!$B$27),"Outlier","Normal")</f>
        <v>Normal</v>
      </c>
      <c r="J845">
        <f t="shared" si="26"/>
        <v>2021</v>
      </c>
      <c r="K845" t="str">
        <f t="shared" si="27"/>
        <v>March</v>
      </c>
    </row>
    <row r="846" spans="1:11" x14ac:dyDescent="0.35">
      <c r="A846" s="1">
        <v>44282</v>
      </c>
      <c r="B846">
        <v>27.2</v>
      </c>
      <c r="C846">
        <v>19.100000000000001</v>
      </c>
      <c r="D846">
        <v>34.4</v>
      </c>
      <c r="E846">
        <v>0</v>
      </c>
      <c r="F846" t="str">
        <f>IF(OR(B846&lt;outliers!$B$7,B846&gt;outliers!$B$6),"Outlier","Normal")</f>
        <v>Normal</v>
      </c>
      <c r="G846" t="str">
        <f>IF(OR(C846&lt;outliers!$B$14,C846&gt;outliers!$B$13),"Outlier","Normal")</f>
        <v>Normal</v>
      </c>
      <c r="H846" t="str">
        <f>IF(OR(D846&lt;outliers!$B$21,D846&gt;outliers!$B$20),"Outlier","Normal")</f>
        <v>Normal</v>
      </c>
      <c r="I846" t="str">
        <f>IF(OR(E846&lt;outliers!$C$28,E846&gt;outliers!$B$27),"Outlier","Normal")</f>
        <v>Normal</v>
      </c>
      <c r="J846">
        <f t="shared" si="26"/>
        <v>2021</v>
      </c>
      <c r="K846" t="str">
        <f t="shared" si="27"/>
        <v>March</v>
      </c>
    </row>
    <row r="847" spans="1:11" x14ac:dyDescent="0.35">
      <c r="A847" s="1">
        <v>44283</v>
      </c>
      <c r="B847">
        <v>27.2</v>
      </c>
      <c r="C847">
        <v>19.8</v>
      </c>
      <c r="D847">
        <v>34.1</v>
      </c>
      <c r="E847">
        <v>0</v>
      </c>
      <c r="F847" t="str">
        <f>IF(OR(B847&lt;outliers!$B$7,B847&gt;outliers!$B$6),"Outlier","Normal")</f>
        <v>Normal</v>
      </c>
      <c r="G847" t="str">
        <f>IF(OR(C847&lt;outliers!$B$14,C847&gt;outliers!$B$13),"Outlier","Normal")</f>
        <v>Normal</v>
      </c>
      <c r="H847" t="str">
        <f>IF(OR(D847&lt;outliers!$B$21,D847&gt;outliers!$B$20),"Outlier","Normal")</f>
        <v>Normal</v>
      </c>
      <c r="I847" t="str">
        <f>IF(OR(E847&lt;outliers!$C$28,E847&gt;outliers!$B$27),"Outlier","Normal")</f>
        <v>Normal</v>
      </c>
      <c r="J847">
        <f t="shared" si="26"/>
        <v>2021</v>
      </c>
      <c r="K847" t="str">
        <f t="shared" si="27"/>
        <v>March</v>
      </c>
    </row>
    <row r="848" spans="1:11" x14ac:dyDescent="0.35">
      <c r="A848" s="1">
        <v>44284</v>
      </c>
      <c r="B848">
        <v>27.5</v>
      </c>
      <c r="C848">
        <v>20</v>
      </c>
      <c r="D848">
        <v>34.5</v>
      </c>
      <c r="E848">
        <v>0</v>
      </c>
      <c r="F848" t="str">
        <f>IF(OR(B848&lt;outliers!$B$7,B848&gt;outliers!$B$6),"Outlier","Normal")</f>
        <v>Normal</v>
      </c>
      <c r="G848" t="str">
        <f>IF(OR(C848&lt;outliers!$B$14,C848&gt;outliers!$B$13),"Outlier","Normal")</f>
        <v>Normal</v>
      </c>
      <c r="H848" t="str">
        <f>IF(OR(D848&lt;outliers!$B$21,D848&gt;outliers!$B$20),"Outlier","Normal")</f>
        <v>Normal</v>
      </c>
      <c r="I848" t="str">
        <f>IF(OR(E848&lt;outliers!$C$28,E848&gt;outliers!$B$27),"Outlier","Normal")</f>
        <v>Normal</v>
      </c>
      <c r="J848">
        <f t="shared" si="26"/>
        <v>2021</v>
      </c>
      <c r="K848" t="str">
        <f t="shared" si="27"/>
        <v>March</v>
      </c>
    </row>
    <row r="849" spans="1:11" x14ac:dyDescent="0.35">
      <c r="A849" s="1">
        <v>44285</v>
      </c>
      <c r="B849">
        <v>27.7</v>
      </c>
      <c r="C849">
        <v>21.4</v>
      </c>
      <c r="D849">
        <v>34.1</v>
      </c>
      <c r="E849">
        <v>0</v>
      </c>
      <c r="F849" t="str">
        <f>IF(OR(B849&lt;outliers!$B$7,B849&gt;outliers!$B$6),"Outlier","Normal")</f>
        <v>Normal</v>
      </c>
      <c r="G849" t="str">
        <f>IF(OR(C849&lt;outliers!$B$14,C849&gt;outliers!$B$13),"Outlier","Normal")</f>
        <v>Normal</v>
      </c>
      <c r="H849" t="str">
        <f>IF(OR(D849&lt;outliers!$B$21,D849&gt;outliers!$B$20),"Outlier","Normal")</f>
        <v>Normal</v>
      </c>
      <c r="I849" t="str">
        <f>IF(OR(E849&lt;outliers!$C$28,E849&gt;outliers!$B$27),"Outlier","Normal")</f>
        <v>Normal</v>
      </c>
      <c r="J849">
        <f t="shared" ref="J849:J912" si="28">YEAR(A849)</f>
        <v>2021</v>
      </c>
      <c r="K849" t="str">
        <f t="shared" si="27"/>
        <v>March</v>
      </c>
    </row>
    <row r="850" spans="1:11" x14ac:dyDescent="0.35">
      <c r="A850" s="1">
        <v>44287</v>
      </c>
      <c r="B850">
        <v>28.1</v>
      </c>
      <c r="C850">
        <v>21</v>
      </c>
      <c r="D850">
        <v>35.6</v>
      </c>
      <c r="E850">
        <v>0</v>
      </c>
      <c r="F850" t="str">
        <f>IF(OR(B850&lt;outliers!$B$7,B850&gt;outliers!$B$6),"Outlier","Normal")</f>
        <v>Normal</v>
      </c>
      <c r="G850" t="str">
        <f>IF(OR(C850&lt;outliers!$B$14,C850&gt;outliers!$B$13),"Outlier","Normal")</f>
        <v>Normal</v>
      </c>
      <c r="H850" t="str">
        <f>IF(OR(D850&lt;outliers!$B$21,D850&gt;outliers!$B$20),"Outlier","Normal")</f>
        <v>Normal</v>
      </c>
      <c r="I850" t="str">
        <f>IF(OR(E850&lt;outliers!$C$28,E850&gt;outliers!$B$27),"Outlier","Normal")</f>
        <v>Normal</v>
      </c>
      <c r="J850">
        <f t="shared" si="28"/>
        <v>2021</v>
      </c>
      <c r="K850" t="str">
        <f t="shared" si="27"/>
        <v>March</v>
      </c>
    </row>
    <row r="851" spans="1:11" x14ac:dyDescent="0.35">
      <c r="A851" s="1">
        <v>44288</v>
      </c>
      <c r="B851">
        <v>27.7</v>
      </c>
      <c r="C851">
        <v>19.3</v>
      </c>
      <c r="D851">
        <v>35.6</v>
      </c>
      <c r="E851">
        <v>0</v>
      </c>
      <c r="F851" t="str">
        <f>IF(OR(B851&lt;outliers!$B$7,B851&gt;outliers!$B$6),"Outlier","Normal")</f>
        <v>Normal</v>
      </c>
      <c r="G851" t="str">
        <f>IF(OR(C851&lt;outliers!$B$14,C851&gt;outliers!$B$13),"Outlier","Normal")</f>
        <v>Normal</v>
      </c>
      <c r="H851" t="str">
        <f>IF(OR(D851&lt;outliers!$B$21,D851&gt;outliers!$B$20),"Outlier","Normal")</f>
        <v>Normal</v>
      </c>
      <c r="I851" t="str">
        <f>IF(OR(E851&lt;outliers!$C$28,E851&gt;outliers!$B$27),"Outlier","Normal")</f>
        <v>Normal</v>
      </c>
      <c r="J851">
        <f t="shared" si="28"/>
        <v>2021</v>
      </c>
      <c r="K851" t="str">
        <f t="shared" si="27"/>
        <v>April</v>
      </c>
    </row>
    <row r="852" spans="1:11" x14ac:dyDescent="0.35">
      <c r="A852" s="1">
        <v>44289</v>
      </c>
      <c r="B852">
        <v>27.7</v>
      </c>
      <c r="C852">
        <v>20.6</v>
      </c>
      <c r="D852">
        <v>34.4</v>
      </c>
      <c r="E852">
        <v>0</v>
      </c>
      <c r="F852" t="str">
        <f>IF(OR(B852&lt;outliers!$B$7,B852&gt;outliers!$B$6),"Outlier","Normal")</f>
        <v>Normal</v>
      </c>
      <c r="G852" t="str">
        <f>IF(OR(C852&lt;outliers!$B$14,C852&gt;outliers!$B$13),"Outlier","Normal")</f>
        <v>Normal</v>
      </c>
      <c r="H852" t="str">
        <f>IF(OR(D852&lt;outliers!$B$21,D852&gt;outliers!$B$20),"Outlier","Normal")</f>
        <v>Normal</v>
      </c>
      <c r="I852" t="str">
        <f>IF(OR(E852&lt;outliers!$C$28,E852&gt;outliers!$B$27),"Outlier","Normal")</f>
        <v>Normal</v>
      </c>
      <c r="J852">
        <f t="shared" si="28"/>
        <v>2021</v>
      </c>
      <c r="K852" t="str">
        <f t="shared" si="27"/>
        <v>April</v>
      </c>
    </row>
    <row r="853" spans="1:11" x14ac:dyDescent="0.35">
      <c r="A853" s="1">
        <v>44291</v>
      </c>
      <c r="B853">
        <v>27.7</v>
      </c>
      <c r="C853">
        <v>21.4</v>
      </c>
      <c r="D853">
        <v>33.299999999999997</v>
      </c>
      <c r="E853">
        <v>0</v>
      </c>
      <c r="F853" t="str">
        <f>IF(OR(B853&lt;outliers!$B$7,B853&gt;outliers!$B$6),"Outlier","Normal")</f>
        <v>Normal</v>
      </c>
      <c r="G853" t="str">
        <f>IF(OR(C853&lt;outliers!$B$14,C853&gt;outliers!$B$13),"Outlier","Normal")</f>
        <v>Normal</v>
      </c>
      <c r="H853" t="str">
        <f>IF(OR(D853&lt;outliers!$B$21,D853&gt;outliers!$B$20),"Outlier","Normal")</f>
        <v>Normal</v>
      </c>
      <c r="I853" t="str">
        <f>IF(OR(E853&lt;outliers!$C$28,E853&gt;outliers!$B$27),"Outlier","Normal")</f>
        <v>Normal</v>
      </c>
      <c r="J853">
        <f t="shared" si="28"/>
        <v>2021</v>
      </c>
      <c r="K853" t="str">
        <f t="shared" si="27"/>
        <v>April</v>
      </c>
    </row>
    <row r="854" spans="1:11" x14ac:dyDescent="0.35">
      <c r="A854" s="1">
        <v>44292</v>
      </c>
      <c r="B854">
        <v>27.3</v>
      </c>
      <c r="C854">
        <v>20.2</v>
      </c>
      <c r="D854">
        <v>34.4</v>
      </c>
      <c r="E854">
        <v>0</v>
      </c>
      <c r="F854" t="str">
        <f>IF(OR(B854&lt;outliers!$B$7,B854&gt;outliers!$B$6),"Outlier","Normal")</f>
        <v>Normal</v>
      </c>
      <c r="G854" t="str">
        <f>IF(OR(C854&lt;outliers!$B$14,C854&gt;outliers!$B$13),"Outlier","Normal")</f>
        <v>Normal</v>
      </c>
      <c r="H854" t="str">
        <f>IF(OR(D854&lt;outliers!$B$21,D854&gt;outliers!$B$20),"Outlier","Normal")</f>
        <v>Normal</v>
      </c>
      <c r="I854" t="str">
        <f>IF(OR(E854&lt;outliers!$C$28,E854&gt;outliers!$B$27),"Outlier","Normal")</f>
        <v>Normal</v>
      </c>
      <c r="J854">
        <f t="shared" si="28"/>
        <v>2021</v>
      </c>
      <c r="K854" t="str">
        <f t="shared" si="27"/>
        <v>April</v>
      </c>
    </row>
    <row r="855" spans="1:11" x14ac:dyDescent="0.35">
      <c r="A855" s="1">
        <v>44293</v>
      </c>
      <c r="B855">
        <v>27.6</v>
      </c>
      <c r="C855">
        <v>19.399999999999999</v>
      </c>
      <c r="D855">
        <v>35</v>
      </c>
      <c r="E855">
        <v>0</v>
      </c>
      <c r="F855" t="str">
        <f>IF(OR(B855&lt;outliers!$B$7,B855&gt;outliers!$B$6),"Outlier","Normal")</f>
        <v>Normal</v>
      </c>
      <c r="G855" t="str">
        <f>IF(OR(C855&lt;outliers!$B$14,C855&gt;outliers!$B$13),"Outlier","Normal")</f>
        <v>Normal</v>
      </c>
      <c r="H855" t="str">
        <f>IF(OR(D855&lt;outliers!$B$21,D855&gt;outliers!$B$20),"Outlier","Normal")</f>
        <v>Normal</v>
      </c>
      <c r="I855" t="str">
        <f>IF(OR(E855&lt;outliers!$C$28,E855&gt;outliers!$B$27),"Outlier","Normal")</f>
        <v>Normal</v>
      </c>
      <c r="J855">
        <f t="shared" si="28"/>
        <v>2021</v>
      </c>
      <c r="K855" t="str">
        <f t="shared" si="27"/>
        <v>April</v>
      </c>
    </row>
    <row r="856" spans="1:11" x14ac:dyDescent="0.35">
      <c r="A856" s="1">
        <v>44294</v>
      </c>
      <c r="B856">
        <v>27.3</v>
      </c>
      <c r="C856">
        <v>20.100000000000001</v>
      </c>
      <c r="D856">
        <v>34.200000000000003</v>
      </c>
      <c r="E856">
        <v>0</v>
      </c>
      <c r="F856" t="str">
        <f>IF(OR(B856&lt;outliers!$B$7,B856&gt;outliers!$B$6),"Outlier","Normal")</f>
        <v>Normal</v>
      </c>
      <c r="G856" t="str">
        <f>IF(OR(C856&lt;outliers!$B$14,C856&gt;outliers!$B$13),"Outlier","Normal")</f>
        <v>Normal</v>
      </c>
      <c r="H856" t="str">
        <f>IF(OR(D856&lt;outliers!$B$21,D856&gt;outliers!$B$20),"Outlier","Normal")</f>
        <v>Normal</v>
      </c>
      <c r="I856" t="str">
        <f>IF(OR(E856&lt;outliers!$C$28,E856&gt;outliers!$B$27),"Outlier","Normal")</f>
        <v>Normal</v>
      </c>
      <c r="J856">
        <f t="shared" si="28"/>
        <v>2021</v>
      </c>
      <c r="K856" t="str">
        <f t="shared" si="27"/>
        <v>April</v>
      </c>
    </row>
    <row r="857" spans="1:11" x14ac:dyDescent="0.35">
      <c r="A857" s="1">
        <v>44295</v>
      </c>
      <c r="B857">
        <v>27.1</v>
      </c>
      <c r="C857">
        <v>19.5</v>
      </c>
      <c r="D857">
        <v>34</v>
      </c>
      <c r="E857">
        <v>0</v>
      </c>
      <c r="F857" t="str">
        <f>IF(OR(B857&lt;outliers!$B$7,B857&gt;outliers!$B$6),"Outlier","Normal")</f>
        <v>Normal</v>
      </c>
      <c r="G857" t="str">
        <f>IF(OR(C857&lt;outliers!$B$14,C857&gt;outliers!$B$13),"Outlier","Normal")</f>
        <v>Normal</v>
      </c>
      <c r="H857" t="str">
        <f>IF(OR(D857&lt;outliers!$B$21,D857&gt;outliers!$B$20),"Outlier","Normal")</f>
        <v>Normal</v>
      </c>
      <c r="I857" t="str">
        <f>IF(OR(E857&lt;outliers!$C$28,E857&gt;outliers!$B$27),"Outlier","Normal")</f>
        <v>Normal</v>
      </c>
      <c r="J857">
        <f t="shared" si="28"/>
        <v>2021</v>
      </c>
      <c r="K857" t="str">
        <f t="shared" si="27"/>
        <v>April</v>
      </c>
    </row>
    <row r="858" spans="1:11" x14ac:dyDescent="0.35">
      <c r="A858" s="1">
        <v>44296</v>
      </c>
      <c r="B858">
        <v>26.5</v>
      </c>
      <c r="C858">
        <v>19.3</v>
      </c>
      <c r="D858">
        <v>33.299999999999997</v>
      </c>
      <c r="E858">
        <v>0</v>
      </c>
      <c r="F858" t="str">
        <f>IF(OR(B858&lt;outliers!$B$7,B858&gt;outliers!$B$6),"Outlier","Normal")</f>
        <v>Normal</v>
      </c>
      <c r="G858" t="str">
        <f>IF(OR(C858&lt;outliers!$B$14,C858&gt;outliers!$B$13),"Outlier","Normal")</f>
        <v>Normal</v>
      </c>
      <c r="H858" t="str">
        <f>IF(OR(D858&lt;outliers!$B$21,D858&gt;outliers!$B$20),"Outlier","Normal")</f>
        <v>Normal</v>
      </c>
      <c r="I858" t="str">
        <f>IF(OR(E858&lt;outliers!$C$28,E858&gt;outliers!$B$27),"Outlier","Normal")</f>
        <v>Normal</v>
      </c>
      <c r="J858">
        <f t="shared" si="28"/>
        <v>2021</v>
      </c>
      <c r="K858" t="str">
        <f t="shared" si="27"/>
        <v>April</v>
      </c>
    </row>
    <row r="859" spans="1:11" x14ac:dyDescent="0.35">
      <c r="A859" s="1">
        <v>44297</v>
      </c>
      <c r="B859">
        <v>26.5</v>
      </c>
      <c r="C859">
        <v>19.399999999999999</v>
      </c>
      <c r="D859">
        <v>33.200000000000003</v>
      </c>
      <c r="E859">
        <v>0</v>
      </c>
      <c r="F859" t="str">
        <f>IF(OR(B859&lt;outliers!$B$7,B859&gt;outliers!$B$6),"Outlier","Normal")</f>
        <v>Normal</v>
      </c>
      <c r="G859" t="str">
        <f>IF(OR(C859&lt;outliers!$B$14,C859&gt;outliers!$B$13),"Outlier","Normal")</f>
        <v>Normal</v>
      </c>
      <c r="H859" t="str">
        <f>IF(OR(D859&lt;outliers!$B$21,D859&gt;outliers!$B$20),"Outlier","Normal")</f>
        <v>Normal</v>
      </c>
      <c r="I859" t="str">
        <f>IF(OR(E859&lt;outliers!$C$28,E859&gt;outliers!$B$27),"Outlier","Normal")</f>
        <v>Normal</v>
      </c>
      <c r="J859">
        <f t="shared" si="28"/>
        <v>2021</v>
      </c>
      <c r="K859" t="str">
        <f t="shared" si="27"/>
        <v>April</v>
      </c>
    </row>
    <row r="860" spans="1:11" x14ac:dyDescent="0.35">
      <c r="A860" s="1">
        <v>44298</v>
      </c>
      <c r="B860">
        <v>26.6</v>
      </c>
      <c r="C860">
        <v>20.7</v>
      </c>
      <c r="D860">
        <v>33.5</v>
      </c>
      <c r="E860">
        <v>0</v>
      </c>
      <c r="F860" t="str">
        <f>IF(OR(B860&lt;outliers!$B$7,B860&gt;outliers!$B$6),"Outlier","Normal")</f>
        <v>Normal</v>
      </c>
      <c r="G860" t="str">
        <f>IF(OR(C860&lt;outliers!$B$14,C860&gt;outliers!$B$13),"Outlier","Normal")</f>
        <v>Normal</v>
      </c>
      <c r="H860" t="str">
        <f>IF(OR(D860&lt;outliers!$B$21,D860&gt;outliers!$B$20),"Outlier","Normal")</f>
        <v>Normal</v>
      </c>
      <c r="I860" t="str">
        <f>IF(OR(E860&lt;outliers!$C$28,E860&gt;outliers!$B$27),"Outlier","Normal")</f>
        <v>Normal</v>
      </c>
      <c r="J860">
        <f t="shared" si="28"/>
        <v>2021</v>
      </c>
      <c r="K860" t="str">
        <f t="shared" si="27"/>
        <v>April</v>
      </c>
    </row>
    <row r="861" spans="1:11" x14ac:dyDescent="0.35">
      <c r="A861" s="1">
        <v>44299</v>
      </c>
      <c r="B861">
        <v>26.6</v>
      </c>
      <c r="C861">
        <v>20.8</v>
      </c>
      <c r="D861">
        <v>32.9</v>
      </c>
      <c r="E861">
        <v>0</v>
      </c>
      <c r="F861" t="str">
        <f>IF(OR(B861&lt;outliers!$B$7,B861&gt;outliers!$B$6),"Outlier","Normal")</f>
        <v>Normal</v>
      </c>
      <c r="G861" t="str">
        <f>IF(OR(C861&lt;outliers!$B$14,C861&gt;outliers!$B$13),"Outlier","Normal")</f>
        <v>Normal</v>
      </c>
      <c r="H861" t="str">
        <f>IF(OR(D861&lt;outliers!$B$21,D861&gt;outliers!$B$20),"Outlier","Normal")</f>
        <v>Normal</v>
      </c>
      <c r="I861" t="str">
        <f>IF(OR(E861&lt;outliers!$C$28,E861&gt;outliers!$B$27),"Outlier","Normal")</f>
        <v>Normal</v>
      </c>
      <c r="J861">
        <f t="shared" si="28"/>
        <v>2021</v>
      </c>
      <c r="K861" t="str">
        <f t="shared" si="27"/>
        <v>April</v>
      </c>
    </row>
    <row r="862" spans="1:11" x14ac:dyDescent="0.35">
      <c r="A862" s="1">
        <v>44300</v>
      </c>
      <c r="B862">
        <v>25.1</v>
      </c>
      <c r="C862">
        <v>21.8</v>
      </c>
      <c r="D862">
        <v>31.8</v>
      </c>
      <c r="E862">
        <v>8.1</v>
      </c>
      <c r="F862" t="str">
        <f>IF(OR(B862&lt;outliers!$B$7,B862&gt;outliers!$B$6),"Outlier","Normal")</f>
        <v>Normal</v>
      </c>
      <c r="G862" t="str">
        <f>IF(OR(C862&lt;outliers!$B$14,C862&gt;outliers!$B$13),"Outlier","Normal")</f>
        <v>Normal</v>
      </c>
      <c r="H862" t="str">
        <f>IF(OR(D862&lt;outliers!$B$21,D862&gt;outliers!$B$20),"Outlier","Normal")</f>
        <v>Normal</v>
      </c>
      <c r="I862" t="str">
        <f>IF(OR(E862&lt;outliers!$C$28,E862&gt;outliers!$B$27),"Outlier","Normal")</f>
        <v>Normal</v>
      </c>
      <c r="J862">
        <f t="shared" si="28"/>
        <v>2021</v>
      </c>
      <c r="K862" t="str">
        <f t="shared" si="27"/>
        <v>April</v>
      </c>
    </row>
    <row r="863" spans="1:11" x14ac:dyDescent="0.35">
      <c r="A863" s="1">
        <v>44301</v>
      </c>
      <c r="B863">
        <v>25.3</v>
      </c>
      <c r="C863">
        <v>19.8</v>
      </c>
      <c r="D863">
        <v>33.200000000000003</v>
      </c>
      <c r="E863">
        <v>1.8</v>
      </c>
      <c r="F863" t="str">
        <f>IF(OR(B863&lt;outliers!$B$7,B863&gt;outliers!$B$6),"Outlier","Normal")</f>
        <v>Normal</v>
      </c>
      <c r="G863" t="str">
        <f>IF(OR(C863&lt;outliers!$B$14,C863&gt;outliers!$B$13),"Outlier","Normal")</f>
        <v>Normal</v>
      </c>
      <c r="H863" t="str">
        <f>IF(OR(D863&lt;outliers!$B$21,D863&gt;outliers!$B$20),"Outlier","Normal")</f>
        <v>Normal</v>
      </c>
      <c r="I863" t="str">
        <f>IF(OR(E863&lt;outliers!$C$28,E863&gt;outliers!$B$27),"Outlier","Normal")</f>
        <v>Normal</v>
      </c>
      <c r="J863">
        <f t="shared" si="28"/>
        <v>2021</v>
      </c>
      <c r="K863" t="str">
        <f t="shared" si="27"/>
        <v>April</v>
      </c>
    </row>
    <row r="864" spans="1:11" x14ac:dyDescent="0.35">
      <c r="A864" s="1">
        <v>44302</v>
      </c>
      <c r="B864">
        <v>27.2</v>
      </c>
      <c r="C864">
        <v>20.8</v>
      </c>
      <c r="D864">
        <v>32.6</v>
      </c>
      <c r="E864">
        <v>0.3</v>
      </c>
      <c r="F864" t="str">
        <f>IF(OR(B864&lt;outliers!$B$7,B864&gt;outliers!$B$6),"Outlier","Normal")</f>
        <v>Normal</v>
      </c>
      <c r="G864" t="str">
        <f>IF(OR(C864&lt;outliers!$B$14,C864&gt;outliers!$B$13),"Outlier","Normal")</f>
        <v>Normal</v>
      </c>
      <c r="H864" t="str">
        <f>IF(OR(D864&lt;outliers!$B$21,D864&gt;outliers!$B$20),"Outlier","Normal")</f>
        <v>Normal</v>
      </c>
      <c r="I864" t="str">
        <f>IF(OR(E864&lt;outliers!$C$28,E864&gt;outliers!$B$27),"Outlier","Normal")</f>
        <v>Normal</v>
      </c>
      <c r="J864">
        <f t="shared" si="28"/>
        <v>2021</v>
      </c>
      <c r="K864" t="str">
        <f t="shared" si="27"/>
        <v>April</v>
      </c>
    </row>
    <row r="865" spans="1:11" x14ac:dyDescent="0.35">
      <c r="A865" s="1">
        <v>44303</v>
      </c>
      <c r="B865">
        <v>27.7</v>
      </c>
      <c r="C865">
        <v>22.4</v>
      </c>
      <c r="D865">
        <v>33.4</v>
      </c>
      <c r="E865">
        <v>0</v>
      </c>
      <c r="F865" t="str">
        <f>IF(OR(B865&lt;outliers!$B$7,B865&gt;outliers!$B$6),"Outlier","Normal")</f>
        <v>Normal</v>
      </c>
      <c r="G865" t="str">
        <f>IF(OR(C865&lt;outliers!$B$14,C865&gt;outliers!$B$13),"Outlier","Normal")</f>
        <v>Normal</v>
      </c>
      <c r="H865" t="str">
        <f>IF(OR(D865&lt;outliers!$B$21,D865&gt;outliers!$B$20),"Outlier","Normal")</f>
        <v>Normal</v>
      </c>
      <c r="I865" t="str">
        <f>IF(OR(E865&lt;outliers!$C$28,E865&gt;outliers!$B$27),"Outlier","Normal")</f>
        <v>Normal</v>
      </c>
      <c r="J865">
        <f t="shared" si="28"/>
        <v>2021</v>
      </c>
      <c r="K865" t="str">
        <f t="shared" si="27"/>
        <v>April</v>
      </c>
    </row>
    <row r="866" spans="1:11" x14ac:dyDescent="0.35">
      <c r="A866" s="1">
        <v>44304</v>
      </c>
      <c r="B866">
        <v>26.8</v>
      </c>
      <c r="C866">
        <v>20.9</v>
      </c>
      <c r="D866">
        <v>33</v>
      </c>
      <c r="E866">
        <v>0.1</v>
      </c>
      <c r="F866" t="str">
        <f>IF(OR(B866&lt;outliers!$B$7,B866&gt;outliers!$B$6),"Outlier","Normal")</f>
        <v>Normal</v>
      </c>
      <c r="G866" t="str">
        <f>IF(OR(C866&lt;outliers!$B$14,C866&gt;outliers!$B$13),"Outlier","Normal")</f>
        <v>Normal</v>
      </c>
      <c r="H866" t="str">
        <f>IF(OR(D866&lt;outliers!$B$21,D866&gt;outliers!$B$20),"Outlier","Normal")</f>
        <v>Normal</v>
      </c>
      <c r="I866" t="str">
        <f>IF(OR(E866&lt;outliers!$C$28,E866&gt;outliers!$B$27),"Outlier","Normal")</f>
        <v>Normal</v>
      </c>
      <c r="J866">
        <f t="shared" si="28"/>
        <v>2021</v>
      </c>
      <c r="K866" t="str">
        <f t="shared" si="27"/>
        <v>April</v>
      </c>
    </row>
    <row r="867" spans="1:11" x14ac:dyDescent="0.35">
      <c r="A867" s="1">
        <v>44305</v>
      </c>
      <c r="B867">
        <v>27.1</v>
      </c>
      <c r="C867">
        <v>20.6</v>
      </c>
      <c r="D867">
        <v>34</v>
      </c>
      <c r="E867">
        <v>0.1</v>
      </c>
      <c r="F867" t="str">
        <f>IF(OR(B867&lt;outliers!$B$7,B867&gt;outliers!$B$6),"Outlier","Normal")</f>
        <v>Normal</v>
      </c>
      <c r="G867" t="str">
        <f>IF(OR(C867&lt;outliers!$B$14,C867&gt;outliers!$B$13),"Outlier","Normal")</f>
        <v>Normal</v>
      </c>
      <c r="H867" t="str">
        <f>IF(OR(D867&lt;outliers!$B$21,D867&gt;outliers!$B$20),"Outlier","Normal")</f>
        <v>Normal</v>
      </c>
      <c r="I867" t="str">
        <f>IF(OR(E867&lt;outliers!$C$28,E867&gt;outliers!$B$27),"Outlier","Normal")</f>
        <v>Normal</v>
      </c>
      <c r="J867">
        <f t="shared" si="28"/>
        <v>2021</v>
      </c>
      <c r="K867" t="str">
        <f t="shared" si="27"/>
        <v>April</v>
      </c>
    </row>
    <row r="868" spans="1:11" x14ac:dyDescent="0.35">
      <c r="A868" s="1">
        <v>44306</v>
      </c>
      <c r="B868">
        <v>26</v>
      </c>
      <c r="C868">
        <v>21.8</v>
      </c>
      <c r="D868">
        <v>34</v>
      </c>
      <c r="E868">
        <v>2.1</v>
      </c>
      <c r="F868" t="str">
        <f>IF(OR(B868&lt;outliers!$B$7,B868&gt;outliers!$B$6),"Outlier","Normal")</f>
        <v>Normal</v>
      </c>
      <c r="G868" t="str">
        <f>IF(OR(C868&lt;outliers!$B$14,C868&gt;outliers!$B$13),"Outlier","Normal")</f>
        <v>Normal</v>
      </c>
      <c r="H868" t="str">
        <f>IF(OR(D868&lt;outliers!$B$21,D868&gt;outliers!$B$20),"Outlier","Normal")</f>
        <v>Normal</v>
      </c>
      <c r="I868" t="str">
        <f>IF(OR(E868&lt;outliers!$C$28,E868&gt;outliers!$B$27),"Outlier","Normal")</f>
        <v>Normal</v>
      </c>
      <c r="J868">
        <f t="shared" si="28"/>
        <v>2021</v>
      </c>
      <c r="K868" t="str">
        <f t="shared" si="27"/>
        <v>April</v>
      </c>
    </row>
    <row r="869" spans="1:11" x14ac:dyDescent="0.35">
      <c r="A869" s="1">
        <v>44307</v>
      </c>
      <c r="B869">
        <v>26.6</v>
      </c>
      <c r="C869">
        <v>20.8</v>
      </c>
      <c r="D869">
        <v>34.4</v>
      </c>
      <c r="E869">
        <v>0</v>
      </c>
      <c r="F869" t="str">
        <f>IF(OR(B869&lt;outliers!$B$7,B869&gt;outliers!$B$6),"Outlier","Normal")</f>
        <v>Normal</v>
      </c>
      <c r="G869" t="str">
        <f>IF(OR(C869&lt;outliers!$B$14,C869&gt;outliers!$B$13),"Outlier","Normal")</f>
        <v>Normal</v>
      </c>
      <c r="H869" t="str">
        <f>IF(OR(D869&lt;outliers!$B$21,D869&gt;outliers!$B$20),"Outlier","Normal")</f>
        <v>Normal</v>
      </c>
      <c r="I869" t="str">
        <f>IF(OR(E869&lt;outliers!$C$28,E869&gt;outliers!$B$27),"Outlier","Normal")</f>
        <v>Normal</v>
      </c>
      <c r="J869">
        <f t="shared" si="28"/>
        <v>2021</v>
      </c>
      <c r="K869" t="str">
        <f t="shared" si="27"/>
        <v>April</v>
      </c>
    </row>
    <row r="870" spans="1:11" hidden="1" x14ac:dyDescent="0.35">
      <c r="A870" s="1">
        <v>44308</v>
      </c>
      <c r="B870">
        <v>24.3</v>
      </c>
      <c r="C870">
        <v>20.5</v>
      </c>
      <c r="D870">
        <v>34.6</v>
      </c>
      <c r="E870">
        <v>28.7</v>
      </c>
      <c r="F870" t="str">
        <f>IF(OR(B870&lt;outliers!$B$7,B870&gt;outliers!$B$6),"Outlier","Normal")</f>
        <v>Normal</v>
      </c>
      <c r="G870" t="str">
        <f>IF(OR(C870&lt;outliers!$B$14,C870&gt;outliers!$B$13),"Outlier","Normal")</f>
        <v>Normal</v>
      </c>
      <c r="H870" t="str">
        <f>IF(OR(D870&lt;outliers!$B$21,D870&gt;outliers!$B$20),"Outlier","Normal")</f>
        <v>Normal</v>
      </c>
      <c r="I870" t="str">
        <f>IF(OR(E870&lt;outliers!$C$28,E870&gt;outliers!$B$27),"Outlier","Normal")</f>
        <v>Outlier</v>
      </c>
      <c r="J870">
        <f t="shared" si="28"/>
        <v>2021</v>
      </c>
      <c r="K870" t="str">
        <f t="shared" si="27"/>
        <v>April</v>
      </c>
    </row>
    <row r="871" spans="1:11" hidden="1" x14ac:dyDescent="0.35">
      <c r="A871" s="1">
        <v>44309</v>
      </c>
      <c r="B871">
        <v>24.4</v>
      </c>
      <c r="C871">
        <v>20.7</v>
      </c>
      <c r="D871">
        <v>32.200000000000003</v>
      </c>
      <c r="E871">
        <v>21.3</v>
      </c>
      <c r="F871" t="str">
        <f>IF(OR(B871&lt;outliers!$B$7,B871&gt;outliers!$B$6),"Outlier","Normal")</f>
        <v>Normal</v>
      </c>
      <c r="G871" t="str">
        <f>IF(OR(C871&lt;outliers!$B$14,C871&gt;outliers!$B$13),"Outlier","Normal")</f>
        <v>Normal</v>
      </c>
      <c r="H871" t="str">
        <f>IF(OR(D871&lt;outliers!$B$21,D871&gt;outliers!$B$20),"Outlier","Normal")</f>
        <v>Normal</v>
      </c>
      <c r="I871" t="str">
        <f>IF(OR(E871&lt;outliers!$C$28,E871&gt;outliers!$B$27),"Outlier","Normal")</f>
        <v>Outlier</v>
      </c>
      <c r="J871">
        <f t="shared" si="28"/>
        <v>2021</v>
      </c>
      <c r="K871" t="str">
        <f t="shared" si="27"/>
        <v>April</v>
      </c>
    </row>
    <row r="872" spans="1:11" hidden="1" x14ac:dyDescent="0.35">
      <c r="A872" s="1">
        <v>44310</v>
      </c>
      <c r="B872">
        <v>24.6</v>
      </c>
      <c r="C872">
        <v>20</v>
      </c>
      <c r="D872">
        <v>31.7</v>
      </c>
      <c r="E872">
        <v>65.8</v>
      </c>
      <c r="F872" t="str">
        <f>IF(OR(B872&lt;outliers!$B$7,B872&gt;outliers!$B$6),"Outlier","Normal")</f>
        <v>Normal</v>
      </c>
      <c r="G872" t="str">
        <f>IF(OR(C872&lt;outliers!$B$14,C872&gt;outliers!$B$13),"Outlier","Normal")</f>
        <v>Normal</v>
      </c>
      <c r="H872" t="str">
        <f>IF(OR(D872&lt;outliers!$B$21,D872&gt;outliers!$B$20),"Outlier","Normal")</f>
        <v>Normal</v>
      </c>
      <c r="I872" t="str">
        <f>IF(OR(E872&lt;outliers!$C$28,E872&gt;outliers!$B$27),"Outlier","Normal")</f>
        <v>Outlier</v>
      </c>
      <c r="J872">
        <f t="shared" si="28"/>
        <v>2021</v>
      </c>
      <c r="K872" t="str">
        <f t="shared" si="27"/>
        <v>April</v>
      </c>
    </row>
    <row r="873" spans="1:11" x14ac:dyDescent="0.35">
      <c r="A873" s="1">
        <v>44311</v>
      </c>
      <c r="B873">
        <v>26.5</v>
      </c>
      <c r="C873">
        <v>21.8</v>
      </c>
      <c r="D873">
        <v>31.9</v>
      </c>
      <c r="E873">
        <v>0</v>
      </c>
      <c r="F873" t="str">
        <f>IF(OR(B873&lt;outliers!$B$7,B873&gt;outliers!$B$6),"Outlier","Normal")</f>
        <v>Normal</v>
      </c>
      <c r="G873" t="str">
        <f>IF(OR(C873&lt;outliers!$B$14,C873&gt;outliers!$B$13),"Outlier","Normal")</f>
        <v>Normal</v>
      </c>
      <c r="H873" t="str">
        <f>IF(OR(D873&lt;outliers!$B$21,D873&gt;outliers!$B$20),"Outlier","Normal")</f>
        <v>Normal</v>
      </c>
      <c r="I873" t="str">
        <f>IF(OR(E873&lt;outliers!$C$28,E873&gt;outliers!$B$27),"Outlier","Normal")</f>
        <v>Normal</v>
      </c>
      <c r="J873">
        <f t="shared" si="28"/>
        <v>2021</v>
      </c>
      <c r="K873" t="str">
        <f t="shared" si="27"/>
        <v>April</v>
      </c>
    </row>
    <row r="874" spans="1:11" x14ac:dyDescent="0.35">
      <c r="A874" s="1">
        <v>44312</v>
      </c>
      <c r="B874">
        <v>26.5</v>
      </c>
      <c r="C874">
        <v>21.2</v>
      </c>
      <c r="D874">
        <v>33</v>
      </c>
      <c r="E874">
        <v>0</v>
      </c>
      <c r="F874" t="str">
        <f>IF(OR(B874&lt;outliers!$B$7,B874&gt;outliers!$B$6),"Outlier","Normal")</f>
        <v>Normal</v>
      </c>
      <c r="G874" t="str">
        <f>IF(OR(C874&lt;outliers!$B$14,C874&gt;outliers!$B$13),"Outlier","Normal")</f>
        <v>Normal</v>
      </c>
      <c r="H874" t="str">
        <f>IF(OR(D874&lt;outliers!$B$21,D874&gt;outliers!$B$20),"Outlier","Normal")</f>
        <v>Normal</v>
      </c>
      <c r="I874" t="str">
        <f>IF(OR(E874&lt;outliers!$C$28,E874&gt;outliers!$B$27),"Outlier","Normal")</f>
        <v>Normal</v>
      </c>
      <c r="J874">
        <f t="shared" si="28"/>
        <v>2021</v>
      </c>
      <c r="K874" t="str">
        <f t="shared" si="27"/>
        <v>April</v>
      </c>
    </row>
    <row r="875" spans="1:11" x14ac:dyDescent="0.35">
      <c r="A875" s="1">
        <v>44313</v>
      </c>
      <c r="B875">
        <v>26.6</v>
      </c>
      <c r="C875">
        <v>20.9</v>
      </c>
      <c r="D875">
        <v>32.5</v>
      </c>
      <c r="E875">
        <v>0</v>
      </c>
      <c r="F875" t="str">
        <f>IF(OR(B875&lt;outliers!$B$7,B875&gt;outliers!$B$6),"Outlier","Normal")</f>
        <v>Normal</v>
      </c>
      <c r="G875" t="str">
        <f>IF(OR(C875&lt;outliers!$B$14,C875&gt;outliers!$B$13),"Outlier","Normal")</f>
        <v>Normal</v>
      </c>
      <c r="H875" t="str">
        <f>IF(OR(D875&lt;outliers!$B$21,D875&gt;outliers!$B$20),"Outlier","Normal")</f>
        <v>Normal</v>
      </c>
      <c r="I875" t="str">
        <f>IF(OR(E875&lt;outliers!$C$28,E875&gt;outliers!$B$27),"Outlier","Normal")</f>
        <v>Normal</v>
      </c>
      <c r="J875">
        <f t="shared" si="28"/>
        <v>2021</v>
      </c>
      <c r="K875" t="str">
        <f t="shared" si="27"/>
        <v>April</v>
      </c>
    </row>
    <row r="876" spans="1:11" x14ac:dyDescent="0.35">
      <c r="A876" s="1">
        <v>44314</v>
      </c>
      <c r="B876">
        <v>27</v>
      </c>
      <c r="C876">
        <v>20.9</v>
      </c>
      <c r="D876">
        <v>33.4</v>
      </c>
      <c r="E876">
        <v>0.1</v>
      </c>
      <c r="F876" t="str">
        <f>IF(OR(B876&lt;outliers!$B$7,B876&gt;outliers!$B$6),"Outlier","Normal")</f>
        <v>Normal</v>
      </c>
      <c r="G876" t="str">
        <f>IF(OR(C876&lt;outliers!$B$14,C876&gt;outliers!$B$13),"Outlier","Normal")</f>
        <v>Normal</v>
      </c>
      <c r="H876" t="str">
        <f>IF(OR(D876&lt;outliers!$B$21,D876&gt;outliers!$B$20),"Outlier","Normal")</f>
        <v>Normal</v>
      </c>
      <c r="I876" t="str">
        <f>IF(OR(E876&lt;outliers!$C$28,E876&gt;outliers!$B$27),"Outlier","Normal")</f>
        <v>Normal</v>
      </c>
      <c r="J876">
        <f t="shared" si="28"/>
        <v>2021</v>
      </c>
      <c r="K876" t="str">
        <f t="shared" si="27"/>
        <v>April</v>
      </c>
    </row>
    <row r="877" spans="1:11" x14ac:dyDescent="0.35">
      <c r="A877" s="1">
        <v>44315</v>
      </c>
      <c r="B877">
        <v>26.5</v>
      </c>
      <c r="C877">
        <v>22.2</v>
      </c>
      <c r="D877">
        <v>31.8</v>
      </c>
      <c r="E877">
        <v>0.7</v>
      </c>
      <c r="F877" t="str">
        <f>IF(OR(B877&lt;outliers!$B$7,B877&gt;outliers!$B$6),"Outlier","Normal")</f>
        <v>Normal</v>
      </c>
      <c r="G877" t="str">
        <f>IF(OR(C877&lt;outliers!$B$14,C877&gt;outliers!$B$13),"Outlier","Normal")</f>
        <v>Normal</v>
      </c>
      <c r="H877" t="str">
        <f>IF(OR(D877&lt;outliers!$B$21,D877&gt;outliers!$B$20),"Outlier","Normal")</f>
        <v>Normal</v>
      </c>
      <c r="I877" t="str">
        <f>IF(OR(E877&lt;outliers!$C$28,E877&gt;outliers!$B$27),"Outlier","Normal")</f>
        <v>Normal</v>
      </c>
      <c r="J877">
        <f t="shared" si="28"/>
        <v>2021</v>
      </c>
      <c r="K877" t="str">
        <f t="shared" si="27"/>
        <v>April</v>
      </c>
    </row>
    <row r="878" spans="1:11" x14ac:dyDescent="0.35">
      <c r="A878" s="1">
        <v>44316</v>
      </c>
      <c r="B878">
        <v>26.4</v>
      </c>
      <c r="C878">
        <v>20.7</v>
      </c>
      <c r="D878">
        <v>33.1</v>
      </c>
      <c r="E878">
        <v>0</v>
      </c>
      <c r="F878" t="str">
        <f>IF(OR(B878&lt;outliers!$B$7,B878&gt;outliers!$B$6),"Outlier","Normal")</f>
        <v>Normal</v>
      </c>
      <c r="G878" t="str">
        <f>IF(OR(C878&lt;outliers!$B$14,C878&gt;outliers!$B$13),"Outlier","Normal")</f>
        <v>Normal</v>
      </c>
      <c r="H878" t="str">
        <f>IF(OR(D878&lt;outliers!$B$21,D878&gt;outliers!$B$20),"Outlier","Normal")</f>
        <v>Normal</v>
      </c>
      <c r="I878" t="str">
        <f>IF(OR(E878&lt;outliers!$C$28,E878&gt;outliers!$B$27),"Outlier","Normal")</f>
        <v>Normal</v>
      </c>
      <c r="J878">
        <f t="shared" si="28"/>
        <v>2021</v>
      </c>
      <c r="K878" t="str">
        <f t="shared" si="27"/>
        <v>April</v>
      </c>
    </row>
    <row r="879" spans="1:11" x14ac:dyDescent="0.35">
      <c r="A879" s="1">
        <v>44317</v>
      </c>
      <c r="B879">
        <v>27.1</v>
      </c>
      <c r="C879">
        <v>22.5</v>
      </c>
      <c r="D879">
        <v>33.4</v>
      </c>
      <c r="E879">
        <v>0</v>
      </c>
      <c r="F879" t="str">
        <f>IF(OR(B879&lt;outliers!$B$7,B879&gt;outliers!$B$6),"Outlier","Normal")</f>
        <v>Normal</v>
      </c>
      <c r="G879" t="str">
        <f>IF(OR(C879&lt;outliers!$B$14,C879&gt;outliers!$B$13),"Outlier","Normal")</f>
        <v>Normal</v>
      </c>
      <c r="H879" t="str">
        <f>IF(OR(D879&lt;outliers!$B$21,D879&gt;outliers!$B$20),"Outlier","Normal")</f>
        <v>Normal</v>
      </c>
      <c r="I879" t="str">
        <f>IF(OR(E879&lt;outliers!$C$28,E879&gt;outliers!$B$27),"Outlier","Normal")</f>
        <v>Normal</v>
      </c>
      <c r="J879">
        <f t="shared" si="28"/>
        <v>2021</v>
      </c>
      <c r="K879" t="str">
        <f t="shared" si="27"/>
        <v>April</v>
      </c>
    </row>
    <row r="880" spans="1:11" x14ac:dyDescent="0.35">
      <c r="A880" s="1">
        <v>44318</v>
      </c>
      <c r="B880">
        <v>26.7</v>
      </c>
      <c r="C880">
        <v>21.5</v>
      </c>
      <c r="D880">
        <v>32.4</v>
      </c>
      <c r="E880">
        <v>0</v>
      </c>
      <c r="F880" t="str">
        <f>IF(OR(B880&lt;outliers!$B$7,B880&gt;outliers!$B$6),"Outlier","Normal")</f>
        <v>Normal</v>
      </c>
      <c r="G880" t="str">
        <f>IF(OR(C880&lt;outliers!$B$14,C880&gt;outliers!$B$13),"Outlier","Normal")</f>
        <v>Normal</v>
      </c>
      <c r="H880" t="str">
        <f>IF(OR(D880&lt;outliers!$B$21,D880&gt;outliers!$B$20),"Outlier","Normal")</f>
        <v>Normal</v>
      </c>
      <c r="I880" t="str">
        <f>IF(OR(E880&lt;outliers!$C$28,E880&gt;outliers!$B$27),"Outlier","Normal")</f>
        <v>Normal</v>
      </c>
      <c r="J880">
        <f t="shared" si="28"/>
        <v>2021</v>
      </c>
      <c r="K880" t="str">
        <f t="shared" si="27"/>
        <v>May</v>
      </c>
    </row>
    <row r="881" spans="1:11" x14ac:dyDescent="0.35">
      <c r="A881" s="1">
        <v>44319</v>
      </c>
      <c r="B881">
        <v>26.4</v>
      </c>
      <c r="C881">
        <v>21.9</v>
      </c>
      <c r="D881">
        <v>32</v>
      </c>
      <c r="E881">
        <v>0.3</v>
      </c>
      <c r="F881" t="str">
        <f>IF(OR(B881&lt;outliers!$B$7,B881&gt;outliers!$B$6),"Outlier","Normal")</f>
        <v>Normal</v>
      </c>
      <c r="G881" t="str">
        <f>IF(OR(C881&lt;outliers!$B$14,C881&gt;outliers!$B$13),"Outlier","Normal")</f>
        <v>Normal</v>
      </c>
      <c r="H881" t="str">
        <f>IF(OR(D881&lt;outliers!$B$21,D881&gt;outliers!$B$20),"Outlier","Normal")</f>
        <v>Normal</v>
      </c>
      <c r="I881" t="str">
        <f>IF(OR(E881&lt;outliers!$C$28,E881&gt;outliers!$B$27),"Outlier","Normal")</f>
        <v>Normal</v>
      </c>
      <c r="J881">
        <f t="shared" si="28"/>
        <v>2021</v>
      </c>
      <c r="K881" t="str">
        <f t="shared" si="27"/>
        <v>May</v>
      </c>
    </row>
    <row r="882" spans="1:11" x14ac:dyDescent="0.35">
      <c r="A882" s="1">
        <v>44320</v>
      </c>
      <c r="B882">
        <v>25.1</v>
      </c>
      <c r="C882">
        <v>21.1</v>
      </c>
      <c r="D882">
        <v>30.4</v>
      </c>
      <c r="E882">
        <v>8.9</v>
      </c>
      <c r="F882" t="str">
        <f>IF(OR(B882&lt;outliers!$B$7,B882&gt;outliers!$B$6),"Outlier","Normal")</f>
        <v>Normal</v>
      </c>
      <c r="G882" t="str">
        <f>IF(OR(C882&lt;outliers!$B$14,C882&gt;outliers!$B$13),"Outlier","Normal")</f>
        <v>Normal</v>
      </c>
      <c r="H882" t="str">
        <f>IF(OR(D882&lt;outliers!$B$21,D882&gt;outliers!$B$20),"Outlier","Normal")</f>
        <v>Normal</v>
      </c>
      <c r="I882" t="str">
        <f>IF(OR(E882&lt;outliers!$C$28,E882&gt;outliers!$B$27),"Outlier","Normal")</f>
        <v>Normal</v>
      </c>
      <c r="J882">
        <f t="shared" si="28"/>
        <v>2021</v>
      </c>
      <c r="K882" t="str">
        <f t="shared" si="27"/>
        <v>May</v>
      </c>
    </row>
    <row r="883" spans="1:11" x14ac:dyDescent="0.35">
      <c r="A883" s="1">
        <v>44321</v>
      </c>
      <c r="B883">
        <v>26.9</v>
      </c>
      <c r="C883">
        <v>20.6</v>
      </c>
      <c r="D883">
        <v>33.299999999999997</v>
      </c>
      <c r="E883">
        <v>0</v>
      </c>
      <c r="F883" t="str">
        <f>IF(OR(B883&lt;outliers!$B$7,B883&gt;outliers!$B$6),"Outlier","Normal")</f>
        <v>Normal</v>
      </c>
      <c r="G883" t="str">
        <f>IF(OR(C883&lt;outliers!$B$14,C883&gt;outliers!$B$13),"Outlier","Normal")</f>
        <v>Normal</v>
      </c>
      <c r="H883" t="str">
        <f>IF(OR(D883&lt;outliers!$B$21,D883&gt;outliers!$B$20),"Outlier","Normal")</f>
        <v>Normal</v>
      </c>
      <c r="I883" t="str">
        <f>IF(OR(E883&lt;outliers!$C$28,E883&gt;outliers!$B$27),"Outlier","Normal")</f>
        <v>Normal</v>
      </c>
      <c r="J883">
        <f t="shared" si="28"/>
        <v>2021</v>
      </c>
      <c r="K883" t="str">
        <f t="shared" si="27"/>
        <v>May</v>
      </c>
    </row>
    <row r="884" spans="1:11" x14ac:dyDescent="0.35">
      <c r="A884" s="1">
        <v>44322</v>
      </c>
      <c r="B884">
        <v>27</v>
      </c>
      <c r="C884">
        <v>21.7</v>
      </c>
      <c r="D884">
        <v>32.4</v>
      </c>
      <c r="E884">
        <v>0</v>
      </c>
      <c r="F884" t="str">
        <f>IF(OR(B884&lt;outliers!$B$7,B884&gt;outliers!$B$6),"Outlier","Normal")</f>
        <v>Normal</v>
      </c>
      <c r="G884" t="str">
        <f>IF(OR(C884&lt;outliers!$B$14,C884&gt;outliers!$B$13),"Outlier","Normal")</f>
        <v>Normal</v>
      </c>
      <c r="H884" t="str">
        <f>IF(OR(D884&lt;outliers!$B$21,D884&gt;outliers!$B$20),"Outlier","Normal")</f>
        <v>Normal</v>
      </c>
      <c r="I884" t="str">
        <f>IF(OR(E884&lt;outliers!$C$28,E884&gt;outliers!$B$27),"Outlier","Normal")</f>
        <v>Normal</v>
      </c>
      <c r="J884">
        <f t="shared" si="28"/>
        <v>2021</v>
      </c>
      <c r="K884" t="str">
        <f t="shared" si="27"/>
        <v>May</v>
      </c>
    </row>
    <row r="885" spans="1:11" x14ac:dyDescent="0.35">
      <c r="A885" s="1">
        <v>44323</v>
      </c>
      <c r="B885">
        <v>26.5</v>
      </c>
      <c r="C885">
        <v>22.2</v>
      </c>
      <c r="D885">
        <v>32</v>
      </c>
      <c r="E885">
        <v>0.7</v>
      </c>
      <c r="F885" t="str">
        <f>IF(OR(B885&lt;outliers!$B$7,B885&gt;outliers!$B$6),"Outlier","Normal")</f>
        <v>Normal</v>
      </c>
      <c r="G885" t="str">
        <f>IF(OR(C885&lt;outliers!$B$14,C885&gt;outliers!$B$13),"Outlier","Normal")</f>
        <v>Normal</v>
      </c>
      <c r="H885" t="str">
        <f>IF(OR(D885&lt;outliers!$B$21,D885&gt;outliers!$B$20),"Outlier","Normal")</f>
        <v>Normal</v>
      </c>
      <c r="I885" t="str">
        <f>IF(OR(E885&lt;outliers!$C$28,E885&gt;outliers!$B$27),"Outlier","Normal")</f>
        <v>Normal</v>
      </c>
      <c r="J885">
        <f t="shared" si="28"/>
        <v>2021</v>
      </c>
      <c r="K885" t="str">
        <f t="shared" si="27"/>
        <v>May</v>
      </c>
    </row>
    <row r="886" spans="1:11" x14ac:dyDescent="0.35">
      <c r="A886" s="1">
        <v>44324</v>
      </c>
      <c r="B886">
        <v>26.8</v>
      </c>
      <c r="C886">
        <v>21.5</v>
      </c>
      <c r="D886">
        <v>33.6</v>
      </c>
      <c r="E886">
        <v>0.2</v>
      </c>
      <c r="F886" t="str">
        <f>IF(OR(B886&lt;outliers!$B$7,B886&gt;outliers!$B$6),"Outlier","Normal")</f>
        <v>Normal</v>
      </c>
      <c r="G886" t="str">
        <f>IF(OR(C886&lt;outliers!$B$14,C886&gt;outliers!$B$13),"Outlier","Normal")</f>
        <v>Normal</v>
      </c>
      <c r="H886" t="str">
        <f>IF(OR(D886&lt;outliers!$B$21,D886&gt;outliers!$B$20),"Outlier","Normal")</f>
        <v>Normal</v>
      </c>
      <c r="I886" t="str">
        <f>IF(OR(E886&lt;outliers!$C$28,E886&gt;outliers!$B$27),"Outlier","Normal")</f>
        <v>Normal</v>
      </c>
      <c r="J886">
        <f t="shared" si="28"/>
        <v>2021</v>
      </c>
      <c r="K886" t="str">
        <f t="shared" si="27"/>
        <v>May</v>
      </c>
    </row>
    <row r="887" spans="1:11" x14ac:dyDescent="0.35">
      <c r="A887" s="1">
        <v>44325</v>
      </c>
      <c r="B887">
        <v>27.2</v>
      </c>
      <c r="C887">
        <v>21.3</v>
      </c>
      <c r="D887">
        <v>33.4</v>
      </c>
      <c r="E887">
        <v>0.3</v>
      </c>
      <c r="F887" t="str">
        <f>IF(OR(B887&lt;outliers!$B$7,B887&gt;outliers!$B$6),"Outlier","Normal")</f>
        <v>Normal</v>
      </c>
      <c r="G887" t="str">
        <f>IF(OR(C887&lt;outliers!$B$14,C887&gt;outliers!$B$13),"Outlier","Normal")</f>
        <v>Normal</v>
      </c>
      <c r="H887" t="str">
        <f>IF(OR(D887&lt;outliers!$B$21,D887&gt;outliers!$B$20),"Outlier","Normal")</f>
        <v>Normal</v>
      </c>
      <c r="I887" t="str">
        <f>IF(OR(E887&lt;outliers!$C$28,E887&gt;outliers!$B$27),"Outlier","Normal")</f>
        <v>Normal</v>
      </c>
      <c r="J887">
        <f t="shared" si="28"/>
        <v>2021</v>
      </c>
      <c r="K887" t="str">
        <f t="shared" si="27"/>
        <v>May</v>
      </c>
    </row>
    <row r="888" spans="1:11" x14ac:dyDescent="0.35">
      <c r="A888" s="1">
        <v>44326</v>
      </c>
      <c r="B888">
        <v>26.7</v>
      </c>
      <c r="C888">
        <v>22.1</v>
      </c>
      <c r="D888">
        <v>32.799999999999997</v>
      </c>
      <c r="E888">
        <v>1</v>
      </c>
      <c r="F888" t="str">
        <f>IF(OR(B888&lt;outliers!$B$7,B888&gt;outliers!$B$6),"Outlier","Normal")</f>
        <v>Normal</v>
      </c>
      <c r="G888" t="str">
        <f>IF(OR(C888&lt;outliers!$B$14,C888&gt;outliers!$B$13),"Outlier","Normal")</f>
        <v>Normal</v>
      </c>
      <c r="H888" t="str">
        <f>IF(OR(D888&lt;outliers!$B$21,D888&gt;outliers!$B$20),"Outlier","Normal")</f>
        <v>Normal</v>
      </c>
      <c r="I888" t="str">
        <f>IF(OR(E888&lt;outliers!$C$28,E888&gt;outliers!$B$27),"Outlier","Normal")</f>
        <v>Normal</v>
      </c>
      <c r="J888">
        <f t="shared" si="28"/>
        <v>2021</v>
      </c>
      <c r="K888" t="str">
        <f t="shared" si="27"/>
        <v>May</v>
      </c>
    </row>
    <row r="889" spans="1:11" x14ac:dyDescent="0.35">
      <c r="A889" s="1">
        <v>44327</v>
      </c>
      <c r="B889">
        <v>26.1</v>
      </c>
      <c r="C889">
        <v>21.5</v>
      </c>
      <c r="D889">
        <v>33.200000000000003</v>
      </c>
      <c r="E889">
        <v>5.6</v>
      </c>
      <c r="F889" t="str">
        <f>IF(OR(B889&lt;outliers!$B$7,B889&gt;outliers!$B$6),"Outlier","Normal")</f>
        <v>Normal</v>
      </c>
      <c r="G889" t="str">
        <f>IF(OR(C889&lt;outliers!$B$14,C889&gt;outliers!$B$13),"Outlier","Normal")</f>
        <v>Normal</v>
      </c>
      <c r="H889" t="str">
        <f>IF(OR(D889&lt;outliers!$B$21,D889&gt;outliers!$B$20),"Outlier","Normal")</f>
        <v>Normal</v>
      </c>
      <c r="I889" t="str">
        <f>IF(OR(E889&lt;outliers!$C$28,E889&gt;outliers!$B$27),"Outlier","Normal")</f>
        <v>Normal</v>
      </c>
      <c r="J889">
        <f t="shared" si="28"/>
        <v>2021</v>
      </c>
      <c r="K889" t="str">
        <f t="shared" si="27"/>
        <v>May</v>
      </c>
    </row>
    <row r="890" spans="1:11" x14ac:dyDescent="0.35">
      <c r="A890" s="1">
        <v>44328</v>
      </c>
      <c r="B890">
        <v>25.5</v>
      </c>
      <c r="C890">
        <v>21.4</v>
      </c>
      <c r="D890">
        <v>33.9</v>
      </c>
      <c r="E890">
        <v>0</v>
      </c>
      <c r="F890" t="str">
        <f>IF(OR(B890&lt;outliers!$B$7,B890&gt;outliers!$B$6),"Outlier","Normal")</f>
        <v>Normal</v>
      </c>
      <c r="G890" t="str">
        <f>IF(OR(C890&lt;outliers!$B$14,C890&gt;outliers!$B$13),"Outlier","Normal")</f>
        <v>Normal</v>
      </c>
      <c r="H890" t="str">
        <f>IF(OR(D890&lt;outliers!$B$21,D890&gt;outliers!$B$20),"Outlier","Normal")</f>
        <v>Normal</v>
      </c>
      <c r="I890" t="str">
        <f>IF(OR(E890&lt;outliers!$C$28,E890&gt;outliers!$B$27),"Outlier","Normal")</f>
        <v>Normal</v>
      </c>
      <c r="J890">
        <f t="shared" si="28"/>
        <v>2021</v>
      </c>
      <c r="K890" t="str">
        <f t="shared" si="27"/>
        <v>May</v>
      </c>
    </row>
    <row r="891" spans="1:11" hidden="1" x14ac:dyDescent="0.35">
      <c r="A891" s="1">
        <v>44329</v>
      </c>
      <c r="B891">
        <v>25.4</v>
      </c>
      <c r="C891">
        <v>20.7</v>
      </c>
      <c r="D891">
        <v>31.9</v>
      </c>
      <c r="E891">
        <v>35.1</v>
      </c>
      <c r="F891" t="str">
        <f>IF(OR(B891&lt;outliers!$B$7,B891&gt;outliers!$B$6),"Outlier","Normal")</f>
        <v>Normal</v>
      </c>
      <c r="G891" t="str">
        <f>IF(OR(C891&lt;outliers!$B$14,C891&gt;outliers!$B$13),"Outlier","Normal")</f>
        <v>Normal</v>
      </c>
      <c r="H891" t="str">
        <f>IF(OR(D891&lt;outliers!$B$21,D891&gt;outliers!$B$20),"Outlier","Normal")</f>
        <v>Normal</v>
      </c>
      <c r="I891" t="str">
        <f>IF(OR(E891&lt;outliers!$C$28,E891&gt;outliers!$B$27),"Outlier","Normal")</f>
        <v>Outlier</v>
      </c>
      <c r="J891">
        <f t="shared" si="28"/>
        <v>2021</v>
      </c>
      <c r="K891" t="str">
        <f t="shared" si="27"/>
        <v>May</v>
      </c>
    </row>
    <row r="892" spans="1:11" hidden="1" x14ac:dyDescent="0.35">
      <c r="A892" s="1">
        <v>44330</v>
      </c>
      <c r="B892">
        <v>26.7</v>
      </c>
      <c r="C892">
        <v>21.4</v>
      </c>
      <c r="D892">
        <v>31.9</v>
      </c>
      <c r="E892">
        <v>26.2</v>
      </c>
      <c r="F892" t="str">
        <f>IF(OR(B892&lt;outliers!$B$7,B892&gt;outliers!$B$6),"Outlier","Normal")</f>
        <v>Normal</v>
      </c>
      <c r="G892" t="str">
        <f>IF(OR(C892&lt;outliers!$B$14,C892&gt;outliers!$B$13),"Outlier","Normal")</f>
        <v>Normal</v>
      </c>
      <c r="H892" t="str">
        <f>IF(OR(D892&lt;outliers!$B$21,D892&gt;outliers!$B$20),"Outlier","Normal")</f>
        <v>Normal</v>
      </c>
      <c r="I892" t="str">
        <f>IF(OR(E892&lt;outliers!$C$28,E892&gt;outliers!$B$27),"Outlier","Normal")</f>
        <v>Outlier</v>
      </c>
      <c r="J892">
        <f t="shared" si="28"/>
        <v>2021</v>
      </c>
      <c r="K892" t="str">
        <f t="shared" si="27"/>
        <v>May</v>
      </c>
    </row>
    <row r="893" spans="1:11" x14ac:dyDescent="0.35">
      <c r="A893" s="1">
        <v>44331</v>
      </c>
      <c r="B893">
        <v>23.8</v>
      </c>
      <c r="C893">
        <v>22.2</v>
      </c>
      <c r="D893">
        <v>32.6</v>
      </c>
      <c r="E893">
        <v>0</v>
      </c>
      <c r="F893" t="str">
        <f>IF(OR(B893&lt;outliers!$B$7,B893&gt;outliers!$B$6),"Outlier","Normal")</f>
        <v>Normal</v>
      </c>
      <c r="G893" t="str">
        <f>IF(OR(C893&lt;outliers!$B$14,C893&gt;outliers!$B$13),"Outlier","Normal")</f>
        <v>Normal</v>
      </c>
      <c r="H893" t="str">
        <f>IF(OR(D893&lt;outliers!$B$21,D893&gt;outliers!$B$20),"Outlier","Normal")</f>
        <v>Normal</v>
      </c>
      <c r="I893" t="str">
        <f>IF(OR(E893&lt;outliers!$C$28,E893&gt;outliers!$B$27),"Outlier","Normal")</f>
        <v>Normal</v>
      </c>
      <c r="J893">
        <f t="shared" si="28"/>
        <v>2021</v>
      </c>
      <c r="K893" t="str">
        <f t="shared" si="27"/>
        <v>May</v>
      </c>
    </row>
    <row r="894" spans="1:11" x14ac:dyDescent="0.35">
      <c r="A894" s="1">
        <v>44332</v>
      </c>
      <c r="B894">
        <v>24</v>
      </c>
      <c r="C894">
        <v>21.4</v>
      </c>
      <c r="D894">
        <v>28</v>
      </c>
      <c r="E894">
        <v>0</v>
      </c>
      <c r="F894" t="str">
        <f>IF(OR(B894&lt;outliers!$B$7,B894&gt;outliers!$B$6),"Outlier","Normal")</f>
        <v>Normal</v>
      </c>
      <c r="G894" t="str">
        <f>IF(OR(C894&lt;outliers!$B$14,C894&gt;outliers!$B$13),"Outlier","Normal")</f>
        <v>Normal</v>
      </c>
      <c r="H894" t="str">
        <f>IF(OR(D894&lt;outliers!$B$21,D894&gt;outliers!$B$20),"Outlier","Normal")</f>
        <v>Normal</v>
      </c>
      <c r="I894" t="str">
        <f>IF(OR(E894&lt;outliers!$C$28,E894&gt;outliers!$B$27),"Outlier","Normal")</f>
        <v>Normal</v>
      </c>
      <c r="J894">
        <f t="shared" si="28"/>
        <v>2021</v>
      </c>
      <c r="K894" t="str">
        <f t="shared" si="27"/>
        <v>May</v>
      </c>
    </row>
    <row r="895" spans="1:11" x14ac:dyDescent="0.35">
      <c r="A895" s="1">
        <v>44333</v>
      </c>
      <c r="B895">
        <v>25.7</v>
      </c>
      <c r="C895">
        <v>21</v>
      </c>
      <c r="D895">
        <v>31.6</v>
      </c>
      <c r="E895">
        <v>0</v>
      </c>
      <c r="F895" t="str">
        <f>IF(OR(B895&lt;outliers!$B$7,B895&gt;outliers!$B$6),"Outlier","Normal")</f>
        <v>Normal</v>
      </c>
      <c r="G895" t="str">
        <f>IF(OR(C895&lt;outliers!$B$14,C895&gt;outliers!$B$13),"Outlier","Normal")</f>
        <v>Normal</v>
      </c>
      <c r="H895" t="str">
        <f>IF(OR(D895&lt;outliers!$B$21,D895&gt;outliers!$B$20),"Outlier","Normal")</f>
        <v>Normal</v>
      </c>
      <c r="I895" t="str">
        <f>IF(OR(E895&lt;outliers!$C$28,E895&gt;outliers!$B$27),"Outlier","Normal")</f>
        <v>Normal</v>
      </c>
      <c r="J895">
        <f t="shared" si="28"/>
        <v>2021</v>
      </c>
      <c r="K895" t="str">
        <f t="shared" si="27"/>
        <v>May</v>
      </c>
    </row>
    <row r="896" spans="1:11" x14ac:dyDescent="0.35">
      <c r="A896" s="1">
        <v>44334</v>
      </c>
      <c r="B896">
        <v>25.7</v>
      </c>
      <c r="C896">
        <v>21.6</v>
      </c>
      <c r="D896">
        <v>32.6</v>
      </c>
      <c r="E896">
        <v>0</v>
      </c>
      <c r="F896" t="str">
        <f>IF(OR(B896&lt;outliers!$B$7,B896&gt;outliers!$B$6),"Outlier","Normal")</f>
        <v>Normal</v>
      </c>
      <c r="G896" t="str">
        <f>IF(OR(C896&lt;outliers!$B$14,C896&gt;outliers!$B$13),"Outlier","Normal")</f>
        <v>Normal</v>
      </c>
      <c r="H896" t="str">
        <f>IF(OR(D896&lt;outliers!$B$21,D896&gt;outliers!$B$20),"Outlier","Normal")</f>
        <v>Normal</v>
      </c>
      <c r="I896" t="str">
        <f>IF(OR(E896&lt;outliers!$C$28,E896&gt;outliers!$B$27),"Outlier","Normal")</f>
        <v>Normal</v>
      </c>
      <c r="J896">
        <f t="shared" si="28"/>
        <v>2021</v>
      </c>
      <c r="K896" t="str">
        <f t="shared" si="27"/>
        <v>May</v>
      </c>
    </row>
    <row r="897" spans="1:11" x14ac:dyDescent="0.35">
      <c r="A897" s="1">
        <v>44335</v>
      </c>
      <c r="B897">
        <v>25.1</v>
      </c>
      <c r="C897">
        <v>20.2</v>
      </c>
      <c r="D897">
        <v>32.6</v>
      </c>
      <c r="E897">
        <v>4</v>
      </c>
      <c r="F897" t="str">
        <f>IF(OR(B897&lt;outliers!$B$7,B897&gt;outliers!$B$6),"Outlier","Normal")</f>
        <v>Normal</v>
      </c>
      <c r="G897" t="str">
        <f>IF(OR(C897&lt;outliers!$B$14,C897&gt;outliers!$B$13),"Outlier","Normal")</f>
        <v>Normal</v>
      </c>
      <c r="H897" t="str">
        <f>IF(OR(D897&lt;outliers!$B$21,D897&gt;outliers!$B$20),"Outlier","Normal")</f>
        <v>Normal</v>
      </c>
      <c r="I897" t="str">
        <f>IF(OR(E897&lt;outliers!$C$28,E897&gt;outliers!$B$27),"Outlier","Normal")</f>
        <v>Normal</v>
      </c>
      <c r="J897">
        <f t="shared" si="28"/>
        <v>2021</v>
      </c>
      <c r="K897" t="str">
        <f t="shared" si="27"/>
        <v>May</v>
      </c>
    </row>
    <row r="898" spans="1:11" x14ac:dyDescent="0.35">
      <c r="A898" s="1">
        <v>44336</v>
      </c>
      <c r="B898">
        <v>24.2</v>
      </c>
      <c r="C898">
        <v>21.1</v>
      </c>
      <c r="D898">
        <v>29.6</v>
      </c>
      <c r="E898">
        <v>2.7</v>
      </c>
      <c r="F898" t="str">
        <f>IF(OR(B898&lt;outliers!$B$7,B898&gt;outliers!$B$6),"Outlier","Normal")</f>
        <v>Normal</v>
      </c>
      <c r="G898" t="str">
        <f>IF(OR(C898&lt;outliers!$B$14,C898&gt;outliers!$B$13),"Outlier","Normal")</f>
        <v>Normal</v>
      </c>
      <c r="H898" t="str">
        <f>IF(OR(D898&lt;outliers!$B$21,D898&gt;outliers!$B$20),"Outlier","Normal")</f>
        <v>Normal</v>
      </c>
      <c r="I898" t="str">
        <f>IF(OR(E898&lt;outliers!$C$28,E898&gt;outliers!$B$27),"Outlier","Normal")</f>
        <v>Normal</v>
      </c>
      <c r="J898">
        <f t="shared" si="28"/>
        <v>2021</v>
      </c>
      <c r="K898" t="str">
        <f t="shared" ref="K898:K961" si="29">TEXT(A897,"mmmm")</f>
        <v>May</v>
      </c>
    </row>
    <row r="899" spans="1:11" x14ac:dyDescent="0.35">
      <c r="A899" s="1">
        <v>44337</v>
      </c>
      <c r="B899">
        <v>23.3</v>
      </c>
      <c r="C899">
        <v>20.9</v>
      </c>
      <c r="D899">
        <v>30.8</v>
      </c>
      <c r="E899">
        <v>2.8</v>
      </c>
      <c r="F899" t="str">
        <f>IF(OR(B899&lt;outliers!$B$7,B899&gt;outliers!$B$6),"Outlier","Normal")</f>
        <v>Normal</v>
      </c>
      <c r="G899" t="str">
        <f>IF(OR(C899&lt;outliers!$B$14,C899&gt;outliers!$B$13),"Outlier","Normal")</f>
        <v>Normal</v>
      </c>
      <c r="H899" t="str">
        <f>IF(OR(D899&lt;outliers!$B$21,D899&gt;outliers!$B$20),"Outlier","Normal")</f>
        <v>Normal</v>
      </c>
      <c r="I899" t="str">
        <f>IF(OR(E899&lt;outliers!$C$28,E899&gt;outliers!$B$27),"Outlier","Normal")</f>
        <v>Normal</v>
      </c>
      <c r="J899">
        <f t="shared" si="28"/>
        <v>2021</v>
      </c>
      <c r="K899" t="str">
        <f t="shared" si="29"/>
        <v>May</v>
      </c>
    </row>
    <row r="900" spans="1:11" hidden="1" x14ac:dyDescent="0.35">
      <c r="A900" s="1">
        <v>44338</v>
      </c>
      <c r="B900">
        <v>23.8</v>
      </c>
      <c r="C900">
        <v>21</v>
      </c>
      <c r="D900">
        <v>28.8</v>
      </c>
      <c r="E900">
        <v>25.4</v>
      </c>
      <c r="F900" t="str">
        <f>IF(OR(B900&lt;outliers!$B$7,B900&gt;outliers!$B$6),"Outlier","Normal")</f>
        <v>Normal</v>
      </c>
      <c r="G900" t="str">
        <f>IF(OR(C900&lt;outliers!$B$14,C900&gt;outliers!$B$13),"Outlier","Normal")</f>
        <v>Normal</v>
      </c>
      <c r="H900" t="str">
        <f>IF(OR(D900&lt;outliers!$B$21,D900&gt;outliers!$B$20),"Outlier","Normal")</f>
        <v>Normal</v>
      </c>
      <c r="I900" t="str">
        <f>IF(OR(E900&lt;outliers!$C$28,E900&gt;outliers!$B$27),"Outlier","Normal")</f>
        <v>Outlier</v>
      </c>
      <c r="J900">
        <f t="shared" si="28"/>
        <v>2021</v>
      </c>
      <c r="K900" t="str">
        <f t="shared" si="29"/>
        <v>May</v>
      </c>
    </row>
    <row r="901" spans="1:11" x14ac:dyDescent="0.35">
      <c r="A901" s="1">
        <v>44339</v>
      </c>
      <c r="B901">
        <v>25.8</v>
      </c>
      <c r="C901">
        <v>20.8</v>
      </c>
      <c r="D901">
        <v>29.4</v>
      </c>
      <c r="E901">
        <v>7.4</v>
      </c>
      <c r="F901" t="str">
        <f>IF(OR(B901&lt;outliers!$B$7,B901&gt;outliers!$B$6),"Outlier","Normal")</f>
        <v>Normal</v>
      </c>
      <c r="G901" t="str">
        <f>IF(OR(C901&lt;outliers!$B$14,C901&gt;outliers!$B$13),"Outlier","Normal")</f>
        <v>Normal</v>
      </c>
      <c r="H901" t="str">
        <f>IF(OR(D901&lt;outliers!$B$21,D901&gt;outliers!$B$20),"Outlier","Normal")</f>
        <v>Normal</v>
      </c>
      <c r="I901" t="str">
        <f>IF(OR(E901&lt;outliers!$C$28,E901&gt;outliers!$B$27),"Outlier","Normal")</f>
        <v>Normal</v>
      </c>
      <c r="J901">
        <f t="shared" si="28"/>
        <v>2021</v>
      </c>
      <c r="K901" t="str">
        <f t="shared" si="29"/>
        <v>May</v>
      </c>
    </row>
    <row r="902" spans="1:11" x14ac:dyDescent="0.35">
      <c r="A902" s="1">
        <v>44340</v>
      </c>
      <c r="B902">
        <v>26.1</v>
      </c>
      <c r="C902">
        <v>22</v>
      </c>
      <c r="D902">
        <v>31</v>
      </c>
      <c r="E902">
        <v>0</v>
      </c>
      <c r="F902" t="str">
        <f>IF(OR(B902&lt;outliers!$B$7,B902&gt;outliers!$B$6),"Outlier","Normal")</f>
        <v>Normal</v>
      </c>
      <c r="G902" t="str">
        <f>IF(OR(C902&lt;outliers!$B$14,C902&gt;outliers!$B$13),"Outlier","Normal")</f>
        <v>Normal</v>
      </c>
      <c r="H902" t="str">
        <f>IF(OR(D902&lt;outliers!$B$21,D902&gt;outliers!$B$20),"Outlier","Normal")</f>
        <v>Normal</v>
      </c>
      <c r="I902" t="str">
        <f>IF(OR(E902&lt;outliers!$C$28,E902&gt;outliers!$B$27),"Outlier","Normal")</f>
        <v>Normal</v>
      </c>
      <c r="J902">
        <f t="shared" si="28"/>
        <v>2021</v>
      </c>
      <c r="K902" t="str">
        <f t="shared" si="29"/>
        <v>May</v>
      </c>
    </row>
    <row r="903" spans="1:11" x14ac:dyDescent="0.35">
      <c r="A903" s="1">
        <v>44341</v>
      </c>
      <c r="B903">
        <v>24.3</v>
      </c>
      <c r="C903">
        <v>20.2</v>
      </c>
      <c r="D903">
        <v>31.7</v>
      </c>
      <c r="E903">
        <v>0.3</v>
      </c>
      <c r="F903" t="str">
        <f>IF(OR(B903&lt;outliers!$B$7,B903&gt;outliers!$B$6),"Outlier","Normal")</f>
        <v>Normal</v>
      </c>
      <c r="G903" t="str">
        <f>IF(OR(C903&lt;outliers!$B$14,C903&gt;outliers!$B$13),"Outlier","Normal")</f>
        <v>Normal</v>
      </c>
      <c r="H903" t="str">
        <f>IF(OR(D903&lt;outliers!$B$21,D903&gt;outliers!$B$20),"Outlier","Normal")</f>
        <v>Normal</v>
      </c>
      <c r="I903" t="str">
        <f>IF(OR(E903&lt;outliers!$C$28,E903&gt;outliers!$B$27),"Outlier","Normal")</f>
        <v>Normal</v>
      </c>
      <c r="J903">
        <f t="shared" si="28"/>
        <v>2021</v>
      </c>
      <c r="K903" t="str">
        <f t="shared" si="29"/>
        <v>May</v>
      </c>
    </row>
    <row r="904" spans="1:11" hidden="1" x14ac:dyDescent="0.35">
      <c r="A904" s="1">
        <v>44342</v>
      </c>
      <c r="B904">
        <v>24.9</v>
      </c>
      <c r="C904">
        <v>20.399999999999999</v>
      </c>
      <c r="D904">
        <v>30.2</v>
      </c>
      <c r="E904">
        <v>31</v>
      </c>
      <c r="F904" t="str">
        <f>IF(OR(B904&lt;outliers!$B$7,B904&gt;outliers!$B$6),"Outlier","Normal")</f>
        <v>Normal</v>
      </c>
      <c r="G904" t="str">
        <f>IF(OR(C904&lt;outliers!$B$14,C904&gt;outliers!$B$13),"Outlier","Normal")</f>
        <v>Normal</v>
      </c>
      <c r="H904" t="str">
        <f>IF(OR(D904&lt;outliers!$B$21,D904&gt;outliers!$B$20),"Outlier","Normal")</f>
        <v>Normal</v>
      </c>
      <c r="I904" t="str">
        <f>IF(OR(E904&lt;outliers!$C$28,E904&gt;outliers!$B$27),"Outlier","Normal")</f>
        <v>Outlier</v>
      </c>
      <c r="J904">
        <f t="shared" si="28"/>
        <v>2021</v>
      </c>
      <c r="K904" t="str">
        <f t="shared" si="29"/>
        <v>May</v>
      </c>
    </row>
    <row r="905" spans="1:11" x14ac:dyDescent="0.35">
      <c r="A905" s="1">
        <v>44343</v>
      </c>
      <c r="B905">
        <v>25.3</v>
      </c>
      <c r="C905">
        <v>21.2</v>
      </c>
      <c r="D905">
        <v>30.1</v>
      </c>
      <c r="E905">
        <v>0</v>
      </c>
      <c r="F905" t="str">
        <f>IF(OR(B905&lt;outliers!$B$7,B905&gt;outliers!$B$6),"Outlier","Normal")</f>
        <v>Normal</v>
      </c>
      <c r="G905" t="str">
        <f>IF(OR(C905&lt;outliers!$B$14,C905&gt;outliers!$B$13),"Outlier","Normal")</f>
        <v>Normal</v>
      </c>
      <c r="H905" t="str">
        <f>IF(OR(D905&lt;outliers!$B$21,D905&gt;outliers!$B$20),"Outlier","Normal")</f>
        <v>Normal</v>
      </c>
      <c r="I905" t="str">
        <f>IF(OR(E905&lt;outliers!$C$28,E905&gt;outliers!$B$27),"Outlier","Normal")</f>
        <v>Normal</v>
      </c>
      <c r="J905">
        <f t="shared" si="28"/>
        <v>2021</v>
      </c>
      <c r="K905" t="str">
        <f t="shared" si="29"/>
        <v>May</v>
      </c>
    </row>
    <row r="906" spans="1:11" x14ac:dyDescent="0.35">
      <c r="A906" s="1">
        <v>44344</v>
      </c>
      <c r="B906">
        <v>24.7</v>
      </c>
      <c r="C906">
        <v>18.8</v>
      </c>
      <c r="D906">
        <v>30.3</v>
      </c>
      <c r="E906">
        <v>0</v>
      </c>
      <c r="F906" t="str">
        <f>IF(OR(B906&lt;outliers!$B$7,B906&gt;outliers!$B$6),"Outlier","Normal")</f>
        <v>Normal</v>
      </c>
      <c r="G906" t="str">
        <f>IF(OR(C906&lt;outliers!$B$14,C906&gt;outliers!$B$13),"Outlier","Normal")</f>
        <v>Normal</v>
      </c>
      <c r="H906" t="str">
        <f>IF(OR(D906&lt;outliers!$B$21,D906&gt;outliers!$B$20),"Outlier","Normal")</f>
        <v>Normal</v>
      </c>
      <c r="I906" t="str">
        <f>IF(OR(E906&lt;outliers!$C$28,E906&gt;outliers!$B$27),"Outlier","Normal")</f>
        <v>Normal</v>
      </c>
      <c r="J906">
        <f t="shared" si="28"/>
        <v>2021</v>
      </c>
      <c r="K906" t="str">
        <f t="shared" si="29"/>
        <v>May</v>
      </c>
    </row>
    <row r="907" spans="1:11" x14ac:dyDescent="0.35">
      <c r="A907" s="1">
        <v>44345</v>
      </c>
      <c r="B907">
        <v>24.8</v>
      </c>
      <c r="C907">
        <v>19.399999999999999</v>
      </c>
      <c r="D907">
        <v>30.8</v>
      </c>
      <c r="E907">
        <v>0.5</v>
      </c>
      <c r="F907" t="str">
        <f>IF(OR(B907&lt;outliers!$B$7,B907&gt;outliers!$B$6),"Outlier","Normal")</f>
        <v>Normal</v>
      </c>
      <c r="G907" t="str">
        <f>IF(OR(C907&lt;outliers!$B$14,C907&gt;outliers!$B$13),"Outlier","Normal")</f>
        <v>Normal</v>
      </c>
      <c r="H907" t="str">
        <f>IF(OR(D907&lt;outliers!$B$21,D907&gt;outliers!$B$20),"Outlier","Normal")</f>
        <v>Normal</v>
      </c>
      <c r="I907" t="str">
        <f>IF(OR(E907&lt;outliers!$C$28,E907&gt;outliers!$B$27),"Outlier","Normal")</f>
        <v>Normal</v>
      </c>
      <c r="J907">
        <f t="shared" si="28"/>
        <v>2021</v>
      </c>
      <c r="K907" t="str">
        <f t="shared" si="29"/>
        <v>May</v>
      </c>
    </row>
    <row r="908" spans="1:11" x14ac:dyDescent="0.35">
      <c r="A908" s="1">
        <v>44346</v>
      </c>
      <c r="B908">
        <v>25.2</v>
      </c>
      <c r="C908">
        <v>20.100000000000001</v>
      </c>
      <c r="D908">
        <v>31.3</v>
      </c>
      <c r="E908">
        <v>0.1</v>
      </c>
      <c r="F908" t="str">
        <f>IF(OR(B908&lt;outliers!$B$7,B908&gt;outliers!$B$6),"Outlier","Normal")</f>
        <v>Normal</v>
      </c>
      <c r="G908" t="str">
        <f>IF(OR(C908&lt;outliers!$B$14,C908&gt;outliers!$B$13),"Outlier","Normal")</f>
        <v>Normal</v>
      </c>
      <c r="H908" t="str">
        <f>IF(OR(D908&lt;outliers!$B$21,D908&gt;outliers!$B$20),"Outlier","Normal")</f>
        <v>Normal</v>
      </c>
      <c r="I908" t="str">
        <f>IF(OR(E908&lt;outliers!$C$28,E908&gt;outliers!$B$27),"Outlier","Normal")</f>
        <v>Normal</v>
      </c>
      <c r="J908">
        <f t="shared" si="28"/>
        <v>2021</v>
      </c>
      <c r="K908" t="str">
        <f t="shared" si="29"/>
        <v>May</v>
      </c>
    </row>
    <row r="909" spans="1:11" x14ac:dyDescent="0.35">
      <c r="A909" s="1">
        <v>44347</v>
      </c>
      <c r="B909">
        <v>25.3</v>
      </c>
      <c r="C909">
        <v>20.3</v>
      </c>
      <c r="D909">
        <v>31.6</v>
      </c>
      <c r="E909">
        <v>2.2999999999999998</v>
      </c>
      <c r="F909" t="str">
        <f>IF(OR(B909&lt;outliers!$B$7,B909&gt;outliers!$B$6),"Outlier","Normal")</f>
        <v>Normal</v>
      </c>
      <c r="G909" t="str">
        <f>IF(OR(C909&lt;outliers!$B$14,C909&gt;outliers!$B$13),"Outlier","Normal")</f>
        <v>Normal</v>
      </c>
      <c r="H909" t="str">
        <f>IF(OR(D909&lt;outliers!$B$21,D909&gt;outliers!$B$20),"Outlier","Normal")</f>
        <v>Normal</v>
      </c>
      <c r="I909" t="str">
        <f>IF(OR(E909&lt;outliers!$C$28,E909&gt;outliers!$B$27),"Outlier","Normal")</f>
        <v>Normal</v>
      </c>
      <c r="J909">
        <f t="shared" si="28"/>
        <v>2021</v>
      </c>
      <c r="K909" t="str">
        <f t="shared" si="29"/>
        <v>May</v>
      </c>
    </row>
    <row r="910" spans="1:11" x14ac:dyDescent="0.35">
      <c r="A910" s="1">
        <v>44348</v>
      </c>
      <c r="B910">
        <v>25.5</v>
      </c>
      <c r="C910">
        <v>20.8</v>
      </c>
      <c r="D910">
        <v>31.6</v>
      </c>
      <c r="E910">
        <v>5.6</v>
      </c>
      <c r="F910" t="str">
        <f>IF(OR(B910&lt;outliers!$B$7,B910&gt;outliers!$B$6),"Outlier","Normal")</f>
        <v>Normal</v>
      </c>
      <c r="G910" t="str">
        <f>IF(OR(C910&lt;outliers!$B$14,C910&gt;outliers!$B$13),"Outlier","Normal")</f>
        <v>Normal</v>
      </c>
      <c r="H910" t="str">
        <f>IF(OR(D910&lt;outliers!$B$21,D910&gt;outliers!$B$20),"Outlier","Normal")</f>
        <v>Normal</v>
      </c>
      <c r="I910" t="str">
        <f>IF(OR(E910&lt;outliers!$C$28,E910&gt;outliers!$B$27),"Outlier","Normal")</f>
        <v>Normal</v>
      </c>
      <c r="J910">
        <f t="shared" si="28"/>
        <v>2021</v>
      </c>
      <c r="K910" t="str">
        <f t="shared" si="29"/>
        <v>May</v>
      </c>
    </row>
    <row r="911" spans="1:11" x14ac:dyDescent="0.35">
      <c r="A911" s="1">
        <v>44349</v>
      </c>
      <c r="B911">
        <v>25.9</v>
      </c>
      <c r="C911">
        <v>22.2</v>
      </c>
      <c r="D911">
        <v>33.700000000000003</v>
      </c>
      <c r="E911">
        <v>1</v>
      </c>
      <c r="F911" t="str">
        <f>IF(OR(B911&lt;outliers!$B$7,B911&gt;outliers!$B$6),"Outlier","Normal")</f>
        <v>Normal</v>
      </c>
      <c r="G911" t="str">
        <f>IF(OR(C911&lt;outliers!$B$14,C911&gt;outliers!$B$13),"Outlier","Normal")</f>
        <v>Normal</v>
      </c>
      <c r="H911" t="str">
        <f>IF(OR(D911&lt;outliers!$B$21,D911&gt;outliers!$B$20),"Outlier","Normal")</f>
        <v>Normal</v>
      </c>
      <c r="I911" t="str">
        <f>IF(OR(E911&lt;outliers!$C$28,E911&gt;outliers!$B$27),"Outlier","Normal")</f>
        <v>Normal</v>
      </c>
      <c r="J911">
        <f t="shared" si="28"/>
        <v>2021</v>
      </c>
      <c r="K911" t="str">
        <f t="shared" si="29"/>
        <v>June</v>
      </c>
    </row>
    <row r="912" spans="1:11" x14ac:dyDescent="0.35">
      <c r="A912" s="1">
        <v>44350</v>
      </c>
      <c r="B912">
        <v>24.6</v>
      </c>
      <c r="C912">
        <v>21.9</v>
      </c>
      <c r="D912">
        <v>33.700000000000003</v>
      </c>
      <c r="E912">
        <v>0.5</v>
      </c>
      <c r="F912" t="str">
        <f>IF(OR(B912&lt;outliers!$B$7,B912&gt;outliers!$B$6),"Outlier","Normal")</f>
        <v>Normal</v>
      </c>
      <c r="G912" t="str">
        <f>IF(OR(C912&lt;outliers!$B$14,C912&gt;outliers!$B$13),"Outlier","Normal")</f>
        <v>Normal</v>
      </c>
      <c r="H912" t="str">
        <f>IF(OR(D912&lt;outliers!$B$21,D912&gt;outliers!$B$20),"Outlier","Normal")</f>
        <v>Normal</v>
      </c>
      <c r="I912" t="str">
        <f>IF(OR(E912&lt;outliers!$C$28,E912&gt;outliers!$B$27),"Outlier","Normal")</f>
        <v>Normal</v>
      </c>
      <c r="J912">
        <f t="shared" si="28"/>
        <v>2021</v>
      </c>
      <c r="K912" t="str">
        <f t="shared" si="29"/>
        <v>June</v>
      </c>
    </row>
    <row r="913" spans="1:11" hidden="1" x14ac:dyDescent="0.35">
      <c r="A913" s="1">
        <v>44351</v>
      </c>
      <c r="B913">
        <v>23.8</v>
      </c>
      <c r="C913">
        <v>21.1</v>
      </c>
      <c r="D913">
        <v>31</v>
      </c>
      <c r="E913">
        <v>52.3</v>
      </c>
      <c r="F913" t="str">
        <f>IF(OR(B913&lt;outliers!$B$7,B913&gt;outliers!$B$6),"Outlier","Normal")</f>
        <v>Normal</v>
      </c>
      <c r="G913" t="str">
        <f>IF(OR(C913&lt;outliers!$B$14,C913&gt;outliers!$B$13),"Outlier","Normal")</f>
        <v>Normal</v>
      </c>
      <c r="H913" t="str">
        <f>IF(OR(D913&lt;outliers!$B$21,D913&gt;outliers!$B$20),"Outlier","Normal")</f>
        <v>Normal</v>
      </c>
      <c r="I913" t="str">
        <f>IF(OR(E913&lt;outliers!$C$28,E913&gt;outliers!$B$27),"Outlier","Normal")</f>
        <v>Outlier</v>
      </c>
      <c r="J913">
        <f t="shared" ref="J913:J976" si="30">YEAR(A913)</f>
        <v>2021</v>
      </c>
      <c r="K913" t="str">
        <f t="shared" si="29"/>
        <v>June</v>
      </c>
    </row>
    <row r="914" spans="1:11" hidden="1" x14ac:dyDescent="0.35">
      <c r="A914" s="1">
        <v>44352</v>
      </c>
      <c r="B914">
        <v>23.6</v>
      </c>
      <c r="C914">
        <v>21.2</v>
      </c>
      <c r="D914">
        <v>31.5</v>
      </c>
      <c r="E914">
        <v>12.7</v>
      </c>
      <c r="F914" t="str">
        <f>IF(OR(B914&lt;outliers!$B$7,B914&gt;outliers!$B$6),"Outlier","Normal")</f>
        <v>Normal</v>
      </c>
      <c r="G914" t="str">
        <f>IF(OR(C914&lt;outliers!$B$14,C914&gt;outliers!$B$13),"Outlier","Normal")</f>
        <v>Normal</v>
      </c>
      <c r="H914" t="str">
        <f>IF(OR(D914&lt;outliers!$B$21,D914&gt;outliers!$B$20),"Outlier","Normal")</f>
        <v>Normal</v>
      </c>
      <c r="I914" t="str">
        <f>IF(OR(E914&lt;outliers!$C$28,E914&gt;outliers!$B$27),"Outlier","Normal")</f>
        <v>Outlier</v>
      </c>
      <c r="J914">
        <f t="shared" si="30"/>
        <v>2021</v>
      </c>
      <c r="K914" t="str">
        <f t="shared" si="29"/>
        <v>June</v>
      </c>
    </row>
    <row r="915" spans="1:11" x14ac:dyDescent="0.35">
      <c r="A915" s="1">
        <v>44353</v>
      </c>
      <c r="B915">
        <v>24.8</v>
      </c>
      <c r="C915">
        <v>20.7</v>
      </c>
      <c r="D915">
        <v>29.2</v>
      </c>
      <c r="E915">
        <v>4.5999999999999996</v>
      </c>
      <c r="F915" t="str">
        <f>IF(OR(B915&lt;outliers!$B$7,B915&gt;outliers!$B$6),"Outlier","Normal")</f>
        <v>Normal</v>
      </c>
      <c r="G915" t="str">
        <f>IF(OR(C915&lt;outliers!$B$14,C915&gt;outliers!$B$13),"Outlier","Normal")</f>
        <v>Normal</v>
      </c>
      <c r="H915" t="str">
        <f>IF(OR(D915&lt;outliers!$B$21,D915&gt;outliers!$B$20),"Outlier","Normal")</f>
        <v>Normal</v>
      </c>
      <c r="I915" t="str">
        <f>IF(OR(E915&lt;outliers!$C$28,E915&gt;outliers!$B$27),"Outlier","Normal")</f>
        <v>Normal</v>
      </c>
      <c r="J915">
        <f t="shared" si="30"/>
        <v>2021</v>
      </c>
      <c r="K915" t="str">
        <f t="shared" si="29"/>
        <v>June</v>
      </c>
    </row>
    <row r="916" spans="1:11" x14ac:dyDescent="0.35">
      <c r="A916" s="1">
        <v>44354</v>
      </c>
      <c r="B916">
        <v>25.4</v>
      </c>
      <c r="C916">
        <v>22.1</v>
      </c>
      <c r="D916">
        <v>29.7</v>
      </c>
      <c r="E916">
        <v>0.5</v>
      </c>
      <c r="F916" t="str">
        <f>IF(OR(B916&lt;outliers!$B$7,B916&gt;outliers!$B$6),"Outlier","Normal")</f>
        <v>Normal</v>
      </c>
      <c r="G916" t="str">
        <f>IF(OR(C916&lt;outliers!$B$14,C916&gt;outliers!$B$13),"Outlier","Normal")</f>
        <v>Normal</v>
      </c>
      <c r="H916" t="str">
        <f>IF(OR(D916&lt;outliers!$B$21,D916&gt;outliers!$B$20),"Outlier","Normal")</f>
        <v>Normal</v>
      </c>
      <c r="I916" t="str">
        <f>IF(OR(E916&lt;outliers!$C$28,E916&gt;outliers!$B$27),"Outlier","Normal")</f>
        <v>Normal</v>
      </c>
      <c r="J916">
        <f t="shared" si="30"/>
        <v>2021</v>
      </c>
      <c r="K916" t="str">
        <f t="shared" si="29"/>
        <v>June</v>
      </c>
    </row>
    <row r="917" spans="1:11" x14ac:dyDescent="0.35">
      <c r="A917" s="1">
        <v>44355</v>
      </c>
      <c r="B917">
        <v>25.6</v>
      </c>
      <c r="C917">
        <v>19.7</v>
      </c>
      <c r="D917">
        <v>31</v>
      </c>
      <c r="E917">
        <v>0</v>
      </c>
      <c r="F917" t="str">
        <f>IF(OR(B917&lt;outliers!$B$7,B917&gt;outliers!$B$6),"Outlier","Normal")</f>
        <v>Normal</v>
      </c>
      <c r="G917" t="str">
        <f>IF(OR(C917&lt;outliers!$B$14,C917&gt;outliers!$B$13),"Outlier","Normal")</f>
        <v>Normal</v>
      </c>
      <c r="H917" t="str">
        <f>IF(OR(D917&lt;outliers!$B$21,D917&gt;outliers!$B$20),"Outlier","Normal")</f>
        <v>Normal</v>
      </c>
      <c r="I917" t="str">
        <f>IF(OR(E917&lt;outliers!$C$28,E917&gt;outliers!$B$27),"Outlier","Normal")</f>
        <v>Normal</v>
      </c>
      <c r="J917">
        <f t="shared" si="30"/>
        <v>2021</v>
      </c>
      <c r="K917" t="str">
        <f t="shared" si="29"/>
        <v>June</v>
      </c>
    </row>
    <row r="918" spans="1:11" x14ac:dyDescent="0.35">
      <c r="A918" s="1">
        <v>44356</v>
      </c>
      <c r="B918">
        <v>23.4</v>
      </c>
      <c r="C918">
        <v>19.2</v>
      </c>
      <c r="D918">
        <v>29.2</v>
      </c>
      <c r="E918">
        <v>4.5999999999999996</v>
      </c>
      <c r="F918" t="str">
        <f>IF(OR(B918&lt;outliers!$B$7,B918&gt;outliers!$B$6),"Outlier","Normal")</f>
        <v>Normal</v>
      </c>
      <c r="G918" t="str">
        <f>IF(OR(C918&lt;outliers!$B$14,C918&gt;outliers!$B$13),"Outlier","Normal")</f>
        <v>Normal</v>
      </c>
      <c r="H918" t="str">
        <f>IF(OR(D918&lt;outliers!$B$21,D918&gt;outliers!$B$20),"Outlier","Normal")</f>
        <v>Normal</v>
      </c>
      <c r="I918" t="str">
        <f>IF(OR(E918&lt;outliers!$C$28,E918&gt;outliers!$B$27),"Outlier","Normal")</f>
        <v>Normal</v>
      </c>
      <c r="J918">
        <f t="shared" si="30"/>
        <v>2021</v>
      </c>
      <c r="K918" t="str">
        <f t="shared" si="29"/>
        <v>June</v>
      </c>
    </row>
    <row r="919" spans="1:11" x14ac:dyDescent="0.35">
      <c r="A919" s="1">
        <v>44357</v>
      </c>
      <c r="B919">
        <v>23.6</v>
      </c>
      <c r="C919">
        <v>19.8</v>
      </c>
      <c r="D919">
        <v>28.5</v>
      </c>
      <c r="E919">
        <v>2.2999999999999998</v>
      </c>
      <c r="F919" t="str">
        <f>IF(OR(B919&lt;outliers!$B$7,B919&gt;outliers!$B$6),"Outlier","Normal")</f>
        <v>Normal</v>
      </c>
      <c r="G919" t="str">
        <f>IF(OR(C919&lt;outliers!$B$14,C919&gt;outliers!$B$13),"Outlier","Normal")</f>
        <v>Normal</v>
      </c>
      <c r="H919" t="str">
        <f>IF(OR(D919&lt;outliers!$B$21,D919&gt;outliers!$B$20),"Outlier","Normal")</f>
        <v>Normal</v>
      </c>
      <c r="I919" t="str">
        <f>IF(OR(E919&lt;outliers!$C$28,E919&gt;outliers!$B$27),"Outlier","Normal")</f>
        <v>Normal</v>
      </c>
      <c r="J919">
        <f t="shared" si="30"/>
        <v>2021</v>
      </c>
      <c r="K919" t="str">
        <f t="shared" si="29"/>
        <v>June</v>
      </c>
    </row>
    <row r="920" spans="1:11" x14ac:dyDescent="0.35">
      <c r="A920" s="1">
        <v>44358</v>
      </c>
      <c r="B920">
        <v>24.2</v>
      </c>
      <c r="C920">
        <v>20.399999999999999</v>
      </c>
      <c r="D920">
        <v>29</v>
      </c>
      <c r="E920">
        <v>0</v>
      </c>
      <c r="F920" t="str">
        <f>IF(OR(B920&lt;outliers!$B$7,B920&gt;outliers!$B$6),"Outlier","Normal")</f>
        <v>Normal</v>
      </c>
      <c r="G920" t="str">
        <f>IF(OR(C920&lt;outliers!$B$14,C920&gt;outliers!$B$13),"Outlier","Normal")</f>
        <v>Normal</v>
      </c>
      <c r="H920" t="str">
        <f>IF(OR(D920&lt;outliers!$B$21,D920&gt;outliers!$B$20),"Outlier","Normal")</f>
        <v>Normal</v>
      </c>
      <c r="I920" t="str">
        <f>IF(OR(E920&lt;outliers!$C$28,E920&gt;outliers!$B$27),"Outlier","Normal")</f>
        <v>Normal</v>
      </c>
      <c r="J920">
        <f t="shared" si="30"/>
        <v>2021</v>
      </c>
      <c r="K920" t="str">
        <f t="shared" si="29"/>
        <v>June</v>
      </c>
    </row>
    <row r="921" spans="1:11" x14ac:dyDescent="0.35">
      <c r="A921" s="1">
        <v>44359</v>
      </c>
      <c r="B921">
        <v>23.2</v>
      </c>
      <c r="C921">
        <v>20.399999999999999</v>
      </c>
      <c r="D921">
        <v>27</v>
      </c>
      <c r="E921">
        <v>2.8</v>
      </c>
      <c r="F921" t="str">
        <f>IF(OR(B921&lt;outliers!$B$7,B921&gt;outliers!$B$6),"Outlier","Normal")</f>
        <v>Normal</v>
      </c>
      <c r="G921" t="str">
        <f>IF(OR(C921&lt;outliers!$B$14,C921&gt;outliers!$B$13),"Outlier","Normal")</f>
        <v>Normal</v>
      </c>
      <c r="H921" t="str">
        <f>IF(OR(D921&lt;outliers!$B$21,D921&gt;outliers!$B$20),"Outlier","Normal")</f>
        <v>Normal</v>
      </c>
      <c r="I921" t="str">
        <f>IF(OR(E921&lt;outliers!$C$28,E921&gt;outliers!$B$27),"Outlier","Normal")</f>
        <v>Normal</v>
      </c>
      <c r="J921">
        <f t="shared" si="30"/>
        <v>2021</v>
      </c>
      <c r="K921" t="str">
        <f t="shared" si="29"/>
        <v>June</v>
      </c>
    </row>
    <row r="922" spans="1:11" x14ac:dyDescent="0.35">
      <c r="A922" s="1">
        <v>44360</v>
      </c>
      <c r="B922">
        <v>22.6</v>
      </c>
      <c r="C922">
        <v>20.2</v>
      </c>
      <c r="D922">
        <v>25.2</v>
      </c>
      <c r="E922">
        <v>3.6</v>
      </c>
      <c r="F922" t="str">
        <f>IF(OR(B922&lt;outliers!$B$7,B922&gt;outliers!$B$6),"Outlier","Normal")</f>
        <v>Normal</v>
      </c>
      <c r="G922" t="str">
        <f>IF(OR(C922&lt;outliers!$B$14,C922&gt;outliers!$B$13),"Outlier","Normal")</f>
        <v>Normal</v>
      </c>
      <c r="H922" t="str">
        <f>IF(OR(D922&lt;outliers!$B$21,D922&gt;outliers!$B$20),"Outlier","Normal")</f>
        <v>Normal</v>
      </c>
      <c r="I922" t="str">
        <f>IF(OR(E922&lt;outliers!$C$28,E922&gt;outliers!$B$27),"Outlier","Normal")</f>
        <v>Normal</v>
      </c>
      <c r="J922">
        <f t="shared" si="30"/>
        <v>2021</v>
      </c>
      <c r="K922" t="str">
        <f t="shared" si="29"/>
        <v>June</v>
      </c>
    </row>
    <row r="923" spans="1:11" x14ac:dyDescent="0.35">
      <c r="A923" s="1">
        <v>44361</v>
      </c>
      <c r="B923">
        <v>22.3</v>
      </c>
      <c r="C923">
        <v>20.100000000000001</v>
      </c>
      <c r="D923">
        <v>27.6</v>
      </c>
      <c r="E923">
        <v>0</v>
      </c>
      <c r="F923" t="str">
        <f>IF(OR(B923&lt;outliers!$B$7,B923&gt;outliers!$B$6),"Outlier","Normal")</f>
        <v>Normal</v>
      </c>
      <c r="G923" t="str">
        <f>IF(OR(C923&lt;outliers!$B$14,C923&gt;outliers!$B$13),"Outlier","Normal")</f>
        <v>Normal</v>
      </c>
      <c r="H923" t="str">
        <f>IF(OR(D923&lt;outliers!$B$21,D923&gt;outliers!$B$20),"Outlier","Normal")</f>
        <v>Normal</v>
      </c>
      <c r="I923" t="str">
        <f>IF(OR(E923&lt;outliers!$C$28,E923&gt;outliers!$B$27),"Outlier","Normal")</f>
        <v>Normal</v>
      </c>
      <c r="J923">
        <f t="shared" si="30"/>
        <v>2021</v>
      </c>
      <c r="K923" t="str">
        <f t="shared" si="29"/>
        <v>June</v>
      </c>
    </row>
    <row r="924" spans="1:11" x14ac:dyDescent="0.35">
      <c r="A924" s="1">
        <v>44362</v>
      </c>
      <c r="B924">
        <v>22.7</v>
      </c>
      <c r="C924">
        <v>20.2</v>
      </c>
      <c r="D924">
        <v>26.5</v>
      </c>
      <c r="E924">
        <v>4.3</v>
      </c>
      <c r="F924" t="str">
        <f>IF(OR(B924&lt;outliers!$B$7,B924&gt;outliers!$B$6),"Outlier","Normal")</f>
        <v>Normal</v>
      </c>
      <c r="G924" t="str">
        <f>IF(OR(C924&lt;outliers!$B$14,C924&gt;outliers!$B$13),"Outlier","Normal")</f>
        <v>Normal</v>
      </c>
      <c r="H924" t="str">
        <f>IF(OR(D924&lt;outliers!$B$21,D924&gt;outliers!$B$20),"Outlier","Normal")</f>
        <v>Normal</v>
      </c>
      <c r="I924" t="str">
        <f>IF(OR(E924&lt;outliers!$C$28,E924&gt;outliers!$B$27),"Outlier","Normal")</f>
        <v>Normal</v>
      </c>
      <c r="J924">
        <f t="shared" si="30"/>
        <v>2021</v>
      </c>
      <c r="K924" t="str">
        <f t="shared" si="29"/>
        <v>June</v>
      </c>
    </row>
    <row r="925" spans="1:11" x14ac:dyDescent="0.35">
      <c r="A925" s="1">
        <v>44363</v>
      </c>
      <c r="B925">
        <v>22.7</v>
      </c>
      <c r="C925">
        <v>20.8</v>
      </c>
      <c r="D925">
        <v>26.7</v>
      </c>
      <c r="E925">
        <v>0.5</v>
      </c>
      <c r="F925" t="str">
        <f>IF(OR(B925&lt;outliers!$B$7,B925&gt;outliers!$B$6),"Outlier","Normal")</f>
        <v>Normal</v>
      </c>
      <c r="G925" t="str">
        <f>IF(OR(C925&lt;outliers!$B$14,C925&gt;outliers!$B$13),"Outlier","Normal")</f>
        <v>Normal</v>
      </c>
      <c r="H925" t="str">
        <f>IF(OR(D925&lt;outliers!$B$21,D925&gt;outliers!$B$20),"Outlier","Normal")</f>
        <v>Normal</v>
      </c>
      <c r="I925" t="str">
        <f>IF(OR(E925&lt;outliers!$C$28,E925&gt;outliers!$B$27),"Outlier","Normal")</f>
        <v>Normal</v>
      </c>
      <c r="J925">
        <f t="shared" si="30"/>
        <v>2021</v>
      </c>
      <c r="K925" t="str">
        <f t="shared" si="29"/>
        <v>June</v>
      </c>
    </row>
    <row r="926" spans="1:11" x14ac:dyDescent="0.35">
      <c r="A926" s="1">
        <v>44364</v>
      </c>
      <c r="B926">
        <v>23.4</v>
      </c>
      <c r="C926">
        <v>20.8</v>
      </c>
      <c r="D926">
        <v>28</v>
      </c>
      <c r="E926">
        <v>5.0999999999999996</v>
      </c>
      <c r="F926" t="str">
        <f>IF(OR(B926&lt;outliers!$B$7,B926&gt;outliers!$B$6),"Outlier","Normal")</f>
        <v>Normal</v>
      </c>
      <c r="G926" t="str">
        <f>IF(OR(C926&lt;outliers!$B$14,C926&gt;outliers!$B$13),"Outlier","Normal")</f>
        <v>Normal</v>
      </c>
      <c r="H926" t="str">
        <f>IF(OR(D926&lt;outliers!$B$21,D926&gt;outliers!$B$20),"Outlier","Normal")</f>
        <v>Normal</v>
      </c>
      <c r="I926" t="str">
        <f>IF(OR(E926&lt;outliers!$C$28,E926&gt;outliers!$B$27),"Outlier","Normal")</f>
        <v>Normal</v>
      </c>
      <c r="J926">
        <f t="shared" si="30"/>
        <v>2021</v>
      </c>
      <c r="K926" t="str">
        <f t="shared" si="29"/>
        <v>June</v>
      </c>
    </row>
    <row r="927" spans="1:11" x14ac:dyDescent="0.35">
      <c r="A927" s="1">
        <v>44365</v>
      </c>
      <c r="B927">
        <v>23.4</v>
      </c>
      <c r="C927">
        <v>20.399999999999999</v>
      </c>
      <c r="D927">
        <v>28.4</v>
      </c>
      <c r="E927">
        <v>1.3</v>
      </c>
      <c r="F927" t="str">
        <f>IF(OR(B927&lt;outliers!$B$7,B927&gt;outliers!$B$6),"Outlier","Normal")</f>
        <v>Normal</v>
      </c>
      <c r="G927" t="str">
        <f>IF(OR(C927&lt;outliers!$B$14,C927&gt;outliers!$B$13),"Outlier","Normal")</f>
        <v>Normal</v>
      </c>
      <c r="H927" t="str">
        <f>IF(OR(D927&lt;outliers!$B$21,D927&gt;outliers!$B$20),"Outlier","Normal")</f>
        <v>Normal</v>
      </c>
      <c r="I927" t="str">
        <f>IF(OR(E927&lt;outliers!$C$28,E927&gt;outliers!$B$27),"Outlier","Normal")</f>
        <v>Normal</v>
      </c>
      <c r="J927">
        <f t="shared" si="30"/>
        <v>2021</v>
      </c>
      <c r="K927" t="str">
        <f t="shared" si="29"/>
        <v>June</v>
      </c>
    </row>
    <row r="928" spans="1:11" x14ac:dyDescent="0.35">
      <c r="A928" s="1">
        <v>44366</v>
      </c>
      <c r="B928">
        <v>23.4</v>
      </c>
      <c r="C928">
        <v>20.8</v>
      </c>
      <c r="D928">
        <v>28</v>
      </c>
      <c r="E928">
        <v>0</v>
      </c>
      <c r="F928" t="str">
        <f>IF(OR(B928&lt;outliers!$B$7,B928&gt;outliers!$B$6),"Outlier","Normal")</f>
        <v>Normal</v>
      </c>
      <c r="G928" t="str">
        <f>IF(OR(C928&lt;outliers!$B$14,C928&gt;outliers!$B$13),"Outlier","Normal")</f>
        <v>Normal</v>
      </c>
      <c r="H928" t="str">
        <f>IF(OR(D928&lt;outliers!$B$21,D928&gt;outliers!$B$20),"Outlier","Normal")</f>
        <v>Normal</v>
      </c>
      <c r="I928" t="str">
        <f>IF(OR(E928&lt;outliers!$C$28,E928&gt;outliers!$B$27),"Outlier","Normal")</f>
        <v>Normal</v>
      </c>
      <c r="J928">
        <f t="shared" si="30"/>
        <v>2021</v>
      </c>
      <c r="K928" t="str">
        <f t="shared" si="29"/>
        <v>June</v>
      </c>
    </row>
    <row r="929" spans="1:11" x14ac:dyDescent="0.35">
      <c r="A929" s="1">
        <v>44367</v>
      </c>
      <c r="B929">
        <v>24.3</v>
      </c>
      <c r="C929">
        <v>20.5</v>
      </c>
      <c r="D929">
        <v>28.8</v>
      </c>
      <c r="E929">
        <v>0</v>
      </c>
      <c r="F929" t="str">
        <f>IF(OR(B929&lt;outliers!$B$7,B929&gt;outliers!$B$6),"Outlier","Normal")</f>
        <v>Normal</v>
      </c>
      <c r="G929" t="str">
        <f>IF(OR(C929&lt;outliers!$B$14,C929&gt;outliers!$B$13),"Outlier","Normal")</f>
        <v>Normal</v>
      </c>
      <c r="H929" t="str">
        <f>IF(OR(D929&lt;outliers!$B$21,D929&gt;outliers!$B$20),"Outlier","Normal")</f>
        <v>Normal</v>
      </c>
      <c r="I929" t="str">
        <f>IF(OR(E929&lt;outliers!$C$28,E929&gt;outliers!$B$27),"Outlier","Normal")</f>
        <v>Normal</v>
      </c>
      <c r="J929">
        <f t="shared" si="30"/>
        <v>2021</v>
      </c>
      <c r="K929" t="str">
        <f t="shared" si="29"/>
        <v>June</v>
      </c>
    </row>
    <row r="930" spans="1:11" x14ac:dyDescent="0.35">
      <c r="A930" s="1">
        <v>44368</v>
      </c>
      <c r="B930">
        <v>23.9</v>
      </c>
      <c r="C930">
        <v>19.3</v>
      </c>
      <c r="D930">
        <v>29.1</v>
      </c>
      <c r="E930">
        <v>0.6</v>
      </c>
      <c r="F930" t="str">
        <f>IF(OR(B930&lt;outliers!$B$7,B930&gt;outliers!$B$6),"Outlier","Normal")</f>
        <v>Normal</v>
      </c>
      <c r="G930" t="str">
        <f>IF(OR(C930&lt;outliers!$B$14,C930&gt;outliers!$B$13),"Outlier","Normal")</f>
        <v>Normal</v>
      </c>
      <c r="H930" t="str">
        <f>IF(OR(D930&lt;outliers!$B$21,D930&gt;outliers!$B$20),"Outlier","Normal")</f>
        <v>Normal</v>
      </c>
      <c r="I930" t="str">
        <f>IF(OR(E930&lt;outliers!$C$28,E930&gt;outliers!$B$27),"Outlier","Normal")</f>
        <v>Normal</v>
      </c>
      <c r="J930">
        <f t="shared" si="30"/>
        <v>2021</v>
      </c>
      <c r="K930" t="str">
        <f t="shared" si="29"/>
        <v>June</v>
      </c>
    </row>
    <row r="931" spans="1:11" x14ac:dyDescent="0.35">
      <c r="A931" s="1">
        <v>44369</v>
      </c>
      <c r="B931">
        <v>24.1</v>
      </c>
      <c r="C931">
        <v>19.3</v>
      </c>
      <c r="D931">
        <v>28.9</v>
      </c>
      <c r="E931">
        <v>0.4</v>
      </c>
      <c r="F931" t="str">
        <f>IF(OR(B931&lt;outliers!$B$7,B931&gt;outliers!$B$6),"Outlier","Normal")</f>
        <v>Normal</v>
      </c>
      <c r="G931" t="str">
        <f>IF(OR(C931&lt;outliers!$B$14,C931&gt;outliers!$B$13),"Outlier","Normal")</f>
        <v>Normal</v>
      </c>
      <c r="H931" t="str">
        <f>IF(OR(D931&lt;outliers!$B$21,D931&gt;outliers!$B$20),"Outlier","Normal")</f>
        <v>Normal</v>
      </c>
      <c r="I931" t="str">
        <f>IF(OR(E931&lt;outliers!$C$28,E931&gt;outliers!$B$27),"Outlier","Normal")</f>
        <v>Normal</v>
      </c>
      <c r="J931">
        <f t="shared" si="30"/>
        <v>2021</v>
      </c>
      <c r="K931" t="str">
        <f t="shared" si="29"/>
        <v>June</v>
      </c>
    </row>
    <row r="932" spans="1:11" x14ac:dyDescent="0.35">
      <c r="A932" s="1">
        <v>44370</v>
      </c>
      <c r="B932">
        <v>24.9</v>
      </c>
      <c r="C932">
        <v>19.899999999999999</v>
      </c>
      <c r="D932">
        <v>29.9</v>
      </c>
      <c r="E932">
        <v>0</v>
      </c>
      <c r="F932" t="str">
        <f>IF(OR(B932&lt;outliers!$B$7,B932&gt;outliers!$B$6),"Outlier","Normal")</f>
        <v>Normal</v>
      </c>
      <c r="G932" t="str">
        <f>IF(OR(C932&lt;outliers!$B$14,C932&gt;outliers!$B$13),"Outlier","Normal")</f>
        <v>Normal</v>
      </c>
      <c r="H932" t="str">
        <f>IF(OR(D932&lt;outliers!$B$21,D932&gt;outliers!$B$20),"Outlier","Normal")</f>
        <v>Normal</v>
      </c>
      <c r="I932" t="str">
        <f>IF(OR(E932&lt;outliers!$C$28,E932&gt;outliers!$B$27),"Outlier","Normal")</f>
        <v>Normal</v>
      </c>
      <c r="J932">
        <f t="shared" si="30"/>
        <v>2021</v>
      </c>
      <c r="K932" t="str">
        <f t="shared" si="29"/>
        <v>June</v>
      </c>
    </row>
    <row r="933" spans="1:11" x14ac:dyDescent="0.35">
      <c r="A933" s="1">
        <v>44371</v>
      </c>
      <c r="B933">
        <v>24.5</v>
      </c>
      <c r="C933">
        <v>19.899999999999999</v>
      </c>
      <c r="D933">
        <v>28.8</v>
      </c>
      <c r="E933">
        <v>0.9</v>
      </c>
      <c r="F933" t="str">
        <f>IF(OR(B933&lt;outliers!$B$7,B933&gt;outliers!$B$6),"Outlier","Normal")</f>
        <v>Normal</v>
      </c>
      <c r="G933" t="str">
        <f>IF(OR(C933&lt;outliers!$B$14,C933&gt;outliers!$B$13),"Outlier","Normal")</f>
        <v>Normal</v>
      </c>
      <c r="H933" t="str">
        <f>IF(OR(D933&lt;outliers!$B$21,D933&gt;outliers!$B$20),"Outlier","Normal")</f>
        <v>Normal</v>
      </c>
      <c r="I933" t="str">
        <f>IF(OR(E933&lt;outliers!$C$28,E933&gt;outliers!$B$27),"Outlier","Normal")</f>
        <v>Normal</v>
      </c>
      <c r="J933">
        <f t="shared" si="30"/>
        <v>2021</v>
      </c>
      <c r="K933" t="str">
        <f t="shared" si="29"/>
        <v>June</v>
      </c>
    </row>
    <row r="934" spans="1:11" x14ac:dyDescent="0.35">
      <c r="A934" s="1">
        <v>44372</v>
      </c>
      <c r="B934">
        <v>24.6</v>
      </c>
      <c r="C934">
        <v>19.399999999999999</v>
      </c>
      <c r="D934">
        <v>29.7</v>
      </c>
      <c r="E934">
        <v>0.2</v>
      </c>
      <c r="F934" t="str">
        <f>IF(OR(B934&lt;outliers!$B$7,B934&gt;outliers!$B$6),"Outlier","Normal")</f>
        <v>Normal</v>
      </c>
      <c r="G934" t="str">
        <f>IF(OR(C934&lt;outliers!$B$14,C934&gt;outliers!$B$13),"Outlier","Normal")</f>
        <v>Normal</v>
      </c>
      <c r="H934" t="str">
        <f>IF(OR(D934&lt;outliers!$B$21,D934&gt;outliers!$B$20),"Outlier","Normal")</f>
        <v>Normal</v>
      </c>
      <c r="I934" t="str">
        <f>IF(OR(E934&lt;outliers!$C$28,E934&gt;outliers!$B$27),"Outlier","Normal")</f>
        <v>Normal</v>
      </c>
      <c r="J934">
        <f t="shared" si="30"/>
        <v>2021</v>
      </c>
      <c r="K934" t="str">
        <f t="shared" si="29"/>
        <v>June</v>
      </c>
    </row>
    <row r="935" spans="1:11" x14ac:dyDescent="0.35">
      <c r="A935" s="1">
        <v>44373</v>
      </c>
      <c r="B935">
        <v>22.8</v>
      </c>
      <c r="C935">
        <v>20.100000000000001</v>
      </c>
      <c r="D935">
        <v>29.7</v>
      </c>
      <c r="E935">
        <v>0</v>
      </c>
      <c r="F935" t="str">
        <f>IF(OR(B935&lt;outliers!$B$7,B935&gt;outliers!$B$6),"Outlier","Normal")</f>
        <v>Normal</v>
      </c>
      <c r="G935" t="str">
        <f>IF(OR(C935&lt;outliers!$B$14,C935&gt;outliers!$B$13),"Outlier","Normal")</f>
        <v>Normal</v>
      </c>
      <c r="H935" t="str">
        <f>IF(OR(D935&lt;outliers!$B$21,D935&gt;outliers!$B$20),"Outlier","Normal")</f>
        <v>Normal</v>
      </c>
      <c r="I935" t="str">
        <f>IF(OR(E935&lt;outliers!$C$28,E935&gt;outliers!$B$27),"Outlier","Normal")</f>
        <v>Normal</v>
      </c>
      <c r="J935">
        <f t="shared" si="30"/>
        <v>2021</v>
      </c>
      <c r="K935" t="str">
        <f t="shared" si="29"/>
        <v>June</v>
      </c>
    </row>
    <row r="936" spans="1:11" x14ac:dyDescent="0.35">
      <c r="A936" s="1">
        <v>44374</v>
      </c>
      <c r="B936">
        <v>22.6</v>
      </c>
      <c r="C936">
        <v>20.2</v>
      </c>
      <c r="D936">
        <v>27.2</v>
      </c>
      <c r="E936">
        <v>2.2999999999999998</v>
      </c>
      <c r="F936" t="str">
        <f>IF(OR(B936&lt;outliers!$B$7,B936&gt;outliers!$B$6),"Outlier","Normal")</f>
        <v>Normal</v>
      </c>
      <c r="G936" t="str">
        <f>IF(OR(C936&lt;outliers!$B$14,C936&gt;outliers!$B$13),"Outlier","Normal")</f>
        <v>Normal</v>
      </c>
      <c r="H936" t="str">
        <f>IF(OR(D936&lt;outliers!$B$21,D936&gt;outliers!$B$20),"Outlier","Normal")</f>
        <v>Normal</v>
      </c>
      <c r="I936" t="str">
        <f>IF(OR(E936&lt;outliers!$C$28,E936&gt;outliers!$B$27),"Outlier","Normal")</f>
        <v>Normal</v>
      </c>
      <c r="J936">
        <f t="shared" si="30"/>
        <v>2021</v>
      </c>
      <c r="K936" t="str">
        <f t="shared" si="29"/>
        <v>June</v>
      </c>
    </row>
    <row r="937" spans="1:11" x14ac:dyDescent="0.35">
      <c r="A937" s="1">
        <v>44375</v>
      </c>
      <c r="B937">
        <v>23.7</v>
      </c>
      <c r="C937">
        <v>20.8</v>
      </c>
      <c r="D937">
        <v>28.5</v>
      </c>
      <c r="E937">
        <v>0.5</v>
      </c>
      <c r="F937" t="str">
        <f>IF(OR(B937&lt;outliers!$B$7,B937&gt;outliers!$B$6),"Outlier","Normal")</f>
        <v>Normal</v>
      </c>
      <c r="G937" t="str">
        <f>IF(OR(C937&lt;outliers!$B$14,C937&gt;outliers!$B$13),"Outlier","Normal")</f>
        <v>Normal</v>
      </c>
      <c r="H937" t="str">
        <f>IF(OR(D937&lt;outliers!$B$21,D937&gt;outliers!$B$20),"Outlier","Normal")</f>
        <v>Normal</v>
      </c>
      <c r="I937" t="str">
        <f>IF(OR(E937&lt;outliers!$C$28,E937&gt;outliers!$B$27),"Outlier","Normal")</f>
        <v>Normal</v>
      </c>
      <c r="J937">
        <f t="shared" si="30"/>
        <v>2021</v>
      </c>
      <c r="K937" t="str">
        <f t="shared" si="29"/>
        <v>June</v>
      </c>
    </row>
    <row r="938" spans="1:11" x14ac:dyDescent="0.35">
      <c r="A938" s="1">
        <v>44376</v>
      </c>
      <c r="B938">
        <v>26.2</v>
      </c>
      <c r="C938">
        <v>20.9</v>
      </c>
      <c r="D938">
        <v>31.6</v>
      </c>
      <c r="E938">
        <v>0</v>
      </c>
      <c r="F938" t="str">
        <f>IF(OR(B938&lt;outliers!$B$7,B938&gt;outliers!$B$6),"Outlier","Normal")</f>
        <v>Normal</v>
      </c>
      <c r="G938" t="str">
        <f>IF(OR(C938&lt;outliers!$B$14,C938&gt;outliers!$B$13),"Outlier","Normal")</f>
        <v>Normal</v>
      </c>
      <c r="H938" t="str">
        <f>IF(OR(D938&lt;outliers!$B$21,D938&gt;outliers!$B$20),"Outlier","Normal")</f>
        <v>Normal</v>
      </c>
      <c r="I938" t="str">
        <f>IF(OR(E938&lt;outliers!$C$28,E938&gt;outliers!$B$27),"Outlier","Normal")</f>
        <v>Normal</v>
      </c>
      <c r="J938">
        <f t="shared" si="30"/>
        <v>2021</v>
      </c>
      <c r="K938" t="str">
        <f t="shared" si="29"/>
        <v>June</v>
      </c>
    </row>
    <row r="939" spans="1:11" x14ac:dyDescent="0.35">
      <c r="A939" s="1">
        <v>44377</v>
      </c>
      <c r="B939">
        <v>26</v>
      </c>
      <c r="C939">
        <v>20.7</v>
      </c>
      <c r="D939">
        <v>30.9</v>
      </c>
      <c r="E939">
        <v>1.5</v>
      </c>
      <c r="F939" t="str">
        <f>IF(OR(B939&lt;outliers!$B$7,B939&gt;outliers!$B$6),"Outlier","Normal")</f>
        <v>Normal</v>
      </c>
      <c r="G939" t="str">
        <f>IF(OR(C939&lt;outliers!$B$14,C939&gt;outliers!$B$13),"Outlier","Normal")</f>
        <v>Normal</v>
      </c>
      <c r="H939" t="str">
        <f>IF(OR(D939&lt;outliers!$B$21,D939&gt;outliers!$B$20),"Outlier","Normal")</f>
        <v>Normal</v>
      </c>
      <c r="I939" t="str">
        <f>IF(OR(E939&lt;outliers!$C$28,E939&gt;outliers!$B$27),"Outlier","Normal")</f>
        <v>Normal</v>
      </c>
      <c r="J939">
        <f t="shared" si="30"/>
        <v>2021</v>
      </c>
      <c r="K939" t="str">
        <f t="shared" si="29"/>
        <v>June</v>
      </c>
    </row>
    <row r="940" spans="1:11" x14ac:dyDescent="0.35">
      <c r="A940" s="1">
        <v>44378</v>
      </c>
      <c r="B940">
        <v>25.7</v>
      </c>
      <c r="C940">
        <v>23</v>
      </c>
      <c r="D940">
        <v>32.700000000000003</v>
      </c>
      <c r="E940">
        <v>2.5</v>
      </c>
      <c r="F940" t="str">
        <f>IF(OR(B940&lt;outliers!$B$7,B940&gt;outliers!$B$6),"Outlier","Normal")</f>
        <v>Normal</v>
      </c>
      <c r="G940" t="str">
        <f>IF(OR(C940&lt;outliers!$B$14,C940&gt;outliers!$B$13),"Outlier","Normal")</f>
        <v>Normal</v>
      </c>
      <c r="H940" t="str">
        <f>IF(OR(D940&lt;outliers!$B$21,D940&gt;outliers!$B$20),"Outlier","Normal")</f>
        <v>Normal</v>
      </c>
      <c r="I940" t="str">
        <f>IF(OR(E940&lt;outliers!$C$28,E940&gt;outliers!$B$27),"Outlier","Normal")</f>
        <v>Normal</v>
      </c>
      <c r="J940">
        <f t="shared" si="30"/>
        <v>2021</v>
      </c>
      <c r="K940" t="str">
        <f t="shared" si="29"/>
        <v>June</v>
      </c>
    </row>
    <row r="941" spans="1:11" x14ac:dyDescent="0.35">
      <c r="A941" s="1">
        <v>44379</v>
      </c>
      <c r="B941">
        <v>26</v>
      </c>
      <c r="C941">
        <v>22</v>
      </c>
      <c r="D941">
        <v>30.6</v>
      </c>
      <c r="E941">
        <v>0</v>
      </c>
      <c r="F941" t="str">
        <f>IF(OR(B941&lt;outliers!$B$7,B941&gt;outliers!$B$6),"Outlier","Normal")</f>
        <v>Normal</v>
      </c>
      <c r="G941" t="str">
        <f>IF(OR(C941&lt;outliers!$B$14,C941&gt;outliers!$B$13),"Outlier","Normal")</f>
        <v>Normal</v>
      </c>
      <c r="H941" t="str">
        <f>IF(OR(D941&lt;outliers!$B$21,D941&gt;outliers!$B$20),"Outlier","Normal")</f>
        <v>Normal</v>
      </c>
      <c r="I941" t="str">
        <f>IF(OR(E941&lt;outliers!$C$28,E941&gt;outliers!$B$27),"Outlier","Normal")</f>
        <v>Normal</v>
      </c>
      <c r="J941">
        <f t="shared" si="30"/>
        <v>2021</v>
      </c>
      <c r="K941" t="str">
        <f t="shared" si="29"/>
        <v>July</v>
      </c>
    </row>
    <row r="942" spans="1:11" hidden="1" x14ac:dyDescent="0.35">
      <c r="A942" s="1">
        <v>44380</v>
      </c>
      <c r="B942">
        <v>24.4</v>
      </c>
      <c r="C942">
        <v>19.7</v>
      </c>
      <c r="D942">
        <v>29.5</v>
      </c>
      <c r="E942">
        <v>15</v>
      </c>
      <c r="F942" t="str">
        <f>IF(OR(B942&lt;outliers!$B$7,B942&gt;outliers!$B$6),"Outlier","Normal")</f>
        <v>Normal</v>
      </c>
      <c r="G942" t="str">
        <f>IF(OR(C942&lt;outliers!$B$14,C942&gt;outliers!$B$13),"Outlier","Normal")</f>
        <v>Normal</v>
      </c>
      <c r="H942" t="str">
        <f>IF(OR(D942&lt;outliers!$B$21,D942&gt;outliers!$B$20),"Outlier","Normal")</f>
        <v>Normal</v>
      </c>
      <c r="I942" t="str">
        <f>IF(OR(E942&lt;outliers!$C$28,E942&gt;outliers!$B$27),"Outlier","Normal")</f>
        <v>Outlier</v>
      </c>
      <c r="J942">
        <f t="shared" si="30"/>
        <v>2021</v>
      </c>
      <c r="K942" t="str">
        <f t="shared" si="29"/>
        <v>July</v>
      </c>
    </row>
    <row r="943" spans="1:11" x14ac:dyDescent="0.35">
      <c r="A943" s="1">
        <v>44381</v>
      </c>
      <c r="B943">
        <v>23.6</v>
      </c>
      <c r="C943">
        <v>20.399999999999999</v>
      </c>
      <c r="D943">
        <v>29.4</v>
      </c>
      <c r="E943">
        <v>7.5</v>
      </c>
      <c r="F943" t="str">
        <f>IF(OR(B943&lt;outliers!$B$7,B943&gt;outliers!$B$6),"Outlier","Normal")</f>
        <v>Normal</v>
      </c>
      <c r="G943" t="str">
        <f>IF(OR(C943&lt;outliers!$B$14,C943&gt;outliers!$B$13),"Outlier","Normal")</f>
        <v>Normal</v>
      </c>
      <c r="H943" t="str">
        <f>IF(OR(D943&lt;outliers!$B$21,D943&gt;outliers!$B$20),"Outlier","Normal")</f>
        <v>Normal</v>
      </c>
      <c r="I943" t="str">
        <f>IF(OR(E943&lt;outliers!$C$28,E943&gt;outliers!$B$27),"Outlier","Normal")</f>
        <v>Normal</v>
      </c>
      <c r="J943">
        <f t="shared" si="30"/>
        <v>2021</v>
      </c>
      <c r="K943" t="str">
        <f t="shared" si="29"/>
        <v>July</v>
      </c>
    </row>
    <row r="944" spans="1:11" x14ac:dyDescent="0.35">
      <c r="A944" s="1">
        <v>44382</v>
      </c>
      <c r="B944">
        <v>23.3</v>
      </c>
      <c r="C944">
        <v>20.399999999999999</v>
      </c>
      <c r="D944">
        <v>28.4</v>
      </c>
      <c r="E944">
        <v>2.7</v>
      </c>
      <c r="F944" t="str">
        <f>IF(OR(B944&lt;outliers!$B$7,B944&gt;outliers!$B$6),"Outlier","Normal")</f>
        <v>Normal</v>
      </c>
      <c r="G944" t="str">
        <f>IF(OR(C944&lt;outliers!$B$14,C944&gt;outliers!$B$13),"Outlier","Normal")</f>
        <v>Normal</v>
      </c>
      <c r="H944" t="str">
        <f>IF(OR(D944&lt;outliers!$B$21,D944&gt;outliers!$B$20),"Outlier","Normal")</f>
        <v>Normal</v>
      </c>
      <c r="I944" t="str">
        <f>IF(OR(E944&lt;outliers!$C$28,E944&gt;outliers!$B$27),"Outlier","Normal")</f>
        <v>Normal</v>
      </c>
      <c r="J944">
        <f t="shared" si="30"/>
        <v>2021</v>
      </c>
      <c r="K944" t="str">
        <f t="shared" si="29"/>
        <v>July</v>
      </c>
    </row>
    <row r="945" spans="1:11" x14ac:dyDescent="0.35">
      <c r="A945" s="1">
        <v>44383</v>
      </c>
      <c r="B945">
        <v>24.9</v>
      </c>
      <c r="C945">
        <v>20.2</v>
      </c>
      <c r="D945">
        <v>29.4</v>
      </c>
      <c r="E945">
        <v>1.3</v>
      </c>
      <c r="F945" t="str">
        <f>IF(OR(B945&lt;outliers!$B$7,B945&gt;outliers!$B$6),"Outlier","Normal")</f>
        <v>Normal</v>
      </c>
      <c r="G945" t="str">
        <f>IF(OR(C945&lt;outliers!$B$14,C945&gt;outliers!$B$13),"Outlier","Normal")</f>
        <v>Normal</v>
      </c>
      <c r="H945" t="str">
        <f>IF(OR(D945&lt;outliers!$B$21,D945&gt;outliers!$B$20),"Outlier","Normal")</f>
        <v>Normal</v>
      </c>
      <c r="I945" t="str">
        <f>IF(OR(E945&lt;outliers!$C$28,E945&gt;outliers!$B$27),"Outlier","Normal")</f>
        <v>Normal</v>
      </c>
      <c r="J945">
        <f t="shared" si="30"/>
        <v>2021</v>
      </c>
      <c r="K945" t="str">
        <f t="shared" si="29"/>
        <v>July</v>
      </c>
    </row>
    <row r="946" spans="1:11" x14ac:dyDescent="0.35">
      <c r="A946" s="1">
        <v>44384</v>
      </c>
      <c r="B946">
        <v>24.6</v>
      </c>
      <c r="C946">
        <v>22.3</v>
      </c>
      <c r="D946">
        <v>30</v>
      </c>
      <c r="E946">
        <v>0</v>
      </c>
      <c r="F946" t="str">
        <f>IF(OR(B946&lt;outliers!$B$7,B946&gt;outliers!$B$6),"Outlier","Normal")</f>
        <v>Normal</v>
      </c>
      <c r="G946" t="str">
        <f>IF(OR(C946&lt;outliers!$B$14,C946&gt;outliers!$B$13),"Outlier","Normal")</f>
        <v>Normal</v>
      </c>
      <c r="H946" t="str">
        <f>IF(OR(D946&lt;outliers!$B$21,D946&gt;outliers!$B$20),"Outlier","Normal")</f>
        <v>Normal</v>
      </c>
      <c r="I946" t="str">
        <f>IF(OR(E946&lt;outliers!$C$28,E946&gt;outliers!$B$27),"Outlier","Normal")</f>
        <v>Normal</v>
      </c>
      <c r="J946">
        <f t="shared" si="30"/>
        <v>2021</v>
      </c>
      <c r="K946" t="str">
        <f t="shared" si="29"/>
        <v>July</v>
      </c>
    </row>
    <row r="947" spans="1:11" x14ac:dyDescent="0.35">
      <c r="A947" s="1">
        <v>44385</v>
      </c>
      <c r="B947">
        <v>25.3</v>
      </c>
      <c r="C947">
        <v>21.8</v>
      </c>
      <c r="D947">
        <v>29.4</v>
      </c>
      <c r="E947">
        <v>0</v>
      </c>
      <c r="F947" t="str">
        <f>IF(OR(B947&lt;outliers!$B$7,B947&gt;outliers!$B$6),"Outlier","Normal")</f>
        <v>Normal</v>
      </c>
      <c r="G947" t="str">
        <f>IF(OR(C947&lt;outliers!$B$14,C947&gt;outliers!$B$13),"Outlier","Normal")</f>
        <v>Normal</v>
      </c>
      <c r="H947" t="str">
        <f>IF(OR(D947&lt;outliers!$B$21,D947&gt;outliers!$B$20),"Outlier","Normal")</f>
        <v>Normal</v>
      </c>
      <c r="I947" t="str">
        <f>IF(OR(E947&lt;outliers!$C$28,E947&gt;outliers!$B$27),"Outlier","Normal")</f>
        <v>Normal</v>
      </c>
      <c r="J947">
        <f t="shared" si="30"/>
        <v>2021</v>
      </c>
      <c r="K947" t="str">
        <f t="shared" si="29"/>
        <v>July</v>
      </c>
    </row>
    <row r="948" spans="1:11" x14ac:dyDescent="0.35">
      <c r="A948" s="1">
        <v>44386</v>
      </c>
      <c r="B948">
        <v>24.2</v>
      </c>
      <c r="C948">
        <v>20.3</v>
      </c>
      <c r="D948">
        <v>30.1</v>
      </c>
      <c r="E948">
        <v>0</v>
      </c>
      <c r="F948" t="str">
        <f>IF(OR(B948&lt;outliers!$B$7,B948&gt;outliers!$B$6),"Outlier","Normal")</f>
        <v>Normal</v>
      </c>
      <c r="G948" t="str">
        <f>IF(OR(C948&lt;outliers!$B$14,C948&gt;outliers!$B$13),"Outlier","Normal")</f>
        <v>Normal</v>
      </c>
      <c r="H948" t="str">
        <f>IF(OR(D948&lt;outliers!$B$21,D948&gt;outliers!$B$20),"Outlier","Normal")</f>
        <v>Normal</v>
      </c>
      <c r="I948" t="str">
        <f>IF(OR(E948&lt;outliers!$C$28,E948&gt;outliers!$B$27),"Outlier","Normal")</f>
        <v>Normal</v>
      </c>
      <c r="J948">
        <f t="shared" si="30"/>
        <v>2021</v>
      </c>
      <c r="K948" t="str">
        <f t="shared" si="29"/>
        <v>July</v>
      </c>
    </row>
    <row r="949" spans="1:11" x14ac:dyDescent="0.35">
      <c r="A949" s="1">
        <v>44387</v>
      </c>
      <c r="B949">
        <v>22.8</v>
      </c>
      <c r="C949">
        <v>20.100000000000001</v>
      </c>
      <c r="D949">
        <v>29</v>
      </c>
      <c r="E949">
        <v>0.3</v>
      </c>
      <c r="F949" t="str">
        <f>IF(OR(B949&lt;outliers!$B$7,B949&gt;outliers!$B$6),"Outlier","Normal")</f>
        <v>Normal</v>
      </c>
      <c r="G949" t="str">
        <f>IF(OR(C949&lt;outliers!$B$14,C949&gt;outliers!$B$13),"Outlier","Normal")</f>
        <v>Normal</v>
      </c>
      <c r="H949" t="str">
        <f>IF(OR(D949&lt;outliers!$B$21,D949&gt;outliers!$B$20),"Outlier","Normal")</f>
        <v>Normal</v>
      </c>
      <c r="I949" t="str">
        <f>IF(OR(E949&lt;outliers!$C$28,E949&gt;outliers!$B$27),"Outlier","Normal")</f>
        <v>Normal</v>
      </c>
      <c r="J949">
        <f t="shared" si="30"/>
        <v>2021</v>
      </c>
      <c r="K949" t="str">
        <f t="shared" si="29"/>
        <v>July</v>
      </c>
    </row>
    <row r="950" spans="1:11" x14ac:dyDescent="0.35">
      <c r="A950" s="1">
        <v>44388</v>
      </c>
      <c r="B950">
        <v>22.8</v>
      </c>
      <c r="C950">
        <v>20.100000000000001</v>
      </c>
      <c r="D950">
        <v>26.8</v>
      </c>
      <c r="E950">
        <v>0.5</v>
      </c>
      <c r="F950" t="str">
        <f>IF(OR(B950&lt;outliers!$B$7,B950&gt;outliers!$B$6),"Outlier","Normal")</f>
        <v>Normal</v>
      </c>
      <c r="G950" t="str">
        <f>IF(OR(C950&lt;outliers!$B$14,C950&gt;outliers!$B$13),"Outlier","Normal")</f>
        <v>Normal</v>
      </c>
      <c r="H950" t="str">
        <f>IF(OR(D950&lt;outliers!$B$21,D950&gt;outliers!$B$20),"Outlier","Normal")</f>
        <v>Normal</v>
      </c>
      <c r="I950" t="str">
        <f>IF(OR(E950&lt;outliers!$C$28,E950&gt;outliers!$B$27),"Outlier","Normal")</f>
        <v>Normal</v>
      </c>
      <c r="J950">
        <f t="shared" si="30"/>
        <v>2021</v>
      </c>
      <c r="K950" t="str">
        <f t="shared" si="29"/>
        <v>July</v>
      </c>
    </row>
    <row r="951" spans="1:11" x14ac:dyDescent="0.35">
      <c r="A951" s="1">
        <v>44389</v>
      </c>
      <c r="B951">
        <v>23.2</v>
      </c>
      <c r="C951">
        <v>20.2</v>
      </c>
      <c r="D951">
        <v>26.8</v>
      </c>
      <c r="E951">
        <v>0</v>
      </c>
      <c r="F951" t="str">
        <f>IF(OR(B951&lt;outliers!$B$7,B951&gt;outliers!$B$6),"Outlier","Normal")</f>
        <v>Normal</v>
      </c>
      <c r="G951" t="str">
        <f>IF(OR(C951&lt;outliers!$B$14,C951&gt;outliers!$B$13),"Outlier","Normal")</f>
        <v>Normal</v>
      </c>
      <c r="H951" t="str">
        <f>IF(OR(D951&lt;outliers!$B$21,D951&gt;outliers!$B$20),"Outlier","Normal")</f>
        <v>Normal</v>
      </c>
      <c r="I951" t="str">
        <f>IF(OR(E951&lt;outliers!$C$28,E951&gt;outliers!$B$27),"Outlier","Normal")</f>
        <v>Normal</v>
      </c>
      <c r="J951">
        <f t="shared" si="30"/>
        <v>2021</v>
      </c>
      <c r="K951" t="str">
        <f t="shared" si="29"/>
        <v>July</v>
      </c>
    </row>
    <row r="952" spans="1:11" x14ac:dyDescent="0.35">
      <c r="A952" s="1">
        <v>44390</v>
      </c>
      <c r="B952">
        <v>21.8</v>
      </c>
      <c r="C952">
        <v>20.5</v>
      </c>
      <c r="D952">
        <v>24</v>
      </c>
      <c r="E952">
        <v>4.5999999999999996</v>
      </c>
      <c r="F952" t="str">
        <f>IF(OR(B952&lt;outliers!$B$7,B952&gt;outliers!$B$6),"Outlier","Normal")</f>
        <v>Normal</v>
      </c>
      <c r="G952" t="str">
        <f>IF(OR(C952&lt;outliers!$B$14,C952&gt;outliers!$B$13),"Outlier","Normal")</f>
        <v>Normal</v>
      </c>
      <c r="H952" t="str">
        <f>IF(OR(D952&lt;outliers!$B$21,D952&gt;outliers!$B$20),"Outlier","Normal")</f>
        <v>Normal</v>
      </c>
      <c r="I952" t="str">
        <f>IF(OR(E952&lt;outliers!$C$28,E952&gt;outliers!$B$27),"Outlier","Normal")</f>
        <v>Normal</v>
      </c>
      <c r="J952">
        <f t="shared" si="30"/>
        <v>2021</v>
      </c>
      <c r="K952" t="str">
        <f t="shared" si="29"/>
        <v>July</v>
      </c>
    </row>
    <row r="953" spans="1:11" hidden="1" x14ac:dyDescent="0.35">
      <c r="A953" s="1">
        <v>44391</v>
      </c>
      <c r="B953">
        <v>21.1</v>
      </c>
      <c r="C953">
        <v>19.8</v>
      </c>
      <c r="D953">
        <v>23.4</v>
      </c>
      <c r="E953">
        <v>11.4</v>
      </c>
      <c r="F953" t="str">
        <f>IF(OR(B953&lt;outliers!$B$7,B953&gt;outliers!$B$6),"Outlier","Normal")</f>
        <v>Normal</v>
      </c>
      <c r="G953" t="str">
        <f>IF(OR(C953&lt;outliers!$B$14,C953&gt;outliers!$B$13),"Outlier","Normal")</f>
        <v>Normal</v>
      </c>
      <c r="H953" t="str">
        <f>IF(OR(D953&lt;outliers!$B$21,D953&gt;outliers!$B$20),"Outlier","Normal")</f>
        <v>Normal</v>
      </c>
      <c r="I953" t="str">
        <f>IF(OR(E953&lt;outliers!$C$28,E953&gt;outliers!$B$27),"Outlier","Normal")</f>
        <v>Outlier</v>
      </c>
      <c r="J953">
        <f t="shared" si="30"/>
        <v>2021</v>
      </c>
      <c r="K953" t="str">
        <f t="shared" si="29"/>
        <v>July</v>
      </c>
    </row>
    <row r="954" spans="1:11" hidden="1" x14ac:dyDescent="0.35">
      <c r="A954" s="1">
        <v>44392</v>
      </c>
      <c r="B954">
        <v>21.7</v>
      </c>
      <c r="C954">
        <v>19.899999999999999</v>
      </c>
      <c r="D954">
        <v>25.4</v>
      </c>
      <c r="E954">
        <v>18.8</v>
      </c>
      <c r="F954" t="str">
        <f>IF(OR(B954&lt;outliers!$B$7,B954&gt;outliers!$B$6),"Outlier","Normal")</f>
        <v>Normal</v>
      </c>
      <c r="G954" t="str">
        <f>IF(OR(C954&lt;outliers!$B$14,C954&gt;outliers!$B$13),"Outlier","Normal")</f>
        <v>Normal</v>
      </c>
      <c r="H954" t="str">
        <f>IF(OR(D954&lt;outliers!$B$21,D954&gt;outliers!$B$20),"Outlier","Normal")</f>
        <v>Normal</v>
      </c>
      <c r="I954" t="str">
        <f>IF(OR(E954&lt;outliers!$C$28,E954&gt;outliers!$B$27),"Outlier","Normal")</f>
        <v>Outlier</v>
      </c>
      <c r="J954">
        <f t="shared" si="30"/>
        <v>2021</v>
      </c>
      <c r="K954" t="str">
        <f t="shared" si="29"/>
        <v>July</v>
      </c>
    </row>
    <row r="955" spans="1:11" x14ac:dyDescent="0.35">
      <c r="A955" s="1">
        <v>44393</v>
      </c>
      <c r="B955">
        <v>22.7</v>
      </c>
      <c r="C955">
        <v>20.8</v>
      </c>
      <c r="D955">
        <v>25.6</v>
      </c>
      <c r="E955">
        <v>2.8</v>
      </c>
      <c r="F955" t="str">
        <f>IF(OR(B955&lt;outliers!$B$7,B955&gt;outliers!$B$6),"Outlier","Normal")</f>
        <v>Normal</v>
      </c>
      <c r="G955" t="str">
        <f>IF(OR(C955&lt;outliers!$B$14,C955&gt;outliers!$B$13),"Outlier","Normal")</f>
        <v>Normal</v>
      </c>
      <c r="H955" t="str">
        <f>IF(OR(D955&lt;outliers!$B$21,D955&gt;outliers!$B$20),"Outlier","Normal")</f>
        <v>Normal</v>
      </c>
      <c r="I955" t="str">
        <f>IF(OR(E955&lt;outliers!$C$28,E955&gt;outliers!$B$27),"Outlier","Normal")</f>
        <v>Normal</v>
      </c>
      <c r="J955">
        <f t="shared" si="30"/>
        <v>2021</v>
      </c>
      <c r="K955" t="str">
        <f t="shared" si="29"/>
        <v>July</v>
      </c>
    </row>
    <row r="956" spans="1:11" x14ac:dyDescent="0.35">
      <c r="A956" s="1">
        <v>44394</v>
      </c>
      <c r="B956">
        <v>22.1</v>
      </c>
      <c r="C956">
        <v>20.7</v>
      </c>
      <c r="D956">
        <v>27</v>
      </c>
      <c r="E956">
        <v>1.3</v>
      </c>
      <c r="F956" t="str">
        <f>IF(OR(B956&lt;outliers!$B$7,B956&gt;outliers!$B$6),"Outlier","Normal")</f>
        <v>Normal</v>
      </c>
      <c r="G956" t="str">
        <f>IF(OR(C956&lt;outliers!$B$14,C956&gt;outliers!$B$13),"Outlier","Normal")</f>
        <v>Normal</v>
      </c>
      <c r="H956" t="str">
        <f>IF(OR(D956&lt;outliers!$B$21,D956&gt;outliers!$B$20),"Outlier","Normal")</f>
        <v>Normal</v>
      </c>
      <c r="I956" t="str">
        <f>IF(OR(E956&lt;outliers!$C$28,E956&gt;outliers!$B$27),"Outlier","Normal")</f>
        <v>Normal</v>
      </c>
      <c r="J956">
        <f t="shared" si="30"/>
        <v>2021</v>
      </c>
      <c r="K956" t="str">
        <f t="shared" si="29"/>
        <v>July</v>
      </c>
    </row>
    <row r="957" spans="1:11" hidden="1" x14ac:dyDescent="0.35">
      <c r="A957" s="1">
        <v>44395</v>
      </c>
      <c r="B957">
        <v>21.6</v>
      </c>
      <c r="C957">
        <v>20</v>
      </c>
      <c r="D957">
        <v>28.2</v>
      </c>
      <c r="E957">
        <v>17.8</v>
      </c>
      <c r="F957" t="str">
        <f>IF(OR(B957&lt;outliers!$B$7,B957&gt;outliers!$B$6),"Outlier","Normal")</f>
        <v>Normal</v>
      </c>
      <c r="G957" t="str">
        <f>IF(OR(C957&lt;outliers!$B$14,C957&gt;outliers!$B$13),"Outlier","Normal")</f>
        <v>Normal</v>
      </c>
      <c r="H957" t="str">
        <f>IF(OR(D957&lt;outliers!$B$21,D957&gt;outliers!$B$20),"Outlier","Normal")</f>
        <v>Normal</v>
      </c>
      <c r="I957" t="str">
        <f>IF(OR(E957&lt;outliers!$C$28,E957&gt;outliers!$B$27),"Outlier","Normal")</f>
        <v>Outlier</v>
      </c>
      <c r="J957">
        <f t="shared" si="30"/>
        <v>2021</v>
      </c>
      <c r="K957" t="str">
        <f t="shared" si="29"/>
        <v>July</v>
      </c>
    </row>
    <row r="958" spans="1:11" x14ac:dyDescent="0.35">
      <c r="A958" s="1">
        <v>44396</v>
      </c>
      <c r="B958">
        <v>22.6</v>
      </c>
      <c r="C958">
        <v>19.5</v>
      </c>
      <c r="D958">
        <v>26.8</v>
      </c>
      <c r="E958">
        <v>4.3</v>
      </c>
      <c r="F958" t="str">
        <f>IF(OR(B958&lt;outliers!$B$7,B958&gt;outliers!$B$6),"Outlier","Normal")</f>
        <v>Normal</v>
      </c>
      <c r="G958" t="str">
        <f>IF(OR(C958&lt;outliers!$B$14,C958&gt;outliers!$B$13),"Outlier","Normal")</f>
        <v>Normal</v>
      </c>
      <c r="H958" t="str">
        <f>IF(OR(D958&lt;outliers!$B$21,D958&gt;outliers!$B$20),"Outlier","Normal")</f>
        <v>Normal</v>
      </c>
      <c r="I958" t="str">
        <f>IF(OR(E958&lt;outliers!$C$28,E958&gt;outliers!$B$27),"Outlier","Normal")</f>
        <v>Normal</v>
      </c>
      <c r="J958">
        <f t="shared" si="30"/>
        <v>2021</v>
      </c>
      <c r="K958" t="str">
        <f t="shared" si="29"/>
        <v>July</v>
      </c>
    </row>
    <row r="959" spans="1:11" x14ac:dyDescent="0.35">
      <c r="A959" s="1">
        <v>44397</v>
      </c>
      <c r="B959">
        <v>23.1</v>
      </c>
      <c r="C959">
        <v>19.7</v>
      </c>
      <c r="D959">
        <v>27.6</v>
      </c>
      <c r="E959">
        <v>7.1</v>
      </c>
      <c r="F959" t="str">
        <f>IF(OR(B959&lt;outliers!$B$7,B959&gt;outliers!$B$6),"Outlier","Normal")</f>
        <v>Normal</v>
      </c>
      <c r="G959" t="str">
        <f>IF(OR(C959&lt;outliers!$B$14,C959&gt;outliers!$B$13),"Outlier","Normal")</f>
        <v>Normal</v>
      </c>
      <c r="H959" t="str">
        <f>IF(OR(D959&lt;outliers!$B$21,D959&gt;outliers!$B$20),"Outlier","Normal")</f>
        <v>Normal</v>
      </c>
      <c r="I959" t="str">
        <f>IF(OR(E959&lt;outliers!$C$28,E959&gt;outliers!$B$27),"Outlier","Normal")</f>
        <v>Normal</v>
      </c>
      <c r="J959">
        <f t="shared" si="30"/>
        <v>2021</v>
      </c>
      <c r="K959" t="str">
        <f t="shared" si="29"/>
        <v>July</v>
      </c>
    </row>
    <row r="960" spans="1:11" x14ac:dyDescent="0.35">
      <c r="A960" s="1">
        <v>44398</v>
      </c>
      <c r="B960">
        <v>21.8</v>
      </c>
      <c r="C960">
        <v>20.399999999999999</v>
      </c>
      <c r="D960">
        <v>27.8</v>
      </c>
      <c r="E960">
        <v>0</v>
      </c>
      <c r="F960" t="str">
        <f>IF(OR(B960&lt;outliers!$B$7,B960&gt;outliers!$B$6),"Outlier","Normal")</f>
        <v>Normal</v>
      </c>
      <c r="G960" t="str">
        <f>IF(OR(C960&lt;outliers!$B$14,C960&gt;outliers!$B$13),"Outlier","Normal")</f>
        <v>Normal</v>
      </c>
      <c r="H960" t="str">
        <f>IF(OR(D960&lt;outliers!$B$21,D960&gt;outliers!$B$20),"Outlier","Normal")</f>
        <v>Normal</v>
      </c>
      <c r="I960" t="str">
        <f>IF(OR(E960&lt;outliers!$C$28,E960&gt;outliers!$B$27),"Outlier","Normal")</f>
        <v>Normal</v>
      </c>
      <c r="J960">
        <f t="shared" si="30"/>
        <v>2021</v>
      </c>
      <c r="K960" t="str">
        <f t="shared" si="29"/>
        <v>July</v>
      </c>
    </row>
    <row r="961" spans="1:11" x14ac:dyDescent="0.35">
      <c r="A961" s="1">
        <v>44399</v>
      </c>
      <c r="B961">
        <v>21.2</v>
      </c>
      <c r="C961">
        <v>20</v>
      </c>
      <c r="D961">
        <v>24.2</v>
      </c>
      <c r="E961">
        <v>3.3</v>
      </c>
      <c r="F961" t="str">
        <f>IF(OR(B961&lt;outliers!$B$7,B961&gt;outliers!$B$6),"Outlier","Normal")</f>
        <v>Normal</v>
      </c>
      <c r="G961" t="str">
        <f>IF(OR(C961&lt;outliers!$B$14,C961&gt;outliers!$B$13),"Outlier","Normal")</f>
        <v>Normal</v>
      </c>
      <c r="H961" t="str">
        <f>IF(OR(D961&lt;outliers!$B$21,D961&gt;outliers!$B$20),"Outlier","Normal")</f>
        <v>Normal</v>
      </c>
      <c r="I961" t="str">
        <f>IF(OR(E961&lt;outliers!$C$28,E961&gt;outliers!$B$27),"Outlier","Normal")</f>
        <v>Normal</v>
      </c>
      <c r="J961">
        <f t="shared" si="30"/>
        <v>2021</v>
      </c>
      <c r="K961" t="str">
        <f t="shared" si="29"/>
        <v>July</v>
      </c>
    </row>
    <row r="962" spans="1:11" x14ac:dyDescent="0.35">
      <c r="A962" s="1">
        <v>44400</v>
      </c>
      <c r="B962">
        <v>21.4</v>
      </c>
      <c r="C962">
        <v>19.7</v>
      </c>
      <c r="D962">
        <v>24.7</v>
      </c>
      <c r="E962">
        <v>3</v>
      </c>
      <c r="F962" t="str">
        <f>IF(OR(B962&lt;outliers!$B$7,B962&gt;outliers!$B$6),"Outlier","Normal")</f>
        <v>Normal</v>
      </c>
      <c r="G962" t="str">
        <f>IF(OR(C962&lt;outliers!$B$14,C962&gt;outliers!$B$13),"Outlier","Normal")</f>
        <v>Normal</v>
      </c>
      <c r="H962" t="str">
        <f>IF(OR(D962&lt;outliers!$B$21,D962&gt;outliers!$B$20),"Outlier","Normal")</f>
        <v>Normal</v>
      </c>
      <c r="I962" t="str">
        <f>IF(OR(E962&lt;outliers!$C$28,E962&gt;outliers!$B$27),"Outlier","Normal")</f>
        <v>Normal</v>
      </c>
      <c r="J962">
        <f t="shared" si="30"/>
        <v>2021</v>
      </c>
      <c r="K962" t="str">
        <f t="shared" ref="K962:K1025" si="31">TEXT(A961,"mmmm")</f>
        <v>July</v>
      </c>
    </row>
    <row r="963" spans="1:11" x14ac:dyDescent="0.35">
      <c r="A963" s="1">
        <v>44401</v>
      </c>
      <c r="B963">
        <v>22.6</v>
      </c>
      <c r="C963">
        <v>20</v>
      </c>
      <c r="D963">
        <v>27.1</v>
      </c>
      <c r="E963">
        <v>0.5</v>
      </c>
      <c r="F963" t="str">
        <f>IF(OR(B963&lt;outliers!$B$7,B963&gt;outliers!$B$6),"Outlier","Normal")</f>
        <v>Normal</v>
      </c>
      <c r="G963" t="str">
        <f>IF(OR(C963&lt;outliers!$B$14,C963&gt;outliers!$B$13),"Outlier","Normal")</f>
        <v>Normal</v>
      </c>
      <c r="H963" t="str">
        <f>IF(OR(D963&lt;outliers!$B$21,D963&gt;outliers!$B$20),"Outlier","Normal")</f>
        <v>Normal</v>
      </c>
      <c r="I963" t="str">
        <f>IF(OR(E963&lt;outliers!$C$28,E963&gt;outliers!$B$27),"Outlier","Normal")</f>
        <v>Normal</v>
      </c>
      <c r="J963">
        <f t="shared" si="30"/>
        <v>2021</v>
      </c>
      <c r="K963" t="str">
        <f t="shared" si="31"/>
        <v>July</v>
      </c>
    </row>
    <row r="964" spans="1:11" hidden="1" x14ac:dyDescent="0.35">
      <c r="A964" s="1">
        <v>44402</v>
      </c>
      <c r="B964">
        <v>23.2</v>
      </c>
      <c r="C964">
        <v>20.6</v>
      </c>
      <c r="D964">
        <v>28</v>
      </c>
      <c r="E964">
        <v>24.4</v>
      </c>
      <c r="F964" t="str">
        <f>IF(OR(B964&lt;outliers!$B$7,B964&gt;outliers!$B$6),"Outlier","Normal")</f>
        <v>Normal</v>
      </c>
      <c r="G964" t="str">
        <f>IF(OR(C964&lt;outliers!$B$14,C964&gt;outliers!$B$13),"Outlier","Normal")</f>
        <v>Normal</v>
      </c>
      <c r="H964" t="str">
        <f>IF(OR(D964&lt;outliers!$B$21,D964&gt;outliers!$B$20),"Outlier","Normal")</f>
        <v>Normal</v>
      </c>
      <c r="I964" t="str">
        <f>IF(OR(E964&lt;outliers!$C$28,E964&gt;outliers!$B$27),"Outlier","Normal")</f>
        <v>Outlier</v>
      </c>
      <c r="J964">
        <f t="shared" si="30"/>
        <v>2021</v>
      </c>
      <c r="K964" t="str">
        <f t="shared" si="31"/>
        <v>July</v>
      </c>
    </row>
    <row r="965" spans="1:11" hidden="1" x14ac:dyDescent="0.35">
      <c r="A965" s="1">
        <v>44403</v>
      </c>
      <c r="B965">
        <v>23.4</v>
      </c>
      <c r="C965">
        <v>20.5</v>
      </c>
      <c r="D965">
        <v>28.4</v>
      </c>
      <c r="E965">
        <v>59.7</v>
      </c>
      <c r="F965" t="str">
        <f>IF(OR(B965&lt;outliers!$B$7,B965&gt;outliers!$B$6),"Outlier","Normal")</f>
        <v>Normal</v>
      </c>
      <c r="G965" t="str">
        <f>IF(OR(C965&lt;outliers!$B$14,C965&gt;outliers!$B$13),"Outlier","Normal")</f>
        <v>Normal</v>
      </c>
      <c r="H965" t="str">
        <f>IF(OR(D965&lt;outliers!$B$21,D965&gt;outliers!$B$20),"Outlier","Normal")</f>
        <v>Normal</v>
      </c>
      <c r="I965" t="str">
        <f>IF(OR(E965&lt;outliers!$C$28,E965&gt;outliers!$B$27),"Outlier","Normal")</f>
        <v>Outlier</v>
      </c>
      <c r="J965">
        <f t="shared" si="30"/>
        <v>2021</v>
      </c>
      <c r="K965" t="str">
        <f t="shared" si="31"/>
        <v>July</v>
      </c>
    </row>
    <row r="966" spans="1:11" x14ac:dyDescent="0.35">
      <c r="A966" s="1">
        <v>44404</v>
      </c>
      <c r="B966">
        <v>23.4</v>
      </c>
      <c r="C966">
        <v>20.100000000000001</v>
      </c>
      <c r="D966">
        <v>28.3</v>
      </c>
      <c r="E966">
        <v>0</v>
      </c>
      <c r="F966" t="str">
        <f>IF(OR(B966&lt;outliers!$B$7,B966&gt;outliers!$B$6),"Outlier","Normal")</f>
        <v>Normal</v>
      </c>
      <c r="G966" t="str">
        <f>IF(OR(C966&lt;outliers!$B$14,C966&gt;outliers!$B$13),"Outlier","Normal")</f>
        <v>Normal</v>
      </c>
      <c r="H966" t="str">
        <f>IF(OR(D966&lt;outliers!$B$21,D966&gt;outliers!$B$20),"Outlier","Normal")</f>
        <v>Normal</v>
      </c>
      <c r="I966" t="str">
        <f>IF(OR(E966&lt;outliers!$C$28,E966&gt;outliers!$B$27),"Outlier","Normal")</f>
        <v>Normal</v>
      </c>
      <c r="J966">
        <f t="shared" si="30"/>
        <v>2021</v>
      </c>
      <c r="K966" t="str">
        <f t="shared" si="31"/>
        <v>July</v>
      </c>
    </row>
    <row r="967" spans="1:11" x14ac:dyDescent="0.35">
      <c r="A967" s="1">
        <v>44405</v>
      </c>
      <c r="B967">
        <v>23.1</v>
      </c>
      <c r="C967">
        <v>19.8</v>
      </c>
      <c r="D967">
        <v>27.6</v>
      </c>
      <c r="E967">
        <v>1</v>
      </c>
      <c r="F967" t="str">
        <f>IF(OR(B967&lt;outliers!$B$7,B967&gt;outliers!$B$6),"Outlier","Normal")</f>
        <v>Normal</v>
      </c>
      <c r="G967" t="str">
        <f>IF(OR(C967&lt;outliers!$B$14,C967&gt;outliers!$B$13),"Outlier","Normal")</f>
        <v>Normal</v>
      </c>
      <c r="H967" t="str">
        <f>IF(OR(D967&lt;outliers!$B$21,D967&gt;outliers!$B$20),"Outlier","Normal")</f>
        <v>Normal</v>
      </c>
      <c r="I967" t="str">
        <f>IF(OR(E967&lt;outliers!$C$28,E967&gt;outliers!$B$27),"Outlier","Normal")</f>
        <v>Normal</v>
      </c>
      <c r="J967">
        <f t="shared" si="30"/>
        <v>2021</v>
      </c>
      <c r="K967" t="str">
        <f t="shared" si="31"/>
        <v>July</v>
      </c>
    </row>
    <row r="968" spans="1:11" x14ac:dyDescent="0.35">
      <c r="A968" s="1">
        <v>44406</v>
      </c>
      <c r="B968">
        <v>22.7</v>
      </c>
      <c r="C968">
        <v>19.5</v>
      </c>
      <c r="D968">
        <v>26.4</v>
      </c>
      <c r="E968">
        <v>0.9</v>
      </c>
      <c r="F968" t="str">
        <f>IF(OR(B968&lt;outliers!$B$7,B968&gt;outliers!$B$6),"Outlier","Normal")</f>
        <v>Normal</v>
      </c>
      <c r="G968" t="str">
        <f>IF(OR(C968&lt;outliers!$B$14,C968&gt;outliers!$B$13),"Outlier","Normal")</f>
        <v>Normal</v>
      </c>
      <c r="H968" t="str">
        <f>IF(OR(D968&lt;outliers!$B$21,D968&gt;outliers!$B$20),"Outlier","Normal")</f>
        <v>Normal</v>
      </c>
      <c r="I968" t="str">
        <f>IF(OR(E968&lt;outliers!$C$28,E968&gt;outliers!$B$27),"Outlier","Normal")</f>
        <v>Normal</v>
      </c>
      <c r="J968">
        <f t="shared" si="30"/>
        <v>2021</v>
      </c>
      <c r="K968" t="str">
        <f t="shared" si="31"/>
        <v>July</v>
      </c>
    </row>
    <row r="969" spans="1:11" x14ac:dyDescent="0.35">
      <c r="A969" s="1">
        <v>44407</v>
      </c>
      <c r="B969">
        <v>23.5</v>
      </c>
      <c r="C969">
        <v>19.600000000000001</v>
      </c>
      <c r="D969">
        <v>28.4</v>
      </c>
      <c r="E969">
        <v>0</v>
      </c>
      <c r="F969" t="str">
        <f>IF(OR(B969&lt;outliers!$B$7,B969&gt;outliers!$B$6),"Outlier","Normal")</f>
        <v>Normal</v>
      </c>
      <c r="G969" t="str">
        <f>IF(OR(C969&lt;outliers!$B$14,C969&gt;outliers!$B$13),"Outlier","Normal")</f>
        <v>Normal</v>
      </c>
      <c r="H969" t="str">
        <f>IF(OR(D969&lt;outliers!$B$21,D969&gt;outliers!$B$20),"Outlier","Normal")</f>
        <v>Normal</v>
      </c>
      <c r="I969" t="str">
        <f>IF(OR(E969&lt;outliers!$C$28,E969&gt;outliers!$B$27),"Outlier","Normal")</f>
        <v>Normal</v>
      </c>
      <c r="J969">
        <f t="shared" si="30"/>
        <v>2021</v>
      </c>
      <c r="K969" t="str">
        <f t="shared" si="31"/>
        <v>July</v>
      </c>
    </row>
    <row r="970" spans="1:11" x14ac:dyDescent="0.35">
      <c r="A970" s="1">
        <v>44408</v>
      </c>
      <c r="B970">
        <v>23.1</v>
      </c>
      <c r="C970">
        <v>19</v>
      </c>
      <c r="D970">
        <v>28.1</v>
      </c>
      <c r="E970">
        <v>0.7</v>
      </c>
      <c r="F970" t="str">
        <f>IF(OR(B970&lt;outliers!$B$7,B970&gt;outliers!$B$6),"Outlier","Normal")</f>
        <v>Normal</v>
      </c>
      <c r="G970" t="str">
        <f>IF(OR(C970&lt;outliers!$B$14,C970&gt;outliers!$B$13),"Outlier","Normal")</f>
        <v>Normal</v>
      </c>
      <c r="H970" t="str">
        <f>IF(OR(D970&lt;outliers!$B$21,D970&gt;outliers!$B$20),"Outlier","Normal")</f>
        <v>Normal</v>
      </c>
      <c r="I970" t="str">
        <f>IF(OR(E970&lt;outliers!$C$28,E970&gt;outliers!$B$27),"Outlier","Normal")</f>
        <v>Normal</v>
      </c>
      <c r="J970">
        <f t="shared" si="30"/>
        <v>2021</v>
      </c>
      <c r="K970" t="str">
        <f t="shared" si="31"/>
        <v>July</v>
      </c>
    </row>
    <row r="971" spans="1:11" x14ac:dyDescent="0.35">
      <c r="A971" s="1">
        <v>44409</v>
      </c>
      <c r="B971">
        <v>23.2</v>
      </c>
      <c r="C971">
        <v>20</v>
      </c>
      <c r="D971">
        <v>28</v>
      </c>
      <c r="E971">
        <v>0</v>
      </c>
      <c r="F971" t="str">
        <f>IF(OR(B971&lt;outliers!$B$7,B971&gt;outliers!$B$6),"Outlier","Normal")</f>
        <v>Normal</v>
      </c>
      <c r="G971" t="str">
        <f>IF(OR(C971&lt;outliers!$B$14,C971&gt;outliers!$B$13),"Outlier","Normal")</f>
        <v>Normal</v>
      </c>
      <c r="H971" t="str">
        <f>IF(OR(D971&lt;outliers!$B$21,D971&gt;outliers!$B$20),"Outlier","Normal")</f>
        <v>Normal</v>
      </c>
      <c r="I971" t="str">
        <f>IF(OR(E971&lt;outliers!$C$28,E971&gt;outliers!$B$27),"Outlier","Normal")</f>
        <v>Normal</v>
      </c>
      <c r="J971">
        <f t="shared" si="30"/>
        <v>2021</v>
      </c>
      <c r="K971" t="str">
        <f t="shared" si="31"/>
        <v>July</v>
      </c>
    </row>
    <row r="972" spans="1:11" x14ac:dyDescent="0.35">
      <c r="A972" s="1">
        <v>44410</v>
      </c>
      <c r="B972">
        <v>23.6</v>
      </c>
      <c r="C972">
        <v>19.600000000000001</v>
      </c>
      <c r="D972">
        <v>27.5</v>
      </c>
      <c r="E972">
        <v>0</v>
      </c>
      <c r="F972" t="str">
        <f>IF(OR(B972&lt;outliers!$B$7,B972&gt;outliers!$B$6),"Outlier","Normal")</f>
        <v>Normal</v>
      </c>
      <c r="G972" t="str">
        <f>IF(OR(C972&lt;outliers!$B$14,C972&gt;outliers!$B$13),"Outlier","Normal")</f>
        <v>Normal</v>
      </c>
      <c r="H972" t="str">
        <f>IF(OR(D972&lt;outliers!$B$21,D972&gt;outliers!$B$20),"Outlier","Normal")</f>
        <v>Normal</v>
      </c>
      <c r="I972" t="str">
        <f>IF(OR(E972&lt;outliers!$C$28,E972&gt;outliers!$B$27),"Outlier","Normal")</f>
        <v>Normal</v>
      </c>
      <c r="J972">
        <f t="shared" si="30"/>
        <v>2021</v>
      </c>
      <c r="K972" t="str">
        <f t="shared" si="31"/>
        <v>August</v>
      </c>
    </row>
    <row r="973" spans="1:11" x14ac:dyDescent="0.35">
      <c r="A973" s="1">
        <v>44411</v>
      </c>
      <c r="B973">
        <v>23.2</v>
      </c>
      <c r="C973">
        <v>19.5</v>
      </c>
      <c r="D973">
        <v>28.2</v>
      </c>
      <c r="E973">
        <v>0.7</v>
      </c>
      <c r="F973" t="str">
        <f>IF(OR(B973&lt;outliers!$B$7,B973&gt;outliers!$B$6),"Outlier","Normal")</f>
        <v>Normal</v>
      </c>
      <c r="G973" t="str">
        <f>IF(OR(C973&lt;outliers!$B$14,C973&gt;outliers!$B$13),"Outlier","Normal")</f>
        <v>Normal</v>
      </c>
      <c r="H973" t="str">
        <f>IF(OR(D973&lt;outliers!$B$21,D973&gt;outliers!$B$20),"Outlier","Normal")</f>
        <v>Normal</v>
      </c>
      <c r="I973" t="str">
        <f>IF(OR(E973&lt;outliers!$C$28,E973&gt;outliers!$B$27),"Outlier","Normal")</f>
        <v>Normal</v>
      </c>
      <c r="J973">
        <f t="shared" si="30"/>
        <v>2021</v>
      </c>
      <c r="K973" t="str">
        <f t="shared" si="31"/>
        <v>August</v>
      </c>
    </row>
    <row r="974" spans="1:11" x14ac:dyDescent="0.35">
      <c r="A974" s="1">
        <v>44412</v>
      </c>
      <c r="B974">
        <v>23.3</v>
      </c>
      <c r="C974">
        <v>19.8</v>
      </c>
      <c r="D974">
        <v>27.8</v>
      </c>
      <c r="E974">
        <v>2.8</v>
      </c>
      <c r="F974" t="str">
        <f>IF(OR(B974&lt;outliers!$B$7,B974&gt;outliers!$B$6),"Outlier","Normal")</f>
        <v>Normal</v>
      </c>
      <c r="G974" t="str">
        <f>IF(OR(C974&lt;outliers!$B$14,C974&gt;outliers!$B$13),"Outlier","Normal")</f>
        <v>Normal</v>
      </c>
      <c r="H974" t="str">
        <f>IF(OR(D974&lt;outliers!$B$21,D974&gt;outliers!$B$20),"Outlier","Normal")</f>
        <v>Normal</v>
      </c>
      <c r="I974" t="str">
        <f>IF(OR(E974&lt;outliers!$C$28,E974&gt;outliers!$B$27),"Outlier","Normal")</f>
        <v>Normal</v>
      </c>
      <c r="J974">
        <f t="shared" si="30"/>
        <v>2021</v>
      </c>
      <c r="K974" t="str">
        <f t="shared" si="31"/>
        <v>August</v>
      </c>
    </row>
    <row r="975" spans="1:11" x14ac:dyDescent="0.35">
      <c r="A975" s="1">
        <v>44413</v>
      </c>
      <c r="B975">
        <v>22.7</v>
      </c>
      <c r="C975">
        <v>19.2</v>
      </c>
      <c r="D975">
        <v>27.6</v>
      </c>
      <c r="E975">
        <v>2.7</v>
      </c>
      <c r="F975" t="str">
        <f>IF(OR(B975&lt;outliers!$B$7,B975&gt;outliers!$B$6),"Outlier","Normal")</f>
        <v>Normal</v>
      </c>
      <c r="G975" t="str">
        <f>IF(OR(C975&lt;outliers!$B$14,C975&gt;outliers!$B$13),"Outlier","Normal")</f>
        <v>Normal</v>
      </c>
      <c r="H975" t="str">
        <f>IF(OR(D975&lt;outliers!$B$21,D975&gt;outliers!$B$20),"Outlier","Normal")</f>
        <v>Normal</v>
      </c>
      <c r="I975" t="str">
        <f>IF(OR(E975&lt;outliers!$C$28,E975&gt;outliers!$B$27),"Outlier","Normal")</f>
        <v>Normal</v>
      </c>
      <c r="J975">
        <f t="shared" si="30"/>
        <v>2021</v>
      </c>
      <c r="K975" t="str">
        <f t="shared" si="31"/>
        <v>August</v>
      </c>
    </row>
    <row r="976" spans="1:11" x14ac:dyDescent="0.35">
      <c r="A976" s="1">
        <v>44414</v>
      </c>
      <c r="B976">
        <v>23.5</v>
      </c>
      <c r="C976">
        <v>19.899999999999999</v>
      </c>
      <c r="D976">
        <v>28.8</v>
      </c>
      <c r="E976">
        <v>1.6</v>
      </c>
      <c r="F976" t="str">
        <f>IF(OR(B976&lt;outliers!$B$7,B976&gt;outliers!$B$6),"Outlier","Normal")</f>
        <v>Normal</v>
      </c>
      <c r="G976" t="str">
        <f>IF(OR(C976&lt;outliers!$B$14,C976&gt;outliers!$B$13),"Outlier","Normal")</f>
        <v>Normal</v>
      </c>
      <c r="H976" t="str">
        <f>IF(OR(D976&lt;outliers!$B$21,D976&gt;outliers!$B$20),"Outlier","Normal")</f>
        <v>Normal</v>
      </c>
      <c r="I976" t="str">
        <f>IF(OR(E976&lt;outliers!$C$28,E976&gt;outliers!$B$27),"Outlier","Normal")</f>
        <v>Normal</v>
      </c>
      <c r="J976">
        <f t="shared" si="30"/>
        <v>2021</v>
      </c>
      <c r="K976" t="str">
        <f t="shared" si="31"/>
        <v>August</v>
      </c>
    </row>
    <row r="977" spans="1:11" x14ac:dyDescent="0.35">
      <c r="A977" s="1">
        <v>44415</v>
      </c>
      <c r="B977">
        <v>24.3</v>
      </c>
      <c r="C977">
        <v>20.9</v>
      </c>
      <c r="D977">
        <v>29.4</v>
      </c>
      <c r="E977">
        <v>4.3</v>
      </c>
      <c r="F977" t="str">
        <f>IF(OR(B977&lt;outliers!$B$7,B977&gt;outliers!$B$6),"Outlier","Normal")</f>
        <v>Normal</v>
      </c>
      <c r="G977" t="str">
        <f>IF(OR(C977&lt;outliers!$B$14,C977&gt;outliers!$B$13),"Outlier","Normal")</f>
        <v>Normal</v>
      </c>
      <c r="H977" t="str">
        <f>IF(OR(D977&lt;outliers!$B$21,D977&gt;outliers!$B$20),"Outlier","Normal")</f>
        <v>Normal</v>
      </c>
      <c r="I977" t="str">
        <f>IF(OR(E977&lt;outliers!$C$28,E977&gt;outliers!$B$27),"Outlier","Normal")</f>
        <v>Normal</v>
      </c>
      <c r="J977">
        <f t="shared" ref="J977:J1040" si="32">YEAR(A977)</f>
        <v>2021</v>
      </c>
      <c r="K977" t="str">
        <f t="shared" si="31"/>
        <v>August</v>
      </c>
    </row>
    <row r="978" spans="1:11" x14ac:dyDescent="0.35">
      <c r="A978" s="1">
        <v>44416</v>
      </c>
      <c r="B978">
        <v>24.9</v>
      </c>
      <c r="C978">
        <v>20.8</v>
      </c>
      <c r="D978">
        <v>30.3</v>
      </c>
      <c r="E978">
        <v>1.3</v>
      </c>
      <c r="F978" t="str">
        <f>IF(OR(B978&lt;outliers!$B$7,B978&gt;outliers!$B$6),"Outlier","Normal")</f>
        <v>Normal</v>
      </c>
      <c r="G978" t="str">
        <f>IF(OR(C978&lt;outliers!$B$14,C978&gt;outliers!$B$13),"Outlier","Normal")</f>
        <v>Normal</v>
      </c>
      <c r="H978" t="str">
        <f>IF(OR(D978&lt;outliers!$B$21,D978&gt;outliers!$B$20),"Outlier","Normal")</f>
        <v>Normal</v>
      </c>
      <c r="I978" t="str">
        <f>IF(OR(E978&lt;outliers!$C$28,E978&gt;outliers!$B$27),"Outlier","Normal")</f>
        <v>Normal</v>
      </c>
      <c r="J978">
        <f t="shared" si="32"/>
        <v>2021</v>
      </c>
      <c r="K978" t="str">
        <f t="shared" si="31"/>
        <v>August</v>
      </c>
    </row>
    <row r="979" spans="1:11" x14ac:dyDescent="0.35">
      <c r="A979" s="1">
        <v>44417</v>
      </c>
      <c r="B979">
        <v>25.5</v>
      </c>
      <c r="C979">
        <v>21.7</v>
      </c>
      <c r="D979">
        <v>30.7</v>
      </c>
      <c r="E979">
        <v>0.5</v>
      </c>
      <c r="F979" t="str">
        <f>IF(OR(B979&lt;outliers!$B$7,B979&gt;outliers!$B$6),"Outlier","Normal")</f>
        <v>Normal</v>
      </c>
      <c r="G979" t="str">
        <f>IF(OR(C979&lt;outliers!$B$14,C979&gt;outliers!$B$13),"Outlier","Normal")</f>
        <v>Normal</v>
      </c>
      <c r="H979" t="str">
        <f>IF(OR(D979&lt;outliers!$B$21,D979&gt;outliers!$B$20),"Outlier","Normal")</f>
        <v>Normal</v>
      </c>
      <c r="I979" t="str">
        <f>IF(OR(E979&lt;outliers!$C$28,E979&gt;outliers!$B$27),"Outlier","Normal")</f>
        <v>Normal</v>
      </c>
      <c r="J979">
        <f t="shared" si="32"/>
        <v>2021</v>
      </c>
      <c r="K979" t="str">
        <f t="shared" si="31"/>
        <v>August</v>
      </c>
    </row>
    <row r="980" spans="1:11" x14ac:dyDescent="0.35">
      <c r="A980" s="1">
        <v>44418</v>
      </c>
      <c r="B980">
        <v>23.9</v>
      </c>
      <c r="C980">
        <v>21.8</v>
      </c>
      <c r="D980">
        <v>30.7</v>
      </c>
      <c r="E980">
        <v>0</v>
      </c>
      <c r="F980" t="str">
        <f>IF(OR(B980&lt;outliers!$B$7,B980&gt;outliers!$B$6),"Outlier","Normal")</f>
        <v>Normal</v>
      </c>
      <c r="G980" t="str">
        <f>IF(OR(C980&lt;outliers!$B$14,C980&gt;outliers!$B$13),"Outlier","Normal")</f>
        <v>Normal</v>
      </c>
      <c r="H980" t="str">
        <f>IF(OR(D980&lt;outliers!$B$21,D980&gt;outliers!$B$20),"Outlier","Normal")</f>
        <v>Normal</v>
      </c>
      <c r="I980" t="str">
        <f>IF(OR(E980&lt;outliers!$C$28,E980&gt;outliers!$B$27),"Outlier","Normal")</f>
        <v>Normal</v>
      </c>
      <c r="J980">
        <f t="shared" si="32"/>
        <v>2021</v>
      </c>
      <c r="K980" t="str">
        <f t="shared" si="31"/>
        <v>August</v>
      </c>
    </row>
    <row r="981" spans="1:11" x14ac:dyDescent="0.35">
      <c r="A981" s="1">
        <v>44419</v>
      </c>
      <c r="B981">
        <v>24</v>
      </c>
      <c r="C981">
        <v>20.8</v>
      </c>
      <c r="D981">
        <v>28.2</v>
      </c>
      <c r="E981">
        <v>0</v>
      </c>
      <c r="F981" t="str">
        <f>IF(OR(B981&lt;outliers!$B$7,B981&gt;outliers!$B$6),"Outlier","Normal")</f>
        <v>Normal</v>
      </c>
      <c r="G981" t="str">
        <f>IF(OR(C981&lt;outliers!$B$14,C981&gt;outliers!$B$13),"Outlier","Normal")</f>
        <v>Normal</v>
      </c>
      <c r="H981" t="str">
        <f>IF(OR(D981&lt;outliers!$B$21,D981&gt;outliers!$B$20),"Outlier","Normal")</f>
        <v>Normal</v>
      </c>
      <c r="I981" t="str">
        <f>IF(OR(E981&lt;outliers!$C$28,E981&gt;outliers!$B$27),"Outlier","Normal")</f>
        <v>Normal</v>
      </c>
      <c r="J981">
        <f t="shared" si="32"/>
        <v>2021</v>
      </c>
      <c r="K981" t="str">
        <f t="shared" si="31"/>
        <v>August</v>
      </c>
    </row>
    <row r="982" spans="1:11" x14ac:dyDescent="0.35">
      <c r="A982" s="1">
        <v>44420</v>
      </c>
      <c r="B982">
        <v>22.8</v>
      </c>
      <c r="C982">
        <v>19.7</v>
      </c>
      <c r="D982">
        <v>28.2</v>
      </c>
      <c r="E982">
        <v>1.5</v>
      </c>
      <c r="F982" t="str">
        <f>IF(OR(B982&lt;outliers!$B$7,B982&gt;outliers!$B$6),"Outlier","Normal")</f>
        <v>Normal</v>
      </c>
      <c r="G982" t="str">
        <f>IF(OR(C982&lt;outliers!$B$14,C982&gt;outliers!$B$13),"Outlier","Normal")</f>
        <v>Normal</v>
      </c>
      <c r="H982" t="str">
        <f>IF(OR(D982&lt;outliers!$B$21,D982&gt;outliers!$B$20),"Outlier","Normal")</f>
        <v>Normal</v>
      </c>
      <c r="I982" t="str">
        <f>IF(OR(E982&lt;outliers!$C$28,E982&gt;outliers!$B$27),"Outlier","Normal")</f>
        <v>Normal</v>
      </c>
      <c r="J982">
        <f t="shared" si="32"/>
        <v>2021</v>
      </c>
      <c r="K982" t="str">
        <f t="shared" si="31"/>
        <v>August</v>
      </c>
    </row>
    <row r="983" spans="1:11" x14ac:dyDescent="0.35">
      <c r="A983" s="1">
        <v>44421</v>
      </c>
      <c r="B983">
        <v>23.2</v>
      </c>
      <c r="C983">
        <v>20</v>
      </c>
      <c r="D983">
        <v>27</v>
      </c>
      <c r="E983">
        <v>3.8</v>
      </c>
      <c r="F983" t="str">
        <f>IF(OR(B983&lt;outliers!$B$7,B983&gt;outliers!$B$6),"Outlier","Normal")</f>
        <v>Normal</v>
      </c>
      <c r="G983" t="str">
        <f>IF(OR(C983&lt;outliers!$B$14,C983&gt;outliers!$B$13),"Outlier","Normal")</f>
        <v>Normal</v>
      </c>
      <c r="H983" t="str">
        <f>IF(OR(D983&lt;outliers!$B$21,D983&gt;outliers!$B$20),"Outlier","Normal")</f>
        <v>Normal</v>
      </c>
      <c r="I983" t="str">
        <f>IF(OR(E983&lt;outliers!$C$28,E983&gt;outliers!$B$27),"Outlier","Normal")</f>
        <v>Normal</v>
      </c>
      <c r="J983">
        <f t="shared" si="32"/>
        <v>2021</v>
      </c>
      <c r="K983" t="str">
        <f t="shared" si="31"/>
        <v>August</v>
      </c>
    </row>
    <row r="984" spans="1:11" x14ac:dyDescent="0.35">
      <c r="A984" s="1">
        <v>44422</v>
      </c>
      <c r="B984">
        <v>23.6</v>
      </c>
      <c r="C984">
        <v>20.3</v>
      </c>
      <c r="D984">
        <v>27.4</v>
      </c>
      <c r="E984">
        <v>0</v>
      </c>
      <c r="F984" t="str">
        <f>IF(OR(B984&lt;outliers!$B$7,B984&gt;outliers!$B$6),"Outlier","Normal")</f>
        <v>Normal</v>
      </c>
      <c r="G984" t="str">
        <f>IF(OR(C984&lt;outliers!$B$14,C984&gt;outliers!$B$13),"Outlier","Normal")</f>
        <v>Normal</v>
      </c>
      <c r="H984" t="str">
        <f>IF(OR(D984&lt;outliers!$B$21,D984&gt;outliers!$B$20),"Outlier","Normal")</f>
        <v>Normal</v>
      </c>
      <c r="I984" t="str">
        <f>IF(OR(E984&lt;outliers!$C$28,E984&gt;outliers!$B$27),"Outlier","Normal")</f>
        <v>Normal</v>
      </c>
      <c r="J984">
        <f t="shared" si="32"/>
        <v>2021</v>
      </c>
      <c r="K984" t="str">
        <f t="shared" si="31"/>
        <v>August</v>
      </c>
    </row>
    <row r="985" spans="1:11" x14ac:dyDescent="0.35">
      <c r="A985" s="1">
        <v>44423</v>
      </c>
      <c r="B985">
        <v>22.7</v>
      </c>
      <c r="C985">
        <v>19</v>
      </c>
      <c r="D985">
        <v>27</v>
      </c>
      <c r="E985">
        <v>0.5</v>
      </c>
      <c r="F985" t="str">
        <f>IF(OR(B985&lt;outliers!$B$7,B985&gt;outliers!$B$6),"Outlier","Normal")</f>
        <v>Normal</v>
      </c>
      <c r="G985" t="str">
        <f>IF(OR(C985&lt;outliers!$B$14,C985&gt;outliers!$B$13),"Outlier","Normal")</f>
        <v>Normal</v>
      </c>
      <c r="H985" t="str">
        <f>IF(OR(D985&lt;outliers!$B$21,D985&gt;outliers!$B$20),"Outlier","Normal")</f>
        <v>Normal</v>
      </c>
      <c r="I985" t="str">
        <f>IF(OR(E985&lt;outliers!$C$28,E985&gt;outliers!$B$27),"Outlier","Normal")</f>
        <v>Normal</v>
      </c>
      <c r="J985">
        <f t="shared" si="32"/>
        <v>2021</v>
      </c>
      <c r="K985" t="str">
        <f t="shared" si="31"/>
        <v>August</v>
      </c>
    </row>
    <row r="986" spans="1:11" x14ac:dyDescent="0.35">
      <c r="A986" s="1">
        <v>44424</v>
      </c>
      <c r="B986">
        <v>22.8</v>
      </c>
      <c r="C986">
        <v>20.7</v>
      </c>
      <c r="D986">
        <v>28</v>
      </c>
      <c r="E986">
        <v>0</v>
      </c>
      <c r="F986" t="str">
        <f>IF(OR(B986&lt;outliers!$B$7,B986&gt;outliers!$B$6),"Outlier","Normal")</f>
        <v>Normal</v>
      </c>
      <c r="G986" t="str">
        <f>IF(OR(C986&lt;outliers!$B$14,C986&gt;outliers!$B$13),"Outlier","Normal")</f>
        <v>Normal</v>
      </c>
      <c r="H986" t="str">
        <f>IF(OR(D986&lt;outliers!$B$21,D986&gt;outliers!$B$20),"Outlier","Normal")</f>
        <v>Normal</v>
      </c>
      <c r="I986" t="str">
        <f>IF(OR(E986&lt;outliers!$C$28,E986&gt;outliers!$B$27),"Outlier","Normal")</f>
        <v>Normal</v>
      </c>
      <c r="J986">
        <f t="shared" si="32"/>
        <v>2021</v>
      </c>
      <c r="K986" t="str">
        <f t="shared" si="31"/>
        <v>August</v>
      </c>
    </row>
    <row r="987" spans="1:11" hidden="1" x14ac:dyDescent="0.35">
      <c r="A987" s="1">
        <v>44425</v>
      </c>
      <c r="B987">
        <v>22.9</v>
      </c>
      <c r="C987">
        <v>20.3</v>
      </c>
      <c r="D987">
        <v>26.5</v>
      </c>
      <c r="E987">
        <v>13.7</v>
      </c>
      <c r="F987" t="str">
        <f>IF(OR(B987&lt;outliers!$B$7,B987&gt;outliers!$B$6),"Outlier","Normal")</f>
        <v>Normal</v>
      </c>
      <c r="G987" t="str">
        <f>IF(OR(C987&lt;outliers!$B$14,C987&gt;outliers!$B$13),"Outlier","Normal")</f>
        <v>Normal</v>
      </c>
      <c r="H987" t="str">
        <f>IF(OR(D987&lt;outliers!$B$21,D987&gt;outliers!$B$20),"Outlier","Normal")</f>
        <v>Normal</v>
      </c>
      <c r="I987" t="str">
        <f>IF(OR(E987&lt;outliers!$C$28,E987&gt;outliers!$B$27),"Outlier","Normal")</f>
        <v>Outlier</v>
      </c>
      <c r="J987">
        <f t="shared" si="32"/>
        <v>2021</v>
      </c>
      <c r="K987" t="str">
        <f t="shared" si="31"/>
        <v>August</v>
      </c>
    </row>
    <row r="988" spans="1:11" x14ac:dyDescent="0.35">
      <c r="A988" s="1">
        <v>44426</v>
      </c>
      <c r="B988">
        <v>23.6</v>
      </c>
      <c r="C988">
        <v>20.7</v>
      </c>
      <c r="D988">
        <v>27.5</v>
      </c>
      <c r="E988">
        <v>0</v>
      </c>
      <c r="F988" t="str">
        <f>IF(OR(B988&lt;outliers!$B$7,B988&gt;outliers!$B$6),"Outlier","Normal")</f>
        <v>Normal</v>
      </c>
      <c r="G988" t="str">
        <f>IF(OR(C988&lt;outliers!$B$14,C988&gt;outliers!$B$13),"Outlier","Normal")</f>
        <v>Normal</v>
      </c>
      <c r="H988" t="str">
        <f>IF(OR(D988&lt;outliers!$B$21,D988&gt;outliers!$B$20),"Outlier","Normal")</f>
        <v>Normal</v>
      </c>
      <c r="I988" t="str">
        <f>IF(OR(E988&lt;outliers!$C$28,E988&gt;outliers!$B$27),"Outlier","Normal")</f>
        <v>Normal</v>
      </c>
      <c r="J988">
        <f t="shared" si="32"/>
        <v>2021</v>
      </c>
      <c r="K988" t="str">
        <f t="shared" si="31"/>
        <v>August</v>
      </c>
    </row>
    <row r="989" spans="1:11" x14ac:dyDescent="0.35">
      <c r="A989" s="1">
        <v>44427</v>
      </c>
      <c r="B989">
        <v>23.6</v>
      </c>
      <c r="C989">
        <v>20.399999999999999</v>
      </c>
      <c r="D989">
        <v>28.4</v>
      </c>
      <c r="E989">
        <v>0.3</v>
      </c>
      <c r="F989" t="str">
        <f>IF(OR(B989&lt;outliers!$B$7,B989&gt;outliers!$B$6),"Outlier","Normal")</f>
        <v>Normal</v>
      </c>
      <c r="G989" t="str">
        <f>IF(OR(C989&lt;outliers!$B$14,C989&gt;outliers!$B$13),"Outlier","Normal")</f>
        <v>Normal</v>
      </c>
      <c r="H989" t="str">
        <f>IF(OR(D989&lt;outliers!$B$21,D989&gt;outliers!$B$20),"Outlier","Normal")</f>
        <v>Normal</v>
      </c>
      <c r="I989" t="str">
        <f>IF(OR(E989&lt;outliers!$C$28,E989&gt;outliers!$B$27),"Outlier","Normal")</f>
        <v>Normal</v>
      </c>
      <c r="J989">
        <f t="shared" si="32"/>
        <v>2021</v>
      </c>
      <c r="K989" t="str">
        <f t="shared" si="31"/>
        <v>August</v>
      </c>
    </row>
    <row r="990" spans="1:11" x14ac:dyDescent="0.35">
      <c r="A990" s="1">
        <v>44428</v>
      </c>
      <c r="B990">
        <v>24.1</v>
      </c>
      <c r="C990">
        <v>20.5</v>
      </c>
      <c r="D990">
        <v>28.8</v>
      </c>
      <c r="E990">
        <v>7.1</v>
      </c>
      <c r="F990" t="str">
        <f>IF(OR(B990&lt;outliers!$B$7,B990&gt;outliers!$B$6),"Outlier","Normal")</f>
        <v>Normal</v>
      </c>
      <c r="G990" t="str">
        <f>IF(OR(C990&lt;outliers!$B$14,C990&gt;outliers!$B$13),"Outlier","Normal")</f>
        <v>Normal</v>
      </c>
      <c r="H990" t="str">
        <f>IF(OR(D990&lt;outliers!$B$21,D990&gt;outliers!$B$20),"Outlier","Normal")</f>
        <v>Normal</v>
      </c>
      <c r="I990" t="str">
        <f>IF(OR(E990&lt;outliers!$C$28,E990&gt;outliers!$B$27),"Outlier","Normal")</f>
        <v>Normal</v>
      </c>
      <c r="J990">
        <f t="shared" si="32"/>
        <v>2021</v>
      </c>
      <c r="K990" t="str">
        <f t="shared" si="31"/>
        <v>August</v>
      </c>
    </row>
    <row r="991" spans="1:11" x14ac:dyDescent="0.35">
      <c r="A991" s="1">
        <v>44429</v>
      </c>
      <c r="B991">
        <v>22.4</v>
      </c>
      <c r="C991">
        <v>20.2</v>
      </c>
      <c r="D991">
        <v>28.6</v>
      </c>
      <c r="E991">
        <v>0.3</v>
      </c>
      <c r="F991" t="str">
        <f>IF(OR(B991&lt;outliers!$B$7,B991&gt;outliers!$B$6),"Outlier","Normal")</f>
        <v>Normal</v>
      </c>
      <c r="G991" t="str">
        <f>IF(OR(C991&lt;outliers!$B$14,C991&gt;outliers!$B$13),"Outlier","Normal")</f>
        <v>Normal</v>
      </c>
      <c r="H991" t="str">
        <f>IF(OR(D991&lt;outliers!$B$21,D991&gt;outliers!$B$20),"Outlier","Normal")</f>
        <v>Normal</v>
      </c>
      <c r="I991" t="str">
        <f>IF(OR(E991&lt;outliers!$C$28,E991&gt;outliers!$B$27),"Outlier","Normal")</f>
        <v>Normal</v>
      </c>
      <c r="J991">
        <f t="shared" si="32"/>
        <v>2021</v>
      </c>
      <c r="K991" t="str">
        <f t="shared" si="31"/>
        <v>August</v>
      </c>
    </row>
    <row r="992" spans="1:11" x14ac:dyDescent="0.35">
      <c r="A992" s="1">
        <v>44430</v>
      </c>
      <c r="B992">
        <v>22.8</v>
      </c>
      <c r="C992">
        <v>19.2</v>
      </c>
      <c r="D992">
        <v>27.7</v>
      </c>
      <c r="E992">
        <v>5.6</v>
      </c>
      <c r="F992" t="str">
        <f>IF(OR(B992&lt;outliers!$B$7,B992&gt;outliers!$B$6),"Outlier","Normal")</f>
        <v>Normal</v>
      </c>
      <c r="G992" t="str">
        <f>IF(OR(C992&lt;outliers!$B$14,C992&gt;outliers!$B$13),"Outlier","Normal")</f>
        <v>Normal</v>
      </c>
      <c r="H992" t="str">
        <f>IF(OR(D992&lt;outliers!$B$21,D992&gt;outliers!$B$20),"Outlier","Normal")</f>
        <v>Normal</v>
      </c>
      <c r="I992" t="str">
        <f>IF(OR(E992&lt;outliers!$C$28,E992&gt;outliers!$B$27),"Outlier","Normal")</f>
        <v>Normal</v>
      </c>
      <c r="J992">
        <f t="shared" si="32"/>
        <v>2021</v>
      </c>
      <c r="K992" t="str">
        <f t="shared" si="31"/>
        <v>August</v>
      </c>
    </row>
    <row r="993" spans="1:11" x14ac:dyDescent="0.35">
      <c r="A993" s="1">
        <v>44431</v>
      </c>
      <c r="B993">
        <v>23.6</v>
      </c>
      <c r="C993">
        <v>20.5</v>
      </c>
      <c r="D993">
        <v>27.1</v>
      </c>
      <c r="E993">
        <v>3</v>
      </c>
      <c r="F993" t="str">
        <f>IF(OR(B993&lt;outliers!$B$7,B993&gt;outliers!$B$6),"Outlier","Normal")</f>
        <v>Normal</v>
      </c>
      <c r="G993" t="str">
        <f>IF(OR(C993&lt;outliers!$B$14,C993&gt;outliers!$B$13),"Outlier","Normal")</f>
        <v>Normal</v>
      </c>
      <c r="H993" t="str">
        <f>IF(OR(D993&lt;outliers!$B$21,D993&gt;outliers!$B$20),"Outlier","Normal")</f>
        <v>Normal</v>
      </c>
      <c r="I993" t="str">
        <f>IF(OR(E993&lt;outliers!$C$28,E993&gt;outliers!$B$27),"Outlier","Normal")</f>
        <v>Normal</v>
      </c>
      <c r="J993">
        <f t="shared" si="32"/>
        <v>2021</v>
      </c>
      <c r="K993" t="str">
        <f t="shared" si="31"/>
        <v>August</v>
      </c>
    </row>
    <row r="994" spans="1:11" x14ac:dyDescent="0.35">
      <c r="A994" s="1">
        <v>44432</v>
      </c>
      <c r="B994">
        <v>24.5</v>
      </c>
      <c r="C994">
        <v>20.3</v>
      </c>
      <c r="D994">
        <v>29</v>
      </c>
      <c r="E994">
        <v>3.8</v>
      </c>
      <c r="F994" t="str">
        <f>IF(OR(B994&lt;outliers!$B$7,B994&gt;outliers!$B$6),"Outlier","Normal")</f>
        <v>Normal</v>
      </c>
      <c r="G994" t="str">
        <f>IF(OR(C994&lt;outliers!$B$14,C994&gt;outliers!$B$13),"Outlier","Normal")</f>
        <v>Normal</v>
      </c>
      <c r="H994" t="str">
        <f>IF(OR(D994&lt;outliers!$B$21,D994&gt;outliers!$B$20),"Outlier","Normal")</f>
        <v>Normal</v>
      </c>
      <c r="I994" t="str">
        <f>IF(OR(E994&lt;outliers!$C$28,E994&gt;outliers!$B$27),"Outlier","Normal")</f>
        <v>Normal</v>
      </c>
      <c r="J994">
        <f t="shared" si="32"/>
        <v>2021</v>
      </c>
      <c r="K994" t="str">
        <f t="shared" si="31"/>
        <v>August</v>
      </c>
    </row>
    <row r="995" spans="1:11" x14ac:dyDescent="0.35">
      <c r="A995" s="1">
        <v>44433</v>
      </c>
      <c r="B995">
        <v>24.1</v>
      </c>
      <c r="C995">
        <v>20.7</v>
      </c>
      <c r="D995">
        <v>29.1</v>
      </c>
      <c r="E995">
        <v>1</v>
      </c>
      <c r="F995" t="str">
        <f>IF(OR(B995&lt;outliers!$B$7,B995&gt;outliers!$B$6),"Outlier","Normal")</f>
        <v>Normal</v>
      </c>
      <c r="G995" t="str">
        <f>IF(OR(C995&lt;outliers!$B$14,C995&gt;outliers!$B$13),"Outlier","Normal")</f>
        <v>Normal</v>
      </c>
      <c r="H995" t="str">
        <f>IF(OR(D995&lt;outliers!$B$21,D995&gt;outliers!$B$20),"Outlier","Normal")</f>
        <v>Normal</v>
      </c>
      <c r="I995" t="str">
        <f>IF(OR(E995&lt;outliers!$C$28,E995&gt;outliers!$B$27),"Outlier","Normal")</f>
        <v>Normal</v>
      </c>
      <c r="J995">
        <f t="shared" si="32"/>
        <v>2021</v>
      </c>
      <c r="K995" t="str">
        <f t="shared" si="31"/>
        <v>August</v>
      </c>
    </row>
    <row r="996" spans="1:11" x14ac:dyDescent="0.35">
      <c r="A996" s="1">
        <v>44434</v>
      </c>
      <c r="B996">
        <v>24.1</v>
      </c>
      <c r="C996">
        <v>21</v>
      </c>
      <c r="D996">
        <v>29.6</v>
      </c>
      <c r="E996">
        <v>0</v>
      </c>
      <c r="F996" t="str">
        <f>IF(OR(B996&lt;outliers!$B$7,B996&gt;outliers!$B$6),"Outlier","Normal")</f>
        <v>Normal</v>
      </c>
      <c r="G996" t="str">
        <f>IF(OR(C996&lt;outliers!$B$14,C996&gt;outliers!$B$13),"Outlier","Normal")</f>
        <v>Normal</v>
      </c>
      <c r="H996" t="str">
        <f>IF(OR(D996&lt;outliers!$B$21,D996&gt;outliers!$B$20),"Outlier","Normal")</f>
        <v>Normal</v>
      </c>
      <c r="I996" t="str">
        <f>IF(OR(E996&lt;outliers!$C$28,E996&gt;outliers!$B$27),"Outlier","Normal")</f>
        <v>Normal</v>
      </c>
      <c r="J996">
        <f t="shared" si="32"/>
        <v>2021</v>
      </c>
      <c r="K996" t="str">
        <f t="shared" si="31"/>
        <v>August</v>
      </c>
    </row>
    <row r="997" spans="1:11" hidden="1" x14ac:dyDescent="0.35">
      <c r="A997" s="1">
        <v>44435</v>
      </c>
      <c r="B997">
        <v>22.7</v>
      </c>
      <c r="C997">
        <v>20.5</v>
      </c>
      <c r="D997">
        <v>30.4</v>
      </c>
      <c r="E997">
        <v>24.9</v>
      </c>
      <c r="F997" t="str">
        <f>IF(OR(B997&lt;outliers!$B$7,B997&gt;outliers!$B$6),"Outlier","Normal")</f>
        <v>Normal</v>
      </c>
      <c r="G997" t="str">
        <f>IF(OR(C997&lt;outliers!$B$14,C997&gt;outliers!$B$13),"Outlier","Normal")</f>
        <v>Normal</v>
      </c>
      <c r="H997" t="str">
        <f>IF(OR(D997&lt;outliers!$B$21,D997&gt;outliers!$B$20),"Outlier","Normal")</f>
        <v>Normal</v>
      </c>
      <c r="I997" t="str">
        <f>IF(OR(E997&lt;outliers!$C$28,E997&gt;outliers!$B$27),"Outlier","Normal")</f>
        <v>Outlier</v>
      </c>
      <c r="J997">
        <f t="shared" si="32"/>
        <v>2021</v>
      </c>
      <c r="K997" t="str">
        <f t="shared" si="31"/>
        <v>August</v>
      </c>
    </row>
    <row r="998" spans="1:11" hidden="1" x14ac:dyDescent="0.35">
      <c r="A998" s="1">
        <v>44436</v>
      </c>
      <c r="B998">
        <v>22.4</v>
      </c>
      <c r="C998">
        <v>20.100000000000001</v>
      </c>
      <c r="D998">
        <v>28.4</v>
      </c>
      <c r="E998">
        <v>11.7</v>
      </c>
      <c r="F998" t="str">
        <f>IF(OR(B998&lt;outliers!$B$7,B998&gt;outliers!$B$6),"Outlier","Normal")</f>
        <v>Normal</v>
      </c>
      <c r="G998" t="str">
        <f>IF(OR(C998&lt;outliers!$B$14,C998&gt;outliers!$B$13),"Outlier","Normal")</f>
        <v>Normal</v>
      </c>
      <c r="H998" t="str">
        <f>IF(OR(D998&lt;outliers!$B$21,D998&gt;outliers!$B$20),"Outlier","Normal")</f>
        <v>Normal</v>
      </c>
      <c r="I998" t="str">
        <f>IF(OR(E998&lt;outliers!$C$28,E998&gt;outliers!$B$27),"Outlier","Normal")</f>
        <v>Outlier</v>
      </c>
      <c r="J998">
        <f t="shared" si="32"/>
        <v>2021</v>
      </c>
      <c r="K998" t="str">
        <f t="shared" si="31"/>
        <v>August</v>
      </c>
    </row>
    <row r="999" spans="1:11" x14ac:dyDescent="0.35">
      <c r="A999" s="1">
        <v>44437</v>
      </c>
      <c r="B999">
        <v>21.7</v>
      </c>
      <c r="C999">
        <v>19.2</v>
      </c>
      <c r="D999">
        <v>25.8</v>
      </c>
      <c r="E999">
        <v>4.0999999999999996</v>
      </c>
      <c r="F999" t="str">
        <f>IF(OR(B999&lt;outliers!$B$7,B999&gt;outliers!$B$6),"Outlier","Normal")</f>
        <v>Normal</v>
      </c>
      <c r="G999" t="str">
        <f>IF(OR(C999&lt;outliers!$B$14,C999&gt;outliers!$B$13),"Outlier","Normal")</f>
        <v>Normal</v>
      </c>
      <c r="H999" t="str">
        <f>IF(OR(D999&lt;outliers!$B$21,D999&gt;outliers!$B$20),"Outlier","Normal")</f>
        <v>Normal</v>
      </c>
      <c r="I999" t="str">
        <f>IF(OR(E999&lt;outliers!$C$28,E999&gt;outliers!$B$27),"Outlier","Normal")</f>
        <v>Normal</v>
      </c>
      <c r="J999">
        <f t="shared" si="32"/>
        <v>2021</v>
      </c>
      <c r="K999" t="str">
        <f t="shared" si="31"/>
        <v>August</v>
      </c>
    </row>
    <row r="1000" spans="1:11" x14ac:dyDescent="0.35">
      <c r="A1000" s="1">
        <v>44438</v>
      </c>
      <c r="B1000">
        <v>22.4</v>
      </c>
      <c r="C1000">
        <v>19.7</v>
      </c>
      <c r="D1000">
        <v>26.2</v>
      </c>
      <c r="E1000">
        <v>3.8</v>
      </c>
      <c r="F1000" t="str">
        <f>IF(OR(B1000&lt;outliers!$B$7,B1000&gt;outliers!$B$6),"Outlier","Normal")</f>
        <v>Normal</v>
      </c>
      <c r="G1000" t="str">
        <f>IF(OR(C1000&lt;outliers!$B$14,C1000&gt;outliers!$B$13),"Outlier","Normal")</f>
        <v>Normal</v>
      </c>
      <c r="H1000" t="str">
        <f>IF(OR(D1000&lt;outliers!$B$21,D1000&gt;outliers!$B$20),"Outlier","Normal")</f>
        <v>Normal</v>
      </c>
      <c r="I1000" t="str">
        <f>IF(OR(E1000&lt;outliers!$C$28,E1000&gt;outliers!$B$27),"Outlier","Normal")</f>
        <v>Normal</v>
      </c>
      <c r="J1000">
        <f t="shared" si="32"/>
        <v>2021</v>
      </c>
      <c r="K1000" t="str">
        <f t="shared" si="31"/>
        <v>August</v>
      </c>
    </row>
    <row r="1001" spans="1:11" x14ac:dyDescent="0.35">
      <c r="A1001" s="1">
        <v>44439</v>
      </c>
      <c r="B1001">
        <v>23.9</v>
      </c>
      <c r="C1001">
        <v>19.7</v>
      </c>
      <c r="D1001">
        <v>27.6</v>
      </c>
      <c r="E1001">
        <v>0.5</v>
      </c>
      <c r="F1001" t="str">
        <f>IF(OR(B1001&lt;outliers!$B$7,B1001&gt;outliers!$B$6),"Outlier","Normal")</f>
        <v>Normal</v>
      </c>
      <c r="G1001" t="str">
        <f>IF(OR(C1001&lt;outliers!$B$14,C1001&gt;outliers!$B$13),"Outlier","Normal")</f>
        <v>Normal</v>
      </c>
      <c r="H1001" t="str">
        <f>IF(OR(D1001&lt;outliers!$B$21,D1001&gt;outliers!$B$20),"Outlier","Normal")</f>
        <v>Normal</v>
      </c>
      <c r="I1001" t="str">
        <f>IF(OR(E1001&lt;outliers!$C$28,E1001&gt;outliers!$B$27),"Outlier","Normal")</f>
        <v>Normal</v>
      </c>
      <c r="J1001">
        <f t="shared" si="32"/>
        <v>2021</v>
      </c>
      <c r="K1001" t="str">
        <f t="shared" si="31"/>
        <v>August</v>
      </c>
    </row>
    <row r="1002" spans="1:11" x14ac:dyDescent="0.35">
      <c r="A1002" s="1">
        <v>44440</v>
      </c>
      <c r="B1002">
        <v>23.6</v>
      </c>
      <c r="C1002">
        <v>20.9</v>
      </c>
      <c r="D1002">
        <v>29.3</v>
      </c>
      <c r="E1002">
        <v>0</v>
      </c>
      <c r="F1002" t="str">
        <f>IF(OR(B1002&lt;outliers!$B$7,B1002&gt;outliers!$B$6),"Outlier","Normal")</f>
        <v>Normal</v>
      </c>
      <c r="G1002" t="str">
        <f>IF(OR(C1002&lt;outliers!$B$14,C1002&gt;outliers!$B$13),"Outlier","Normal")</f>
        <v>Normal</v>
      </c>
      <c r="H1002" t="str">
        <f>IF(OR(D1002&lt;outliers!$B$21,D1002&gt;outliers!$B$20),"Outlier","Normal")</f>
        <v>Normal</v>
      </c>
      <c r="I1002" t="str">
        <f>IF(OR(E1002&lt;outliers!$C$28,E1002&gt;outliers!$B$27),"Outlier","Normal")</f>
        <v>Normal</v>
      </c>
      <c r="J1002">
        <f t="shared" si="32"/>
        <v>2021</v>
      </c>
      <c r="K1002" t="str">
        <f t="shared" si="31"/>
        <v>August</v>
      </c>
    </row>
    <row r="1003" spans="1:11" x14ac:dyDescent="0.35">
      <c r="A1003" s="1">
        <v>44441</v>
      </c>
      <c r="B1003">
        <v>22.6</v>
      </c>
      <c r="C1003">
        <v>19.5</v>
      </c>
      <c r="D1003">
        <v>29.4</v>
      </c>
      <c r="E1003">
        <v>2.8</v>
      </c>
      <c r="F1003" t="str">
        <f>IF(OR(B1003&lt;outliers!$B$7,B1003&gt;outliers!$B$6),"Outlier","Normal")</f>
        <v>Normal</v>
      </c>
      <c r="G1003" t="str">
        <f>IF(OR(C1003&lt;outliers!$B$14,C1003&gt;outliers!$B$13),"Outlier","Normal")</f>
        <v>Normal</v>
      </c>
      <c r="H1003" t="str">
        <f>IF(OR(D1003&lt;outliers!$B$21,D1003&gt;outliers!$B$20),"Outlier","Normal")</f>
        <v>Normal</v>
      </c>
      <c r="I1003" t="str">
        <f>IF(OR(E1003&lt;outliers!$C$28,E1003&gt;outliers!$B$27),"Outlier","Normal")</f>
        <v>Normal</v>
      </c>
      <c r="J1003">
        <f t="shared" si="32"/>
        <v>2021</v>
      </c>
      <c r="K1003" t="str">
        <f t="shared" si="31"/>
        <v>September</v>
      </c>
    </row>
    <row r="1004" spans="1:11" hidden="1" x14ac:dyDescent="0.35">
      <c r="A1004" s="1">
        <v>44442</v>
      </c>
      <c r="B1004">
        <v>22.5</v>
      </c>
      <c r="C1004">
        <v>19.5</v>
      </c>
      <c r="D1004">
        <v>26.7</v>
      </c>
      <c r="E1004">
        <v>44.7</v>
      </c>
      <c r="F1004" t="str">
        <f>IF(OR(B1004&lt;outliers!$B$7,B1004&gt;outliers!$B$6),"Outlier","Normal")</f>
        <v>Normal</v>
      </c>
      <c r="G1004" t="str">
        <f>IF(OR(C1004&lt;outliers!$B$14,C1004&gt;outliers!$B$13),"Outlier","Normal")</f>
        <v>Normal</v>
      </c>
      <c r="H1004" t="str">
        <f>IF(OR(D1004&lt;outliers!$B$21,D1004&gt;outliers!$B$20),"Outlier","Normal")</f>
        <v>Normal</v>
      </c>
      <c r="I1004" t="str">
        <f>IF(OR(E1004&lt;outliers!$C$28,E1004&gt;outliers!$B$27),"Outlier","Normal")</f>
        <v>Outlier</v>
      </c>
      <c r="J1004">
        <f t="shared" si="32"/>
        <v>2021</v>
      </c>
      <c r="K1004" t="str">
        <f t="shared" si="31"/>
        <v>September</v>
      </c>
    </row>
    <row r="1005" spans="1:11" x14ac:dyDescent="0.35">
      <c r="A1005" s="1">
        <v>44443</v>
      </c>
      <c r="B1005">
        <v>22.3</v>
      </c>
      <c r="C1005">
        <v>20.399999999999999</v>
      </c>
      <c r="D1005">
        <v>26.2</v>
      </c>
      <c r="E1005">
        <v>0</v>
      </c>
      <c r="F1005" t="str">
        <f>IF(OR(B1005&lt;outliers!$B$7,B1005&gt;outliers!$B$6),"Outlier","Normal")</f>
        <v>Normal</v>
      </c>
      <c r="G1005" t="str">
        <f>IF(OR(C1005&lt;outliers!$B$14,C1005&gt;outliers!$B$13),"Outlier","Normal")</f>
        <v>Normal</v>
      </c>
      <c r="H1005" t="str">
        <f>IF(OR(D1005&lt;outliers!$B$21,D1005&gt;outliers!$B$20),"Outlier","Normal")</f>
        <v>Normal</v>
      </c>
      <c r="I1005" t="str">
        <f>IF(OR(E1005&lt;outliers!$C$28,E1005&gt;outliers!$B$27),"Outlier","Normal")</f>
        <v>Normal</v>
      </c>
      <c r="J1005">
        <f t="shared" si="32"/>
        <v>2021</v>
      </c>
      <c r="K1005" t="str">
        <f t="shared" si="31"/>
        <v>September</v>
      </c>
    </row>
    <row r="1006" spans="1:11" x14ac:dyDescent="0.35">
      <c r="A1006" s="1">
        <v>44444</v>
      </c>
      <c r="B1006">
        <v>22.1</v>
      </c>
      <c r="C1006">
        <v>20.2</v>
      </c>
      <c r="D1006">
        <v>26.6</v>
      </c>
      <c r="E1006">
        <v>1</v>
      </c>
      <c r="F1006" t="str">
        <f>IF(OR(B1006&lt;outliers!$B$7,B1006&gt;outliers!$B$6),"Outlier","Normal")</f>
        <v>Normal</v>
      </c>
      <c r="G1006" t="str">
        <f>IF(OR(C1006&lt;outliers!$B$14,C1006&gt;outliers!$B$13),"Outlier","Normal")</f>
        <v>Normal</v>
      </c>
      <c r="H1006" t="str">
        <f>IF(OR(D1006&lt;outliers!$B$21,D1006&gt;outliers!$B$20),"Outlier","Normal")</f>
        <v>Normal</v>
      </c>
      <c r="I1006" t="str">
        <f>IF(OR(E1006&lt;outliers!$C$28,E1006&gt;outliers!$B$27),"Outlier","Normal")</f>
        <v>Normal</v>
      </c>
      <c r="J1006">
        <f t="shared" si="32"/>
        <v>2021</v>
      </c>
      <c r="K1006" t="str">
        <f t="shared" si="31"/>
        <v>September</v>
      </c>
    </row>
    <row r="1007" spans="1:11" x14ac:dyDescent="0.35">
      <c r="A1007" s="1">
        <v>44445</v>
      </c>
      <c r="B1007">
        <v>22.6</v>
      </c>
      <c r="C1007">
        <v>20.2</v>
      </c>
      <c r="D1007">
        <v>27.2</v>
      </c>
      <c r="E1007">
        <v>7.9</v>
      </c>
      <c r="F1007" t="str">
        <f>IF(OR(B1007&lt;outliers!$B$7,B1007&gt;outliers!$B$6),"Outlier","Normal")</f>
        <v>Normal</v>
      </c>
      <c r="G1007" t="str">
        <f>IF(OR(C1007&lt;outliers!$B$14,C1007&gt;outliers!$B$13),"Outlier","Normal")</f>
        <v>Normal</v>
      </c>
      <c r="H1007" t="str">
        <f>IF(OR(D1007&lt;outliers!$B$21,D1007&gt;outliers!$B$20),"Outlier","Normal")</f>
        <v>Normal</v>
      </c>
      <c r="I1007" t="str">
        <f>IF(OR(E1007&lt;outliers!$C$28,E1007&gt;outliers!$B$27),"Outlier","Normal")</f>
        <v>Normal</v>
      </c>
      <c r="J1007">
        <f t="shared" si="32"/>
        <v>2021</v>
      </c>
      <c r="K1007" t="str">
        <f t="shared" si="31"/>
        <v>September</v>
      </c>
    </row>
    <row r="1008" spans="1:11" x14ac:dyDescent="0.35">
      <c r="A1008" s="1">
        <v>44446</v>
      </c>
      <c r="B1008">
        <v>22.2</v>
      </c>
      <c r="C1008">
        <v>20</v>
      </c>
      <c r="D1008">
        <v>27</v>
      </c>
      <c r="E1008">
        <v>2</v>
      </c>
      <c r="F1008" t="str">
        <f>IF(OR(B1008&lt;outliers!$B$7,B1008&gt;outliers!$B$6),"Outlier","Normal")</f>
        <v>Normal</v>
      </c>
      <c r="G1008" t="str">
        <f>IF(OR(C1008&lt;outliers!$B$14,C1008&gt;outliers!$B$13),"Outlier","Normal")</f>
        <v>Normal</v>
      </c>
      <c r="H1008" t="str">
        <f>IF(OR(D1008&lt;outliers!$B$21,D1008&gt;outliers!$B$20),"Outlier","Normal")</f>
        <v>Normal</v>
      </c>
      <c r="I1008" t="str">
        <f>IF(OR(E1008&lt;outliers!$C$28,E1008&gt;outliers!$B$27),"Outlier","Normal")</f>
        <v>Normal</v>
      </c>
      <c r="J1008">
        <f t="shared" si="32"/>
        <v>2021</v>
      </c>
      <c r="K1008" t="str">
        <f t="shared" si="31"/>
        <v>September</v>
      </c>
    </row>
    <row r="1009" spans="1:11" x14ac:dyDescent="0.35">
      <c r="A1009" s="1">
        <v>44447</v>
      </c>
      <c r="B1009">
        <v>23.1</v>
      </c>
      <c r="C1009">
        <v>20.5</v>
      </c>
      <c r="D1009">
        <v>27</v>
      </c>
      <c r="E1009">
        <v>0.5</v>
      </c>
      <c r="F1009" t="str">
        <f>IF(OR(B1009&lt;outliers!$B$7,B1009&gt;outliers!$B$6),"Outlier","Normal")</f>
        <v>Normal</v>
      </c>
      <c r="G1009" t="str">
        <f>IF(OR(C1009&lt;outliers!$B$14,C1009&gt;outliers!$B$13),"Outlier","Normal")</f>
        <v>Normal</v>
      </c>
      <c r="H1009" t="str">
        <f>IF(OR(D1009&lt;outliers!$B$21,D1009&gt;outliers!$B$20),"Outlier","Normal")</f>
        <v>Normal</v>
      </c>
      <c r="I1009" t="str">
        <f>IF(OR(E1009&lt;outliers!$C$28,E1009&gt;outliers!$B$27),"Outlier","Normal")</f>
        <v>Normal</v>
      </c>
      <c r="J1009">
        <f t="shared" si="32"/>
        <v>2021</v>
      </c>
      <c r="K1009" t="str">
        <f t="shared" si="31"/>
        <v>September</v>
      </c>
    </row>
    <row r="1010" spans="1:11" x14ac:dyDescent="0.35">
      <c r="A1010" s="1">
        <v>44448</v>
      </c>
      <c r="B1010">
        <v>24</v>
      </c>
      <c r="C1010">
        <v>20</v>
      </c>
      <c r="D1010">
        <v>27.8</v>
      </c>
      <c r="E1010">
        <v>0.5</v>
      </c>
      <c r="F1010" t="str">
        <f>IF(OR(B1010&lt;outliers!$B$7,B1010&gt;outliers!$B$6),"Outlier","Normal")</f>
        <v>Normal</v>
      </c>
      <c r="G1010" t="str">
        <f>IF(OR(C1010&lt;outliers!$B$14,C1010&gt;outliers!$B$13),"Outlier","Normal")</f>
        <v>Normal</v>
      </c>
      <c r="H1010" t="str">
        <f>IF(OR(D1010&lt;outliers!$B$21,D1010&gt;outliers!$B$20),"Outlier","Normal")</f>
        <v>Normal</v>
      </c>
      <c r="I1010" t="str">
        <f>IF(OR(E1010&lt;outliers!$C$28,E1010&gt;outliers!$B$27),"Outlier","Normal")</f>
        <v>Normal</v>
      </c>
      <c r="J1010">
        <f t="shared" si="32"/>
        <v>2021</v>
      </c>
      <c r="K1010" t="str">
        <f t="shared" si="31"/>
        <v>September</v>
      </c>
    </row>
    <row r="1011" spans="1:11" x14ac:dyDescent="0.35">
      <c r="A1011" s="1">
        <v>44449</v>
      </c>
      <c r="B1011">
        <v>24.1</v>
      </c>
      <c r="C1011">
        <v>20.2</v>
      </c>
      <c r="D1011">
        <v>29.1</v>
      </c>
      <c r="E1011">
        <v>0</v>
      </c>
      <c r="F1011" t="str">
        <f>IF(OR(B1011&lt;outliers!$B$7,B1011&gt;outliers!$B$6),"Outlier","Normal")</f>
        <v>Normal</v>
      </c>
      <c r="G1011" t="str">
        <f>IF(OR(C1011&lt;outliers!$B$14,C1011&gt;outliers!$B$13),"Outlier","Normal")</f>
        <v>Normal</v>
      </c>
      <c r="H1011" t="str">
        <f>IF(OR(D1011&lt;outliers!$B$21,D1011&gt;outliers!$B$20),"Outlier","Normal")</f>
        <v>Normal</v>
      </c>
      <c r="I1011" t="str">
        <f>IF(OR(E1011&lt;outliers!$C$28,E1011&gt;outliers!$B$27),"Outlier","Normal")</f>
        <v>Normal</v>
      </c>
      <c r="J1011">
        <f t="shared" si="32"/>
        <v>2021</v>
      </c>
      <c r="K1011" t="str">
        <f t="shared" si="31"/>
        <v>September</v>
      </c>
    </row>
    <row r="1012" spans="1:11" x14ac:dyDescent="0.35">
      <c r="A1012" s="1">
        <v>44450</v>
      </c>
      <c r="B1012">
        <v>22.8</v>
      </c>
      <c r="C1012">
        <v>19.399999999999999</v>
      </c>
      <c r="D1012">
        <v>28</v>
      </c>
      <c r="E1012">
        <v>1.3</v>
      </c>
      <c r="F1012" t="str">
        <f>IF(OR(B1012&lt;outliers!$B$7,B1012&gt;outliers!$B$6),"Outlier","Normal")</f>
        <v>Normal</v>
      </c>
      <c r="G1012" t="str">
        <f>IF(OR(C1012&lt;outliers!$B$14,C1012&gt;outliers!$B$13),"Outlier","Normal")</f>
        <v>Normal</v>
      </c>
      <c r="H1012" t="str">
        <f>IF(OR(D1012&lt;outliers!$B$21,D1012&gt;outliers!$B$20),"Outlier","Normal")</f>
        <v>Normal</v>
      </c>
      <c r="I1012" t="str">
        <f>IF(OR(E1012&lt;outliers!$C$28,E1012&gt;outliers!$B$27),"Outlier","Normal")</f>
        <v>Normal</v>
      </c>
      <c r="J1012">
        <f t="shared" si="32"/>
        <v>2021</v>
      </c>
      <c r="K1012" t="str">
        <f t="shared" si="31"/>
        <v>September</v>
      </c>
    </row>
    <row r="1013" spans="1:11" x14ac:dyDescent="0.35">
      <c r="A1013" s="1">
        <v>44451</v>
      </c>
      <c r="B1013">
        <v>23.6</v>
      </c>
      <c r="C1013">
        <v>20.7</v>
      </c>
      <c r="D1013">
        <v>28.5</v>
      </c>
      <c r="E1013">
        <v>0</v>
      </c>
      <c r="F1013" t="str">
        <f>IF(OR(B1013&lt;outliers!$B$7,B1013&gt;outliers!$B$6),"Outlier","Normal")</f>
        <v>Normal</v>
      </c>
      <c r="G1013" t="str">
        <f>IF(OR(C1013&lt;outliers!$B$14,C1013&gt;outliers!$B$13),"Outlier","Normal")</f>
        <v>Normal</v>
      </c>
      <c r="H1013" t="str">
        <f>IF(OR(D1013&lt;outliers!$B$21,D1013&gt;outliers!$B$20),"Outlier","Normal")</f>
        <v>Normal</v>
      </c>
      <c r="I1013" t="str">
        <f>IF(OR(E1013&lt;outliers!$C$28,E1013&gt;outliers!$B$27),"Outlier","Normal")</f>
        <v>Normal</v>
      </c>
      <c r="J1013">
        <f t="shared" si="32"/>
        <v>2021</v>
      </c>
      <c r="K1013" t="str">
        <f t="shared" si="31"/>
        <v>September</v>
      </c>
    </row>
    <row r="1014" spans="1:11" x14ac:dyDescent="0.35">
      <c r="A1014" s="1">
        <v>44452</v>
      </c>
      <c r="B1014">
        <v>23.7</v>
      </c>
      <c r="C1014">
        <v>20.9</v>
      </c>
      <c r="D1014">
        <v>28</v>
      </c>
      <c r="E1014">
        <v>0</v>
      </c>
      <c r="F1014" t="str">
        <f>IF(OR(B1014&lt;outliers!$B$7,B1014&gt;outliers!$B$6),"Outlier","Normal")</f>
        <v>Normal</v>
      </c>
      <c r="G1014" t="str">
        <f>IF(OR(C1014&lt;outliers!$B$14,C1014&gt;outliers!$B$13),"Outlier","Normal")</f>
        <v>Normal</v>
      </c>
      <c r="H1014" t="str">
        <f>IF(OR(D1014&lt;outliers!$B$21,D1014&gt;outliers!$B$20),"Outlier","Normal")</f>
        <v>Normal</v>
      </c>
      <c r="I1014" t="str">
        <f>IF(OR(E1014&lt;outliers!$C$28,E1014&gt;outliers!$B$27),"Outlier","Normal")</f>
        <v>Normal</v>
      </c>
      <c r="J1014">
        <f t="shared" si="32"/>
        <v>2021</v>
      </c>
      <c r="K1014" t="str">
        <f t="shared" si="31"/>
        <v>September</v>
      </c>
    </row>
    <row r="1015" spans="1:11" x14ac:dyDescent="0.35">
      <c r="A1015" s="1">
        <v>44453</v>
      </c>
      <c r="B1015">
        <v>24.1</v>
      </c>
      <c r="C1015">
        <v>19.899999999999999</v>
      </c>
      <c r="D1015">
        <v>28.2</v>
      </c>
      <c r="E1015">
        <v>0</v>
      </c>
      <c r="F1015" t="str">
        <f>IF(OR(B1015&lt;outliers!$B$7,B1015&gt;outliers!$B$6),"Outlier","Normal")</f>
        <v>Normal</v>
      </c>
      <c r="G1015" t="str">
        <f>IF(OR(C1015&lt;outliers!$B$14,C1015&gt;outliers!$B$13),"Outlier","Normal")</f>
        <v>Normal</v>
      </c>
      <c r="H1015" t="str">
        <f>IF(OR(D1015&lt;outliers!$B$21,D1015&gt;outliers!$B$20),"Outlier","Normal")</f>
        <v>Normal</v>
      </c>
      <c r="I1015" t="str">
        <f>IF(OR(E1015&lt;outliers!$C$28,E1015&gt;outliers!$B$27),"Outlier","Normal")</f>
        <v>Normal</v>
      </c>
      <c r="J1015">
        <f t="shared" si="32"/>
        <v>2021</v>
      </c>
      <c r="K1015" t="str">
        <f t="shared" si="31"/>
        <v>September</v>
      </c>
    </row>
    <row r="1016" spans="1:11" x14ac:dyDescent="0.35">
      <c r="A1016" s="1">
        <v>44454</v>
      </c>
      <c r="B1016">
        <v>23.2</v>
      </c>
      <c r="C1016">
        <v>19.2</v>
      </c>
      <c r="D1016">
        <v>27.7</v>
      </c>
      <c r="E1016">
        <v>1.4</v>
      </c>
      <c r="F1016" t="str">
        <f>IF(OR(B1016&lt;outliers!$B$7,B1016&gt;outliers!$B$6),"Outlier","Normal")</f>
        <v>Normal</v>
      </c>
      <c r="G1016" t="str">
        <f>IF(OR(C1016&lt;outliers!$B$14,C1016&gt;outliers!$B$13),"Outlier","Normal")</f>
        <v>Normal</v>
      </c>
      <c r="H1016" t="str">
        <f>IF(OR(D1016&lt;outliers!$B$21,D1016&gt;outliers!$B$20),"Outlier","Normal")</f>
        <v>Normal</v>
      </c>
      <c r="I1016" t="str">
        <f>IF(OR(E1016&lt;outliers!$C$28,E1016&gt;outliers!$B$27),"Outlier","Normal")</f>
        <v>Normal</v>
      </c>
      <c r="J1016">
        <f t="shared" si="32"/>
        <v>2021</v>
      </c>
      <c r="K1016" t="str">
        <f t="shared" si="31"/>
        <v>September</v>
      </c>
    </row>
    <row r="1017" spans="1:11" x14ac:dyDescent="0.35">
      <c r="A1017" s="1">
        <v>44455</v>
      </c>
      <c r="B1017">
        <v>23.7</v>
      </c>
      <c r="C1017">
        <v>19</v>
      </c>
      <c r="D1017">
        <v>29</v>
      </c>
      <c r="E1017">
        <v>0.3</v>
      </c>
      <c r="F1017" t="str">
        <f>IF(OR(B1017&lt;outliers!$B$7,B1017&gt;outliers!$B$6),"Outlier","Normal")</f>
        <v>Normal</v>
      </c>
      <c r="G1017" t="str">
        <f>IF(OR(C1017&lt;outliers!$B$14,C1017&gt;outliers!$B$13),"Outlier","Normal")</f>
        <v>Normal</v>
      </c>
      <c r="H1017" t="str">
        <f>IF(OR(D1017&lt;outliers!$B$21,D1017&gt;outliers!$B$20),"Outlier","Normal")</f>
        <v>Normal</v>
      </c>
      <c r="I1017" t="str">
        <f>IF(OR(E1017&lt;outliers!$C$28,E1017&gt;outliers!$B$27),"Outlier","Normal")</f>
        <v>Normal</v>
      </c>
      <c r="J1017">
        <f t="shared" si="32"/>
        <v>2021</v>
      </c>
      <c r="K1017" t="str">
        <f t="shared" si="31"/>
        <v>September</v>
      </c>
    </row>
    <row r="1018" spans="1:11" x14ac:dyDescent="0.35">
      <c r="A1018" s="1">
        <v>44456</v>
      </c>
      <c r="B1018">
        <v>24</v>
      </c>
      <c r="C1018">
        <v>19.3</v>
      </c>
      <c r="D1018">
        <v>30</v>
      </c>
      <c r="E1018">
        <v>0.4</v>
      </c>
      <c r="F1018" t="str">
        <f>IF(OR(B1018&lt;outliers!$B$7,B1018&gt;outliers!$B$6),"Outlier","Normal")</f>
        <v>Normal</v>
      </c>
      <c r="G1018" t="str">
        <f>IF(OR(C1018&lt;outliers!$B$14,C1018&gt;outliers!$B$13),"Outlier","Normal")</f>
        <v>Normal</v>
      </c>
      <c r="H1018" t="str">
        <f>IF(OR(D1018&lt;outliers!$B$21,D1018&gt;outliers!$B$20),"Outlier","Normal")</f>
        <v>Normal</v>
      </c>
      <c r="I1018" t="str">
        <f>IF(OR(E1018&lt;outliers!$C$28,E1018&gt;outliers!$B$27),"Outlier","Normal")</f>
        <v>Normal</v>
      </c>
      <c r="J1018">
        <f t="shared" si="32"/>
        <v>2021</v>
      </c>
      <c r="K1018" t="str">
        <f t="shared" si="31"/>
        <v>September</v>
      </c>
    </row>
    <row r="1019" spans="1:11" x14ac:dyDescent="0.35">
      <c r="A1019" s="1">
        <v>44457</v>
      </c>
      <c r="B1019">
        <v>24.3</v>
      </c>
      <c r="C1019">
        <v>18.8</v>
      </c>
      <c r="D1019">
        <v>30.4</v>
      </c>
      <c r="E1019">
        <v>0.1</v>
      </c>
      <c r="F1019" t="str">
        <f>IF(OR(B1019&lt;outliers!$B$7,B1019&gt;outliers!$B$6),"Outlier","Normal")</f>
        <v>Normal</v>
      </c>
      <c r="G1019" t="str">
        <f>IF(OR(C1019&lt;outliers!$B$14,C1019&gt;outliers!$B$13),"Outlier","Normal")</f>
        <v>Normal</v>
      </c>
      <c r="H1019" t="str">
        <f>IF(OR(D1019&lt;outliers!$B$21,D1019&gt;outliers!$B$20),"Outlier","Normal")</f>
        <v>Normal</v>
      </c>
      <c r="I1019" t="str">
        <f>IF(OR(E1019&lt;outliers!$C$28,E1019&gt;outliers!$B$27),"Outlier","Normal")</f>
        <v>Normal</v>
      </c>
      <c r="J1019">
        <f t="shared" si="32"/>
        <v>2021</v>
      </c>
      <c r="K1019" t="str">
        <f t="shared" si="31"/>
        <v>September</v>
      </c>
    </row>
    <row r="1020" spans="1:11" x14ac:dyDescent="0.35">
      <c r="A1020" s="1">
        <v>44458</v>
      </c>
      <c r="B1020">
        <v>24.4</v>
      </c>
      <c r="C1020">
        <v>19.5</v>
      </c>
      <c r="D1020">
        <v>30</v>
      </c>
      <c r="E1020">
        <v>3.8</v>
      </c>
      <c r="F1020" t="str">
        <f>IF(OR(B1020&lt;outliers!$B$7,B1020&gt;outliers!$B$6),"Outlier","Normal")</f>
        <v>Normal</v>
      </c>
      <c r="G1020" t="str">
        <f>IF(OR(C1020&lt;outliers!$B$14,C1020&gt;outliers!$B$13),"Outlier","Normal")</f>
        <v>Normal</v>
      </c>
      <c r="H1020" t="str">
        <f>IF(OR(D1020&lt;outliers!$B$21,D1020&gt;outliers!$B$20),"Outlier","Normal")</f>
        <v>Normal</v>
      </c>
      <c r="I1020" t="str">
        <f>IF(OR(E1020&lt;outliers!$C$28,E1020&gt;outliers!$B$27),"Outlier","Normal")</f>
        <v>Normal</v>
      </c>
      <c r="J1020">
        <f t="shared" si="32"/>
        <v>2021</v>
      </c>
      <c r="K1020" t="str">
        <f t="shared" si="31"/>
        <v>September</v>
      </c>
    </row>
    <row r="1021" spans="1:11" hidden="1" x14ac:dyDescent="0.35">
      <c r="A1021" s="1">
        <v>44459</v>
      </c>
      <c r="B1021">
        <v>22.4</v>
      </c>
      <c r="C1021">
        <v>19.8</v>
      </c>
      <c r="D1021">
        <v>31.3</v>
      </c>
      <c r="E1021">
        <v>26.2</v>
      </c>
      <c r="F1021" t="str">
        <f>IF(OR(B1021&lt;outliers!$B$7,B1021&gt;outliers!$B$6),"Outlier","Normal")</f>
        <v>Normal</v>
      </c>
      <c r="G1021" t="str">
        <f>IF(OR(C1021&lt;outliers!$B$14,C1021&gt;outliers!$B$13),"Outlier","Normal")</f>
        <v>Normal</v>
      </c>
      <c r="H1021" t="str">
        <f>IF(OR(D1021&lt;outliers!$B$21,D1021&gt;outliers!$B$20),"Outlier","Normal")</f>
        <v>Normal</v>
      </c>
      <c r="I1021" t="str">
        <f>IF(OR(E1021&lt;outliers!$C$28,E1021&gt;outliers!$B$27),"Outlier","Normal")</f>
        <v>Outlier</v>
      </c>
      <c r="J1021">
        <f t="shared" si="32"/>
        <v>2021</v>
      </c>
      <c r="K1021" t="str">
        <f t="shared" si="31"/>
        <v>September</v>
      </c>
    </row>
    <row r="1022" spans="1:11" hidden="1" x14ac:dyDescent="0.35">
      <c r="A1022" s="1">
        <v>44460</v>
      </c>
      <c r="B1022">
        <v>23.5</v>
      </c>
      <c r="C1022">
        <v>20.3</v>
      </c>
      <c r="D1022">
        <v>29</v>
      </c>
      <c r="E1022">
        <v>53.3</v>
      </c>
      <c r="F1022" t="str">
        <f>IF(OR(B1022&lt;outliers!$B$7,B1022&gt;outliers!$B$6),"Outlier","Normal")</f>
        <v>Normal</v>
      </c>
      <c r="G1022" t="str">
        <f>IF(OR(C1022&lt;outliers!$B$14,C1022&gt;outliers!$B$13),"Outlier","Normal")</f>
        <v>Normal</v>
      </c>
      <c r="H1022" t="str">
        <f>IF(OR(D1022&lt;outliers!$B$21,D1022&gt;outliers!$B$20),"Outlier","Normal")</f>
        <v>Normal</v>
      </c>
      <c r="I1022" t="str">
        <f>IF(OR(E1022&lt;outliers!$C$28,E1022&gt;outliers!$B$27),"Outlier","Normal")</f>
        <v>Outlier</v>
      </c>
      <c r="J1022">
        <f t="shared" si="32"/>
        <v>2021</v>
      </c>
      <c r="K1022" t="str">
        <f t="shared" si="31"/>
        <v>September</v>
      </c>
    </row>
    <row r="1023" spans="1:11" hidden="1" x14ac:dyDescent="0.35">
      <c r="A1023" s="1">
        <v>44461</v>
      </c>
      <c r="B1023">
        <v>23.9</v>
      </c>
      <c r="C1023">
        <v>20.6</v>
      </c>
      <c r="D1023">
        <v>29.7</v>
      </c>
      <c r="E1023">
        <v>11.2</v>
      </c>
      <c r="F1023" t="str">
        <f>IF(OR(B1023&lt;outliers!$B$7,B1023&gt;outliers!$B$6),"Outlier","Normal")</f>
        <v>Normal</v>
      </c>
      <c r="G1023" t="str">
        <f>IF(OR(C1023&lt;outliers!$B$14,C1023&gt;outliers!$B$13),"Outlier","Normal")</f>
        <v>Normal</v>
      </c>
      <c r="H1023" t="str">
        <f>IF(OR(D1023&lt;outliers!$B$21,D1023&gt;outliers!$B$20),"Outlier","Normal")</f>
        <v>Normal</v>
      </c>
      <c r="I1023" t="str">
        <f>IF(OR(E1023&lt;outliers!$C$28,E1023&gt;outliers!$B$27),"Outlier","Normal")</f>
        <v>Outlier</v>
      </c>
      <c r="J1023">
        <f t="shared" si="32"/>
        <v>2021</v>
      </c>
      <c r="K1023" t="str">
        <f t="shared" si="31"/>
        <v>September</v>
      </c>
    </row>
    <row r="1024" spans="1:11" x14ac:dyDescent="0.35">
      <c r="A1024" s="1">
        <v>44462</v>
      </c>
      <c r="B1024">
        <v>23.8</v>
      </c>
      <c r="C1024">
        <v>20.6</v>
      </c>
      <c r="D1024">
        <v>28</v>
      </c>
      <c r="E1024">
        <v>0</v>
      </c>
      <c r="F1024" t="str">
        <f>IF(OR(B1024&lt;outliers!$B$7,B1024&gt;outliers!$B$6),"Outlier","Normal")</f>
        <v>Normal</v>
      </c>
      <c r="G1024" t="str">
        <f>IF(OR(C1024&lt;outliers!$B$14,C1024&gt;outliers!$B$13),"Outlier","Normal")</f>
        <v>Normal</v>
      </c>
      <c r="H1024" t="str">
        <f>IF(OR(D1024&lt;outliers!$B$21,D1024&gt;outliers!$B$20),"Outlier","Normal")</f>
        <v>Normal</v>
      </c>
      <c r="I1024" t="str">
        <f>IF(OR(E1024&lt;outliers!$C$28,E1024&gt;outliers!$B$27),"Outlier","Normal")</f>
        <v>Normal</v>
      </c>
      <c r="J1024">
        <f t="shared" si="32"/>
        <v>2021</v>
      </c>
      <c r="K1024" t="str">
        <f t="shared" si="31"/>
        <v>September</v>
      </c>
    </row>
    <row r="1025" spans="1:11" x14ac:dyDescent="0.35">
      <c r="A1025" s="1">
        <v>44463</v>
      </c>
      <c r="B1025">
        <v>24</v>
      </c>
      <c r="C1025">
        <v>20.7</v>
      </c>
      <c r="D1025">
        <v>28.2</v>
      </c>
      <c r="E1025">
        <v>0.3</v>
      </c>
      <c r="F1025" t="str">
        <f>IF(OR(B1025&lt;outliers!$B$7,B1025&gt;outliers!$B$6),"Outlier","Normal")</f>
        <v>Normal</v>
      </c>
      <c r="G1025" t="str">
        <f>IF(OR(C1025&lt;outliers!$B$14,C1025&gt;outliers!$B$13),"Outlier","Normal")</f>
        <v>Normal</v>
      </c>
      <c r="H1025" t="str">
        <f>IF(OR(D1025&lt;outliers!$B$21,D1025&gt;outliers!$B$20),"Outlier","Normal")</f>
        <v>Normal</v>
      </c>
      <c r="I1025" t="str">
        <f>IF(OR(E1025&lt;outliers!$C$28,E1025&gt;outliers!$B$27),"Outlier","Normal")</f>
        <v>Normal</v>
      </c>
      <c r="J1025">
        <f t="shared" si="32"/>
        <v>2021</v>
      </c>
      <c r="K1025" t="str">
        <f t="shared" si="31"/>
        <v>September</v>
      </c>
    </row>
    <row r="1026" spans="1:11" x14ac:dyDescent="0.35">
      <c r="A1026" s="1">
        <v>44464</v>
      </c>
      <c r="B1026">
        <v>24.2</v>
      </c>
      <c r="C1026">
        <v>20.8</v>
      </c>
      <c r="D1026">
        <v>28.8</v>
      </c>
      <c r="E1026">
        <v>0.5</v>
      </c>
      <c r="F1026" t="str">
        <f>IF(OR(B1026&lt;outliers!$B$7,B1026&gt;outliers!$B$6),"Outlier","Normal")</f>
        <v>Normal</v>
      </c>
      <c r="G1026" t="str">
        <f>IF(OR(C1026&lt;outliers!$B$14,C1026&gt;outliers!$B$13),"Outlier","Normal")</f>
        <v>Normal</v>
      </c>
      <c r="H1026" t="str">
        <f>IF(OR(D1026&lt;outliers!$B$21,D1026&gt;outliers!$B$20),"Outlier","Normal")</f>
        <v>Normal</v>
      </c>
      <c r="I1026" t="str">
        <f>IF(OR(E1026&lt;outliers!$C$28,E1026&gt;outliers!$B$27),"Outlier","Normal")</f>
        <v>Normal</v>
      </c>
      <c r="J1026">
        <f t="shared" si="32"/>
        <v>2021</v>
      </c>
      <c r="K1026" t="str">
        <f t="shared" ref="K1026:K1089" si="33">TEXT(A1025,"mmmm")</f>
        <v>September</v>
      </c>
    </row>
    <row r="1027" spans="1:11" hidden="1" x14ac:dyDescent="0.35">
      <c r="A1027" s="1">
        <v>44465</v>
      </c>
      <c r="B1027">
        <v>23.1</v>
      </c>
      <c r="C1027">
        <v>20.100000000000001</v>
      </c>
      <c r="D1027">
        <v>29.2</v>
      </c>
      <c r="E1027">
        <v>12.2</v>
      </c>
      <c r="F1027" t="str">
        <f>IF(OR(B1027&lt;outliers!$B$7,B1027&gt;outliers!$B$6),"Outlier","Normal")</f>
        <v>Normal</v>
      </c>
      <c r="G1027" t="str">
        <f>IF(OR(C1027&lt;outliers!$B$14,C1027&gt;outliers!$B$13),"Outlier","Normal")</f>
        <v>Normal</v>
      </c>
      <c r="H1027" t="str">
        <f>IF(OR(D1027&lt;outliers!$B$21,D1027&gt;outliers!$B$20),"Outlier","Normal")</f>
        <v>Normal</v>
      </c>
      <c r="I1027" t="str">
        <f>IF(OR(E1027&lt;outliers!$C$28,E1027&gt;outliers!$B$27),"Outlier","Normal")</f>
        <v>Outlier</v>
      </c>
      <c r="J1027">
        <f t="shared" si="32"/>
        <v>2021</v>
      </c>
      <c r="K1027" t="str">
        <f t="shared" si="33"/>
        <v>September</v>
      </c>
    </row>
    <row r="1028" spans="1:11" x14ac:dyDescent="0.35">
      <c r="A1028" s="1">
        <v>44466</v>
      </c>
      <c r="B1028">
        <v>22.7</v>
      </c>
      <c r="C1028">
        <v>20.2</v>
      </c>
      <c r="D1028">
        <v>27</v>
      </c>
      <c r="E1028">
        <v>0.5</v>
      </c>
      <c r="F1028" t="str">
        <f>IF(OR(B1028&lt;outliers!$B$7,B1028&gt;outliers!$B$6),"Outlier","Normal")</f>
        <v>Normal</v>
      </c>
      <c r="G1028" t="str">
        <f>IF(OR(C1028&lt;outliers!$B$14,C1028&gt;outliers!$B$13),"Outlier","Normal")</f>
        <v>Normal</v>
      </c>
      <c r="H1028" t="str">
        <f>IF(OR(D1028&lt;outliers!$B$21,D1028&gt;outliers!$B$20),"Outlier","Normal")</f>
        <v>Normal</v>
      </c>
      <c r="I1028" t="str">
        <f>IF(OR(E1028&lt;outliers!$C$28,E1028&gt;outliers!$B$27),"Outlier","Normal")</f>
        <v>Normal</v>
      </c>
      <c r="J1028">
        <f t="shared" si="32"/>
        <v>2021</v>
      </c>
      <c r="K1028" t="str">
        <f t="shared" si="33"/>
        <v>September</v>
      </c>
    </row>
    <row r="1029" spans="1:11" x14ac:dyDescent="0.35">
      <c r="A1029" s="1">
        <v>44467</v>
      </c>
      <c r="B1029">
        <v>22.3</v>
      </c>
      <c r="C1029">
        <v>18.8</v>
      </c>
      <c r="D1029">
        <v>27</v>
      </c>
      <c r="E1029">
        <v>10.199999999999999</v>
      </c>
      <c r="F1029" t="str">
        <f>IF(OR(B1029&lt;outliers!$B$7,B1029&gt;outliers!$B$6),"Outlier","Normal")</f>
        <v>Normal</v>
      </c>
      <c r="G1029" t="str">
        <f>IF(OR(C1029&lt;outliers!$B$14,C1029&gt;outliers!$B$13),"Outlier","Normal")</f>
        <v>Normal</v>
      </c>
      <c r="H1029" t="str">
        <f>IF(OR(D1029&lt;outliers!$B$21,D1029&gt;outliers!$B$20),"Outlier","Normal")</f>
        <v>Normal</v>
      </c>
      <c r="I1029" t="str">
        <f>IF(OR(E1029&lt;outliers!$C$28,E1029&gt;outliers!$B$27),"Outlier","Normal")</f>
        <v>Normal</v>
      </c>
      <c r="J1029">
        <f t="shared" si="32"/>
        <v>2021</v>
      </c>
      <c r="K1029" t="str">
        <f t="shared" si="33"/>
        <v>September</v>
      </c>
    </row>
    <row r="1030" spans="1:11" x14ac:dyDescent="0.35">
      <c r="A1030" s="1">
        <v>44468</v>
      </c>
      <c r="B1030">
        <v>23.4</v>
      </c>
      <c r="C1030">
        <v>19.399999999999999</v>
      </c>
      <c r="D1030">
        <v>27.4</v>
      </c>
      <c r="E1030">
        <v>9.1</v>
      </c>
      <c r="F1030" t="str">
        <f>IF(OR(B1030&lt;outliers!$B$7,B1030&gt;outliers!$B$6),"Outlier","Normal")</f>
        <v>Normal</v>
      </c>
      <c r="G1030" t="str">
        <f>IF(OR(C1030&lt;outliers!$B$14,C1030&gt;outliers!$B$13),"Outlier","Normal")</f>
        <v>Normal</v>
      </c>
      <c r="H1030" t="str">
        <f>IF(OR(D1030&lt;outliers!$B$21,D1030&gt;outliers!$B$20),"Outlier","Normal")</f>
        <v>Normal</v>
      </c>
      <c r="I1030" t="str">
        <f>IF(OR(E1030&lt;outliers!$C$28,E1030&gt;outliers!$B$27),"Outlier","Normal")</f>
        <v>Normal</v>
      </c>
      <c r="J1030">
        <f t="shared" si="32"/>
        <v>2021</v>
      </c>
      <c r="K1030" t="str">
        <f t="shared" si="33"/>
        <v>September</v>
      </c>
    </row>
    <row r="1031" spans="1:11" x14ac:dyDescent="0.35">
      <c r="A1031" s="1">
        <v>44469</v>
      </c>
      <c r="B1031">
        <v>24</v>
      </c>
      <c r="C1031">
        <v>20.399999999999999</v>
      </c>
      <c r="D1031">
        <v>28</v>
      </c>
      <c r="E1031">
        <v>0</v>
      </c>
      <c r="F1031" t="str">
        <f>IF(OR(B1031&lt;outliers!$B$7,B1031&gt;outliers!$B$6),"Outlier","Normal")</f>
        <v>Normal</v>
      </c>
      <c r="G1031" t="str">
        <f>IF(OR(C1031&lt;outliers!$B$14,C1031&gt;outliers!$B$13),"Outlier","Normal")</f>
        <v>Normal</v>
      </c>
      <c r="H1031" t="str">
        <f>IF(OR(D1031&lt;outliers!$B$21,D1031&gt;outliers!$B$20),"Outlier","Normal")</f>
        <v>Normal</v>
      </c>
      <c r="I1031" t="str">
        <f>IF(OR(E1031&lt;outliers!$C$28,E1031&gt;outliers!$B$27),"Outlier","Normal")</f>
        <v>Normal</v>
      </c>
      <c r="J1031">
        <f t="shared" si="32"/>
        <v>2021</v>
      </c>
      <c r="K1031" t="str">
        <f t="shared" si="33"/>
        <v>September</v>
      </c>
    </row>
    <row r="1032" spans="1:11" x14ac:dyDescent="0.35">
      <c r="A1032" s="1">
        <v>44470</v>
      </c>
      <c r="B1032">
        <v>23</v>
      </c>
      <c r="C1032">
        <v>19.899999999999999</v>
      </c>
      <c r="D1032">
        <v>29.8</v>
      </c>
      <c r="E1032">
        <v>8.5</v>
      </c>
      <c r="F1032" t="str">
        <f>IF(OR(B1032&lt;outliers!$B$7,B1032&gt;outliers!$B$6),"Outlier","Normal")</f>
        <v>Normal</v>
      </c>
      <c r="G1032" t="str">
        <f>IF(OR(C1032&lt;outliers!$B$14,C1032&gt;outliers!$B$13),"Outlier","Normal")</f>
        <v>Normal</v>
      </c>
      <c r="H1032" t="str">
        <f>IF(OR(D1032&lt;outliers!$B$21,D1032&gt;outliers!$B$20),"Outlier","Normal")</f>
        <v>Normal</v>
      </c>
      <c r="I1032" t="str">
        <f>IF(OR(E1032&lt;outliers!$C$28,E1032&gt;outliers!$B$27),"Outlier","Normal")</f>
        <v>Normal</v>
      </c>
      <c r="J1032">
        <f t="shared" si="32"/>
        <v>2021</v>
      </c>
      <c r="K1032" t="str">
        <f t="shared" si="33"/>
        <v>September</v>
      </c>
    </row>
    <row r="1033" spans="1:11" x14ac:dyDescent="0.35">
      <c r="A1033" s="1">
        <v>44471</v>
      </c>
      <c r="B1033">
        <v>23.1</v>
      </c>
      <c r="C1033">
        <v>19.2</v>
      </c>
      <c r="D1033">
        <v>29</v>
      </c>
      <c r="E1033">
        <v>5.8</v>
      </c>
      <c r="F1033" t="str">
        <f>IF(OR(B1033&lt;outliers!$B$7,B1033&gt;outliers!$B$6),"Outlier","Normal")</f>
        <v>Normal</v>
      </c>
      <c r="G1033" t="str">
        <f>IF(OR(C1033&lt;outliers!$B$14,C1033&gt;outliers!$B$13),"Outlier","Normal")</f>
        <v>Normal</v>
      </c>
      <c r="H1033" t="str">
        <f>IF(OR(D1033&lt;outliers!$B$21,D1033&gt;outliers!$B$20),"Outlier","Normal")</f>
        <v>Normal</v>
      </c>
      <c r="I1033" t="str">
        <f>IF(OR(E1033&lt;outliers!$C$28,E1033&gt;outliers!$B$27),"Outlier","Normal")</f>
        <v>Normal</v>
      </c>
      <c r="J1033">
        <f t="shared" si="32"/>
        <v>2021</v>
      </c>
      <c r="K1033" t="str">
        <f t="shared" si="33"/>
        <v>October</v>
      </c>
    </row>
    <row r="1034" spans="1:11" x14ac:dyDescent="0.35">
      <c r="A1034" s="1">
        <v>44472</v>
      </c>
      <c r="B1034">
        <v>23.7</v>
      </c>
      <c r="C1034">
        <v>20</v>
      </c>
      <c r="D1034">
        <v>30</v>
      </c>
      <c r="E1034">
        <v>0</v>
      </c>
      <c r="F1034" t="str">
        <f>IF(OR(B1034&lt;outliers!$B$7,B1034&gt;outliers!$B$6),"Outlier","Normal")</f>
        <v>Normal</v>
      </c>
      <c r="G1034" t="str">
        <f>IF(OR(C1034&lt;outliers!$B$14,C1034&gt;outliers!$B$13),"Outlier","Normal")</f>
        <v>Normal</v>
      </c>
      <c r="H1034" t="str">
        <f>IF(OR(D1034&lt;outliers!$B$21,D1034&gt;outliers!$B$20),"Outlier","Normal")</f>
        <v>Normal</v>
      </c>
      <c r="I1034" t="str">
        <f>IF(OR(E1034&lt;outliers!$C$28,E1034&gt;outliers!$B$27),"Outlier","Normal")</f>
        <v>Normal</v>
      </c>
      <c r="J1034">
        <f t="shared" si="32"/>
        <v>2021</v>
      </c>
      <c r="K1034" t="str">
        <f t="shared" si="33"/>
        <v>October</v>
      </c>
    </row>
    <row r="1035" spans="1:11" hidden="1" x14ac:dyDescent="0.35">
      <c r="A1035" s="1">
        <v>44473</v>
      </c>
      <c r="B1035">
        <v>24.8</v>
      </c>
      <c r="C1035">
        <v>20.2</v>
      </c>
      <c r="D1035">
        <v>29.7</v>
      </c>
      <c r="E1035">
        <v>64</v>
      </c>
      <c r="F1035" t="str">
        <f>IF(OR(B1035&lt;outliers!$B$7,B1035&gt;outliers!$B$6),"Outlier","Normal")</f>
        <v>Normal</v>
      </c>
      <c r="G1035" t="str">
        <f>IF(OR(C1035&lt;outliers!$B$14,C1035&gt;outliers!$B$13),"Outlier","Normal")</f>
        <v>Normal</v>
      </c>
      <c r="H1035" t="str">
        <f>IF(OR(D1035&lt;outliers!$B$21,D1035&gt;outliers!$B$20),"Outlier","Normal")</f>
        <v>Normal</v>
      </c>
      <c r="I1035" t="str">
        <f>IF(OR(E1035&lt;outliers!$C$28,E1035&gt;outliers!$B$27),"Outlier","Normal")</f>
        <v>Outlier</v>
      </c>
      <c r="J1035">
        <f t="shared" si="32"/>
        <v>2021</v>
      </c>
      <c r="K1035" t="str">
        <f t="shared" si="33"/>
        <v>October</v>
      </c>
    </row>
    <row r="1036" spans="1:11" x14ac:dyDescent="0.35">
      <c r="A1036" s="1">
        <v>44474</v>
      </c>
      <c r="B1036">
        <v>23.3</v>
      </c>
      <c r="C1036">
        <v>19.100000000000001</v>
      </c>
      <c r="D1036">
        <v>30.6</v>
      </c>
      <c r="E1036">
        <v>0</v>
      </c>
      <c r="F1036" t="str">
        <f>IF(OR(B1036&lt;outliers!$B$7,B1036&gt;outliers!$B$6),"Outlier","Normal")</f>
        <v>Normal</v>
      </c>
      <c r="G1036" t="str">
        <f>IF(OR(C1036&lt;outliers!$B$14,C1036&gt;outliers!$B$13),"Outlier","Normal")</f>
        <v>Normal</v>
      </c>
      <c r="H1036" t="str">
        <f>IF(OR(D1036&lt;outliers!$B$21,D1036&gt;outliers!$B$20),"Outlier","Normal")</f>
        <v>Normal</v>
      </c>
      <c r="I1036" t="str">
        <f>IF(OR(E1036&lt;outliers!$C$28,E1036&gt;outliers!$B$27),"Outlier","Normal")</f>
        <v>Normal</v>
      </c>
      <c r="J1036">
        <f t="shared" si="32"/>
        <v>2021</v>
      </c>
      <c r="K1036" t="str">
        <f t="shared" si="33"/>
        <v>October</v>
      </c>
    </row>
    <row r="1037" spans="1:11" hidden="1" x14ac:dyDescent="0.35">
      <c r="A1037" s="1">
        <v>44475</v>
      </c>
      <c r="B1037">
        <v>22.6</v>
      </c>
      <c r="C1037">
        <v>20.100000000000001</v>
      </c>
      <c r="D1037">
        <v>28</v>
      </c>
      <c r="E1037">
        <v>38.6</v>
      </c>
      <c r="F1037" t="str">
        <f>IF(OR(B1037&lt;outliers!$B$7,B1037&gt;outliers!$B$6),"Outlier","Normal")</f>
        <v>Normal</v>
      </c>
      <c r="G1037" t="str">
        <f>IF(OR(C1037&lt;outliers!$B$14,C1037&gt;outliers!$B$13),"Outlier","Normal")</f>
        <v>Normal</v>
      </c>
      <c r="H1037" t="str">
        <f>IF(OR(D1037&lt;outliers!$B$21,D1037&gt;outliers!$B$20),"Outlier","Normal")</f>
        <v>Normal</v>
      </c>
      <c r="I1037" t="str">
        <f>IF(OR(E1037&lt;outliers!$C$28,E1037&gt;outliers!$B$27),"Outlier","Normal")</f>
        <v>Outlier</v>
      </c>
      <c r="J1037">
        <f t="shared" si="32"/>
        <v>2021</v>
      </c>
      <c r="K1037" t="str">
        <f t="shared" si="33"/>
        <v>October</v>
      </c>
    </row>
    <row r="1038" spans="1:11" x14ac:dyDescent="0.35">
      <c r="A1038" s="1">
        <v>44476</v>
      </c>
      <c r="B1038">
        <v>24.9</v>
      </c>
      <c r="C1038">
        <v>21</v>
      </c>
      <c r="D1038">
        <v>29.6</v>
      </c>
      <c r="E1038">
        <v>0.5</v>
      </c>
      <c r="F1038" t="str">
        <f>IF(OR(B1038&lt;outliers!$B$7,B1038&gt;outliers!$B$6),"Outlier","Normal")</f>
        <v>Normal</v>
      </c>
      <c r="G1038" t="str">
        <f>IF(OR(C1038&lt;outliers!$B$14,C1038&gt;outliers!$B$13),"Outlier","Normal")</f>
        <v>Normal</v>
      </c>
      <c r="H1038" t="str">
        <f>IF(OR(D1038&lt;outliers!$B$21,D1038&gt;outliers!$B$20),"Outlier","Normal")</f>
        <v>Normal</v>
      </c>
      <c r="I1038" t="str">
        <f>IF(OR(E1038&lt;outliers!$C$28,E1038&gt;outliers!$B$27),"Outlier","Normal")</f>
        <v>Normal</v>
      </c>
      <c r="J1038">
        <f t="shared" si="32"/>
        <v>2021</v>
      </c>
      <c r="K1038" t="str">
        <f t="shared" si="33"/>
        <v>October</v>
      </c>
    </row>
    <row r="1039" spans="1:11" x14ac:dyDescent="0.35">
      <c r="A1039" s="1">
        <v>44477</v>
      </c>
      <c r="B1039">
        <v>22.8</v>
      </c>
      <c r="C1039">
        <v>21.8</v>
      </c>
      <c r="D1039">
        <v>30.6</v>
      </c>
      <c r="E1039">
        <v>6.1</v>
      </c>
      <c r="F1039" t="str">
        <f>IF(OR(B1039&lt;outliers!$B$7,B1039&gt;outliers!$B$6),"Outlier","Normal")</f>
        <v>Normal</v>
      </c>
      <c r="G1039" t="str">
        <f>IF(OR(C1039&lt;outliers!$B$14,C1039&gt;outliers!$B$13),"Outlier","Normal")</f>
        <v>Normal</v>
      </c>
      <c r="H1039" t="str">
        <f>IF(OR(D1039&lt;outliers!$B$21,D1039&gt;outliers!$B$20),"Outlier","Normal")</f>
        <v>Normal</v>
      </c>
      <c r="I1039" t="str">
        <f>IF(OR(E1039&lt;outliers!$C$28,E1039&gt;outliers!$B$27),"Outlier","Normal")</f>
        <v>Normal</v>
      </c>
      <c r="J1039">
        <f t="shared" si="32"/>
        <v>2021</v>
      </c>
      <c r="K1039" t="str">
        <f t="shared" si="33"/>
        <v>October</v>
      </c>
    </row>
    <row r="1040" spans="1:11" x14ac:dyDescent="0.35">
      <c r="A1040" s="1">
        <v>44478</v>
      </c>
      <c r="B1040">
        <v>22.1</v>
      </c>
      <c r="C1040">
        <v>20.8</v>
      </c>
      <c r="D1040">
        <v>27.1</v>
      </c>
      <c r="E1040">
        <v>7.9</v>
      </c>
      <c r="F1040" t="str">
        <f>IF(OR(B1040&lt;outliers!$B$7,B1040&gt;outliers!$B$6),"Outlier","Normal")</f>
        <v>Normal</v>
      </c>
      <c r="G1040" t="str">
        <f>IF(OR(C1040&lt;outliers!$B$14,C1040&gt;outliers!$B$13),"Outlier","Normal")</f>
        <v>Normal</v>
      </c>
      <c r="H1040" t="str">
        <f>IF(OR(D1040&lt;outliers!$B$21,D1040&gt;outliers!$B$20),"Outlier","Normal")</f>
        <v>Normal</v>
      </c>
      <c r="I1040" t="str">
        <f>IF(OR(E1040&lt;outliers!$C$28,E1040&gt;outliers!$B$27),"Outlier","Normal")</f>
        <v>Normal</v>
      </c>
      <c r="J1040">
        <f t="shared" si="32"/>
        <v>2021</v>
      </c>
      <c r="K1040" t="str">
        <f t="shared" si="33"/>
        <v>October</v>
      </c>
    </row>
    <row r="1041" spans="1:11" hidden="1" x14ac:dyDescent="0.35">
      <c r="A1041" s="1">
        <v>44479</v>
      </c>
      <c r="B1041">
        <v>22.5</v>
      </c>
      <c r="C1041">
        <v>21.1</v>
      </c>
      <c r="D1041">
        <v>26.3</v>
      </c>
      <c r="E1041">
        <v>14.5</v>
      </c>
      <c r="F1041" t="str">
        <f>IF(OR(B1041&lt;outliers!$B$7,B1041&gt;outliers!$B$6),"Outlier","Normal")</f>
        <v>Normal</v>
      </c>
      <c r="G1041" t="str">
        <f>IF(OR(C1041&lt;outliers!$B$14,C1041&gt;outliers!$B$13),"Outlier","Normal")</f>
        <v>Normal</v>
      </c>
      <c r="H1041" t="str">
        <f>IF(OR(D1041&lt;outliers!$B$21,D1041&gt;outliers!$B$20),"Outlier","Normal")</f>
        <v>Normal</v>
      </c>
      <c r="I1041" t="str">
        <f>IF(OR(E1041&lt;outliers!$C$28,E1041&gt;outliers!$B$27),"Outlier","Normal")</f>
        <v>Outlier</v>
      </c>
      <c r="J1041">
        <f t="shared" ref="J1041:J1104" si="34">YEAR(A1041)</f>
        <v>2021</v>
      </c>
      <c r="K1041" t="str">
        <f t="shared" si="33"/>
        <v>October</v>
      </c>
    </row>
    <row r="1042" spans="1:11" hidden="1" x14ac:dyDescent="0.35">
      <c r="A1042" s="1">
        <v>44480</v>
      </c>
      <c r="B1042">
        <v>22.8</v>
      </c>
      <c r="C1042">
        <v>19.600000000000001</v>
      </c>
      <c r="D1042">
        <v>27</v>
      </c>
      <c r="E1042">
        <v>13</v>
      </c>
      <c r="F1042" t="str">
        <f>IF(OR(B1042&lt;outliers!$B$7,B1042&gt;outliers!$B$6),"Outlier","Normal")</f>
        <v>Normal</v>
      </c>
      <c r="G1042" t="str">
        <f>IF(OR(C1042&lt;outliers!$B$14,C1042&gt;outliers!$B$13),"Outlier","Normal")</f>
        <v>Normal</v>
      </c>
      <c r="H1042" t="str">
        <f>IF(OR(D1042&lt;outliers!$B$21,D1042&gt;outliers!$B$20),"Outlier","Normal")</f>
        <v>Normal</v>
      </c>
      <c r="I1042" t="str">
        <f>IF(OR(E1042&lt;outliers!$C$28,E1042&gt;outliers!$B$27),"Outlier","Normal")</f>
        <v>Outlier</v>
      </c>
      <c r="J1042">
        <f t="shared" si="34"/>
        <v>2021</v>
      </c>
      <c r="K1042" t="str">
        <f t="shared" si="33"/>
        <v>October</v>
      </c>
    </row>
    <row r="1043" spans="1:11" hidden="1" x14ac:dyDescent="0.35">
      <c r="A1043" s="1">
        <v>44481</v>
      </c>
      <c r="B1043">
        <v>22</v>
      </c>
      <c r="C1043">
        <v>19.399999999999999</v>
      </c>
      <c r="D1043">
        <v>27.5</v>
      </c>
      <c r="E1043">
        <v>32.5</v>
      </c>
      <c r="F1043" t="str">
        <f>IF(OR(B1043&lt;outliers!$B$7,B1043&gt;outliers!$B$6),"Outlier","Normal")</f>
        <v>Normal</v>
      </c>
      <c r="G1043" t="str">
        <f>IF(OR(C1043&lt;outliers!$B$14,C1043&gt;outliers!$B$13),"Outlier","Normal")</f>
        <v>Normal</v>
      </c>
      <c r="H1043" t="str">
        <f>IF(OR(D1043&lt;outliers!$B$21,D1043&gt;outliers!$B$20),"Outlier","Normal")</f>
        <v>Normal</v>
      </c>
      <c r="I1043" t="str">
        <f>IF(OR(E1043&lt;outliers!$C$28,E1043&gt;outliers!$B$27),"Outlier","Normal")</f>
        <v>Outlier</v>
      </c>
      <c r="J1043">
        <f t="shared" si="34"/>
        <v>2021</v>
      </c>
      <c r="K1043" t="str">
        <f t="shared" si="33"/>
        <v>October</v>
      </c>
    </row>
    <row r="1044" spans="1:11" hidden="1" x14ac:dyDescent="0.35">
      <c r="A1044" s="1">
        <v>44482</v>
      </c>
      <c r="B1044">
        <v>22.8</v>
      </c>
      <c r="C1044">
        <v>19.7</v>
      </c>
      <c r="D1044">
        <v>27.8</v>
      </c>
      <c r="E1044">
        <v>18.3</v>
      </c>
      <c r="F1044" t="str">
        <f>IF(OR(B1044&lt;outliers!$B$7,B1044&gt;outliers!$B$6),"Outlier","Normal")</f>
        <v>Normal</v>
      </c>
      <c r="G1044" t="str">
        <f>IF(OR(C1044&lt;outliers!$B$14,C1044&gt;outliers!$B$13),"Outlier","Normal")</f>
        <v>Normal</v>
      </c>
      <c r="H1044" t="str">
        <f>IF(OR(D1044&lt;outliers!$B$21,D1044&gt;outliers!$B$20),"Outlier","Normal")</f>
        <v>Normal</v>
      </c>
      <c r="I1044" t="str">
        <f>IF(OR(E1044&lt;outliers!$C$28,E1044&gt;outliers!$B$27),"Outlier","Normal")</f>
        <v>Outlier</v>
      </c>
      <c r="J1044">
        <f t="shared" si="34"/>
        <v>2021</v>
      </c>
      <c r="K1044" t="str">
        <f t="shared" si="33"/>
        <v>October</v>
      </c>
    </row>
    <row r="1045" spans="1:11" hidden="1" x14ac:dyDescent="0.35">
      <c r="A1045" s="1">
        <v>44483</v>
      </c>
      <c r="B1045">
        <v>24.2</v>
      </c>
      <c r="C1045">
        <v>20.399999999999999</v>
      </c>
      <c r="D1045">
        <v>28</v>
      </c>
      <c r="E1045">
        <v>26.9</v>
      </c>
      <c r="F1045" t="str">
        <f>IF(OR(B1045&lt;outliers!$B$7,B1045&gt;outliers!$B$6),"Outlier","Normal")</f>
        <v>Normal</v>
      </c>
      <c r="G1045" t="str">
        <f>IF(OR(C1045&lt;outliers!$B$14,C1045&gt;outliers!$B$13),"Outlier","Normal")</f>
        <v>Normal</v>
      </c>
      <c r="H1045" t="str">
        <f>IF(OR(D1045&lt;outliers!$B$21,D1045&gt;outliers!$B$20),"Outlier","Normal")</f>
        <v>Normal</v>
      </c>
      <c r="I1045" t="str">
        <f>IF(OR(E1045&lt;outliers!$C$28,E1045&gt;outliers!$B$27),"Outlier","Normal")</f>
        <v>Outlier</v>
      </c>
      <c r="J1045">
        <f t="shared" si="34"/>
        <v>2021</v>
      </c>
      <c r="K1045" t="str">
        <f t="shared" si="33"/>
        <v>October</v>
      </c>
    </row>
    <row r="1046" spans="1:11" hidden="1" x14ac:dyDescent="0.35">
      <c r="A1046" s="1">
        <v>44484</v>
      </c>
      <c r="B1046">
        <v>23.6</v>
      </c>
      <c r="C1046">
        <v>21.5</v>
      </c>
      <c r="D1046">
        <v>29</v>
      </c>
      <c r="E1046">
        <v>39.6</v>
      </c>
      <c r="F1046" t="str">
        <f>IF(OR(B1046&lt;outliers!$B$7,B1046&gt;outliers!$B$6),"Outlier","Normal")</f>
        <v>Normal</v>
      </c>
      <c r="G1046" t="str">
        <f>IF(OR(C1046&lt;outliers!$B$14,C1046&gt;outliers!$B$13),"Outlier","Normal")</f>
        <v>Normal</v>
      </c>
      <c r="H1046" t="str">
        <f>IF(OR(D1046&lt;outliers!$B$21,D1046&gt;outliers!$B$20),"Outlier","Normal")</f>
        <v>Normal</v>
      </c>
      <c r="I1046" t="str">
        <f>IF(OR(E1046&lt;outliers!$C$28,E1046&gt;outliers!$B$27),"Outlier","Normal")</f>
        <v>Outlier</v>
      </c>
      <c r="J1046">
        <f t="shared" si="34"/>
        <v>2021</v>
      </c>
      <c r="K1046" t="str">
        <f t="shared" si="33"/>
        <v>October</v>
      </c>
    </row>
    <row r="1047" spans="1:11" hidden="1" x14ac:dyDescent="0.35">
      <c r="A1047" s="1">
        <v>44485</v>
      </c>
      <c r="B1047">
        <v>23.8</v>
      </c>
      <c r="C1047">
        <v>19.399999999999999</v>
      </c>
      <c r="D1047">
        <v>28.3</v>
      </c>
      <c r="E1047">
        <v>15</v>
      </c>
      <c r="F1047" t="str">
        <f>IF(OR(B1047&lt;outliers!$B$7,B1047&gt;outliers!$B$6),"Outlier","Normal")</f>
        <v>Normal</v>
      </c>
      <c r="G1047" t="str">
        <f>IF(OR(C1047&lt;outliers!$B$14,C1047&gt;outliers!$B$13),"Outlier","Normal")</f>
        <v>Normal</v>
      </c>
      <c r="H1047" t="str">
        <f>IF(OR(D1047&lt;outliers!$B$21,D1047&gt;outliers!$B$20),"Outlier","Normal")</f>
        <v>Normal</v>
      </c>
      <c r="I1047" t="str">
        <f>IF(OR(E1047&lt;outliers!$C$28,E1047&gt;outliers!$B$27),"Outlier","Normal")</f>
        <v>Outlier</v>
      </c>
      <c r="J1047">
        <f t="shared" si="34"/>
        <v>2021</v>
      </c>
      <c r="K1047" t="str">
        <f t="shared" si="33"/>
        <v>October</v>
      </c>
    </row>
    <row r="1048" spans="1:11" x14ac:dyDescent="0.35">
      <c r="A1048" s="1">
        <v>44486</v>
      </c>
      <c r="B1048">
        <v>22.7</v>
      </c>
      <c r="C1048">
        <v>20.6</v>
      </c>
      <c r="D1048">
        <v>28.9</v>
      </c>
      <c r="E1048">
        <v>7.1</v>
      </c>
      <c r="F1048" t="str">
        <f>IF(OR(B1048&lt;outliers!$B$7,B1048&gt;outliers!$B$6),"Outlier","Normal")</f>
        <v>Normal</v>
      </c>
      <c r="G1048" t="str">
        <f>IF(OR(C1048&lt;outliers!$B$14,C1048&gt;outliers!$B$13),"Outlier","Normal")</f>
        <v>Normal</v>
      </c>
      <c r="H1048" t="str">
        <f>IF(OR(D1048&lt;outliers!$B$21,D1048&gt;outliers!$B$20),"Outlier","Normal")</f>
        <v>Normal</v>
      </c>
      <c r="I1048" t="str">
        <f>IF(OR(E1048&lt;outliers!$C$28,E1048&gt;outliers!$B$27),"Outlier","Normal")</f>
        <v>Normal</v>
      </c>
      <c r="J1048">
        <f t="shared" si="34"/>
        <v>2021</v>
      </c>
      <c r="K1048" t="str">
        <f t="shared" si="33"/>
        <v>October</v>
      </c>
    </row>
    <row r="1049" spans="1:11" x14ac:dyDescent="0.35">
      <c r="A1049" s="1">
        <v>44487</v>
      </c>
      <c r="B1049">
        <v>22.9</v>
      </c>
      <c r="C1049">
        <v>20.8</v>
      </c>
      <c r="D1049">
        <v>26.7</v>
      </c>
      <c r="E1049">
        <v>0.8</v>
      </c>
      <c r="F1049" t="str">
        <f>IF(OR(B1049&lt;outliers!$B$7,B1049&gt;outliers!$B$6),"Outlier","Normal")</f>
        <v>Normal</v>
      </c>
      <c r="G1049" t="str">
        <f>IF(OR(C1049&lt;outliers!$B$14,C1049&gt;outliers!$B$13),"Outlier","Normal")</f>
        <v>Normal</v>
      </c>
      <c r="H1049" t="str">
        <f>IF(OR(D1049&lt;outliers!$B$21,D1049&gt;outliers!$B$20),"Outlier","Normal")</f>
        <v>Normal</v>
      </c>
      <c r="I1049" t="str">
        <f>IF(OR(E1049&lt;outliers!$C$28,E1049&gt;outliers!$B$27),"Outlier","Normal")</f>
        <v>Normal</v>
      </c>
      <c r="J1049">
        <f t="shared" si="34"/>
        <v>2021</v>
      </c>
      <c r="K1049" t="str">
        <f t="shared" si="33"/>
        <v>October</v>
      </c>
    </row>
    <row r="1050" spans="1:11" hidden="1" x14ac:dyDescent="0.35">
      <c r="A1050" s="1">
        <v>44488</v>
      </c>
      <c r="B1050">
        <v>23.8</v>
      </c>
      <c r="C1050">
        <v>20.5</v>
      </c>
      <c r="D1050">
        <v>27.6</v>
      </c>
      <c r="E1050">
        <v>15.2</v>
      </c>
      <c r="F1050" t="str">
        <f>IF(OR(B1050&lt;outliers!$B$7,B1050&gt;outliers!$B$6),"Outlier","Normal")</f>
        <v>Normal</v>
      </c>
      <c r="G1050" t="str">
        <f>IF(OR(C1050&lt;outliers!$B$14,C1050&gt;outliers!$B$13),"Outlier","Normal")</f>
        <v>Normal</v>
      </c>
      <c r="H1050" t="str">
        <f>IF(OR(D1050&lt;outliers!$B$21,D1050&gt;outliers!$B$20),"Outlier","Normal")</f>
        <v>Normal</v>
      </c>
      <c r="I1050" t="str">
        <f>IF(OR(E1050&lt;outliers!$C$28,E1050&gt;outliers!$B$27),"Outlier","Normal")</f>
        <v>Outlier</v>
      </c>
      <c r="J1050">
        <f t="shared" si="34"/>
        <v>2021</v>
      </c>
      <c r="K1050" t="str">
        <f t="shared" si="33"/>
        <v>October</v>
      </c>
    </row>
    <row r="1051" spans="1:11" x14ac:dyDescent="0.35">
      <c r="A1051" s="1">
        <v>44489</v>
      </c>
      <c r="B1051">
        <v>24.7</v>
      </c>
      <c r="C1051">
        <v>20</v>
      </c>
      <c r="D1051">
        <v>28.8</v>
      </c>
      <c r="E1051">
        <v>0</v>
      </c>
      <c r="F1051" t="str">
        <f>IF(OR(B1051&lt;outliers!$B$7,B1051&gt;outliers!$B$6),"Outlier","Normal")</f>
        <v>Normal</v>
      </c>
      <c r="G1051" t="str">
        <f>IF(OR(C1051&lt;outliers!$B$14,C1051&gt;outliers!$B$13),"Outlier","Normal")</f>
        <v>Normal</v>
      </c>
      <c r="H1051" t="str">
        <f>IF(OR(D1051&lt;outliers!$B$21,D1051&gt;outliers!$B$20),"Outlier","Normal")</f>
        <v>Normal</v>
      </c>
      <c r="I1051" t="str">
        <f>IF(OR(E1051&lt;outliers!$C$28,E1051&gt;outliers!$B$27),"Outlier","Normal")</f>
        <v>Normal</v>
      </c>
      <c r="J1051">
        <f t="shared" si="34"/>
        <v>2021</v>
      </c>
      <c r="K1051" t="str">
        <f t="shared" si="33"/>
        <v>October</v>
      </c>
    </row>
    <row r="1052" spans="1:11" x14ac:dyDescent="0.35">
      <c r="A1052" s="1">
        <v>44490</v>
      </c>
      <c r="B1052">
        <v>25.5</v>
      </c>
      <c r="C1052">
        <v>20.9</v>
      </c>
      <c r="D1052">
        <v>29.3</v>
      </c>
      <c r="E1052">
        <v>0.5</v>
      </c>
      <c r="F1052" t="str">
        <f>IF(OR(B1052&lt;outliers!$B$7,B1052&gt;outliers!$B$6),"Outlier","Normal")</f>
        <v>Normal</v>
      </c>
      <c r="G1052" t="str">
        <f>IF(OR(C1052&lt;outliers!$B$14,C1052&gt;outliers!$B$13),"Outlier","Normal")</f>
        <v>Normal</v>
      </c>
      <c r="H1052" t="str">
        <f>IF(OR(D1052&lt;outliers!$B$21,D1052&gt;outliers!$B$20),"Outlier","Normal")</f>
        <v>Normal</v>
      </c>
      <c r="I1052" t="str">
        <f>IF(OR(E1052&lt;outliers!$C$28,E1052&gt;outliers!$B$27),"Outlier","Normal")</f>
        <v>Normal</v>
      </c>
      <c r="J1052">
        <f t="shared" si="34"/>
        <v>2021</v>
      </c>
      <c r="K1052" t="str">
        <f t="shared" si="33"/>
        <v>October</v>
      </c>
    </row>
    <row r="1053" spans="1:11" x14ac:dyDescent="0.35">
      <c r="A1053" s="1">
        <v>44491</v>
      </c>
      <c r="B1053">
        <v>25.1</v>
      </c>
      <c r="C1053">
        <v>18.5</v>
      </c>
      <c r="D1053">
        <v>30.7</v>
      </c>
      <c r="E1053">
        <v>0.3</v>
      </c>
      <c r="F1053" t="str">
        <f>IF(OR(B1053&lt;outliers!$B$7,B1053&gt;outliers!$B$6),"Outlier","Normal")</f>
        <v>Normal</v>
      </c>
      <c r="G1053" t="str">
        <f>IF(OR(C1053&lt;outliers!$B$14,C1053&gt;outliers!$B$13),"Outlier","Normal")</f>
        <v>Normal</v>
      </c>
      <c r="H1053" t="str">
        <f>IF(OR(D1053&lt;outliers!$B$21,D1053&gt;outliers!$B$20),"Outlier","Normal")</f>
        <v>Normal</v>
      </c>
      <c r="I1053" t="str">
        <f>IF(OR(E1053&lt;outliers!$C$28,E1053&gt;outliers!$B$27),"Outlier","Normal")</f>
        <v>Normal</v>
      </c>
      <c r="J1053">
        <f t="shared" si="34"/>
        <v>2021</v>
      </c>
      <c r="K1053" t="str">
        <f t="shared" si="33"/>
        <v>October</v>
      </c>
    </row>
    <row r="1054" spans="1:11" hidden="1" x14ac:dyDescent="0.35">
      <c r="A1054" s="1">
        <v>44492</v>
      </c>
      <c r="B1054">
        <v>24.1</v>
      </c>
      <c r="C1054">
        <v>20.399999999999999</v>
      </c>
      <c r="D1054">
        <v>31.6</v>
      </c>
      <c r="E1054">
        <v>17.3</v>
      </c>
      <c r="F1054" t="str">
        <f>IF(OR(B1054&lt;outliers!$B$7,B1054&gt;outliers!$B$6),"Outlier","Normal")</f>
        <v>Normal</v>
      </c>
      <c r="G1054" t="str">
        <f>IF(OR(C1054&lt;outliers!$B$14,C1054&gt;outliers!$B$13),"Outlier","Normal")</f>
        <v>Normal</v>
      </c>
      <c r="H1054" t="str">
        <f>IF(OR(D1054&lt;outliers!$B$21,D1054&gt;outliers!$B$20),"Outlier","Normal")</f>
        <v>Normal</v>
      </c>
      <c r="I1054" t="str">
        <f>IF(OR(E1054&lt;outliers!$C$28,E1054&gt;outliers!$B$27),"Outlier","Normal")</f>
        <v>Outlier</v>
      </c>
      <c r="J1054">
        <f t="shared" si="34"/>
        <v>2021</v>
      </c>
      <c r="K1054" t="str">
        <f t="shared" si="33"/>
        <v>October</v>
      </c>
    </row>
    <row r="1055" spans="1:11" hidden="1" x14ac:dyDescent="0.35">
      <c r="A1055" s="1">
        <v>44493</v>
      </c>
      <c r="B1055">
        <v>24.3</v>
      </c>
      <c r="C1055">
        <v>19.2</v>
      </c>
      <c r="D1055">
        <v>30.1</v>
      </c>
      <c r="E1055">
        <v>41.9</v>
      </c>
      <c r="F1055" t="str">
        <f>IF(OR(B1055&lt;outliers!$B$7,B1055&gt;outliers!$B$6),"Outlier","Normal")</f>
        <v>Normal</v>
      </c>
      <c r="G1055" t="str">
        <f>IF(OR(C1055&lt;outliers!$B$14,C1055&gt;outliers!$B$13),"Outlier","Normal")</f>
        <v>Normal</v>
      </c>
      <c r="H1055" t="str">
        <f>IF(OR(D1055&lt;outliers!$B$21,D1055&gt;outliers!$B$20),"Outlier","Normal")</f>
        <v>Normal</v>
      </c>
      <c r="I1055" t="str">
        <f>IF(OR(E1055&lt;outliers!$C$28,E1055&gt;outliers!$B$27),"Outlier","Normal")</f>
        <v>Outlier</v>
      </c>
      <c r="J1055">
        <f t="shared" si="34"/>
        <v>2021</v>
      </c>
      <c r="K1055" t="str">
        <f t="shared" si="33"/>
        <v>October</v>
      </c>
    </row>
    <row r="1056" spans="1:11" x14ac:dyDescent="0.35">
      <c r="A1056" s="1">
        <v>44494</v>
      </c>
      <c r="B1056">
        <v>23.9</v>
      </c>
      <c r="C1056">
        <v>20.9</v>
      </c>
      <c r="D1056">
        <v>29.4</v>
      </c>
      <c r="E1056">
        <v>0</v>
      </c>
      <c r="F1056" t="str">
        <f>IF(OR(B1056&lt;outliers!$B$7,B1056&gt;outliers!$B$6),"Outlier","Normal")</f>
        <v>Normal</v>
      </c>
      <c r="G1056" t="str">
        <f>IF(OR(C1056&lt;outliers!$B$14,C1056&gt;outliers!$B$13),"Outlier","Normal")</f>
        <v>Normal</v>
      </c>
      <c r="H1056" t="str">
        <f>IF(OR(D1056&lt;outliers!$B$21,D1056&gt;outliers!$B$20),"Outlier","Normal")</f>
        <v>Normal</v>
      </c>
      <c r="I1056" t="str">
        <f>IF(OR(E1056&lt;outliers!$C$28,E1056&gt;outliers!$B$27),"Outlier","Normal")</f>
        <v>Normal</v>
      </c>
      <c r="J1056">
        <f t="shared" si="34"/>
        <v>2021</v>
      </c>
      <c r="K1056" t="str">
        <f t="shared" si="33"/>
        <v>October</v>
      </c>
    </row>
    <row r="1057" spans="1:11" x14ac:dyDescent="0.35">
      <c r="A1057" s="1">
        <v>44495</v>
      </c>
      <c r="B1057">
        <v>22.5</v>
      </c>
      <c r="C1057">
        <v>17.8</v>
      </c>
      <c r="D1057">
        <v>27</v>
      </c>
      <c r="E1057">
        <v>0.8</v>
      </c>
      <c r="F1057" t="str">
        <f>IF(OR(B1057&lt;outliers!$B$7,B1057&gt;outliers!$B$6),"Outlier","Normal")</f>
        <v>Normal</v>
      </c>
      <c r="G1057" t="str">
        <f>IF(OR(C1057&lt;outliers!$B$14,C1057&gt;outliers!$B$13),"Outlier","Normal")</f>
        <v>Normal</v>
      </c>
      <c r="H1057" t="str">
        <f>IF(OR(D1057&lt;outliers!$B$21,D1057&gt;outliers!$B$20),"Outlier","Normal")</f>
        <v>Normal</v>
      </c>
      <c r="I1057" t="str">
        <f>IF(OR(E1057&lt;outliers!$C$28,E1057&gt;outliers!$B$27),"Outlier","Normal")</f>
        <v>Normal</v>
      </c>
      <c r="J1057">
        <f t="shared" si="34"/>
        <v>2021</v>
      </c>
      <c r="K1057" t="str">
        <f t="shared" si="33"/>
        <v>October</v>
      </c>
    </row>
    <row r="1058" spans="1:11" x14ac:dyDescent="0.35">
      <c r="A1058" s="1">
        <v>44496</v>
      </c>
      <c r="B1058">
        <v>22.3</v>
      </c>
      <c r="C1058">
        <v>18.3</v>
      </c>
      <c r="D1058">
        <v>26.6</v>
      </c>
      <c r="E1058">
        <v>0</v>
      </c>
      <c r="F1058" t="str">
        <f>IF(OR(B1058&lt;outliers!$B$7,B1058&gt;outliers!$B$6),"Outlier","Normal")</f>
        <v>Normal</v>
      </c>
      <c r="G1058" t="str">
        <f>IF(OR(C1058&lt;outliers!$B$14,C1058&gt;outliers!$B$13),"Outlier","Normal")</f>
        <v>Normal</v>
      </c>
      <c r="H1058" t="str">
        <f>IF(OR(D1058&lt;outliers!$B$21,D1058&gt;outliers!$B$20),"Outlier","Normal")</f>
        <v>Normal</v>
      </c>
      <c r="I1058" t="str">
        <f>IF(OR(E1058&lt;outliers!$C$28,E1058&gt;outliers!$B$27),"Outlier","Normal")</f>
        <v>Normal</v>
      </c>
      <c r="J1058">
        <f t="shared" si="34"/>
        <v>2021</v>
      </c>
      <c r="K1058" t="str">
        <f t="shared" si="33"/>
        <v>October</v>
      </c>
    </row>
    <row r="1059" spans="1:11" x14ac:dyDescent="0.35">
      <c r="A1059" s="1">
        <v>44497</v>
      </c>
      <c r="B1059">
        <v>22</v>
      </c>
      <c r="C1059">
        <v>17.2</v>
      </c>
      <c r="D1059">
        <v>27.4</v>
      </c>
      <c r="E1059">
        <v>0.1</v>
      </c>
      <c r="F1059" t="str">
        <f>IF(OR(B1059&lt;outliers!$B$7,B1059&gt;outliers!$B$6),"Outlier","Normal")</f>
        <v>Normal</v>
      </c>
      <c r="G1059" t="str">
        <f>IF(OR(C1059&lt;outliers!$B$14,C1059&gt;outliers!$B$13),"Outlier","Normal")</f>
        <v>Normal</v>
      </c>
      <c r="H1059" t="str">
        <f>IF(OR(D1059&lt;outliers!$B$21,D1059&gt;outliers!$B$20),"Outlier","Normal")</f>
        <v>Normal</v>
      </c>
      <c r="I1059" t="str">
        <f>IF(OR(E1059&lt;outliers!$C$28,E1059&gt;outliers!$B$27),"Outlier","Normal")</f>
        <v>Normal</v>
      </c>
      <c r="J1059">
        <f t="shared" si="34"/>
        <v>2021</v>
      </c>
      <c r="K1059" t="str">
        <f t="shared" si="33"/>
        <v>October</v>
      </c>
    </row>
    <row r="1060" spans="1:11" hidden="1" x14ac:dyDescent="0.35">
      <c r="A1060" s="1">
        <v>44498</v>
      </c>
      <c r="B1060">
        <v>21.6</v>
      </c>
      <c r="C1060">
        <v>18.899999999999999</v>
      </c>
      <c r="D1060">
        <v>25.7</v>
      </c>
      <c r="E1060">
        <v>10.3</v>
      </c>
      <c r="F1060" t="str">
        <f>IF(OR(B1060&lt;outliers!$B$7,B1060&gt;outliers!$B$6),"Outlier","Normal")</f>
        <v>Normal</v>
      </c>
      <c r="G1060" t="str">
        <f>IF(OR(C1060&lt;outliers!$B$14,C1060&gt;outliers!$B$13),"Outlier","Normal")</f>
        <v>Normal</v>
      </c>
      <c r="H1060" t="str">
        <f>IF(OR(D1060&lt;outliers!$B$21,D1060&gt;outliers!$B$20),"Outlier","Normal")</f>
        <v>Normal</v>
      </c>
      <c r="I1060" t="str">
        <f>IF(OR(E1060&lt;outliers!$C$28,E1060&gt;outliers!$B$27),"Outlier","Normal")</f>
        <v>Outlier</v>
      </c>
      <c r="J1060">
        <f t="shared" si="34"/>
        <v>2021</v>
      </c>
      <c r="K1060" t="str">
        <f t="shared" si="33"/>
        <v>October</v>
      </c>
    </row>
    <row r="1061" spans="1:11" x14ac:dyDescent="0.35">
      <c r="A1061" s="1">
        <v>44499</v>
      </c>
      <c r="B1061">
        <v>22.5</v>
      </c>
      <c r="C1061">
        <v>19.899999999999999</v>
      </c>
      <c r="D1061">
        <v>26.8</v>
      </c>
      <c r="E1061">
        <v>5</v>
      </c>
      <c r="F1061" t="str">
        <f>IF(OR(B1061&lt;outliers!$B$7,B1061&gt;outliers!$B$6),"Outlier","Normal")</f>
        <v>Normal</v>
      </c>
      <c r="G1061" t="str">
        <f>IF(OR(C1061&lt;outliers!$B$14,C1061&gt;outliers!$B$13),"Outlier","Normal")</f>
        <v>Normal</v>
      </c>
      <c r="H1061" t="str">
        <f>IF(OR(D1061&lt;outliers!$B$21,D1061&gt;outliers!$B$20),"Outlier","Normal")</f>
        <v>Normal</v>
      </c>
      <c r="I1061" t="str">
        <f>IF(OR(E1061&lt;outliers!$C$28,E1061&gt;outliers!$B$27),"Outlier","Normal")</f>
        <v>Normal</v>
      </c>
      <c r="J1061">
        <f t="shared" si="34"/>
        <v>2021</v>
      </c>
      <c r="K1061" t="str">
        <f t="shared" si="33"/>
        <v>October</v>
      </c>
    </row>
    <row r="1062" spans="1:11" x14ac:dyDescent="0.35">
      <c r="A1062" s="1">
        <v>44500</v>
      </c>
      <c r="B1062">
        <v>22.3</v>
      </c>
      <c r="C1062">
        <v>19.7</v>
      </c>
      <c r="D1062">
        <v>26.8</v>
      </c>
      <c r="E1062">
        <v>8.6</v>
      </c>
      <c r="F1062" t="str">
        <f>IF(OR(B1062&lt;outliers!$B$7,B1062&gt;outliers!$B$6),"Outlier","Normal")</f>
        <v>Normal</v>
      </c>
      <c r="G1062" t="str">
        <f>IF(OR(C1062&lt;outliers!$B$14,C1062&gt;outliers!$B$13),"Outlier","Normal")</f>
        <v>Normal</v>
      </c>
      <c r="H1062" t="str">
        <f>IF(OR(D1062&lt;outliers!$B$21,D1062&gt;outliers!$B$20),"Outlier","Normal")</f>
        <v>Normal</v>
      </c>
      <c r="I1062" t="str">
        <f>IF(OR(E1062&lt;outliers!$C$28,E1062&gt;outliers!$B$27),"Outlier","Normal")</f>
        <v>Normal</v>
      </c>
      <c r="J1062">
        <f t="shared" si="34"/>
        <v>2021</v>
      </c>
      <c r="K1062" t="str">
        <f t="shared" si="33"/>
        <v>October</v>
      </c>
    </row>
    <row r="1063" spans="1:11" x14ac:dyDescent="0.35">
      <c r="A1063" s="1">
        <v>44501</v>
      </c>
      <c r="B1063">
        <v>21.7</v>
      </c>
      <c r="C1063">
        <v>19.600000000000001</v>
      </c>
      <c r="D1063">
        <v>26.8</v>
      </c>
      <c r="E1063">
        <v>8.6999999999999993</v>
      </c>
      <c r="F1063" t="str">
        <f>IF(OR(B1063&lt;outliers!$B$7,B1063&gt;outliers!$B$6),"Outlier","Normal")</f>
        <v>Normal</v>
      </c>
      <c r="G1063" t="str">
        <f>IF(OR(C1063&lt;outliers!$B$14,C1063&gt;outliers!$B$13),"Outlier","Normal")</f>
        <v>Normal</v>
      </c>
      <c r="H1063" t="str">
        <f>IF(OR(D1063&lt;outliers!$B$21,D1063&gt;outliers!$B$20),"Outlier","Normal")</f>
        <v>Normal</v>
      </c>
      <c r="I1063" t="str">
        <f>IF(OR(E1063&lt;outliers!$C$28,E1063&gt;outliers!$B$27),"Outlier","Normal")</f>
        <v>Normal</v>
      </c>
      <c r="J1063">
        <f t="shared" si="34"/>
        <v>2021</v>
      </c>
      <c r="K1063" t="str">
        <f t="shared" si="33"/>
        <v>October</v>
      </c>
    </row>
    <row r="1064" spans="1:11" x14ac:dyDescent="0.35">
      <c r="A1064" s="1">
        <v>44502</v>
      </c>
      <c r="B1064">
        <v>21.9</v>
      </c>
      <c r="C1064">
        <v>19.5</v>
      </c>
      <c r="D1064">
        <v>25.9</v>
      </c>
      <c r="E1064">
        <v>5.3</v>
      </c>
      <c r="F1064" t="str">
        <f>IF(OR(B1064&lt;outliers!$B$7,B1064&gt;outliers!$B$6),"Outlier","Normal")</f>
        <v>Normal</v>
      </c>
      <c r="G1064" t="str">
        <f>IF(OR(C1064&lt;outliers!$B$14,C1064&gt;outliers!$B$13),"Outlier","Normal")</f>
        <v>Normal</v>
      </c>
      <c r="H1064" t="str">
        <f>IF(OR(D1064&lt;outliers!$B$21,D1064&gt;outliers!$B$20),"Outlier","Normal")</f>
        <v>Normal</v>
      </c>
      <c r="I1064" t="str">
        <f>IF(OR(E1064&lt;outliers!$C$28,E1064&gt;outliers!$B$27),"Outlier","Normal")</f>
        <v>Normal</v>
      </c>
      <c r="J1064">
        <f t="shared" si="34"/>
        <v>2021</v>
      </c>
      <c r="K1064" t="str">
        <f t="shared" si="33"/>
        <v>November</v>
      </c>
    </row>
    <row r="1065" spans="1:11" x14ac:dyDescent="0.35">
      <c r="A1065" s="1">
        <v>44503</v>
      </c>
      <c r="B1065">
        <v>22.3</v>
      </c>
      <c r="C1065">
        <v>20.2</v>
      </c>
      <c r="D1065">
        <v>26.8</v>
      </c>
      <c r="E1065">
        <v>0</v>
      </c>
      <c r="F1065" t="str">
        <f>IF(OR(B1065&lt;outliers!$B$7,B1065&gt;outliers!$B$6),"Outlier","Normal")</f>
        <v>Normal</v>
      </c>
      <c r="G1065" t="str">
        <f>IF(OR(C1065&lt;outliers!$B$14,C1065&gt;outliers!$B$13),"Outlier","Normal")</f>
        <v>Normal</v>
      </c>
      <c r="H1065" t="str">
        <f>IF(OR(D1065&lt;outliers!$B$21,D1065&gt;outliers!$B$20),"Outlier","Normal")</f>
        <v>Normal</v>
      </c>
      <c r="I1065" t="str">
        <f>IF(OR(E1065&lt;outliers!$C$28,E1065&gt;outliers!$B$27),"Outlier","Normal")</f>
        <v>Normal</v>
      </c>
      <c r="J1065">
        <f t="shared" si="34"/>
        <v>2021</v>
      </c>
      <c r="K1065" t="str">
        <f t="shared" si="33"/>
        <v>November</v>
      </c>
    </row>
    <row r="1066" spans="1:11" hidden="1" x14ac:dyDescent="0.35">
      <c r="A1066" s="1">
        <v>44504</v>
      </c>
      <c r="B1066">
        <v>22.1</v>
      </c>
      <c r="C1066">
        <v>19.399999999999999</v>
      </c>
      <c r="D1066">
        <v>27</v>
      </c>
      <c r="E1066">
        <v>10.7</v>
      </c>
      <c r="F1066" t="str">
        <f>IF(OR(B1066&lt;outliers!$B$7,B1066&gt;outliers!$B$6),"Outlier","Normal")</f>
        <v>Normal</v>
      </c>
      <c r="G1066" t="str">
        <f>IF(OR(C1066&lt;outliers!$B$14,C1066&gt;outliers!$B$13),"Outlier","Normal")</f>
        <v>Normal</v>
      </c>
      <c r="H1066" t="str">
        <f>IF(OR(D1066&lt;outliers!$B$21,D1066&gt;outliers!$B$20),"Outlier","Normal")</f>
        <v>Normal</v>
      </c>
      <c r="I1066" t="str">
        <f>IF(OR(E1066&lt;outliers!$C$28,E1066&gt;outliers!$B$27),"Outlier","Normal")</f>
        <v>Outlier</v>
      </c>
      <c r="J1066">
        <f t="shared" si="34"/>
        <v>2021</v>
      </c>
      <c r="K1066" t="str">
        <f t="shared" si="33"/>
        <v>November</v>
      </c>
    </row>
    <row r="1067" spans="1:11" hidden="1" x14ac:dyDescent="0.35">
      <c r="A1067" s="1">
        <v>44505</v>
      </c>
      <c r="B1067">
        <v>21.7</v>
      </c>
      <c r="C1067">
        <v>19.2</v>
      </c>
      <c r="D1067">
        <v>28.4</v>
      </c>
      <c r="E1067">
        <v>55.9</v>
      </c>
      <c r="F1067" t="str">
        <f>IF(OR(B1067&lt;outliers!$B$7,B1067&gt;outliers!$B$6),"Outlier","Normal")</f>
        <v>Normal</v>
      </c>
      <c r="G1067" t="str">
        <f>IF(OR(C1067&lt;outliers!$B$14,C1067&gt;outliers!$B$13),"Outlier","Normal")</f>
        <v>Normal</v>
      </c>
      <c r="H1067" t="str">
        <f>IF(OR(D1067&lt;outliers!$B$21,D1067&gt;outliers!$B$20),"Outlier","Normal")</f>
        <v>Normal</v>
      </c>
      <c r="I1067" t="str">
        <f>IF(OR(E1067&lt;outliers!$C$28,E1067&gt;outliers!$B$27),"Outlier","Normal")</f>
        <v>Outlier</v>
      </c>
      <c r="J1067">
        <f t="shared" si="34"/>
        <v>2021</v>
      </c>
      <c r="K1067" t="str">
        <f t="shared" si="33"/>
        <v>November</v>
      </c>
    </row>
    <row r="1068" spans="1:11" x14ac:dyDescent="0.35">
      <c r="A1068" s="1">
        <v>44506</v>
      </c>
      <c r="B1068">
        <v>22.8</v>
      </c>
      <c r="C1068">
        <v>18.3</v>
      </c>
      <c r="D1068">
        <v>26.6</v>
      </c>
      <c r="E1068">
        <v>0</v>
      </c>
      <c r="F1068" t="str">
        <f>IF(OR(B1068&lt;outliers!$B$7,B1068&gt;outliers!$B$6),"Outlier","Normal")</f>
        <v>Normal</v>
      </c>
      <c r="G1068" t="str">
        <f>IF(OR(C1068&lt;outliers!$B$14,C1068&gt;outliers!$B$13),"Outlier","Normal")</f>
        <v>Normal</v>
      </c>
      <c r="H1068" t="str">
        <f>IF(OR(D1068&lt;outliers!$B$21,D1068&gt;outliers!$B$20),"Outlier","Normal")</f>
        <v>Normal</v>
      </c>
      <c r="I1068" t="str">
        <f>IF(OR(E1068&lt;outliers!$C$28,E1068&gt;outliers!$B$27),"Outlier","Normal")</f>
        <v>Normal</v>
      </c>
      <c r="J1068">
        <f t="shared" si="34"/>
        <v>2021</v>
      </c>
      <c r="K1068" t="str">
        <f t="shared" si="33"/>
        <v>November</v>
      </c>
    </row>
    <row r="1069" spans="1:11" x14ac:dyDescent="0.35">
      <c r="A1069" s="1">
        <v>44507</v>
      </c>
      <c r="B1069">
        <v>21</v>
      </c>
      <c r="C1069">
        <v>19.2</v>
      </c>
      <c r="D1069">
        <v>23.6</v>
      </c>
      <c r="E1069">
        <v>3.7</v>
      </c>
      <c r="F1069" t="str">
        <f>IF(OR(B1069&lt;outliers!$B$7,B1069&gt;outliers!$B$6),"Outlier","Normal")</f>
        <v>Normal</v>
      </c>
      <c r="G1069" t="str">
        <f>IF(OR(C1069&lt;outliers!$B$14,C1069&gt;outliers!$B$13),"Outlier","Normal")</f>
        <v>Normal</v>
      </c>
      <c r="H1069" t="str">
        <f>IF(OR(D1069&lt;outliers!$B$21,D1069&gt;outliers!$B$20),"Outlier","Normal")</f>
        <v>Normal</v>
      </c>
      <c r="I1069" t="str">
        <f>IF(OR(E1069&lt;outliers!$C$28,E1069&gt;outliers!$B$27),"Outlier","Normal")</f>
        <v>Normal</v>
      </c>
      <c r="J1069">
        <f t="shared" si="34"/>
        <v>2021</v>
      </c>
      <c r="K1069" t="str">
        <f t="shared" si="33"/>
        <v>November</v>
      </c>
    </row>
    <row r="1070" spans="1:11" x14ac:dyDescent="0.35">
      <c r="A1070" s="1">
        <v>44508</v>
      </c>
      <c r="B1070">
        <v>20.5</v>
      </c>
      <c r="C1070">
        <v>19.5</v>
      </c>
      <c r="D1070">
        <v>24.5</v>
      </c>
      <c r="E1070">
        <v>2</v>
      </c>
      <c r="F1070" t="str">
        <f>IF(OR(B1070&lt;outliers!$B$7,B1070&gt;outliers!$B$6),"Outlier","Normal")</f>
        <v>Normal</v>
      </c>
      <c r="G1070" t="str">
        <f>IF(OR(C1070&lt;outliers!$B$14,C1070&gt;outliers!$B$13),"Outlier","Normal")</f>
        <v>Normal</v>
      </c>
      <c r="H1070" t="str">
        <f>IF(OR(D1070&lt;outliers!$B$21,D1070&gt;outliers!$B$20),"Outlier","Normal")</f>
        <v>Normal</v>
      </c>
      <c r="I1070" t="str">
        <f>IF(OR(E1070&lt;outliers!$C$28,E1070&gt;outliers!$B$27),"Outlier","Normal")</f>
        <v>Normal</v>
      </c>
      <c r="J1070">
        <f t="shared" si="34"/>
        <v>2021</v>
      </c>
      <c r="K1070" t="str">
        <f t="shared" si="33"/>
        <v>November</v>
      </c>
    </row>
    <row r="1071" spans="1:11" x14ac:dyDescent="0.35">
      <c r="A1071" s="1">
        <v>44509</v>
      </c>
      <c r="B1071">
        <v>21.4</v>
      </c>
      <c r="C1071">
        <v>18.2</v>
      </c>
      <c r="D1071">
        <v>25.6</v>
      </c>
      <c r="E1071">
        <v>1</v>
      </c>
      <c r="F1071" t="str">
        <f>IF(OR(B1071&lt;outliers!$B$7,B1071&gt;outliers!$B$6),"Outlier","Normal")</f>
        <v>Normal</v>
      </c>
      <c r="G1071" t="str">
        <f>IF(OR(C1071&lt;outliers!$B$14,C1071&gt;outliers!$B$13),"Outlier","Normal")</f>
        <v>Normal</v>
      </c>
      <c r="H1071" t="str">
        <f>IF(OR(D1071&lt;outliers!$B$21,D1071&gt;outliers!$B$20),"Outlier","Normal")</f>
        <v>Normal</v>
      </c>
      <c r="I1071" t="str">
        <f>IF(OR(E1071&lt;outliers!$C$28,E1071&gt;outliers!$B$27),"Outlier","Normal")</f>
        <v>Normal</v>
      </c>
      <c r="J1071">
        <f t="shared" si="34"/>
        <v>2021</v>
      </c>
      <c r="K1071" t="str">
        <f t="shared" si="33"/>
        <v>November</v>
      </c>
    </row>
    <row r="1072" spans="1:11" x14ac:dyDescent="0.35">
      <c r="A1072" s="1">
        <v>44510</v>
      </c>
      <c r="B1072">
        <v>20.7</v>
      </c>
      <c r="C1072">
        <v>17.399999999999999</v>
      </c>
      <c r="D1072">
        <v>26.6</v>
      </c>
      <c r="E1072">
        <v>0</v>
      </c>
      <c r="F1072" t="str">
        <f>IF(OR(B1072&lt;outliers!$B$7,B1072&gt;outliers!$B$6),"Outlier","Normal")</f>
        <v>Normal</v>
      </c>
      <c r="G1072" t="str">
        <f>IF(OR(C1072&lt;outliers!$B$14,C1072&gt;outliers!$B$13),"Outlier","Normal")</f>
        <v>Normal</v>
      </c>
      <c r="H1072" t="str">
        <f>IF(OR(D1072&lt;outliers!$B$21,D1072&gt;outliers!$B$20),"Outlier","Normal")</f>
        <v>Normal</v>
      </c>
      <c r="I1072" t="str">
        <f>IF(OR(E1072&lt;outliers!$C$28,E1072&gt;outliers!$B$27),"Outlier","Normal")</f>
        <v>Normal</v>
      </c>
      <c r="J1072">
        <f t="shared" si="34"/>
        <v>2021</v>
      </c>
      <c r="K1072" t="str">
        <f t="shared" si="33"/>
        <v>November</v>
      </c>
    </row>
    <row r="1073" spans="1:11" hidden="1" x14ac:dyDescent="0.35">
      <c r="A1073" s="1">
        <v>44512</v>
      </c>
      <c r="B1073">
        <v>20.399999999999999</v>
      </c>
      <c r="C1073">
        <v>16.8</v>
      </c>
      <c r="D1073">
        <v>22.5</v>
      </c>
      <c r="E1073">
        <v>19.100000000000001</v>
      </c>
      <c r="F1073" t="str">
        <f>IF(OR(B1073&lt;outliers!$B$7,B1073&gt;outliers!$B$6),"Outlier","Normal")</f>
        <v>Normal</v>
      </c>
      <c r="G1073" t="str">
        <f>IF(OR(C1073&lt;outliers!$B$14,C1073&gt;outliers!$B$13),"Outlier","Normal")</f>
        <v>Outlier</v>
      </c>
      <c r="H1073" t="str">
        <f>IF(OR(D1073&lt;outliers!$B$21,D1073&gt;outliers!$B$20),"Outlier","Normal")</f>
        <v>Normal</v>
      </c>
      <c r="I1073" t="str">
        <f>IF(OR(E1073&lt;outliers!$C$28,E1073&gt;outliers!$B$27),"Outlier","Normal")</f>
        <v>Outlier</v>
      </c>
      <c r="J1073">
        <f t="shared" si="34"/>
        <v>2021</v>
      </c>
      <c r="K1073" t="str">
        <f t="shared" si="33"/>
        <v>November</v>
      </c>
    </row>
    <row r="1074" spans="1:11" x14ac:dyDescent="0.35">
      <c r="A1074" s="1">
        <v>44513</v>
      </c>
      <c r="B1074">
        <v>21.8</v>
      </c>
      <c r="C1074">
        <v>20.100000000000001</v>
      </c>
      <c r="D1074">
        <v>24.7</v>
      </c>
      <c r="E1074">
        <v>6.6</v>
      </c>
      <c r="F1074" t="str">
        <f>IF(OR(B1074&lt;outliers!$B$7,B1074&gt;outliers!$B$6),"Outlier","Normal")</f>
        <v>Normal</v>
      </c>
      <c r="G1074" t="str">
        <f>IF(OR(C1074&lt;outliers!$B$14,C1074&gt;outliers!$B$13),"Outlier","Normal")</f>
        <v>Normal</v>
      </c>
      <c r="H1074" t="str">
        <f>IF(OR(D1074&lt;outliers!$B$21,D1074&gt;outliers!$B$20),"Outlier","Normal")</f>
        <v>Normal</v>
      </c>
      <c r="I1074" t="str">
        <f>IF(OR(E1074&lt;outliers!$C$28,E1074&gt;outliers!$B$27),"Outlier","Normal")</f>
        <v>Normal</v>
      </c>
      <c r="J1074">
        <f t="shared" si="34"/>
        <v>2021</v>
      </c>
      <c r="K1074" t="str">
        <f t="shared" si="33"/>
        <v>November</v>
      </c>
    </row>
    <row r="1075" spans="1:11" x14ac:dyDescent="0.35">
      <c r="A1075" s="1">
        <v>44514</v>
      </c>
      <c r="B1075">
        <v>22.4</v>
      </c>
      <c r="C1075">
        <v>19.100000000000001</v>
      </c>
      <c r="D1075">
        <v>26</v>
      </c>
      <c r="E1075">
        <v>0</v>
      </c>
      <c r="F1075" t="str">
        <f>IF(OR(B1075&lt;outliers!$B$7,B1075&gt;outliers!$B$6),"Outlier","Normal")</f>
        <v>Normal</v>
      </c>
      <c r="G1075" t="str">
        <f>IF(OR(C1075&lt;outliers!$B$14,C1075&gt;outliers!$B$13),"Outlier","Normal")</f>
        <v>Normal</v>
      </c>
      <c r="H1075" t="str">
        <f>IF(OR(D1075&lt;outliers!$B$21,D1075&gt;outliers!$B$20),"Outlier","Normal")</f>
        <v>Normal</v>
      </c>
      <c r="I1075" t="str">
        <f>IF(OR(E1075&lt;outliers!$C$28,E1075&gt;outliers!$B$27),"Outlier","Normal")</f>
        <v>Normal</v>
      </c>
      <c r="J1075">
        <f t="shared" si="34"/>
        <v>2021</v>
      </c>
      <c r="K1075" t="str">
        <f t="shared" si="33"/>
        <v>November</v>
      </c>
    </row>
    <row r="1076" spans="1:11" x14ac:dyDescent="0.35">
      <c r="A1076" s="1">
        <v>44515</v>
      </c>
      <c r="B1076">
        <v>22.8</v>
      </c>
      <c r="C1076">
        <v>20.7</v>
      </c>
      <c r="D1076">
        <v>26.2</v>
      </c>
      <c r="E1076">
        <v>1</v>
      </c>
      <c r="F1076" t="str">
        <f>IF(OR(B1076&lt;outliers!$B$7,B1076&gt;outliers!$B$6),"Outlier","Normal")</f>
        <v>Normal</v>
      </c>
      <c r="G1076" t="str">
        <f>IF(OR(C1076&lt;outliers!$B$14,C1076&gt;outliers!$B$13),"Outlier","Normal")</f>
        <v>Normal</v>
      </c>
      <c r="H1076" t="str">
        <f>IF(OR(D1076&lt;outliers!$B$21,D1076&gt;outliers!$B$20),"Outlier","Normal")</f>
        <v>Normal</v>
      </c>
      <c r="I1076" t="str">
        <f>IF(OR(E1076&lt;outliers!$C$28,E1076&gt;outliers!$B$27),"Outlier","Normal")</f>
        <v>Normal</v>
      </c>
      <c r="J1076">
        <f t="shared" si="34"/>
        <v>2021</v>
      </c>
      <c r="K1076" t="str">
        <f t="shared" si="33"/>
        <v>November</v>
      </c>
    </row>
    <row r="1077" spans="1:11" hidden="1" x14ac:dyDescent="0.35">
      <c r="A1077" s="1">
        <v>44516</v>
      </c>
      <c r="B1077">
        <v>22.8</v>
      </c>
      <c r="C1077">
        <v>18.899999999999999</v>
      </c>
      <c r="D1077">
        <v>26.4</v>
      </c>
      <c r="E1077">
        <v>52.1</v>
      </c>
      <c r="F1077" t="str">
        <f>IF(OR(B1077&lt;outliers!$B$7,B1077&gt;outliers!$B$6),"Outlier","Normal")</f>
        <v>Normal</v>
      </c>
      <c r="G1077" t="str">
        <f>IF(OR(C1077&lt;outliers!$B$14,C1077&gt;outliers!$B$13),"Outlier","Normal")</f>
        <v>Normal</v>
      </c>
      <c r="H1077" t="str">
        <f>IF(OR(D1077&lt;outliers!$B$21,D1077&gt;outliers!$B$20),"Outlier","Normal")</f>
        <v>Normal</v>
      </c>
      <c r="I1077" t="str">
        <f>IF(OR(E1077&lt;outliers!$C$28,E1077&gt;outliers!$B$27),"Outlier","Normal")</f>
        <v>Outlier</v>
      </c>
      <c r="J1077">
        <f t="shared" si="34"/>
        <v>2021</v>
      </c>
      <c r="K1077" t="str">
        <f t="shared" si="33"/>
        <v>November</v>
      </c>
    </row>
    <row r="1078" spans="1:11" x14ac:dyDescent="0.35">
      <c r="A1078" s="1">
        <v>44517</v>
      </c>
      <c r="B1078">
        <v>22.5</v>
      </c>
      <c r="C1078">
        <v>19.8</v>
      </c>
      <c r="D1078">
        <v>27.6</v>
      </c>
      <c r="E1078">
        <v>0.8</v>
      </c>
      <c r="F1078" t="str">
        <f>IF(OR(B1078&lt;outliers!$B$7,B1078&gt;outliers!$B$6),"Outlier","Normal")</f>
        <v>Normal</v>
      </c>
      <c r="G1078" t="str">
        <f>IF(OR(C1078&lt;outliers!$B$14,C1078&gt;outliers!$B$13),"Outlier","Normal")</f>
        <v>Normal</v>
      </c>
      <c r="H1078" t="str">
        <f>IF(OR(D1078&lt;outliers!$B$21,D1078&gt;outliers!$B$20),"Outlier","Normal")</f>
        <v>Normal</v>
      </c>
      <c r="I1078" t="str">
        <f>IF(OR(E1078&lt;outliers!$C$28,E1078&gt;outliers!$B$27),"Outlier","Normal")</f>
        <v>Normal</v>
      </c>
      <c r="J1078">
        <f t="shared" si="34"/>
        <v>2021</v>
      </c>
      <c r="K1078" t="str">
        <f t="shared" si="33"/>
        <v>November</v>
      </c>
    </row>
    <row r="1079" spans="1:11" x14ac:dyDescent="0.35">
      <c r="A1079" s="1">
        <v>44518</v>
      </c>
      <c r="B1079">
        <v>20.6</v>
      </c>
      <c r="C1079">
        <v>20</v>
      </c>
      <c r="D1079">
        <v>27.2</v>
      </c>
      <c r="E1079">
        <v>3.6</v>
      </c>
      <c r="F1079" t="str">
        <f>IF(OR(B1079&lt;outliers!$B$7,B1079&gt;outliers!$B$6),"Outlier","Normal")</f>
        <v>Normal</v>
      </c>
      <c r="G1079" t="str">
        <f>IF(OR(C1079&lt;outliers!$B$14,C1079&gt;outliers!$B$13),"Outlier","Normal")</f>
        <v>Normal</v>
      </c>
      <c r="H1079" t="str">
        <f>IF(OR(D1079&lt;outliers!$B$21,D1079&gt;outliers!$B$20),"Outlier","Normal")</f>
        <v>Normal</v>
      </c>
      <c r="I1079" t="str">
        <f>IF(OR(E1079&lt;outliers!$C$28,E1079&gt;outliers!$B$27),"Outlier","Normal")</f>
        <v>Normal</v>
      </c>
      <c r="J1079">
        <f t="shared" si="34"/>
        <v>2021</v>
      </c>
      <c r="K1079" t="str">
        <f t="shared" si="33"/>
        <v>November</v>
      </c>
    </row>
    <row r="1080" spans="1:11" hidden="1" x14ac:dyDescent="0.35">
      <c r="A1080" s="1">
        <v>44519</v>
      </c>
      <c r="B1080">
        <v>21.1</v>
      </c>
      <c r="C1080">
        <v>19.8</v>
      </c>
      <c r="D1080">
        <v>23.2</v>
      </c>
      <c r="E1080">
        <v>73.400000000000006</v>
      </c>
      <c r="F1080" t="str">
        <f>IF(OR(B1080&lt;outliers!$B$7,B1080&gt;outliers!$B$6),"Outlier","Normal")</f>
        <v>Normal</v>
      </c>
      <c r="G1080" t="str">
        <f>IF(OR(C1080&lt;outliers!$B$14,C1080&gt;outliers!$B$13),"Outlier","Normal")</f>
        <v>Normal</v>
      </c>
      <c r="H1080" t="str">
        <f>IF(OR(D1080&lt;outliers!$B$21,D1080&gt;outliers!$B$20),"Outlier","Normal")</f>
        <v>Normal</v>
      </c>
      <c r="I1080" t="str">
        <f>IF(OR(E1080&lt;outliers!$C$28,E1080&gt;outliers!$B$27),"Outlier","Normal")</f>
        <v>Outlier</v>
      </c>
      <c r="J1080">
        <f t="shared" si="34"/>
        <v>2021</v>
      </c>
      <c r="K1080" t="str">
        <f t="shared" si="33"/>
        <v>November</v>
      </c>
    </row>
    <row r="1081" spans="1:11" x14ac:dyDescent="0.35">
      <c r="A1081" s="1">
        <v>44520</v>
      </c>
      <c r="B1081">
        <v>21.1</v>
      </c>
      <c r="C1081">
        <v>20.100000000000001</v>
      </c>
      <c r="D1081">
        <v>22.6</v>
      </c>
      <c r="E1081">
        <v>3.8</v>
      </c>
      <c r="F1081" t="str">
        <f>IF(OR(B1081&lt;outliers!$B$7,B1081&gt;outliers!$B$6),"Outlier","Normal")</f>
        <v>Normal</v>
      </c>
      <c r="G1081" t="str">
        <f>IF(OR(C1081&lt;outliers!$B$14,C1081&gt;outliers!$B$13),"Outlier","Normal")</f>
        <v>Normal</v>
      </c>
      <c r="H1081" t="str">
        <f>IF(OR(D1081&lt;outliers!$B$21,D1081&gt;outliers!$B$20),"Outlier","Normal")</f>
        <v>Normal</v>
      </c>
      <c r="I1081" t="str">
        <f>IF(OR(E1081&lt;outliers!$C$28,E1081&gt;outliers!$B$27),"Outlier","Normal")</f>
        <v>Normal</v>
      </c>
      <c r="J1081">
        <f t="shared" si="34"/>
        <v>2021</v>
      </c>
      <c r="K1081" t="str">
        <f t="shared" si="33"/>
        <v>November</v>
      </c>
    </row>
    <row r="1082" spans="1:11" x14ac:dyDescent="0.35">
      <c r="A1082" s="1">
        <v>44521</v>
      </c>
      <c r="B1082">
        <v>22.5</v>
      </c>
      <c r="C1082">
        <v>19.3</v>
      </c>
      <c r="D1082">
        <v>26.2</v>
      </c>
      <c r="E1082">
        <v>2.2999999999999998</v>
      </c>
      <c r="F1082" t="str">
        <f>IF(OR(B1082&lt;outliers!$B$7,B1082&gt;outliers!$B$6),"Outlier","Normal")</f>
        <v>Normal</v>
      </c>
      <c r="G1082" t="str">
        <f>IF(OR(C1082&lt;outliers!$B$14,C1082&gt;outliers!$B$13),"Outlier","Normal")</f>
        <v>Normal</v>
      </c>
      <c r="H1082" t="str">
        <f>IF(OR(D1082&lt;outliers!$B$21,D1082&gt;outliers!$B$20),"Outlier","Normal")</f>
        <v>Normal</v>
      </c>
      <c r="I1082" t="str">
        <f>IF(OR(E1082&lt;outliers!$C$28,E1082&gt;outliers!$B$27),"Outlier","Normal")</f>
        <v>Normal</v>
      </c>
      <c r="J1082">
        <f t="shared" si="34"/>
        <v>2021</v>
      </c>
      <c r="K1082" t="str">
        <f t="shared" si="33"/>
        <v>November</v>
      </c>
    </row>
    <row r="1083" spans="1:11" x14ac:dyDescent="0.35">
      <c r="A1083" s="1">
        <v>44522</v>
      </c>
      <c r="B1083">
        <v>22.8</v>
      </c>
      <c r="C1083">
        <v>20.5</v>
      </c>
      <c r="D1083">
        <v>26.5</v>
      </c>
      <c r="E1083">
        <v>5.0999999999999996</v>
      </c>
      <c r="F1083" t="str">
        <f>IF(OR(B1083&lt;outliers!$B$7,B1083&gt;outliers!$B$6),"Outlier","Normal")</f>
        <v>Normal</v>
      </c>
      <c r="G1083" t="str">
        <f>IF(OR(C1083&lt;outliers!$B$14,C1083&gt;outliers!$B$13),"Outlier","Normal")</f>
        <v>Normal</v>
      </c>
      <c r="H1083" t="str">
        <f>IF(OR(D1083&lt;outliers!$B$21,D1083&gt;outliers!$B$20),"Outlier","Normal")</f>
        <v>Normal</v>
      </c>
      <c r="I1083" t="str">
        <f>IF(OR(E1083&lt;outliers!$C$28,E1083&gt;outliers!$B$27),"Outlier","Normal")</f>
        <v>Normal</v>
      </c>
      <c r="J1083">
        <f t="shared" si="34"/>
        <v>2021</v>
      </c>
      <c r="K1083" t="str">
        <f t="shared" si="33"/>
        <v>November</v>
      </c>
    </row>
    <row r="1084" spans="1:11" x14ac:dyDescent="0.35">
      <c r="A1084" s="1">
        <v>44523</v>
      </c>
      <c r="B1084">
        <v>24.2</v>
      </c>
      <c r="C1084">
        <v>20.100000000000001</v>
      </c>
      <c r="D1084">
        <v>28.4</v>
      </c>
      <c r="E1084">
        <v>0</v>
      </c>
      <c r="F1084" t="str">
        <f>IF(OR(B1084&lt;outliers!$B$7,B1084&gt;outliers!$B$6),"Outlier","Normal")</f>
        <v>Normal</v>
      </c>
      <c r="G1084" t="str">
        <f>IF(OR(C1084&lt;outliers!$B$14,C1084&gt;outliers!$B$13),"Outlier","Normal")</f>
        <v>Normal</v>
      </c>
      <c r="H1084" t="str">
        <f>IF(OR(D1084&lt;outliers!$B$21,D1084&gt;outliers!$B$20),"Outlier","Normal")</f>
        <v>Normal</v>
      </c>
      <c r="I1084" t="str">
        <f>IF(OR(E1084&lt;outliers!$C$28,E1084&gt;outliers!$B$27),"Outlier","Normal")</f>
        <v>Normal</v>
      </c>
      <c r="J1084">
        <f t="shared" si="34"/>
        <v>2021</v>
      </c>
      <c r="K1084" t="str">
        <f t="shared" si="33"/>
        <v>November</v>
      </c>
    </row>
    <row r="1085" spans="1:11" x14ac:dyDescent="0.35">
      <c r="A1085" s="1">
        <v>44524</v>
      </c>
      <c r="B1085">
        <v>22.8</v>
      </c>
      <c r="C1085">
        <v>20.100000000000001</v>
      </c>
      <c r="D1085">
        <v>29.8</v>
      </c>
      <c r="E1085">
        <v>0</v>
      </c>
      <c r="F1085" t="str">
        <f>IF(OR(B1085&lt;outliers!$B$7,B1085&gt;outliers!$B$6),"Outlier","Normal")</f>
        <v>Normal</v>
      </c>
      <c r="G1085" t="str">
        <f>IF(OR(C1085&lt;outliers!$B$14,C1085&gt;outliers!$B$13),"Outlier","Normal")</f>
        <v>Normal</v>
      </c>
      <c r="H1085" t="str">
        <f>IF(OR(D1085&lt;outliers!$B$21,D1085&gt;outliers!$B$20),"Outlier","Normal")</f>
        <v>Normal</v>
      </c>
      <c r="I1085" t="str">
        <f>IF(OR(E1085&lt;outliers!$C$28,E1085&gt;outliers!$B$27),"Outlier","Normal")</f>
        <v>Normal</v>
      </c>
      <c r="J1085">
        <f t="shared" si="34"/>
        <v>2021</v>
      </c>
      <c r="K1085" t="str">
        <f t="shared" si="33"/>
        <v>November</v>
      </c>
    </row>
    <row r="1086" spans="1:11" hidden="1" x14ac:dyDescent="0.35">
      <c r="A1086" s="1">
        <v>44525</v>
      </c>
      <c r="B1086">
        <v>23</v>
      </c>
      <c r="C1086">
        <v>19.399999999999999</v>
      </c>
      <c r="D1086">
        <v>27</v>
      </c>
      <c r="E1086">
        <v>11.4</v>
      </c>
      <c r="F1086" t="str">
        <f>IF(OR(B1086&lt;outliers!$B$7,B1086&gt;outliers!$B$6),"Outlier","Normal")</f>
        <v>Normal</v>
      </c>
      <c r="G1086" t="str">
        <f>IF(OR(C1086&lt;outliers!$B$14,C1086&gt;outliers!$B$13),"Outlier","Normal")</f>
        <v>Normal</v>
      </c>
      <c r="H1086" t="str">
        <f>IF(OR(D1086&lt;outliers!$B$21,D1086&gt;outliers!$B$20),"Outlier","Normal")</f>
        <v>Normal</v>
      </c>
      <c r="I1086" t="str">
        <f>IF(OR(E1086&lt;outliers!$C$28,E1086&gt;outliers!$B$27),"Outlier","Normal")</f>
        <v>Outlier</v>
      </c>
      <c r="J1086">
        <f t="shared" si="34"/>
        <v>2021</v>
      </c>
      <c r="K1086" t="str">
        <f t="shared" si="33"/>
        <v>November</v>
      </c>
    </row>
    <row r="1087" spans="1:11" x14ac:dyDescent="0.35">
      <c r="A1087" s="1">
        <v>44526</v>
      </c>
      <c r="B1087">
        <v>21.8</v>
      </c>
      <c r="C1087">
        <v>19.100000000000001</v>
      </c>
      <c r="D1087">
        <v>27</v>
      </c>
      <c r="E1087">
        <v>0</v>
      </c>
      <c r="F1087" t="str">
        <f>IF(OR(B1087&lt;outliers!$B$7,B1087&gt;outliers!$B$6),"Outlier","Normal")</f>
        <v>Normal</v>
      </c>
      <c r="G1087" t="str">
        <f>IF(OR(C1087&lt;outliers!$B$14,C1087&gt;outliers!$B$13),"Outlier","Normal")</f>
        <v>Normal</v>
      </c>
      <c r="H1087" t="str">
        <f>IF(OR(D1087&lt;outliers!$B$21,D1087&gt;outliers!$B$20),"Outlier","Normal")</f>
        <v>Normal</v>
      </c>
      <c r="I1087" t="str">
        <f>IF(OR(E1087&lt;outliers!$C$28,E1087&gt;outliers!$B$27),"Outlier","Normal")</f>
        <v>Normal</v>
      </c>
      <c r="J1087">
        <f t="shared" si="34"/>
        <v>2021</v>
      </c>
      <c r="K1087" t="str">
        <f t="shared" si="33"/>
        <v>November</v>
      </c>
    </row>
    <row r="1088" spans="1:11" x14ac:dyDescent="0.35">
      <c r="A1088" s="1">
        <v>44527</v>
      </c>
      <c r="B1088">
        <v>20.399999999999999</v>
      </c>
      <c r="C1088">
        <v>18.399999999999999</v>
      </c>
      <c r="D1088">
        <v>23</v>
      </c>
      <c r="E1088">
        <v>5</v>
      </c>
      <c r="F1088" t="str">
        <f>IF(OR(B1088&lt;outliers!$B$7,B1088&gt;outliers!$B$6),"Outlier","Normal")</f>
        <v>Normal</v>
      </c>
      <c r="G1088" t="str">
        <f>IF(OR(C1088&lt;outliers!$B$14,C1088&gt;outliers!$B$13),"Outlier","Normal")</f>
        <v>Normal</v>
      </c>
      <c r="H1088" t="str">
        <f>IF(OR(D1088&lt;outliers!$B$21,D1088&gt;outliers!$B$20),"Outlier","Normal")</f>
        <v>Normal</v>
      </c>
      <c r="I1088" t="str">
        <f>IF(OR(E1088&lt;outliers!$C$28,E1088&gt;outliers!$B$27),"Outlier","Normal")</f>
        <v>Normal</v>
      </c>
      <c r="J1088">
        <f t="shared" si="34"/>
        <v>2021</v>
      </c>
      <c r="K1088" t="str">
        <f t="shared" si="33"/>
        <v>November</v>
      </c>
    </row>
    <row r="1089" spans="1:11" x14ac:dyDescent="0.35">
      <c r="A1089" s="1">
        <v>44528</v>
      </c>
      <c r="B1089">
        <v>21</v>
      </c>
      <c r="C1089">
        <v>19.8</v>
      </c>
      <c r="D1089">
        <v>23.4</v>
      </c>
      <c r="E1089">
        <v>0</v>
      </c>
      <c r="F1089" t="str">
        <f>IF(OR(B1089&lt;outliers!$B$7,B1089&gt;outliers!$B$6),"Outlier","Normal")</f>
        <v>Normal</v>
      </c>
      <c r="G1089" t="str">
        <f>IF(OR(C1089&lt;outliers!$B$14,C1089&gt;outliers!$B$13),"Outlier","Normal")</f>
        <v>Normal</v>
      </c>
      <c r="H1089" t="str">
        <f>IF(OR(D1089&lt;outliers!$B$21,D1089&gt;outliers!$B$20),"Outlier","Normal")</f>
        <v>Normal</v>
      </c>
      <c r="I1089" t="str">
        <f>IF(OR(E1089&lt;outliers!$C$28,E1089&gt;outliers!$B$27),"Outlier","Normal")</f>
        <v>Normal</v>
      </c>
      <c r="J1089">
        <f t="shared" si="34"/>
        <v>2021</v>
      </c>
      <c r="K1089" t="str">
        <f t="shared" si="33"/>
        <v>November</v>
      </c>
    </row>
    <row r="1090" spans="1:11" x14ac:dyDescent="0.35">
      <c r="A1090" s="1">
        <v>44529</v>
      </c>
      <c r="B1090">
        <v>21.1</v>
      </c>
      <c r="C1090">
        <v>19.5</v>
      </c>
      <c r="D1090">
        <v>22.6</v>
      </c>
      <c r="E1090">
        <v>0</v>
      </c>
      <c r="F1090" t="str">
        <f>IF(OR(B1090&lt;outliers!$B$7,B1090&gt;outliers!$B$6),"Outlier","Normal")</f>
        <v>Normal</v>
      </c>
      <c r="G1090" t="str">
        <f>IF(OR(C1090&lt;outliers!$B$14,C1090&gt;outliers!$B$13),"Outlier","Normal")</f>
        <v>Normal</v>
      </c>
      <c r="H1090" t="str">
        <f>IF(OR(D1090&lt;outliers!$B$21,D1090&gt;outliers!$B$20),"Outlier","Normal")</f>
        <v>Normal</v>
      </c>
      <c r="I1090" t="str">
        <f>IF(OR(E1090&lt;outliers!$C$28,E1090&gt;outliers!$B$27),"Outlier","Normal")</f>
        <v>Normal</v>
      </c>
      <c r="J1090">
        <f t="shared" si="34"/>
        <v>2021</v>
      </c>
      <c r="K1090" t="str">
        <f t="shared" ref="K1090:K1153" si="35">TEXT(A1089,"mmmm")</f>
        <v>November</v>
      </c>
    </row>
    <row r="1091" spans="1:11" x14ac:dyDescent="0.35">
      <c r="A1091" s="1">
        <v>44530</v>
      </c>
      <c r="B1091">
        <v>22.4</v>
      </c>
      <c r="C1091">
        <v>18.899999999999999</v>
      </c>
      <c r="D1091">
        <v>25.8</v>
      </c>
      <c r="E1091">
        <v>0.5</v>
      </c>
      <c r="F1091" t="str">
        <f>IF(OR(B1091&lt;outliers!$B$7,B1091&gt;outliers!$B$6),"Outlier","Normal")</f>
        <v>Normal</v>
      </c>
      <c r="G1091" t="str">
        <f>IF(OR(C1091&lt;outliers!$B$14,C1091&gt;outliers!$B$13),"Outlier","Normal")</f>
        <v>Normal</v>
      </c>
      <c r="H1091" t="str">
        <f>IF(OR(D1091&lt;outliers!$B$21,D1091&gt;outliers!$B$20),"Outlier","Normal")</f>
        <v>Normal</v>
      </c>
      <c r="I1091" t="str">
        <f>IF(OR(E1091&lt;outliers!$C$28,E1091&gt;outliers!$B$27),"Outlier","Normal")</f>
        <v>Normal</v>
      </c>
      <c r="J1091">
        <f t="shared" si="34"/>
        <v>2021</v>
      </c>
      <c r="K1091" t="str">
        <f t="shared" si="35"/>
        <v>November</v>
      </c>
    </row>
    <row r="1092" spans="1:11" x14ac:dyDescent="0.35">
      <c r="A1092" s="1">
        <v>44531</v>
      </c>
      <c r="B1092">
        <v>21.7</v>
      </c>
      <c r="C1092">
        <v>20</v>
      </c>
      <c r="D1092">
        <v>26.4</v>
      </c>
      <c r="E1092">
        <v>0</v>
      </c>
      <c r="F1092" t="str">
        <f>IF(OR(B1092&lt;outliers!$B$7,B1092&gt;outliers!$B$6),"Outlier","Normal")</f>
        <v>Normal</v>
      </c>
      <c r="G1092" t="str">
        <f>IF(OR(C1092&lt;outliers!$B$14,C1092&gt;outliers!$B$13),"Outlier","Normal")</f>
        <v>Normal</v>
      </c>
      <c r="H1092" t="str">
        <f>IF(OR(D1092&lt;outliers!$B$21,D1092&gt;outliers!$B$20),"Outlier","Normal")</f>
        <v>Normal</v>
      </c>
      <c r="I1092" t="str">
        <f>IF(OR(E1092&lt;outliers!$C$28,E1092&gt;outliers!$B$27),"Outlier","Normal")</f>
        <v>Normal</v>
      </c>
      <c r="J1092">
        <f t="shared" si="34"/>
        <v>2021</v>
      </c>
      <c r="K1092" t="str">
        <f t="shared" si="35"/>
        <v>November</v>
      </c>
    </row>
    <row r="1093" spans="1:11" x14ac:dyDescent="0.35">
      <c r="A1093" s="1">
        <v>44532</v>
      </c>
      <c r="B1093">
        <v>21.6</v>
      </c>
      <c r="C1093">
        <v>19.2</v>
      </c>
      <c r="D1093">
        <v>25.9</v>
      </c>
      <c r="E1093">
        <v>6.9</v>
      </c>
      <c r="F1093" t="str">
        <f>IF(OR(B1093&lt;outliers!$B$7,B1093&gt;outliers!$B$6),"Outlier","Normal")</f>
        <v>Normal</v>
      </c>
      <c r="G1093" t="str">
        <f>IF(OR(C1093&lt;outliers!$B$14,C1093&gt;outliers!$B$13),"Outlier","Normal")</f>
        <v>Normal</v>
      </c>
      <c r="H1093" t="str">
        <f>IF(OR(D1093&lt;outliers!$B$21,D1093&gt;outliers!$B$20),"Outlier","Normal")</f>
        <v>Normal</v>
      </c>
      <c r="I1093" t="str">
        <f>IF(OR(E1093&lt;outliers!$C$28,E1093&gt;outliers!$B$27),"Outlier","Normal")</f>
        <v>Normal</v>
      </c>
      <c r="J1093">
        <f t="shared" si="34"/>
        <v>2021</v>
      </c>
      <c r="K1093" t="str">
        <f t="shared" si="35"/>
        <v>December</v>
      </c>
    </row>
    <row r="1094" spans="1:11" x14ac:dyDescent="0.35">
      <c r="A1094" s="1">
        <v>44533</v>
      </c>
      <c r="B1094">
        <v>21.9</v>
      </c>
      <c r="C1094">
        <v>17.899999999999999</v>
      </c>
      <c r="D1094">
        <v>27.4</v>
      </c>
      <c r="E1094">
        <v>3</v>
      </c>
      <c r="F1094" t="str">
        <f>IF(OR(B1094&lt;outliers!$B$7,B1094&gt;outliers!$B$6),"Outlier","Normal")</f>
        <v>Normal</v>
      </c>
      <c r="G1094" t="str">
        <f>IF(OR(C1094&lt;outliers!$B$14,C1094&gt;outliers!$B$13),"Outlier","Normal")</f>
        <v>Normal</v>
      </c>
      <c r="H1094" t="str">
        <f>IF(OR(D1094&lt;outliers!$B$21,D1094&gt;outliers!$B$20),"Outlier","Normal")</f>
        <v>Normal</v>
      </c>
      <c r="I1094" t="str">
        <f>IF(OR(E1094&lt;outliers!$C$28,E1094&gt;outliers!$B$27),"Outlier","Normal")</f>
        <v>Normal</v>
      </c>
      <c r="J1094">
        <f t="shared" si="34"/>
        <v>2021</v>
      </c>
      <c r="K1094" t="str">
        <f t="shared" si="35"/>
        <v>December</v>
      </c>
    </row>
    <row r="1095" spans="1:11" x14ac:dyDescent="0.35">
      <c r="A1095" s="1">
        <v>44534</v>
      </c>
      <c r="B1095">
        <v>23.9</v>
      </c>
      <c r="C1095">
        <v>21</v>
      </c>
      <c r="D1095">
        <v>28.2</v>
      </c>
      <c r="E1095">
        <v>0</v>
      </c>
      <c r="F1095" t="str">
        <f>IF(OR(B1095&lt;outliers!$B$7,B1095&gt;outliers!$B$6),"Outlier","Normal")</f>
        <v>Normal</v>
      </c>
      <c r="G1095" t="str">
        <f>IF(OR(C1095&lt;outliers!$B$14,C1095&gt;outliers!$B$13),"Outlier","Normal")</f>
        <v>Normal</v>
      </c>
      <c r="H1095" t="str">
        <f>IF(OR(D1095&lt;outliers!$B$21,D1095&gt;outliers!$B$20),"Outlier","Normal")</f>
        <v>Normal</v>
      </c>
      <c r="I1095" t="str">
        <f>IF(OR(E1095&lt;outliers!$C$28,E1095&gt;outliers!$B$27),"Outlier","Normal")</f>
        <v>Normal</v>
      </c>
      <c r="J1095">
        <f t="shared" si="34"/>
        <v>2021</v>
      </c>
      <c r="K1095" t="str">
        <f t="shared" si="35"/>
        <v>December</v>
      </c>
    </row>
    <row r="1096" spans="1:11" x14ac:dyDescent="0.35">
      <c r="A1096" s="1">
        <v>44535</v>
      </c>
      <c r="B1096">
        <v>23.2</v>
      </c>
      <c r="C1096">
        <v>19.8</v>
      </c>
      <c r="D1096">
        <v>28.4</v>
      </c>
      <c r="E1096">
        <v>1</v>
      </c>
      <c r="F1096" t="str">
        <f>IF(OR(B1096&lt;outliers!$B$7,B1096&gt;outliers!$B$6),"Outlier","Normal")</f>
        <v>Normal</v>
      </c>
      <c r="G1096" t="str">
        <f>IF(OR(C1096&lt;outliers!$B$14,C1096&gt;outliers!$B$13),"Outlier","Normal")</f>
        <v>Normal</v>
      </c>
      <c r="H1096" t="str">
        <f>IF(OR(D1096&lt;outliers!$B$21,D1096&gt;outliers!$B$20),"Outlier","Normal")</f>
        <v>Normal</v>
      </c>
      <c r="I1096" t="str">
        <f>IF(OR(E1096&lt;outliers!$C$28,E1096&gt;outliers!$B$27),"Outlier","Normal")</f>
        <v>Normal</v>
      </c>
      <c r="J1096">
        <f t="shared" si="34"/>
        <v>2021</v>
      </c>
      <c r="K1096" t="str">
        <f t="shared" si="35"/>
        <v>December</v>
      </c>
    </row>
    <row r="1097" spans="1:11" x14ac:dyDescent="0.35">
      <c r="A1097" s="1">
        <v>44536</v>
      </c>
      <c r="B1097">
        <v>23.2</v>
      </c>
      <c r="C1097">
        <v>19.3</v>
      </c>
      <c r="D1097">
        <v>29.2</v>
      </c>
      <c r="E1097">
        <v>0</v>
      </c>
      <c r="F1097" t="str">
        <f>IF(OR(B1097&lt;outliers!$B$7,B1097&gt;outliers!$B$6),"Outlier","Normal")</f>
        <v>Normal</v>
      </c>
      <c r="G1097" t="str">
        <f>IF(OR(C1097&lt;outliers!$B$14,C1097&gt;outliers!$B$13),"Outlier","Normal")</f>
        <v>Normal</v>
      </c>
      <c r="H1097" t="str">
        <f>IF(OR(D1097&lt;outliers!$B$21,D1097&gt;outliers!$B$20),"Outlier","Normal")</f>
        <v>Normal</v>
      </c>
      <c r="I1097" t="str">
        <f>IF(OR(E1097&lt;outliers!$C$28,E1097&gt;outliers!$B$27),"Outlier","Normal")</f>
        <v>Normal</v>
      </c>
      <c r="J1097">
        <f t="shared" si="34"/>
        <v>2021</v>
      </c>
      <c r="K1097" t="str">
        <f t="shared" si="35"/>
        <v>December</v>
      </c>
    </row>
    <row r="1098" spans="1:11" x14ac:dyDescent="0.35">
      <c r="A1098" s="1">
        <v>44537</v>
      </c>
      <c r="B1098">
        <v>22.1</v>
      </c>
      <c r="C1098">
        <v>17.7</v>
      </c>
      <c r="D1098">
        <v>26.4</v>
      </c>
      <c r="E1098">
        <v>0</v>
      </c>
      <c r="F1098" t="str">
        <f>IF(OR(B1098&lt;outliers!$B$7,B1098&gt;outliers!$B$6),"Outlier","Normal")</f>
        <v>Normal</v>
      </c>
      <c r="G1098" t="str">
        <f>IF(OR(C1098&lt;outliers!$B$14,C1098&gt;outliers!$B$13),"Outlier","Normal")</f>
        <v>Normal</v>
      </c>
      <c r="H1098" t="str">
        <f>IF(OR(D1098&lt;outliers!$B$21,D1098&gt;outliers!$B$20),"Outlier","Normal")</f>
        <v>Normal</v>
      </c>
      <c r="I1098" t="str">
        <f>IF(OR(E1098&lt;outliers!$C$28,E1098&gt;outliers!$B$27),"Outlier","Normal")</f>
        <v>Normal</v>
      </c>
      <c r="J1098">
        <f t="shared" si="34"/>
        <v>2021</v>
      </c>
      <c r="K1098" t="str">
        <f t="shared" si="35"/>
        <v>December</v>
      </c>
    </row>
    <row r="1099" spans="1:11" x14ac:dyDescent="0.35">
      <c r="A1099" s="1">
        <v>44538</v>
      </c>
      <c r="B1099">
        <v>21.7</v>
      </c>
      <c r="C1099">
        <v>16.899999999999999</v>
      </c>
      <c r="D1099">
        <v>27.4</v>
      </c>
      <c r="E1099">
        <v>0</v>
      </c>
      <c r="F1099" t="str">
        <f>IF(OR(B1099&lt;outliers!$B$7,B1099&gt;outliers!$B$6),"Outlier","Normal")</f>
        <v>Normal</v>
      </c>
      <c r="G1099" t="str">
        <f>IF(OR(C1099&lt;outliers!$B$14,C1099&gt;outliers!$B$13),"Outlier","Normal")</f>
        <v>Normal</v>
      </c>
      <c r="H1099" t="str">
        <f>IF(OR(D1099&lt;outliers!$B$21,D1099&gt;outliers!$B$20),"Outlier","Normal")</f>
        <v>Normal</v>
      </c>
      <c r="I1099" t="str">
        <f>IF(OR(E1099&lt;outliers!$C$28,E1099&gt;outliers!$B$27),"Outlier","Normal")</f>
        <v>Normal</v>
      </c>
      <c r="J1099">
        <f t="shared" si="34"/>
        <v>2021</v>
      </c>
      <c r="K1099" t="str">
        <f t="shared" si="35"/>
        <v>December</v>
      </c>
    </row>
    <row r="1100" spans="1:11" x14ac:dyDescent="0.35">
      <c r="A1100" s="1">
        <v>44539</v>
      </c>
      <c r="B1100">
        <v>22.1</v>
      </c>
      <c r="C1100">
        <v>18.8</v>
      </c>
      <c r="D1100">
        <v>26.2</v>
      </c>
      <c r="E1100">
        <v>0.9</v>
      </c>
      <c r="F1100" t="str">
        <f>IF(OR(B1100&lt;outliers!$B$7,B1100&gt;outliers!$B$6),"Outlier","Normal")</f>
        <v>Normal</v>
      </c>
      <c r="G1100" t="str">
        <f>IF(OR(C1100&lt;outliers!$B$14,C1100&gt;outliers!$B$13),"Outlier","Normal")</f>
        <v>Normal</v>
      </c>
      <c r="H1100" t="str">
        <f>IF(OR(D1100&lt;outliers!$B$21,D1100&gt;outliers!$B$20),"Outlier","Normal")</f>
        <v>Normal</v>
      </c>
      <c r="I1100" t="str">
        <f>IF(OR(E1100&lt;outliers!$C$28,E1100&gt;outliers!$B$27),"Outlier","Normal")</f>
        <v>Normal</v>
      </c>
      <c r="J1100">
        <f t="shared" si="34"/>
        <v>2021</v>
      </c>
      <c r="K1100" t="str">
        <f t="shared" si="35"/>
        <v>December</v>
      </c>
    </row>
    <row r="1101" spans="1:11" x14ac:dyDescent="0.35">
      <c r="A1101" s="1">
        <v>44540</v>
      </c>
      <c r="B1101">
        <v>22.7</v>
      </c>
      <c r="C1101">
        <v>18.600000000000001</v>
      </c>
      <c r="D1101">
        <v>27.2</v>
      </c>
      <c r="E1101">
        <v>1</v>
      </c>
      <c r="F1101" t="str">
        <f>IF(OR(B1101&lt;outliers!$B$7,B1101&gt;outliers!$B$6),"Outlier","Normal")</f>
        <v>Normal</v>
      </c>
      <c r="G1101" t="str">
        <f>IF(OR(C1101&lt;outliers!$B$14,C1101&gt;outliers!$B$13),"Outlier","Normal")</f>
        <v>Normal</v>
      </c>
      <c r="H1101" t="str">
        <f>IF(OR(D1101&lt;outliers!$B$21,D1101&gt;outliers!$B$20),"Outlier","Normal")</f>
        <v>Normal</v>
      </c>
      <c r="I1101" t="str">
        <f>IF(OR(E1101&lt;outliers!$C$28,E1101&gt;outliers!$B$27),"Outlier","Normal")</f>
        <v>Normal</v>
      </c>
      <c r="J1101">
        <f t="shared" si="34"/>
        <v>2021</v>
      </c>
      <c r="K1101" t="str">
        <f t="shared" si="35"/>
        <v>December</v>
      </c>
    </row>
    <row r="1102" spans="1:11" x14ac:dyDescent="0.35">
      <c r="A1102" s="1">
        <v>44541</v>
      </c>
      <c r="B1102">
        <v>21.6</v>
      </c>
      <c r="C1102">
        <v>18</v>
      </c>
      <c r="D1102">
        <v>28.4</v>
      </c>
      <c r="E1102">
        <v>0</v>
      </c>
      <c r="F1102" t="str">
        <f>IF(OR(B1102&lt;outliers!$B$7,B1102&gt;outliers!$B$6),"Outlier","Normal")</f>
        <v>Normal</v>
      </c>
      <c r="G1102" t="str">
        <f>IF(OR(C1102&lt;outliers!$B$14,C1102&gt;outliers!$B$13),"Outlier","Normal")</f>
        <v>Normal</v>
      </c>
      <c r="H1102" t="str">
        <f>IF(OR(D1102&lt;outliers!$B$21,D1102&gt;outliers!$B$20),"Outlier","Normal")</f>
        <v>Normal</v>
      </c>
      <c r="I1102" t="str">
        <f>IF(OR(E1102&lt;outliers!$C$28,E1102&gt;outliers!$B$27),"Outlier","Normal")</f>
        <v>Normal</v>
      </c>
      <c r="J1102">
        <f t="shared" si="34"/>
        <v>2021</v>
      </c>
      <c r="K1102" t="str">
        <f t="shared" si="35"/>
        <v>December</v>
      </c>
    </row>
    <row r="1103" spans="1:11" x14ac:dyDescent="0.35">
      <c r="A1103" s="1">
        <v>44542</v>
      </c>
      <c r="B1103">
        <v>20.9</v>
      </c>
      <c r="C1103">
        <v>17.5</v>
      </c>
      <c r="D1103">
        <v>24.7</v>
      </c>
      <c r="E1103">
        <v>0.2</v>
      </c>
      <c r="F1103" t="str">
        <f>IF(OR(B1103&lt;outliers!$B$7,B1103&gt;outliers!$B$6),"Outlier","Normal")</f>
        <v>Normal</v>
      </c>
      <c r="G1103" t="str">
        <f>IF(OR(C1103&lt;outliers!$B$14,C1103&gt;outliers!$B$13),"Outlier","Normal")</f>
        <v>Normal</v>
      </c>
      <c r="H1103" t="str">
        <f>IF(OR(D1103&lt;outliers!$B$21,D1103&gt;outliers!$B$20),"Outlier","Normal")</f>
        <v>Normal</v>
      </c>
      <c r="I1103" t="str">
        <f>IF(OR(E1103&lt;outliers!$C$28,E1103&gt;outliers!$B$27),"Outlier","Normal")</f>
        <v>Normal</v>
      </c>
      <c r="J1103">
        <f t="shared" si="34"/>
        <v>2021</v>
      </c>
      <c r="K1103" t="str">
        <f t="shared" si="35"/>
        <v>December</v>
      </c>
    </row>
    <row r="1104" spans="1:11" x14ac:dyDescent="0.35">
      <c r="A1104" s="1">
        <v>44543</v>
      </c>
      <c r="B1104">
        <v>20.6</v>
      </c>
      <c r="C1104">
        <v>18</v>
      </c>
      <c r="D1104">
        <v>24.9</v>
      </c>
      <c r="E1104">
        <v>2.4</v>
      </c>
      <c r="F1104" t="str">
        <f>IF(OR(B1104&lt;outliers!$B$7,B1104&gt;outliers!$B$6),"Outlier","Normal")</f>
        <v>Normal</v>
      </c>
      <c r="G1104" t="str">
        <f>IF(OR(C1104&lt;outliers!$B$14,C1104&gt;outliers!$B$13),"Outlier","Normal")</f>
        <v>Normal</v>
      </c>
      <c r="H1104" t="str">
        <f>IF(OR(D1104&lt;outliers!$B$21,D1104&gt;outliers!$B$20),"Outlier","Normal")</f>
        <v>Normal</v>
      </c>
      <c r="I1104" t="str">
        <f>IF(OR(E1104&lt;outliers!$C$28,E1104&gt;outliers!$B$27),"Outlier","Normal")</f>
        <v>Normal</v>
      </c>
      <c r="J1104">
        <f t="shared" si="34"/>
        <v>2021</v>
      </c>
      <c r="K1104" t="str">
        <f t="shared" si="35"/>
        <v>December</v>
      </c>
    </row>
    <row r="1105" spans="1:11" x14ac:dyDescent="0.35">
      <c r="A1105" s="1">
        <v>44544</v>
      </c>
      <c r="B1105">
        <v>21.2</v>
      </c>
      <c r="C1105">
        <v>18.3</v>
      </c>
      <c r="D1105">
        <v>24.4</v>
      </c>
      <c r="E1105">
        <v>2.8</v>
      </c>
      <c r="F1105" t="str">
        <f>IF(OR(B1105&lt;outliers!$B$7,B1105&gt;outliers!$B$6),"Outlier","Normal")</f>
        <v>Normal</v>
      </c>
      <c r="G1105" t="str">
        <f>IF(OR(C1105&lt;outliers!$B$14,C1105&gt;outliers!$B$13),"Outlier","Normal")</f>
        <v>Normal</v>
      </c>
      <c r="H1105" t="str">
        <f>IF(OR(D1105&lt;outliers!$B$21,D1105&gt;outliers!$B$20),"Outlier","Normal")</f>
        <v>Normal</v>
      </c>
      <c r="I1105" t="str">
        <f>IF(OR(E1105&lt;outliers!$C$28,E1105&gt;outliers!$B$27),"Outlier","Normal")</f>
        <v>Normal</v>
      </c>
      <c r="J1105">
        <f t="shared" ref="J1105:J1168" si="36">YEAR(A1105)</f>
        <v>2021</v>
      </c>
      <c r="K1105" t="str">
        <f t="shared" si="35"/>
        <v>December</v>
      </c>
    </row>
    <row r="1106" spans="1:11" x14ac:dyDescent="0.35">
      <c r="A1106" s="1">
        <v>44545</v>
      </c>
      <c r="B1106">
        <v>20.6</v>
      </c>
      <c r="C1106">
        <v>17.399999999999999</v>
      </c>
      <c r="D1106">
        <v>24.4</v>
      </c>
      <c r="E1106">
        <v>0.3</v>
      </c>
      <c r="F1106" t="str">
        <f>IF(OR(B1106&lt;outliers!$B$7,B1106&gt;outliers!$B$6),"Outlier","Normal")</f>
        <v>Normal</v>
      </c>
      <c r="G1106" t="str">
        <f>IF(OR(C1106&lt;outliers!$B$14,C1106&gt;outliers!$B$13),"Outlier","Normal")</f>
        <v>Normal</v>
      </c>
      <c r="H1106" t="str">
        <f>IF(OR(D1106&lt;outliers!$B$21,D1106&gt;outliers!$B$20),"Outlier","Normal")</f>
        <v>Normal</v>
      </c>
      <c r="I1106" t="str">
        <f>IF(OR(E1106&lt;outliers!$C$28,E1106&gt;outliers!$B$27),"Outlier","Normal")</f>
        <v>Normal</v>
      </c>
      <c r="J1106">
        <f t="shared" si="36"/>
        <v>2021</v>
      </c>
      <c r="K1106" t="str">
        <f t="shared" si="35"/>
        <v>December</v>
      </c>
    </row>
    <row r="1107" spans="1:11" x14ac:dyDescent="0.35">
      <c r="A1107" s="1">
        <v>44546</v>
      </c>
      <c r="B1107">
        <v>21.5</v>
      </c>
      <c r="C1107">
        <v>17.2</v>
      </c>
      <c r="D1107">
        <v>26.4</v>
      </c>
      <c r="E1107">
        <v>0</v>
      </c>
      <c r="F1107" t="str">
        <f>IF(OR(B1107&lt;outliers!$B$7,B1107&gt;outliers!$B$6),"Outlier","Normal")</f>
        <v>Normal</v>
      </c>
      <c r="G1107" t="str">
        <f>IF(OR(C1107&lt;outliers!$B$14,C1107&gt;outliers!$B$13),"Outlier","Normal")</f>
        <v>Normal</v>
      </c>
      <c r="H1107" t="str">
        <f>IF(OR(D1107&lt;outliers!$B$21,D1107&gt;outliers!$B$20),"Outlier","Normal")</f>
        <v>Normal</v>
      </c>
      <c r="I1107" t="str">
        <f>IF(OR(E1107&lt;outliers!$C$28,E1107&gt;outliers!$B$27),"Outlier","Normal")</f>
        <v>Normal</v>
      </c>
      <c r="J1107">
        <f t="shared" si="36"/>
        <v>2021</v>
      </c>
      <c r="K1107" t="str">
        <f t="shared" si="35"/>
        <v>December</v>
      </c>
    </row>
    <row r="1108" spans="1:11" hidden="1" x14ac:dyDescent="0.35">
      <c r="A1108" s="1">
        <v>44547</v>
      </c>
      <c r="B1108">
        <v>20.6</v>
      </c>
      <c r="C1108">
        <v>16.3</v>
      </c>
      <c r="D1108">
        <v>27.6</v>
      </c>
      <c r="E1108">
        <v>0</v>
      </c>
      <c r="F1108" t="str">
        <f>IF(OR(B1108&lt;outliers!$B$7,B1108&gt;outliers!$B$6),"Outlier","Normal")</f>
        <v>Normal</v>
      </c>
      <c r="G1108" t="str">
        <f>IF(OR(C1108&lt;outliers!$B$14,C1108&gt;outliers!$B$13),"Outlier","Normal")</f>
        <v>Outlier</v>
      </c>
      <c r="H1108" t="str">
        <f>IF(OR(D1108&lt;outliers!$B$21,D1108&gt;outliers!$B$20),"Outlier","Normal")</f>
        <v>Normal</v>
      </c>
      <c r="I1108" t="str">
        <f>IF(OR(E1108&lt;outliers!$C$28,E1108&gt;outliers!$B$27),"Outlier","Normal")</f>
        <v>Normal</v>
      </c>
      <c r="J1108">
        <f t="shared" si="36"/>
        <v>2021</v>
      </c>
      <c r="K1108" t="str">
        <f t="shared" si="35"/>
        <v>December</v>
      </c>
    </row>
    <row r="1109" spans="1:11" hidden="1" x14ac:dyDescent="0.35">
      <c r="A1109" s="1">
        <v>44548</v>
      </c>
      <c r="B1109">
        <v>20.2</v>
      </c>
      <c r="C1109">
        <v>15.3</v>
      </c>
      <c r="D1109">
        <v>26</v>
      </c>
      <c r="E1109">
        <v>0</v>
      </c>
      <c r="F1109" t="str">
        <f>IF(OR(B1109&lt;outliers!$B$7,B1109&gt;outliers!$B$6),"Outlier","Normal")</f>
        <v>Normal</v>
      </c>
      <c r="G1109" t="str">
        <f>IF(OR(C1109&lt;outliers!$B$14,C1109&gt;outliers!$B$13),"Outlier","Normal")</f>
        <v>Outlier</v>
      </c>
      <c r="H1109" t="str">
        <f>IF(OR(D1109&lt;outliers!$B$21,D1109&gt;outliers!$B$20),"Outlier","Normal")</f>
        <v>Normal</v>
      </c>
      <c r="I1109" t="str">
        <f>IF(OR(E1109&lt;outliers!$C$28,E1109&gt;outliers!$B$27),"Outlier","Normal")</f>
        <v>Normal</v>
      </c>
      <c r="J1109">
        <f t="shared" si="36"/>
        <v>2021</v>
      </c>
      <c r="K1109" t="str">
        <f t="shared" si="35"/>
        <v>December</v>
      </c>
    </row>
    <row r="1110" spans="1:11" hidden="1" x14ac:dyDescent="0.35">
      <c r="A1110" s="1">
        <v>44551</v>
      </c>
      <c r="B1110">
        <v>19</v>
      </c>
      <c r="C1110">
        <v>13.9</v>
      </c>
      <c r="D1110">
        <v>26</v>
      </c>
      <c r="E1110">
        <v>0</v>
      </c>
      <c r="F1110" t="str">
        <f>IF(OR(B1110&lt;outliers!$B$7,B1110&gt;outliers!$B$6),"Outlier","Normal")</f>
        <v>Outlier</v>
      </c>
      <c r="G1110" t="str">
        <f>IF(OR(C1110&lt;outliers!$B$14,C1110&gt;outliers!$B$13),"Outlier","Normal")</f>
        <v>Outlier</v>
      </c>
      <c r="H1110" t="str">
        <f>IF(OR(D1110&lt;outliers!$B$21,D1110&gt;outliers!$B$20),"Outlier","Normal")</f>
        <v>Normal</v>
      </c>
      <c r="I1110" t="str">
        <f>IF(OR(E1110&lt;outliers!$C$28,E1110&gt;outliers!$B$27),"Outlier","Normal")</f>
        <v>Normal</v>
      </c>
      <c r="J1110">
        <f t="shared" si="36"/>
        <v>2021</v>
      </c>
      <c r="K1110" t="str">
        <f t="shared" si="35"/>
        <v>December</v>
      </c>
    </row>
    <row r="1111" spans="1:11" hidden="1" x14ac:dyDescent="0.35">
      <c r="A1111" s="1">
        <v>44552</v>
      </c>
      <c r="B1111">
        <v>19.399999999999999</v>
      </c>
      <c r="C1111">
        <v>12.8</v>
      </c>
      <c r="D1111">
        <v>27.4</v>
      </c>
      <c r="E1111">
        <v>0</v>
      </c>
      <c r="F1111" t="str">
        <f>IF(OR(B1111&lt;outliers!$B$7,B1111&gt;outliers!$B$6),"Outlier","Normal")</f>
        <v>Normal</v>
      </c>
      <c r="G1111" t="str">
        <f>IF(OR(C1111&lt;outliers!$B$14,C1111&gt;outliers!$B$13),"Outlier","Normal")</f>
        <v>Outlier</v>
      </c>
      <c r="H1111" t="str">
        <f>IF(OR(D1111&lt;outliers!$B$21,D1111&gt;outliers!$B$20),"Outlier","Normal")</f>
        <v>Normal</v>
      </c>
      <c r="I1111" t="str">
        <f>IF(OR(E1111&lt;outliers!$C$28,E1111&gt;outliers!$B$27),"Outlier","Normal")</f>
        <v>Normal</v>
      </c>
      <c r="J1111">
        <f t="shared" si="36"/>
        <v>2021</v>
      </c>
      <c r="K1111" t="str">
        <f t="shared" si="35"/>
        <v>December</v>
      </c>
    </row>
    <row r="1112" spans="1:11" hidden="1" x14ac:dyDescent="0.35">
      <c r="A1112" s="1">
        <v>44553</v>
      </c>
      <c r="B1112">
        <v>20</v>
      </c>
      <c r="C1112">
        <v>13.2</v>
      </c>
      <c r="D1112">
        <v>27.4</v>
      </c>
      <c r="E1112">
        <v>0</v>
      </c>
      <c r="F1112" t="str">
        <f>IF(OR(B1112&lt;outliers!$B$7,B1112&gt;outliers!$B$6),"Outlier","Normal")</f>
        <v>Normal</v>
      </c>
      <c r="G1112" t="str">
        <f>IF(OR(C1112&lt;outliers!$B$14,C1112&gt;outliers!$B$13),"Outlier","Normal")</f>
        <v>Outlier</v>
      </c>
      <c r="H1112" t="str">
        <f>IF(OR(D1112&lt;outliers!$B$21,D1112&gt;outliers!$B$20),"Outlier","Normal")</f>
        <v>Normal</v>
      </c>
      <c r="I1112" t="str">
        <f>IF(OR(E1112&lt;outliers!$C$28,E1112&gt;outliers!$B$27),"Outlier","Normal")</f>
        <v>Normal</v>
      </c>
      <c r="J1112">
        <f t="shared" si="36"/>
        <v>2021</v>
      </c>
      <c r="K1112" t="str">
        <f t="shared" si="35"/>
        <v>December</v>
      </c>
    </row>
    <row r="1113" spans="1:11" hidden="1" x14ac:dyDescent="0.35">
      <c r="A1113" s="1">
        <v>44554</v>
      </c>
      <c r="B1113">
        <v>19.899999999999999</v>
      </c>
      <c r="C1113">
        <v>12.5</v>
      </c>
      <c r="D1113">
        <v>27.2</v>
      </c>
      <c r="E1113">
        <v>0</v>
      </c>
      <c r="F1113" t="str">
        <f>IF(OR(B1113&lt;outliers!$B$7,B1113&gt;outliers!$B$6),"Outlier","Normal")</f>
        <v>Normal</v>
      </c>
      <c r="G1113" t="str">
        <f>IF(OR(C1113&lt;outliers!$B$14,C1113&gt;outliers!$B$13),"Outlier","Normal")</f>
        <v>Outlier</v>
      </c>
      <c r="H1113" t="str">
        <f>IF(OR(D1113&lt;outliers!$B$21,D1113&gt;outliers!$B$20),"Outlier","Normal")</f>
        <v>Normal</v>
      </c>
      <c r="I1113" t="str">
        <f>IF(OR(E1113&lt;outliers!$C$28,E1113&gt;outliers!$B$27),"Outlier","Normal")</f>
        <v>Normal</v>
      </c>
      <c r="J1113">
        <f t="shared" si="36"/>
        <v>2021</v>
      </c>
      <c r="K1113" t="str">
        <f t="shared" si="35"/>
        <v>December</v>
      </c>
    </row>
    <row r="1114" spans="1:11" hidden="1" x14ac:dyDescent="0.35">
      <c r="A1114" s="1">
        <v>44555</v>
      </c>
      <c r="B1114">
        <v>20.3</v>
      </c>
      <c r="C1114">
        <v>12.6</v>
      </c>
      <c r="D1114">
        <v>29</v>
      </c>
      <c r="E1114">
        <v>0</v>
      </c>
      <c r="F1114" t="str">
        <f>IF(OR(B1114&lt;outliers!$B$7,B1114&gt;outliers!$B$6),"Outlier","Normal")</f>
        <v>Normal</v>
      </c>
      <c r="G1114" t="str">
        <f>IF(OR(C1114&lt;outliers!$B$14,C1114&gt;outliers!$B$13),"Outlier","Normal")</f>
        <v>Outlier</v>
      </c>
      <c r="H1114" t="str">
        <f>IF(OR(D1114&lt;outliers!$B$21,D1114&gt;outliers!$B$20),"Outlier","Normal")</f>
        <v>Normal</v>
      </c>
      <c r="I1114" t="str">
        <f>IF(OR(E1114&lt;outliers!$C$28,E1114&gt;outliers!$B$27),"Outlier","Normal")</f>
        <v>Normal</v>
      </c>
      <c r="J1114">
        <f t="shared" si="36"/>
        <v>2021</v>
      </c>
      <c r="K1114" t="str">
        <f t="shared" si="35"/>
        <v>December</v>
      </c>
    </row>
    <row r="1115" spans="1:11" hidden="1" x14ac:dyDescent="0.35">
      <c r="A1115" s="1">
        <v>44556</v>
      </c>
      <c r="B1115">
        <v>20.7</v>
      </c>
      <c r="C1115">
        <v>13.5</v>
      </c>
      <c r="D1115">
        <v>29.2</v>
      </c>
      <c r="E1115">
        <v>0</v>
      </c>
      <c r="F1115" t="str">
        <f>IF(OR(B1115&lt;outliers!$B$7,B1115&gt;outliers!$B$6),"Outlier","Normal")</f>
        <v>Normal</v>
      </c>
      <c r="G1115" t="str">
        <f>IF(OR(C1115&lt;outliers!$B$14,C1115&gt;outliers!$B$13),"Outlier","Normal")</f>
        <v>Outlier</v>
      </c>
      <c r="H1115" t="str">
        <f>IF(OR(D1115&lt;outliers!$B$21,D1115&gt;outliers!$B$20),"Outlier","Normal")</f>
        <v>Normal</v>
      </c>
      <c r="I1115" t="str">
        <f>IF(OR(E1115&lt;outliers!$C$28,E1115&gt;outliers!$B$27),"Outlier","Normal")</f>
        <v>Normal</v>
      </c>
      <c r="J1115">
        <f t="shared" si="36"/>
        <v>2021</v>
      </c>
      <c r="K1115" t="str">
        <f t="shared" si="35"/>
        <v>December</v>
      </c>
    </row>
    <row r="1116" spans="1:11" hidden="1" x14ac:dyDescent="0.35">
      <c r="A1116" s="1">
        <v>44557</v>
      </c>
      <c r="B1116">
        <v>20.2</v>
      </c>
      <c r="C1116">
        <v>15.2</v>
      </c>
      <c r="D1116">
        <v>26.6</v>
      </c>
      <c r="E1116">
        <v>0</v>
      </c>
      <c r="F1116" t="str">
        <f>IF(OR(B1116&lt;outliers!$B$7,B1116&gt;outliers!$B$6),"Outlier","Normal")</f>
        <v>Normal</v>
      </c>
      <c r="G1116" t="str">
        <f>IF(OR(C1116&lt;outliers!$B$14,C1116&gt;outliers!$B$13),"Outlier","Normal")</f>
        <v>Outlier</v>
      </c>
      <c r="H1116" t="str">
        <f>IF(OR(D1116&lt;outliers!$B$21,D1116&gt;outliers!$B$20),"Outlier","Normal")</f>
        <v>Normal</v>
      </c>
      <c r="I1116" t="str">
        <f>IF(OR(E1116&lt;outliers!$C$28,E1116&gt;outliers!$B$27),"Outlier","Normal")</f>
        <v>Normal</v>
      </c>
      <c r="J1116">
        <f t="shared" si="36"/>
        <v>2021</v>
      </c>
      <c r="K1116" t="str">
        <f t="shared" si="35"/>
        <v>December</v>
      </c>
    </row>
    <row r="1117" spans="1:11" hidden="1" x14ac:dyDescent="0.35">
      <c r="A1117" s="1">
        <v>44558</v>
      </c>
      <c r="B1117">
        <v>20.3</v>
      </c>
      <c r="C1117">
        <v>15.4</v>
      </c>
      <c r="D1117">
        <v>26.4</v>
      </c>
      <c r="E1117">
        <v>0</v>
      </c>
      <c r="F1117" t="str">
        <f>IF(OR(B1117&lt;outliers!$B$7,B1117&gt;outliers!$B$6),"Outlier","Normal")</f>
        <v>Normal</v>
      </c>
      <c r="G1117" t="str">
        <f>IF(OR(C1117&lt;outliers!$B$14,C1117&gt;outliers!$B$13),"Outlier","Normal")</f>
        <v>Outlier</v>
      </c>
      <c r="H1117" t="str">
        <f>IF(OR(D1117&lt;outliers!$B$21,D1117&gt;outliers!$B$20),"Outlier","Normal")</f>
        <v>Normal</v>
      </c>
      <c r="I1117" t="str">
        <f>IF(OR(E1117&lt;outliers!$C$28,E1117&gt;outliers!$B$27),"Outlier","Normal")</f>
        <v>Normal</v>
      </c>
      <c r="J1117">
        <f t="shared" si="36"/>
        <v>2021</v>
      </c>
      <c r="K1117" t="str">
        <f t="shared" si="35"/>
        <v>December</v>
      </c>
    </row>
    <row r="1118" spans="1:11" x14ac:dyDescent="0.35">
      <c r="A1118" s="1">
        <v>44559</v>
      </c>
      <c r="B1118">
        <v>21</v>
      </c>
      <c r="C1118">
        <v>17</v>
      </c>
      <c r="D1118">
        <v>26</v>
      </c>
      <c r="E1118">
        <v>0</v>
      </c>
      <c r="F1118" t="str">
        <f>IF(OR(B1118&lt;outliers!$B$7,B1118&gt;outliers!$B$6),"Outlier","Normal")</f>
        <v>Normal</v>
      </c>
      <c r="G1118" t="str">
        <f>IF(OR(C1118&lt;outliers!$B$14,C1118&gt;outliers!$B$13),"Outlier","Normal")</f>
        <v>Normal</v>
      </c>
      <c r="H1118" t="str">
        <f>IF(OR(D1118&lt;outliers!$B$21,D1118&gt;outliers!$B$20),"Outlier","Normal")</f>
        <v>Normal</v>
      </c>
      <c r="I1118" t="str">
        <f>IF(OR(E1118&lt;outliers!$C$28,E1118&gt;outliers!$B$27),"Outlier","Normal")</f>
        <v>Normal</v>
      </c>
      <c r="J1118">
        <f t="shared" si="36"/>
        <v>2021</v>
      </c>
      <c r="K1118" t="str">
        <f t="shared" si="35"/>
        <v>December</v>
      </c>
    </row>
    <row r="1119" spans="1:11" hidden="1" x14ac:dyDescent="0.35">
      <c r="A1119" s="1">
        <v>44560</v>
      </c>
      <c r="B1119">
        <v>20.2</v>
      </c>
      <c r="C1119">
        <v>15.4</v>
      </c>
      <c r="D1119">
        <v>26.4</v>
      </c>
      <c r="E1119">
        <v>0.7</v>
      </c>
      <c r="F1119" t="str">
        <f>IF(OR(B1119&lt;outliers!$B$7,B1119&gt;outliers!$B$6),"Outlier","Normal")</f>
        <v>Normal</v>
      </c>
      <c r="G1119" t="str">
        <f>IF(OR(C1119&lt;outliers!$B$14,C1119&gt;outliers!$B$13),"Outlier","Normal")</f>
        <v>Outlier</v>
      </c>
      <c r="H1119" t="str">
        <f>IF(OR(D1119&lt;outliers!$B$21,D1119&gt;outliers!$B$20),"Outlier","Normal")</f>
        <v>Normal</v>
      </c>
      <c r="I1119" t="str">
        <f>IF(OR(E1119&lt;outliers!$C$28,E1119&gt;outliers!$B$27),"Outlier","Normal")</f>
        <v>Normal</v>
      </c>
      <c r="J1119">
        <f t="shared" si="36"/>
        <v>2021</v>
      </c>
      <c r="K1119" t="str">
        <f t="shared" si="35"/>
        <v>December</v>
      </c>
    </row>
    <row r="1120" spans="1:11" x14ac:dyDescent="0.35">
      <c r="A1120" s="1">
        <v>44561</v>
      </c>
      <c r="B1120">
        <v>20.3</v>
      </c>
      <c r="C1120">
        <v>17.600000000000001</v>
      </c>
      <c r="D1120">
        <v>26.5</v>
      </c>
      <c r="E1120">
        <v>0</v>
      </c>
      <c r="F1120" t="str">
        <f>IF(OR(B1120&lt;outliers!$B$7,B1120&gt;outliers!$B$6),"Outlier","Normal")</f>
        <v>Normal</v>
      </c>
      <c r="G1120" t="str">
        <f>IF(OR(C1120&lt;outliers!$B$14,C1120&gt;outliers!$B$13),"Outlier","Normal")</f>
        <v>Normal</v>
      </c>
      <c r="H1120" t="str">
        <f>IF(OR(D1120&lt;outliers!$B$21,D1120&gt;outliers!$B$20),"Outlier","Normal")</f>
        <v>Normal</v>
      </c>
      <c r="I1120" t="str">
        <f>IF(OR(E1120&lt;outliers!$C$28,E1120&gt;outliers!$B$27),"Outlier","Normal")</f>
        <v>Normal</v>
      </c>
      <c r="J1120">
        <f t="shared" si="36"/>
        <v>2021</v>
      </c>
      <c r="K1120" t="str">
        <f t="shared" si="35"/>
        <v>December</v>
      </c>
    </row>
    <row r="1121" spans="1:11" x14ac:dyDescent="0.35">
      <c r="A1121" s="1">
        <v>44562</v>
      </c>
      <c r="B1121">
        <v>21.4</v>
      </c>
      <c r="C1121">
        <v>18.5</v>
      </c>
      <c r="D1121">
        <v>24.6</v>
      </c>
      <c r="E1121">
        <v>3.3</v>
      </c>
      <c r="F1121" t="str">
        <f>IF(OR(B1121&lt;outliers!$B$7,B1121&gt;outliers!$B$6),"Outlier","Normal")</f>
        <v>Normal</v>
      </c>
      <c r="G1121" t="str">
        <f>IF(OR(C1121&lt;outliers!$B$14,C1121&gt;outliers!$B$13),"Outlier","Normal")</f>
        <v>Normal</v>
      </c>
      <c r="H1121" t="str">
        <f>IF(OR(D1121&lt;outliers!$B$21,D1121&gt;outliers!$B$20),"Outlier","Normal")</f>
        <v>Normal</v>
      </c>
      <c r="I1121" t="str">
        <f>IF(OR(E1121&lt;outliers!$C$28,E1121&gt;outliers!$B$27),"Outlier","Normal")</f>
        <v>Normal</v>
      </c>
      <c r="J1121">
        <f t="shared" si="36"/>
        <v>2022</v>
      </c>
      <c r="K1121" t="str">
        <f t="shared" si="35"/>
        <v>December</v>
      </c>
    </row>
    <row r="1122" spans="1:11" x14ac:dyDescent="0.35">
      <c r="A1122" s="1">
        <v>44563</v>
      </c>
      <c r="B1122">
        <v>22</v>
      </c>
      <c r="C1122">
        <v>17.5</v>
      </c>
      <c r="D1122">
        <v>26.4</v>
      </c>
      <c r="E1122">
        <v>0</v>
      </c>
      <c r="F1122" t="str">
        <f>IF(OR(B1122&lt;outliers!$B$7,B1122&gt;outliers!$B$6),"Outlier","Normal")</f>
        <v>Normal</v>
      </c>
      <c r="G1122" t="str">
        <f>IF(OR(C1122&lt;outliers!$B$14,C1122&gt;outliers!$B$13),"Outlier","Normal")</f>
        <v>Normal</v>
      </c>
      <c r="H1122" t="str">
        <f>IF(OR(D1122&lt;outliers!$B$21,D1122&gt;outliers!$B$20),"Outlier","Normal")</f>
        <v>Normal</v>
      </c>
      <c r="I1122" t="str">
        <f>IF(OR(E1122&lt;outliers!$C$28,E1122&gt;outliers!$B$27),"Outlier","Normal")</f>
        <v>Normal</v>
      </c>
      <c r="J1122">
        <f t="shared" si="36"/>
        <v>2022</v>
      </c>
      <c r="K1122" t="str">
        <f t="shared" si="35"/>
        <v>January</v>
      </c>
    </row>
    <row r="1123" spans="1:11" hidden="1" x14ac:dyDescent="0.35">
      <c r="A1123" s="1">
        <v>44564</v>
      </c>
      <c r="B1123">
        <v>20.6</v>
      </c>
      <c r="C1123">
        <v>15.1</v>
      </c>
      <c r="D1123">
        <v>26.6</v>
      </c>
      <c r="E1123">
        <v>0</v>
      </c>
      <c r="F1123" t="str">
        <f>IF(OR(B1123&lt;outliers!$B$7,B1123&gt;outliers!$B$6),"Outlier","Normal")</f>
        <v>Normal</v>
      </c>
      <c r="G1123" t="str">
        <f>IF(OR(C1123&lt;outliers!$B$14,C1123&gt;outliers!$B$13),"Outlier","Normal")</f>
        <v>Outlier</v>
      </c>
      <c r="H1123" t="str">
        <f>IF(OR(D1123&lt;outliers!$B$21,D1123&gt;outliers!$B$20),"Outlier","Normal")</f>
        <v>Normal</v>
      </c>
      <c r="I1123" t="str">
        <f>IF(OR(E1123&lt;outliers!$C$28,E1123&gt;outliers!$B$27),"Outlier","Normal")</f>
        <v>Normal</v>
      </c>
      <c r="J1123">
        <f t="shared" si="36"/>
        <v>2022</v>
      </c>
      <c r="K1123" t="str">
        <f t="shared" si="35"/>
        <v>January</v>
      </c>
    </row>
    <row r="1124" spans="1:11" hidden="1" x14ac:dyDescent="0.35">
      <c r="A1124" s="1">
        <v>44565</v>
      </c>
      <c r="B1124">
        <v>20.5</v>
      </c>
      <c r="C1124">
        <v>16.399999999999999</v>
      </c>
      <c r="D1124">
        <v>26.3</v>
      </c>
      <c r="E1124">
        <v>0</v>
      </c>
      <c r="F1124" t="str">
        <f>IF(OR(B1124&lt;outliers!$B$7,B1124&gt;outliers!$B$6),"Outlier","Normal")</f>
        <v>Normal</v>
      </c>
      <c r="G1124" t="str">
        <f>IF(OR(C1124&lt;outliers!$B$14,C1124&gt;outliers!$B$13),"Outlier","Normal")</f>
        <v>Outlier</v>
      </c>
      <c r="H1124" t="str">
        <f>IF(OR(D1124&lt;outliers!$B$21,D1124&gt;outliers!$B$20),"Outlier","Normal")</f>
        <v>Normal</v>
      </c>
      <c r="I1124" t="str">
        <f>IF(OR(E1124&lt;outliers!$C$28,E1124&gt;outliers!$B$27),"Outlier","Normal")</f>
        <v>Normal</v>
      </c>
      <c r="J1124">
        <f t="shared" si="36"/>
        <v>2022</v>
      </c>
      <c r="K1124" t="str">
        <f t="shared" si="35"/>
        <v>January</v>
      </c>
    </row>
    <row r="1125" spans="1:11" hidden="1" x14ac:dyDescent="0.35">
      <c r="A1125" s="1">
        <v>44566</v>
      </c>
      <c r="B1125">
        <v>20.5</v>
      </c>
      <c r="C1125">
        <v>14.8</v>
      </c>
      <c r="D1125">
        <v>27.4</v>
      </c>
      <c r="E1125">
        <v>0</v>
      </c>
      <c r="F1125" t="str">
        <f>IF(OR(B1125&lt;outliers!$B$7,B1125&gt;outliers!$B$6),"Outlier","Normal")</f>
        <v>Normal</v>
      </c>
      <c r="G1125" t="str">
        <f>IF(OR(C1125&lt;outliers!$B$14,C1125&gt;outliers!$B$13),"Outlier","Normal")</f>
        <v>Outlier</v>
      </c>
      <c r="H1125" t="str">
        <f>IF(OR(D1125&lt;outliers!$B$21,D1125&gt;outliers!$B$20),"Outlier","Normal")</f>
        <v>Normal</v>
      </c>
      <c r="I1125" t="str">
        <f>IF(OR(E1125&lt;outliers!$C$28,E1125&gt;outliers!$B$27),"Outlier","Normal")</f>
        <v>Normal</v>
      </c>
      <c r="J1125">
        <f t="shared" si="36"/>
        <v>2022</v>
      </c>
      <c r="K1125" t="str">
        <f t="shared" si="35"/>
        <v>January</v>
      </c>
    </row>
    <row r="1126" spans="1:11" hidden="1" x14ac:dyDescent="0.35">
      <c r="A1126" s="1">
        <v>44567</v>
      </c>
      <c r="B1126">
        <v>21.1</v>
      </c>
      <c r="C1126">
        <v>15.9</v>
      </c>
      <c r="D1126">
        <v>27</v>
      </c>
      <c r="E1126">
        <v>0</v>
      </c>
      <c r="F1126" t="str">
        <f>IF(OR(B1126&lt;outliers!$B$7,B1126&gt;outliers!$B$6),"Outlier","Normal")</f>
        <v>Normal</v>
      </c>
      <c r="G1126" t="str">
        <f>IF(OR(C1126&lt;outliers!$B$14,C1126&gt;outliers!$B$13),"Outlier","Normal")</f>
        <v>Outlier</v>
      </c>
      <c r="H1126" t="str">
        <f>IF(OR(D1126&lt;outliers!$B$21,D1126&gt;outliers!$B$20),"Outlier","Normal")</f>
        <v>Normal</v>
      </c>
      <c r="I1126" t="str">
        <f>IF(OR(E1126&lt;outliers!$C$28,E1126&gt;outliers!$B$27),"Outlier","Normal")</f>
        <v>Normal</v>
      </c>
      <c r="J1126">
        <f t="shared" si="36"/>
        <v>2022</v>
      </c>
      <c r="K1126" t="str">
        <f t="shared" si="35"/>
        <v>January</v>
      </c>
    </row>
    <row r="1127" spans="1:11" hidden="1" x14ac:dyDescent="0.35">
      <c r="A1127" s="1">
        <v>44568</v>
      </c>
      <c r="B1127">
        <v>21.4</v>
      </c>
      <c r="C1127">
        <v>16.600000000000001</v>
      </c>
      <c r="D1127">
        <v>27</v>
      </c>
      <c r="E1127">
        <v>0</v>
      </c>
      <c r="F1127" t="str">
        <f>IF(OR(B1127&lt;outliers!$B$7,B1127&gt;outliers!$B$6),"Outlier","Normal")</f>
        <v>Normal</v>
      </c>
      <c r="G1127" t="str">
        <f>IF(OR(C1127&lt;outliers!$B$14,C1127&gt;outliers!$B$13),"Outlier","Normal")</f>
        <v>Outlier</v>
      </c>
      <c r="H1127" t="str">
        <f>IF(OR(D1127&lt;outliers!$B$21,D1127&gt;outliers!$B$20),"Outlier","Normal")</f>
        <v>Normal</v>
      </c>
      <c r="I1127" t="str">
        <f>IF(OR(E1127&lt;outliers!$C$28,E1127&gt;outliers!$B$27),"Outlier","Normal")</f>
        <v>Normal</v>
      </c>
      <c r="J1127">
        <f t="shared" si="36"/>
        <v>2022</v>
      </c>
      <c r="K1127" t="str">
        <f t="shared" si="35"/>
        <v>January</v>
      </c>
    </row>
    <row r="1128" spans="1:11" x14ac:dyDescent="0.35">
      <c r="A1128" s="1">
        <v>44569</v>
      </c>
      <c r="B1128">
        <v>21.6</v>
      </c>
      <c r="C1128">
        <v>17.2</v>
      </c>
      <c r="D1128">
        <v>27.2</v>
      </c>
      <c r="E1128">
        <v>0</v>
      </c>
      <c r="F1128" t="str">
        <f>IF(OR(B1128&lt;outliers!$B$7,B1128&gt;outliers!$B$6),"Outlier","Normal")</f>
        <v>Normal</v>
      </c>
      <c r="G1128" t="str">
        <f>IF(OR(C1128&lt;outliers!$B$14,C1128&gt;outliers!$B$13),"Outlier","Normal")</f>
        <v>Normal</v>
      </c>
      <c r="H1128" t="str">
        <f>IF(OR(D1128&lt;outliers!$B$21,D1128&gt;outliers!$B$20),"Outlier","Normal")</f>
        <v>Normal</v>
      </c>
      <c r="I1128" t="str">
        <f>IF(OR(E1128&lt;outliers!$C$28,E1128&gt;outliers!$B$27),"Outlier","Normal")</f>
        <v>Normal</v>
      </c>
      <c r="J1128">
        <f t="shared" si="36"/>
        <v>2022</v>
      </c>
      <c r="K1128" t="str">
        <f t="shared" si="35"/>
        <v>January</v>
      </c>
    </row>
    <row r="1129" spans="1:11" x14ac:dyDescent="0.35">
      <c r="A1129" s="1">
        <v>44570</v>
      </c>
      <c r="B1129">
        <v>21.7</v>
      </c>
      <c r="C1129">
        <v>17.3</v>
      </c>
      <c r="D1129">
        <v>27.2</v>
      </c>
      <c r="E1129">
        <v>0</v>
      </c>
      <c r="F1129" t="str">
        <f>IF(OR(B1129&lt;outliers!$B$7,B1129&gt;outliers!$B$6),"Outlier","Normal")</f>
        <v>Normal</v>
      </c>
      <c r="G1129" t="str">
        <f>IF(OR(C1129&lt;outliers!$B$14,C1129&gt;outliers!$B$13),"Outlier","Normal")</f>
        <v>Normal</v>
      </c>
      <c r="H1129" t="str">
        <f>IF(OR(D1129&lt;outliers!$B$21,D1129&gt;outliers!$B$20),"Outlier","Normal")</f>
        <v>Normal</v>
      </c>
      <c r="I1129" t="str">
        <f>IF(OR(E1129&lt;outliers!$C$28,E1129&gt;outliers!$B$27),"Outlier","Normal")</f>
        <v>Normal</v>
      </c>
      <c r="J1129">
        <f t="shared" si="36"/>
        <v>2022</v>
      </c>
      <c r="K1129" t="str">
        <f t="shared" si="35"/>
        <v>January</v>
      </c>
    </row>
    <row r="1130" spans="1:11" hidden="1" x14ac:dyDescent="0.35">
      <c r="A1130" s="1">
        <v>44571</v>
      </c>
      <c r="B1130">
        <v>21.5</v>
      </c>
      <c r="C1130">
        <v>16.7</v>
      </c>
      <c r="D1130">
        <v>27.3</v>
      </c>
      <c r="E1130">
        <v>0.1</v>
      </c>
      <c r="F1130" t="str">
        <f>IF(OR(B1130&lt;outliers!$B$7,B1130&gt;outliers!$B$6),"Outlier","Normal")</f>
        <v>Normal</v>
      </c>
      <c r="G1130" t="str">
        <f>IF(OR(C1130&lt;outliers!$B$14,C1130&gt;outliers!$B$13),"Outlier","Normal")</f>
        <v>Outlier</v>
      </c>
      <c r="H1130" t="str">
        <f>IF(OR(D1130&lt;outliers!$B$21,D1130&gt;outliers!$B$20),"Outlier","Normal")</f>
        <v>Normal</v>
      </c>
      <c r="I1130" t="str">
        <f>IF(OR(E1130&lt;outliers!$C$28,E1130&gt;outliers!$B$27),"Outlier","Normal")</f>
        <v>Normal</v>
      </c>
      <c r="J1130">
        <f t="shared" si="36"/>
        <v>2022</v>
      </c>
      <c r="K1130" t="str">
        <f t="shared" si="35"/>
        <v>January</v>
      </c>
    </row>
    <row r="1131" spans="1:11" hidden="1" x14ac:dyDescent="0.35">
      <c r="A1131" s="1">
        <v>44572</v>
      </c>
      <c r="B1131">
        <v>21.8</v>
      </c>
      <c r="C1131">
        <v>16.7</v>
      </c>
      <c r="D1131">
        <v>28.6</v>
      </c>
      <c r="E1131">
        <v>0.1</v>
      </c>
      <c r="F1131" t="str">
        <f>IF(OR(B1131&lt;outliers!$B$7,B1131&gt;outliers!$B$6),"Outlier","Normal")</f>
        <v>Normal</v>
      </c>
      <c r="G1131" t="str">
        <f>IF(OR(C1131&lt;outliers!$B$14,C1131&gt;outliers!$B$13),"Outlier","Normal")</f>
        <v>Outlier</v>
      </c>
      <c r="H1131" t="str">
        <f>IF(OR(D1131&lt;outliers!$B$21,D1131&gt;outliers!$B$20),"Outlier","Normal")</f>
        <v>Normal</v>
      </c>
      <c r="I1131" t="str">
        <f>IF(OR(E1131&lt;outliers!$C$28,E1131&gt;outliers!$B$27),"Outlier","Normal")</f>
        <v>Normal</v>
      </c>
      <c r="J1131">
        <f t="shared" si="36"/>
        <v>2022</v>
      </c>
      <c r="K1131" t="str">
        <f t="shared" si="35"/>
        <v>January</v>
      </c>
    </row>
    <row r="1132" spans="1:11" x14ac:dyDescent="0.35">
      <c r="A1132" s="1">
        <v>44573</v>
      </c>
      <c r="B1132">
        <v>22.4</v>
      </c>
      <c r="C1132">
        <v>18.3</v>
      </c>
      <c r="D1132">
        <v>28.6</v>
      </c>
      <c r="E1132">
        <v>0.4</v>
      </c>
      <c r="F1132" t="str">
        <f>IF(OR(B1132&lt;outliers!$B$7,B1132&gt;outliers!$B$6),"Outlier","Normal")</f>
        <v>Normal</v>
      </c>
      <c r="G1132" t="str">
        <f>IF(OR(C1132&lt;outliers!$B$14,C1132&gt;outliers!$B$13),"Outlier","Normal")</f>
        <v>Normal</v>
      </c>
      <c r="H1132" t="str">
        <f>IF(OR(D1132&lt;outliers!$B$21,D1132&gt;outliers!$B$20),"Outlier","Normal")</f>
        <v>Normal</v>
      </c>
      <c r="I1132" t="str">
        <f>IF(OR(E1132&lt;outliers!$C$28,E1132&gt;outliers!$B$27),"Outlier","Normal")</f>
        <v>Normal</v>
      </c>
      <c r="J1132">
        <f t="shared" si="36"/>
        <v>2022</v>
      </c>
      <c r="K1132" t="str">
        <f t="shared" si="35"/>
        <v>January</v>
      </c>
    </row>
    <row r="1133" spans="1:11" x14ac:dyDescent="0.35">
      <c r="A1133" s="1">
        <v>44574</v>
      </c>
      <c r="B1133">
        <v>22.1</v>
      </c>
      <c r="C1133">
        <v>17.5</v>
      </c>
      <c r="D1133">
        <v>27.4</v>
      </c>
      <c r="E1133">
        <v>0.5</v>
      </c>
      <c r="F1133" t="str">
        <f>IF(OR(B1133&lt;outliers!$B$7,B1133&gt;outliers!$B$6),"Outlier","Normal")</f>
        <v>Normal</v>
      </c>
      <c r="G1133" t="str">
        <f>IF(OR(C1133&lt;outliers!$B$14,C1133&gt;outliers!$B$13),"Outlier","Normal")</f>
        <v>Normal</v>
      </c>
      <c r="H1133" t="str">
        <f>IF(OR(D1133&lt;outliers!$B$21,D1133&gt;outliers!$B$20),"Outlier","Normal")</f>
        <v>Normal</v>
      </c>
      <c r="I1133" t="str">
        <f>IF(OR(E1133&lt;outliers!$C$28,E1133&gt;outliers!$B$27),"Outlier","Normal")</f>
        <v>Normal</v>
      </c>
      <c r="J1133">
        <f t="shared" si="36"/>
        <v>2022</v>
      </c>
      <c r="K1133" t="str">
        <f t="shared" si="35"/>
        <v>January</v>
      </c>
    </row>
    <row r="1134" spans="1:11" x14ac:dyDescent="0.35">
      <c r="A1134" s="1">
        <v>44575</v>
      </c>
      <c r="B1134">
        <v>21.8</v>
      </c>
      <c r="C1134">
        <v>17.8</v>
      </c>
      <c r="D1134">
        <v>27.4</v>
      </c>
      <c r="E1134">
        <v>0.2</v>
      </c>
      <c r="F1134" t="str">
        <f>IF(OR(B1134&lt;outliers!$B$7,B1134&gt;outliers!$B$6),"Outlier","Normal")</f>
        <v>Normal</v>
      </c>
      <c r="G1134" t="str">
        <f>IF(OR(C1134&lt;outliers!$B$14,C1134&gt;outliers!$B$13),"Outlier","Normal")</f>
        <v>Normal</v>
      </c>
      <c r="H1134" t="str">
        <f>IF(OR(D1134&lt;outliers!$B$21,D1134&gt;outliers!$B$20),"Outlier","Normal")</f>
        <v>Normal</v>
      </c>
      <c r="I1134" t="str">
        <f>IF(OR(E1134&lt;outliers!$C$28,E1134&gt;outliers!$B$27),"Outlier","Normal")</f>
        <v>Normal</v>
      </c>
      <c r="J1134">
        <f t="shared" si="36"/>
        <v>2022</v>
      </c>
      <c r="K1134" t="str">
        <f t="shared" si="35"/>
        <v>January</v>
      </c>
    </row>
    <row r="1135" spans="1:11" hidden="1" x14ac:dyDescent="0.35">
      <c r="A1135" s="1">
        <v>44576</v>
      </c>
      <c r="B1135">
        <v>22</v>
      </c>
      <c r="C1135">
        <v>16.2</v>
      </c>
      <c r="D1135">
        <v>28.6</v>
      </c>
      <c r="E1135">
        <v>0</v>
      </c>
      <c r="F1135" t="str">
        <f>IF(OR(B1135&lt;outliers!$B$7,B1135&gt;outliers!$B$6),"Outlier","Normal")</f>
        <v>Normal</v>
      </c>
      <c r="G1135" t="str">
        <f>IF(OR(C1135&lt;outliers!$B$14,C1135&gt;outliers!$B$13),"Outlier","Normal")</f>
        <v>Outlier</v>
      </c>
      <c r="H1135" t="str">
        <f>IF(OR(D1135&lt;outliers!$B$21,D1135&gt;outliers!$B$20),"Outlier","Normal")</f>
        <v>Normal</v>
      </c>
      <c r="I1135" t="str">
        <f>IF(OR(E1135&lt;outliers!$C$28,E1135&gt;outliers!$B$27),"Outlier","Normal")</f>
        <v>Normal</v>
      </c>
      <c r="J1135">
        <f t="shared" si="36"/>
        <v>2022</v>
      </c>
      <c r="K1135" t="str">
        <f t="shared" si="35"/>
        <v>January</v>
      </c>
    </row>
    <row r="1136" spans="1:11" x14ac:dyDescent="0.35">
      <c r="A1136" s="1">
        <v>44577</v>
      </c>
      <c r="B1136">
        <v>21.9</v>
      </c>
      <c r="C1136">
        <v>17.399999999999999</v>
      </c>
      <c r="D1136">
        <v>27.6</v>
      </c>
      <c r="E1136">
        <v>0.2</v>
      </c>
      <c r="F1136" t="str">
        <f>IF(OR(B1136&lt;outliers!$B$7,B1136&gt;outliers!$B$6),"Outlier","Normal")</f>
        <v>Normal</v>
      </c>
      <c r="G1136" t="str">
        <f>IF(OR(C1136&lt;outliers!$B$14,C1136&gt;outliers!$B$13),"Outlier","Normal")</f>
        <v>Normal</v>
      </c>
      <c r="H1136" t="str">
        <f>IF(OR(D1136&lt;outliers!$B$21,D1136&gt;outliers!$B$20),"Outlier","Normal")</f>
        <v>Normal</v>
      </c>
      <c r="I1136" t="str">
        <f>IF(OR(E1136&lt;outliers!$C$28,E1136&gt;outliers!$B$27),"Outlier","Normal")</f>
        <v>Normal</v>
      </c>
      <c r="J1136">
        <f t="shared" si="36"/>
        <v>2022</v>
      </c>
      <c r="K1136" t="str">
        <f t="shared" si="35"/>
        <v>January</v>
      </c>
    </row>
    <row r="1137" spans="1:11" hidden="1" x14ac:dyDescent="0.35">
      <c r="A1137" s="1">
        <v>44578</v>
      </c>
      <c r="B1137">
        <v>21.3</v>
      </c>
      <c r="C1137">
        <v>16.8</v>
      </c>
      <c r="D1137">
        <v>27</v>
      </c>
      <c r="E1137">
        <v>0</v>
      </c>
      <c r="F1137" t="str">
        <f>IF(OR(B1137&lt;outliers!$B$7,B1137&gt;outliers!$B$6),"Outlier","Normal")</f>
        <v>Normal</v>
      </c>
      <c r="G1137" t="str">
        <f>IF(OR(C1137&lt;outliers!$B$14,C1137&gt;outliers!$B$13),"Outlier","Normal")</f>
        <v>Outlier</v>
      </c>
      <c r="H1137" t="str">
        <f>IF(OR(D1137&lt;outliers!$B$21,D1137&gt;outliers!$B$20),"Outlier","Normal")</f>
        <v>Normal</v>
      </c>
      <c r="I1137" t="str">
        <f>IF(OR(E1137&lt;outliers!$C$28,E1137&gt;outliers!$B$27),"Outlier","Normal")</f>
        <v>Normal</v>
      </c>
      <c r="J1137">
        <f t="shared" si="36"/>
        <v>2022</v>
      </c>
      <c r="K1137" t="str">
        <f t="shared" si="35"/>
        <v>January</v>
      </c>
    </row>
    <row r="1138" spans="1:11" hidden="1" x14ac:dyDescent="0.35">
      <c r="A1138" s="1">
        <v>44579</v>
      </c>
      <c r="B1138">
        <v>21.1</v>
      </c>
      <c r="C1138">
        <v>15.3</v>
      </c>
      <c r="D1138">
        <v>27.1</v>
      </c>
      <c r="E1138">
        <v>0</v>
      </c>
      <c r="F1138" t="str">
        <f>IF(OR(B1138&lt;outliers!$B$7,B1138&gt;outliers!$B$6),"Outlier","Normal")</f>
        <v>Normal</v>
      </c>
      <c r="G1138" t="str">
        <f>IF(OR(C1138&lt;outliers!$B$14,C1138&gt;outliers!$B$13),"Outlier","Normal")</f>
        <v>Outlier</v>
      </c>
      <c r="H1138" t="str">
        <f>IF(OR(D1138&lt;outliers!$B$21,D1138&gt;outliers!$B$20),"Outlier","Normal")</f>
        <v>Normal</v>
      </c>
      <c r="I1138" t="str">
        <f>IF(OR(E1138&lt;outliers!$C$28,E1138&gt;outliers!$B$27),"Outlier","Normal")</f>
        <v>Normal</v>
      </c>
      <c r="J1138">
        <f t="shared" si="36"/>
        <v>2022</v>
      </c>
      <c r="K1138" t="str">
        <f t="shared" si="35"/>
        <v>January</v>
      </c>
    </row>
    <row r="1139" spans="1:11" hidden="1" x14ac:dyDescent="0.35">
      <c r="A1139" s="1">
        <v>44580</v>
      </c>
      <c r="B1139">
        <v>21</v>
      </c>
      <c r="C1139">
        <v>16</v>
      </c>
      <c r="D1139">
        <v>27</v>
      </c>
      <c r="E1139">
        <v>0</v>
      </c>
      <c r="F1139" t="str">
        <f>IF(OR(B1139&lt;outliers!$B$7,B1139&gt;outliers!$B$6),"Outlier","Normal")</f>
        <v>Normal</v>
      </c>
      <c r="G1139" t="str">
        <f>IF(OR(C1139&lt;outliers!$B$14,C1139&gt;outliers!$B$13),"Outlier","Normal")</f>
        <v>Outlier</v>
      </c>
      <c r="H1139" t="str">
        <f>IF(OR(D1139&lt;outliers!$B$21,D1139&gt;outliers!$B$20),"Outlier","Normal")</f>
        <v>Normal</v>
      </c>
      <c r="I1139" t="str">
        <f>IF(OR(E1139&lt;outliers!$C$28,E1139&gt;outliers!$B$27),"Outlier","Normal")</f>
        <v>Normal</v>
      </c>
      <c r="J1139">
        <f t="shared" si="36"/>
        <v>2022</v>
      </c>
      <c r="K1139" t="str">
        <f t="shared" si="35"/>
        <v>January</v>
      </c>
    </row>
    <row r="1140" spans="1:11" hidden="1" x14ac:dyDescent="0.35">
      <c r="A1140" s="1">
        <v>44581</v>
      </c>
      <c r="B1140">
        <v>21</v>
      </c>
      <c r="C1140">
        <v>13</v>
      </c>
      <c r="D1140">
        <v>29</v>
      </c>
      <c r="E1140">
        <v>0</v>
      </c>
      <c r="F1140" t="str">
        <f>IF(OR(B1140&lt;outliers!$B$7,B1140&gt;outliers!$B$6),"Outlier","Normal")</f>
        <v>Normal</v>
      </c>
      <c r="G1140" t="str">
        <f>IF(OR(C1140&lt;outliers!$B$14,C1140&gt;outliers!$B$13),"Outlier","Normal")</f>
        <v>Outlier</v>
      </c>
      <c r="H1140" t="str">
        <f>IF(OR(D1140&lt;outliers!$B$21,D1140&gt;outliers!$B$20),"Outlier","Normal")</f>
        <v>Normal</v>
      </c>
      <c r="I1140" t="str">
        <f>IF(OR(E1140&lt;outliers!$C$28,E1140&gt;outliers!$B$27),"Outlier","Normal")</f>
        <v>Normal</v>
      </c>
      <c r="J1140">
        <f t="shared" si="36"/>
        <v>2022</v>
      </c>
      <c r="K1140" t="str">
        <f t="shared" si="35"/>
        <v>January</v>
      </c>
    </row>
    <row r="1141" spans="1:11" hidden="1" x14ac:dyDescent="0.35">
      <c r="A1141" s="1">
        <v>44582</v>
      </c>
      <c r="B1141">
        <v>22.1</v>
      </c>
      <c r="C1141">
        <v>14.5</v>
      </c>
      <c r="D1141">
        <v>31.4</v>
      </c>
      <c r="E1141">
        <v>0</v>
      </c>
      <c r="F1141" t="str">
        <f>IF(OR(B1141&lt;outliers!$B$7,B1141&gt;outliers!$B$6),"Outlier","Normal")</f>
        <v>Normal</v>
      </c>
      <c r="G1141" t="str">
        <f>IF(OR(C1141&lt;outliers!$B$14,C1141&gt;outliers!$B$13),"Outlier","Normal")</f>
        <v>Outlier</v>
      </c>
      <c r="H1141" t="str">
        <f>IF(OR(D1141&lt;outliers!$B$21,D1141&gt;outliers!$B$20),"Outlier","Normal")</f>
        <v>Normal</v>
      </c>
      <c r="I1141" t="str">
        <f>IF(OR(E1141&lt;outliers!$C$28,E1141&gt;outliers!$B$27),"Outlier","Normal")</f>
        <v>Normal</v>
      </c>
      <c r="J1141">
        <f t="shared" si="36"/>
        <v>2022</v>
      </c>
      <c r="K1141" t="str">
        <f t="shared" si="35"/>
        <v>January</v>
      </c>
    </row>
    <row r="1142" spans="1:11" hidden="1" x14ac:dyDescent="0.35">
      <c r="A1142" s="1">
        <v>44583</v>
      </c>
      <c r="B1142">
        <v>22.1</v>
      </c>
      <c r="C1142">
        <v>14.6</v>
      </c>
      <c r="D1142">
        <v>30</v>
      </c>
      <c r="E1142">
        <v>0</v>
      </c>
      <c r="F1142" t="str">
        <f>IF(OR(B1142&lt;outliers!$B$7,B1142&gt;outliers!$B$6),"Outlier","Normal")</f>
        <v>Normal</v>
      </c>
      <c r="G1142" t="str">
        <f>IF(OR(C1142&lt;outliers!$B$14,C1142&gt;outliers!$B$13),"Outlier","Normal")</f>
        <v>Outlier</v>
      </c>
      <c r="H1142" t="str">
        <f>IF(OR(D1142&lt;outliers!$B$21,D1142&gt;outliers!$B$20),"Outlier","Normal")</f>
        <v>Normal</v>
      </c>
      <c r="I1142" t="str">
        <f>IF(OR(E1142&lt;outliers!$C$28,E1142&gt;outliers!$B$27),"Outlier","Normal")</f>
        <v>Normal</v>
      </c>
      <c r="J1142">
        <f t="shared" si="36"/>
        <v>2022</v>
      </c>
      <c r="K1142" t="str">
        <f t="shared" si="35"/>
        <v>January</v>
      </c>
    </row>
    <row r="1143" spans="1:11" hidden="1" x14ac:dyDescent="0.35">
      <c r="A1143" s="1">
        <v>44584</v>
      </c>
      <c r="B1143">
        <v>21.9</v>
      </c>
      <c r="C1143">
        <v>14.9</v>
      </c>
      <c r="D1143">
        <v>30.4</v>
      </c>
      <c r="E1143">
        <v>0</v>
      </c>
      <c r="F1143" t="str">
        <f>IF(OR(B1143&lt;outliers!$B$7,B1143&gt;outliers!$B$6),"Outlier","Normal")</f>
        <v>Normal</v>
      </c>
      <c r="G1143" t="str">
        <f>IF(OR(C1143&lt;outliers!$B$14,C1143&gt;outliers!$B$13),"Outlier","Normal")</f>
        <v>Outlier</v>
      </c>
      <c r="H1143" t="str">
        <f>IF(OR(D1143&lt;outliers!$B$21,D1143&gt;outliers!$B$20),"Outlier","Normal")</f>
        <v>Normal</v>
      </c>
      <c r="I1143" t="str">
        <f>IF(OR(E1143&lt;outliers!$C$28,E1143&gt;outliers!$B$27),"Outlier","Normal")</f>
        <v>Normal</v>
      </c>
      <c r="J1143">
        <f t="shared" si="36"/>
        <v>2022</v>
      </c>
      <c r="K1143" t="str">
        <f t="shared" si="35"/>
        <v>January</v>
      </c>
    </row>
    <row r="1144" spans="1:11" hidden="1" x14ac:dyDescent="0.35">
      <c r="A1144" s="1">
        <v>44585</v>
      </c>
      <c r="B1144">
        <v>21.2</v>
      </c>
      <c r="C1144">
        <v>13.4</v>
      </c>
      <c r="D1144">
        <v>28.8</v>
      </c>
      <c r="E1144">
        <v>0</v>
      </c>
      <c r="F1144" t="str">
        <f>IF(OR(B1144&lt;outliers!$B$7,B1144&gt;outliers!$B$6),"Outlier","Normal")</f>
        <v>Normal</v>
      </c>
      <c r="G1144" t="str">
        <f>IF(OR(C1144&lt;outliers!$B$14,C1144&gt;outliers!$B$13),"Outlier","Normal")</f>
        <v>Outlier</v>
      </c>
      <c r="H1144" t="str">
        <f>IF(OR(D1144&lt;outliers!$B$21,D1144&gt;outliers!$B$20),"Outlier","Normal")</f>
        <v>Normal</v>
      </c>
      <c r="I1144" t="str">
        <f>IF(OR(E1144&lt;outliers!$C$28,E1144&gt;outliers!$B$27),"Outlier","Normal")</f>
        <v>Normal</v>
      </c>
      <c r="J1144">
        <f t="shared" si="36"/>
        <v>2022</v>
      </c>
      <c r="K1144" t="str">
        <f t="shared" si="35"/>
        <v>January</v>
      </c>
    </row>
    <row r="1145" spans="1:11" hidden="1" x14ac:dyDescent="0.35">
      <c r="A1145" s="1">
        <v>44586</v>
      </c>
      <c r="B1145">
        <v>20.8</v>
      </c>
      <c r="C1145">
        <v>13.1</v>
      </c>
      <c r="D1145">
        <v>27.4</v>
      </c>
      <c r="E1145">
        <v>0</v>
      </c>
      <c r="F1145" t="str">
        <f>IF(OR(B1145&lt;outliers!$B$7,B1145&gt;outliers!$B$6),"Outlier","Normal")</f>
        <v>Normal</v>
      </c>
      <c r="G1145" t="str">
        <f>IF(OR(C1145&lt;outliers!$B$14,C1145&gt;outliers!$B$13),"Outlier","Normal")</f>
        <v>Outlier</v>
      </c>
      <c r="H1145" t="str">
        <f>IF(OR(D1145&lt;outliers!$B$21,D1145&gt;outliers!$B$20),"Outlier","Normal")</f>
        <v>Normal</v>
      </c>
      <c r="I1145" t="str">
        <f>IF(OR(E1145&lt;outliers!$C$28,E1145&gt;outliers!$B$27),"Outlier","Normal")</f>
        <v>Normal</v>
      </c>
      <c r="J1145">
        <f t="shared" si="36"/>
        <v>2022</v>
      </c>
      <c r="K1145" t="str">
        <f t="shared" si="35"/>
        <v>January</v>
      </c>
    </row>
    <row r="1146" spans="1:11" x14ac:dyDescent="0.35">
      <c r="A1146" s="1">
        <v>44587</v>
      </c>
      <c r="B1146">
        <v>22.2</v>
      </c>
      <c r="C1146">
        <v>17.3</v>
      </c>
      <c r="D1146">
        <v>28</v>
      </c>
      <c r="E1146">
        <v>0.1</v>
      </c>
      <c r="F1146" t="str">
        <f>IF(OR(B1146&lt;outliers!$B$7,B1146&gt;outliers!$B$6),"Outlier","Normal")</f>
        <v>Normal</v>
      </c>
      <c r="G1146" t="str">
        <f>IF(OR(C1146&lt;outliers!$B$14,C1146&gt;outliers!$B$13),"Outlier","Normal")</f>
        <v>Normal</v>
      </c>
      <c r="H1146" t="str">
        <f>IF(OR(D1146&lt;outliers!$B$21,D1146&gt;outliers!$B$20),"Outlier","Normal")</f>
        <v>Normal</v>
      </c>
      <c r="I1146" t="str">
        <f>IF(OR(E1146&lt;outliers!$C$28,E1146&gt;outliers!$B$27),"Outlier","Normal")</f>
        <v>Normal</v>
      </c>
      <c r="J1146">
        <f t="shared" si="36"/>
        <v>2022</v>
      </c>
      <c r="K1146" t="str">
        <f t="shared" si="35"/>
        <v>January</v>
      </c>
    </row>
    <row r="1147" spans="1:11" x14ac:dyDescent="0.35">
      <c r="A1147" s="1">
        <v>44588</v>
      </c>
      <c r="B1147">
        <v>21.5</v>
      </c>
      <c r="C1147">
        <v>17.899999999999999</v>
      </c>
      <c r="D1147">
        <v>25.4</v>
      </c>
      <c r="E1147">
        <v>1.8</v>
      </c>
      <c r="F1147" t="str">
        <f>IF(OR(B1147&lt;outliers!$B$7,B1147&gt;outliers!$B$6),"Outlier","Normal")</f>
        <v>Normal</v>
      </c>
      <c r="G1147" t="str">
        <f>IF(OR(C1147&lt;outliers!$B$14,C1147&gt;outliers!$B$13),"Outlier","Normal")</f>
        <v>Normal</v>
      </c>
      <c r="H1147" t="str">
        <f>IF(OR(D1147&lt;outliers!$B$21,D1147&gt;outliers!$B$20),"Outlier","Normal")</f>
        <v>Normal</v>
      </c>
      <c r="I1147" t="str">
        <f>IF(OR(E1147&lt;outliers!$C$28,E1147&gt;outliers!$B$27),"Outlier","Normal")</f>
        <v>Normal</v>
      </c>
      <c r="J1147">
        <f t="shared" si="36"/>
        <v>2022</v>
      </c>
      <c r="K1147" t="str">
        <f t="shared" si="35"/>
        <v>January</v>
      </c>
    </row>
    <row r="1148" spans="1:11" x14ac:dyDescent="0.35">
      <c r="A1148" s="1">
        <v>44589</v>
      </c>
      <c r="B1148">
        <v>21.1</v>
      </c>
      <c r="C1148">
        <v>17</v>
      </c>
      <c r="D1148">
        <v>26.3</v>
      </c>
      <c r="E1148">
        <v>0</v>
      </c>
      <c r="F1148" t="str">
        <f>IF(OR(B1148&lt;outliers!$B$7,B1148&gt;outliers!$B$6),"Outlier","Normal")</f>
        <v>Normal</v>
      </c>
      <c r="G1148" t="str">
        <f>IF(OR(C1148&lt;outliers!$B$14,C1148&gt;outliers!$B$13),"Outlier","Normal")</f>
        <v>Normal</v>
      </c>
      <c r="H1148" t="str">
        <f>IF(OR(D1148&lt;outliers!$B$21,D1148&gt;outliers!$B$20),"Outlier","Normal")</f>
        <v>Normal</v>
      </c>
      <c r="I1148" t="str">
        <f>IF(OR(E1148&lt;outliers!$C$28,E1148&gt;outliers!$B$27),"Outlier","Normal")</f>
        <v>Normal</v>
      </c>
      <c r="J1148">
        <f t="shared" si="36"/>
        <v>2022</v>
      </c>
      <c r="K1148" t="str">
        <f t="shared" si="35"/>
        <v>January</v>
      </c>
    </row>
    <row r="1149" spans="1:11" hidden="1" x14ac:dyDescent="0.35">
      <c r="A1149" s="1">
        <v>44590</v>
      </c>
      <c r="B1149">
        <v>21.2</v>
      </c>
      <c r="C1149">
        <v>15.3</v>
      </c>
      <c r="D1149">
        <v>27.2</v>
      </c>
      <c r="E1149">
        <v>0</v>
      </c>
      <c r="F1149" t="str">
        <f>IF(OR(B1149&lt;outliers!$B$7,B1149&gt;outliers!$B$6),"Outlier","Normal")</f>
        <v>Normal</v>
      </c>
      <c r="G1149" t="str">
        <f>IF(OR(C1149&lt;outliers!$B$14,C1149&gt;outliers!$B$13),"Outlier","Normal")</f>
        <v>Outlier</v>
      </c>
      <c r="H1149" t="str">
        <f>IF(OR(D1149&lt;outliers!$B$21,D1149&gt;outliers!$B$20),"Outlier","Normal")</f>
        <v>Normal</v>
      </c>
      <c r="I1149" t="str">
        <f>IF(OR(E1149&lt;outliers!$C$28,E1149&gt;outliers!$B$27),"Outlier","Normal")</f>
        <v>Normal</v>
      </c>
      <c r="J1149">
        <f t="shared" si="36"/>
        <v>2022</v>
      </c>
      <c r="K1149" t="str">
        <f t="shared" si="35"/>
        <v>January</v>
      </c>
    </row>
    <row r="1150" spans="1:11" x14ac:dyDescent="0.35">
      <c r="A1150" s="1">
        <v>44591</v>
      </c>
      <c r="B1150">
        <v>23</v>
      </c>
      <c r="C1150">
        <v>18.100000000000001</v>
      </c>
      <c r="D1150">
        <v>29.4</v>
      </c>
      <c r="E1150">
        <v>0</v>
      </c>
      <c r="F1150" t="str">
        <f>IF(OR(B1150&lt;outliers!$B$7,B1150&gt;outliers!$B$6),"Outlier","Normal")</f>
        <v>Normal</v>
      </c>
      <c r="G1150" t="str">
        <f>IF(OR(C1150&lt;outliers!$B$14,C1150&gt;outliers!$B$13),"Outlier","Normal")</f>
        <v>Normal</v>
      </c>
      <c r="H1150" t="str">
        <f>IF(OR(D1150&lt;outliers!$B$21,D1150&gt;outliers!$B$20),"Outlier","Normal")</f>
        <v>Normal</v>
      </c>
      <c r="I1150" t="str">
        <f>IF(OR(E1150&lt;outliers!$C$28,E1150&gt;outliers!$B$27),"Outlier","Normal")</f>
        <v>Normal</v>
      </c>
      <c r="J1150">
        <f t="shared" si="36"/>
        <v>2022</v>
      </c>
      <c r="K1150" t="str">
        <f t="shared" si="35"/>
        <v>January</v>
      </c>
    </row>
    <row r="1151" spans="1:11" x14ac:dyDescent="0.35">
      <c r="A1151" s="1">
        <v>44592</v>
      </c>
      <c r="B1151">
        <v>23.4</v>
      </c>
      <c r="C1151">
        <v>18.3</v>
      </c>
      <c r="D1151">
        <v>29.6</v>
      </c>
      <c r="E1151">
        <v>0</v>
      </c>
      <c r="F1151" t="str">
        <f>IF(OR(B1151&lt;outliers!$B$7,B1151&gt;outliers!$B$6),"Outlier","Normal")</f>
        <v>Normal</v>
      </c>
      <c r="G1151" t="str">
        <f>IF(OR(C1151&lt;outliers!$B$14,C1151&gt;outliers!$B$13),"Outlier","Normal")</f>
        <v>Normal</v>
      </c>
      <c r="H1151" t="str">
        <f>IF(OR(D1151&lt;outliers!$B$21,D1151&gt;outliers!$B$20),"Outlier","Normal")</f>
        <v>Normal</v>
      </c>
      <c r="I1151" t="str">
        <f>IF(OR(E1151&lt;outliers!$C$28,E1151&gt;outliers!$B$27),"Outlier","Normal")</f>
        <v>Normal</v>
      </c>
      <c r="J1151">
        <f t="shared" si="36"/>
        <v>2022</v>
      </c>
      <c r="K1151" t="str">
        <f t="shared" si="35"/>
        <v>January</v>
      </c>
    </row>
    <row r="1152" spans="1:11" x14ac:dyDescent="0.35">
      <c r="A1152" s="1">
        <v>44593</v>
      </c>
      <c r="B1152">
        <v>23.2</v>
      </c>
      <c r="C1152">
        <v>17.399999999999999</v>
      </c>
      <c r="D1152">
        <v>29.8</v>
      </c>
      <c r="E1152">
        <v>0</v>
      </c>
      <c r="F1152" t="str">
        <f>IF(OR(B1152&lt;outliers!$B$7,B1152&gt;outliers!$B$6),"Outlier","Normal")</f>
        <v>Normal</v>
      </c>
      <c r="G1152" t="str">
        <f>IF(OR(C1152&lt;outliers!$B$14,C1152&gt;outliers!$B$13),"Outlier","Normal")</f>
        <v>Normal</v>
      </c>
      <c r="H1152" t="str">
        <f>IF(OR(D1152&lt;outliers!$B$21,D1152&gt;outliers!$B$20),"Outlier","Normal")</f>
        <v>Normal</v>
      </c>
      <c r="I1152" t="str">
        <f>IF(OR(E1152&lt;outliers!$C$28,E1152&gt;outliers!$B$27),"Outlier","Normal")</f>
        <v>Normal</v>
      </c>
      <c r="J1152">
        <f t="shared" si="36"/>
        <v>2022</v>
      </c>
      <c r="K1152" t="str">
        <f t="shared" si="35"/>
        <v>January</v>
      </c>
    </row>
    <row r="1153" spans="1:11" hidden="1" x14ac:dyDescent="0.35">
      <c r="A1153" s="1">
        <v>44594</v>
      </c>
      <c r="B1153">
        <v>23</v>
      </c>
      <c r="C1153">
        <v>16.3</v>
      </c>
      <c r="D1153">
        <v>29.6</v>
      </c>
      <c r="E1153">
        <v>0</v>
      </c>
      <c r="F1153" t="str">
        <f>IF(OR(B1153&lt;outliers!$B$7,B1153&gt;outliers!$B$6),"Outlier","Normal")</f>
        <v>Normal</v>
      </c>
      <c r="G1153" t="str">
        <f>IF(OR(C1153&lt;outliers!$B$14,C1153&gt;outliers!$B$13),"Outlier","Normal")</f>
        <v>Outlier</v>
      </c>
      <c r="H1153" t="str">
        <f>IF(OR(D1153&lt;outliers!$B$21,D1153&gt;outliers!$B$20),"Outlier","Normal")</f>
        <v>Normal</v>
      </c>
      <c r="I1153" t="str">
        <f>IF(OR(E1153&lt;outliers!$C$28,E1153&gt;outliers!$B$27),"Outlier","Normal")</f>
        <v>Normal</v>
      </c>
      <c r="J1153">
        <f t="shared" si="36"/>
        <v>2022</v>
      </c>
      <c r="K1153" t="str">
        <f t="shared" si="35"/>
        <v>February</v>
      </c>
    </row>
    <row r="1154" spans="1:11" hidden="1" x14ac:dyDescent="0.35">
      <c r="A1154" s="1">
        <v>44595</v>
      </c>
      <c r="B1154">
        <v>22.7</v>
      </c>
      <c r="C1154">
        <v>16.3</v>
      </c>
      <c r="D1154">
        <v>28.7</v>
      </c>
      <c r="E1154">
        <v>0</v>
      </c>
      <c r="F1154" t="str">
        <f>IF(OR(B1154&lt;outliers!$B$7,B1154&gt;outliers!$B$6),"Outlier","Normal")</f>
        <v>Normal</v>
      </c>
      <c r="G1154" t="str">
        <f>IF(OR(C1154&lt;outliers!$B$14,C1154&gt;outliers!$B$13),"Outlier","Normal")</f>
        <v>Outlier</v>
      </c>
      <c r="H1154" t="str">
        <f>IF(OR(D1154&lt;outliers!$B$21,D1154&gt;outliers!$B$20),"Outlier","Normal")</f>
        <v>Normal</v>
      </c>
      <c r="I1154" t="str">
        <f>IF(OR(E1154&lt;outliers!$C$28,E1154&gt;outliers!$B$27),"Outlier","Normal")</f>
        <v>Normal</v>
      </c>
      <c r="J1154">
        <f t="shared" si="36"/>
        <v>2022</v>
      </c>
      <c r="K1154" t="str">
        <f t="shared" ref="K1154:K1217" si="37">TEXT(A1153,"mmmm")</f>
        <v>February</v>
      </c>
    </row>
    <row r="1155" spans="1:11" hidden="1" x14ac:dyDescent="0.35">
      <c r="A1155" s="1">
        <v>44596</v>
      </c>
      <c r="B1155">
        <v>22.9</v>
      </c>
      <c r="C1155">
        <v>16.5</v>
      </c>
      <c r="D1155">
        <v>30.6</v>
      </c>
      <c r="E1155">
        <v>0</v>
      </c>
      <c r="F1155" t="str">
        <f>IF(OR(B1155&lt;outliers!$B$7,B1155&gt;outliers!$B$6),"Outlier","Normal")</f>
        <v>Normal</v>
      </c>
      <c r="G1155" t="str">
        <f>IF(OR(C1155&lt;outliers!$B$14,C1155&gt;outliers!$B$13),"Outlier","Normal")</f>
        <v>Outlier</v>
      </c>
      <c r="H1155" t="str">
        <f>IF(OR(D1155&lt;outliers!$B$21,D1155&gt;outliers!$B$20),"Outlier","Normal")</f>
        <v>Normal</v>
      </c>
      <c r="I1155" t="str">
        <f>IF(OR(E1155&lt;outliers!$C$28,E1155&gt;outliers!$B$27),"Outlier","Normal")</f>
        <v>Normal</v>
      </c>
      <c r="J1155">
        <f t="shared" si="36"/>
        <v>2022</v>
      </c>
      <c r="K1155" t="str">
        <f t="shared" si="37"/>
        <v>February</v>
      </c>
    </row>
    <row r="1156" spans="1:11" hidden="1" x14ac:dyDescent="0.35">
      <c r="A1156" s="1">
        <v>44597</v>
      </c>
      <c r="B1156">
        <v>22.8</v>
      </c>
      <c r="C1156">
        <v>15.9</v>
      </c>
      <c r="D1156">
        <v>30.8</v>
      </c>
      <c r="E1156">
        <v>0</v>
      </c>
      <c r="F1156" t="str">
        <f>IF(OR(B1156&lt;outliers!$B$7,B1156&gt;outliers!$B$6),"Outlier","Normal")</f>
        <v>Normal</v>
      </c>
      <c r="G1156" t="str">
        <f>IF(OR(C1156&lt;outliers!$B$14,C1156&gt;outliers!$B$13),"Outlier","Normal")</f>
        <v>Outlier</v>
      </c>
      <c r="H1156" t="str">
        <f>IF(OR(D1156&lt;outliers!$B$21,D1156&gt;outliers!$B$20),"Outlier","Normal")</f>
        <v>Normal</v>
      </c>
      <c r="I1156" t="str">
        <f>IF(OR(E1156&lt;outliers!$C$28,E1156&gt;outliers!$B$27),"Outlier","Normal")</f>
        <v>Normal</v>
      </c>
      <c r="J1156">
        <f t="shared" si="36"/>
        <v>2022</v>
      </c>
      <c r="K1156" t="str">
        <f t="shared" si="37"/>
        <v>February</v>
      </c>
    </row>
    <row r="1157" spans="1:11" x14ac:dyDescent="0.35">
      <c r="A1157" s="1">
        <v>44598</v>
      </c>
      <c r="B1157">
        <v>22.7</v>
      </c>
      <c r="C1157">
        <v>18.2</v>
      </c>
      <c r="D1157">
        <v>28</v>
      </c>
      <c r="E1157">
        <v>0</v>
      </c>
      <c r="F1157" t="str">
        <f>IF(OR(B1157&lt;outliers!$B$7,B1157&gt;outliers!$B$6),"Outlier","Normal")</f>
        <v>Normal</v>
      </c>
      <c r="G1157" t="str">
        <f>IF(OR(C1157&lt;outliers!$B$14,C1157&gt;outliers!$B$13),"Outlier","Normal")</f>
        <v>Normal</v>
      </c>
      <c r="H1157" t="str">
        <f>IF(OR(D1157&lt;outliers!$B$21,D1157&gt;outliers!$B$20),"Outlier","Normal")</f>
        <v>Normal</v>
      </c>
      <c r="I1157" t="str">
        <f>IF(OR(E1157&lt;outliers!$C$28,E1157&gt;outliers!$B$27),"Outlier","Normal")</f>
        <v>Normal</v>
      </c>
      <c r="J1157">
        <f t="shared" si="36"/>
        <v>2022</v>
      </c>
      <c r="K1157" t="str">
        <f t="shared" si="37"/>
        <v>February</v>
      </c>
    </row>
    <row r="1158" spans="1:11" x14ac:dyDescent="0.35">
      <c r="A1158" s="1">
        <v>44599</v>
      </c>
      <c r="B1158">
        <v>22.6</v>
      </c>
      <c r="C1158">
        <v>17.3</v>
      </c>
      <c r="D1158">
        <v>28.3</v>
      </c>
      <c r="E1158">
        <v>0</v>
      </c>
      <c r="F1158" t="str">
        <f>IF(OR(B1158&lt;outliers!$B$7,B1158&gt;outliers!$B$6),"Outlier","Normal")</f>
        <v>Normal</v>
      </c>
      <c r="G1158" t="str">
        <f>IF(OR(C1158&lt;outliers!$B$14,C1158&gt;outliers!$B$13),"Outlier","Normal")</f>
        <v>Normal</v>
      </c>
      <c r="H1158" t="str">
        <f>IF(OR(D1158&lt;outliers!$B$21,D1158&gt;outliers!$B$20),"Outlier","Normal")</f>
        <v>Normal</v>
      </c>
      <c r="I1158" t="str">
        <f>IF(OR(E1158&lt;outliers!$C$28,E1158&gt;outliers!$B$27),"Outlier","Normal")</f>
        <v>Normal</v>
      </c>
      <c r="J1158">
        <f t="shared" si="36"/>
        <v>2022</v>
      </c>
      <c r="K1158" t="str">
        <f t="shared" si="37"/>
        <v>February</v>
      </c>
    </row>
    <row r="1159" spans="1:11" hidden="1" x14ac:dyDescent="0.35">
      <c r="A1159" s="1">
        <v>44600</v>
      </c>
      <c r="B1159">
        <v>22.3</v>
      </c>
      <c r="C1159">
        <v>15.7</v>
      </c>
      <c r="D1159">
        <v>29.4</v>
      </c>
      <c r="E1159">
        <v>0</v>
      </c>
      <c r="F1159" t="str">
        <f>IF(OR(B1159&lt;outliers!$B$7,B1159&gt;outliers!$B$6),"Outlier","Normal")</f>
        <v>Normal</v>
      </c>
      <c r="G1159" t="str">
        <f>IF(OR(C1159&lt;outliers!$B$14,C1159&gt;outliers!$B$13),"Outlier","Normal")</f>
        <v>Outlier</v>
      </c>
      <c r="H1159" t="str">
        <f>IF(OR(D1159&lt;outliers!$B$21,D1159&gt;outliers!$B$20),"Outlier","Normal")</f>
        <v>Normal</v>
      </c>
      <c r="I1159" t="str">
        <f>IF(OR(E1159&lt;outliers!$C$28,E1159&gt;outliers!$B$27),"Outlier","Normal")</f>
        <v>Normal</v>
      </c>
      <c r="J1159">
        <f t="shared" si="36"/>
        <v>2022</v>
      </c>
      <c r="K1159" t="str">
        <f t="shared" si="37"/>
        <v>February</v>
      </c>
    </row>
    <row r="1160" spans="1:11" hidden="1" x14ac:dyDescent="0.35">
      <c r="A1160" s="1">
        <v>44601</v>
      </c>
      <c r="B1160">
        <v>21.9</v>
      </c>
      <c r="C1160">
        <v>15.3</v>
      </c>
      <c r="D1160">
        <v>28.8</v>
      </c>
      <c r="E1160">
        <v>0</v>
      </c>
      <c r="F1160" t="str">
        <f>IF(OR(B1160&lt;outliers!$B$7,B1160&gt;outliers!$B$6),"Outlier","Normal")</f>
        <v>Normal</v>
      </c>
      <c r="G1160" t="str">
        <f>IF(OR(C1160&lt;outliers!$B$14,C1160&gt;outliers!$B$13),"Outlier","Normal")</f>
        <v>Outlier</v>
      </c>
      <c r="H1160" t="str">
        <f>IF(OR(D1160&lt;outliers!$B$21,D1160&gt;outliers!$B$20),"Outlier","Normal")</f>
        <v>Normal</v>
      </c>
      <c r="I1160" t="str">
        <f>IF(OR(E1160&lt;outliers!$C$28,E1160&gt;outliers!$B$27),"Outlier","Normal")</f>
        <v>Normal</v>
      </c>
      <c r="J1160">
        <f t="shared" si="36"/>
        <v>2022</v>
      </c>
      <c r="K1160" t="str">
        <f t="shared" si="37"/>
        <v>February</v>
      </c>
    </row>
    <row r="1161" spans="1:11" hidden="1" x14ac:dyDescent="0.35">
      <c r="A1161" s="1">
        <v>44602</v>
      </c>
      <c r="B1161">
        <v>21.9</v>
      </c>
      <c r="C1161">
        <v>14.4</v>
      </c>
      <c r="D1161">
        <v>30</v>
      </c>
      <c r="E1161">
        <v>0</v>
      </c>
      <c r="F1161" t="str">
        <f>IF(OR(B1161&lt;outliers!$B$7,B1161&gt;outliers!$B$6),"Outlier","Normal")</f>
        <v>Normal</v>
      </c>
      <c r="G1161" t="str">
        <f>IF(OR(C1161&lt;outliers!$B$14,C1161&gt;outliers!$B$13),"Outlier","Normal")</f>
        <v>Outlier</v>
      </c>
      <c r="H1161" t="str">
        <f>IF(OR(D1161&lt;outliers!$B$21,D1161&gt;outliers!$B$20),"Outlier","Normal")</f>
        <v>Normal</v>
      </c>
      <c r="I1161" t="str">
        <f>IF(OR(E1161&lt;outliers!$C$28,E1161&gt;outliers!$B$27),"Outlier","Normal")</f>
        <v>Normal</v>
      </c>
      <c r="J1161">
        <f t="shared" si="36"/>
        <v>2022</v>
      </c>
      <c r="K1161" t="str">
        <f t="shared" si="37"/>
        <v>February</v>
      </c>
    </row>
    <row r="1162" spans="1:11" hidden="1" x14ac:dyDescent="0.35">
      <c r="A1162" s="1">
        <v>44603</v>
      </c>
      <c r="B1162">
        <v>22.2</v>
      </c>
      <c r="C1162">
        <v>16.100000000000001</v>
      </c>
      <c r="D1162">
        <v>29.4</v>
      </c>
      <c r="E1162">
        <v>0</v>
      </c>
      <c r="F1162" t="str">
        <f>IF(OR(B1162&lt;outliers!$B$7,B1162&gt;outliers!$B$6),"Outlier","Normal")</f>
        <v>Normal</v>
      </c>
      <c r="G1162" t="str">
        <f>IF(OR(C1162&lt;outliers!$B$14,C1162&gt;outliers!$B$13),"Outlier","Normal")</f>
        <v>Outlier</v>
      </c>
      <c r="H1162" t="str">
        <f>IF(OR(D1162&lt;outliers!$B$21,D1162&gt;outliers!$B$20),"Outlier","Normal")</f>
        <v>Normal</v>
      </c>
      <c r="I1162" t="str">
        <f>IF(OR(E1162&lt;outliers!$C$28,E1162&gt;outliers!$B$27),"Outlier","Normal")</f>
        <v>Normal</v>
      </c>
      <c r="J1162">
        <f t="shared" si="36"/>
        <v>2022</v>
      </c>
      <c r="K1162" t="str">
        <f t="shared" si="37"/>
        <v>February</v>
      </c>
    </row>
    <row r="1163" spans="1:11" hidden="1" x14ac:dyDescent="0.35">
      <c r="A1163" s="1">
        <v>44604</v>
      </c>
      <c r="B1163">
        <v>22.3</v>
      </c>
      <c r="C1163">
        <v>16</v>
      </c>
      <c r="D1163">
        <v>29</v>
      </c>
      <c r="E1163">
        <v>0</v>
      </c>
      <c r="F1163" t="str">
        <f>IF(OR(B1163&lt;outliers!$B$7,B1163&gt;outliers!$B$6),"Outlier","Normal")</f>
        <v>Normal</v>
      </c>
      <c r="G1163" t="str">
        <f>IF(OR(C1163&lt;outliers!$B$14,C1163&gt;outliers!$B$13),"Outlier","Normal")</f>
        <v>Outlier</v>
      </c>
      <c r="H1163" t="str">
        <f>IF(OR(D1163&lt;outliers!$B$21,D1163&gt;outliers!$B$20),"Outlier","Normal")</f>
        <v>Normal</v>
      </c>
      <c r="I1163" t="str">
        <f>IF(OR(E1163&lt;outliers!$C$28,E1163&gt;outliers!$B$27),"Outlier","Normal")</f>
        <v>Normal</v>
      </c>
      <c r="J1163">
        <f t="shared" si="36"/>
        <v>2022</v>
      </c>
      <c r="K1163" t="str">
        <f t="shared" si="37"/>
        <v>February</v>
      </c>
    </row>
    <row r="1164" spans="1:11" hidden="1" x14ac:dyDescent="0.35">
      <c r="A1164" s="1">
        <v>44605</v>
      </c>
      <c r="B1164">
        <v>22.2</v>
      </c>
      <c r="C1164">
        <v>15.8</v>
      </c>
      <c r="D1164">
        <v>28.2</v>
      </c>
      <c r="E1164">
        <v>0</v>
      </c>
      <c r="F1164" t="str">
        <f>IF(OR(B1164&lt;outliers!$B$7,B1164&gt;outliers!$B$6),"Outlier","Normal")</f>
        <v>Normal</v>
      </c>
      <c r="G1164" t="str">
        <f>IF(OR(C1164&lt;outliers!$B$14,C1164&gt;outliers!$B$13),"Outlier","Normal")</f>
        <v>Outlier</v>
      </c>
      <c r="H1164" t="str">
        <f>IF(OR(D1164&lt;outliers!$B$21,D1164&gt;outliers!$B$20),"Outlier","Normal")</f>
        <v>Normal</v>
      </c>
      <c r="I1164" t="str">
        <f>IF(OR(E1164&lt;outliers!$C$28,E1164&gt;outliers!$B$27),"Outlier","Normal")</f>
        <v>Normal</v>
      </c>
      <c r="J1164">
        <f t="shared" si="36"/>
        <v>2022</v>
      </c>
      <c r="K1164" t="str">
        <f t="shared" si="37"/>
        <v>February</v>
      </c>
    </row>
    <row r="1165" spans="1:11" hidden="1" x14ac:dyDescent="0.35">
      <c r="A1165" s="1">
        <v>44606</v>
      </c>
      <c r="B1165">
        <v>22.2</v>
      </c>
      <c r="C1165">
        <v>15.2</v>
      </c>
      <c r="D1165">
        <v>28.2</v>
      </c>
      <c r="E1165">
        <v>0</v>
      </c>
      <c r="F1165" t="str">
        <f>IF(OR(B1165&lt;outliers!$B$7,B1165&gt;outliers!$B$6),"Outlier","Normal")</f>
        <v>Normal</v>
      </c>
      <c r="G1165" t="str">
        <f>IF(OR(C1165&lt;outliers!$B$14,C1165&gt;outliers!$B$13),"Outlier","Normal")</f>
        <v>Outlier</v>
      </c>
      <c r="H1165" t="str">
        <f>IF(OR(D1165&lt;outliers!$B$21,D1165&gt;outliers!$B$20),"Outlier","Normal")</f>
        <v>Normal</v>
      </c>
      <c r="I1165" t="str">
        <f>IF(OR(E1165&lt;outliers!$C$28,E1165&gt;outliers!$B$27),"Outlier","Normal")</f>
        <v>Normal</v>
      </c>
      <c r="J1165">
        <f t="shared" si="36"/>
        <v>2022</v>
      </c>
      <c r="K1165" t="str">
        <f t="shared" si="37"/>
        <v>February</v>
      </c>
    </row>
    <row r="1166" spans="1:11" x14ac:dyDescent="0.35">
      <c r="A1166" s="1">
        <v>44607</v>
      </c>
      <c r="B1166">
        <v>22.7</v>
      </c>
      <c r="C1166">
        <v>17.100000000000001</v>
      </c>
      <c r="D1166">
        <v>28.4</v>
      </c>
      <c r="E1166">
        <v>0</v>
      </c>
      <c r="F1166" t="str">
        <f>IF(OR(B1166&lt;outliers!$B$7,B1166&gt;outliers!$B$6),"Outlier","Normal")</f>
        <v>Normal</v>
      </c>
      <c r="G1166" t="str">
        <f>IF(OR(C1166&lt;outliers!$B$14,C1166&gt;outliers!$B$13),"Outlier","Normal")</f>
        <v>Normal</v>
      </c>
      <c r="H1166" t="str">
        <f>IF(OR(D1166&lt;outliers!$B$21,D1166&gt;outliers!$B$20),"Outlier","Normal")</f>
        <v>Normal</v>
      </c>
      <c r="I1166" t="str">
        <f>IF(OR(E1166&lt;outliers!$C$28,E1166&gt;outliers!$B$27),"Outlier","Normal")</f>
        <v>Normal</v>
      </c>
      <c r="J1166">
        <f t="shared" si="36"/>
        <v>2022</v>
      </c>
      <c r="K1166" t="str">
        <f t="shared" si="37"/>
        <v>February</v>
      </c>
    </row>
    <row r="1167" spans="1:11" hidden="1" x14ac:dyDescent="0.35">
      <c r="A1167" s="1">
        <v>44608</v>
      </c>
      <c r="B1167">
        <v>22.6</v>
      </c>
      <c r="C1167">
        <v>15.3</v>
      </c>
      <c r="D1167">
        <v>28.8</v>
      </c>
      <c r="E1167">
        <v>0</v>
      </c>
      <c r="F1167" t="str">
        <f>IF(OR(B1167&lt;outliers!$B$7,B1167&gt;outliers!$B$6),"Outlier","Normal")</f>
        <v>Normal</v>
      </c>
      <c r="G1167" t="str">
        <f>IF(OR(C1167&lt;outliers!$B$14,C1167&gt;outliers!$B$13),"Outlier","Normal")</f>
        <v>Outlier</v>
      </c>
      <c r="H1167" t="str">
        <f>IF(OR(D1167&lt;outliers!$B$21,D1167&gt;outliers!$B$20),"Outlier","Normal")</f>
        <v>Normal</v>
      </c>
      <c r="I1167" t="str">
        <f>IF(OR(E1167&lt;outliers!$C$28,E1167&gt;outliers!$B$27),"Outlier","Normal")</f>
        <v>Normal</v>
      </c>
      <c r="J1167">
        <f t="shared" si="36"/>
        <v>2022</v>
      </c>
      <c r="K1167" t="str">
        <f t="shared" si="37"/>
        <v>February</v>
      </c>
    </row>
    <row r="1168" spans="1:11" hidden="1" x14ac:dyDescent="0.35">
      <c r="A1168" s="1">
        <v>44609</v>
      </c>
      <c r="B1168">
        <v>23</v>
      </c>
      <c r="C1168">
        <v>16.100000000000001</v>
      </c>
      <c r="D1168">
        <v>30</v>
      </c>
      <c r="E1168">
        <v>0</v>
      </c>
      <c r="F1168" t="str">
        <f>IF(OR(B1168&lt;outliers!$B$7,B1168&gt;outliers!$B$6),"Outlier","Normal")</f>
        <v>Normal</v>
      </c>
      <c r="G1168" t="str">
        <f>IF(OR(C1168&lt;outliers!$B$14,C1168&gt;outliers!$B$13),"Outlier","Normal")</f>
        <v>Outlier</v>
      </c>
      <c r="H1168" t="str">
        <f>IF(OR(D1168&lt;outliers!$B$21,D1168&gt;outliers!$B$20),"Outlier","Normal")</f>
        <v>Normal</v>
      </c>
      <c r="I1168" t="str">
        <f>IF(OR(E1168&lt;outliers!$C$28,E1168&gt;outliers!$B$27),"Outlier","Normal")</f>
        <v>Normal</v>
      </c>
      <c r="J1168">
        <f t="shared" si="36"/>
        <v>2022</v>
      </c>
      <c r="K1168" t="str">
        <f t="shared" si="37"/>
        <v>February</v>
      </c>
    </row>
    <row r="1169" spans="1:11" hidden="1" x14ac:dyDescent="0.35">
      <c r="A1169" s="1">
        <v>44610</v>
      </c>
      <c r="B1169">
        <v>22.5</v>
      </c>
      <c r="C1169">
        <v>14.9</v>
      </c>
      <c r="D1169">
        <v>29.4</v>
      </c>
      <c r="E1169">
        <v>0</v>
      </c>
      <c r="F1169" t="str">
        <f>IF(OR(B1169&lt;outliers!$B$7,B1169&gt;outliers!$B$6),"Outlier","Normal")</f>
        <v>Normal</v>
      </c>
      <c r="G1169" t="str">
        <f>IF(OR(C1169&lt;outliers!$B$14,C1169&gt;outliers!$B$13),"Outlier","Normal")</f>
        <v>Outlier</v>
      </c>
      <c r="H1169" t="str">
        <f>IF(OR(D1169&lt;outliers!$B$21,D1169&gt;outliers!$B$20),"Outlier","Normal")</f>
        <v>Normal</v>
      </c>
      <c r="I1169" t="str">
        <f>IF(OR(E1169&lt;outliers!$C$28,E1169&gt;outliers!$B$27),"Outlier","Normal")</f>
        <v>Normal</v>
      </c>
      <c r="J1169">
        <f t="shared" ref="J1169:J1232" si="38">YEAR(A1169)</f>
        <v>2022</v>
      </c>
      <c r="K1169" t="str">
        <f t="shared" si="37"/>
        <v>February</v>
      </c>
    </row>
    <row r="1170" spans="1:11" hidden="1" x14ac:dyDescent="0.35">
      <c r="A1170" s="1">
        <v>44611</v>
      </c>
      <c r="B1170">
        <v>22.7</v>
      </c>
      <c r="C1170">
        <v>15.8</v>
      </c>
      <c r="D1170">
        <v>29.8</v>
      </c>
      <c r="E1170">
        <v>0</v>
      </c>
      <c r="F1170" t="str">
        <f>IF(OR(B1170&lt;outliers!$B$7,B1170&gt;outliers!$B$6),"Outlier","Normal")</f>
        <v>Normal</v>
      </c>
      <c r="G1170" t="str">
        <f>IF(OR(C1170&lt;outliers!$B$14,C1170&gt;outliers!$B$13),"Outlier","Normal")</f>
        <v>Outlier</v>
      </c>
      <c r="H1170" t="str">
        <f>IF(OR(D1170&lt;outliers!$B$21,D1170&gt;outliers!$B$20),"Outlier","Normal")</f>
        <v>Normal</v>
      </c>
      <c r="I1170" t="str">
        <f>IF(OR(E1170&lt;outliers!$C$28,E1170&gt;outliers!$B$27),"Outlier","Normal")</f>
        <v>Normal</v>
      </c>
      <c r="J1170">
        <f t="shared" si="38"/>
        <v>2022</v>
      </c>
      <c r="K1170" t="str">
        <f t="shared" si="37"/>
        <v>February</v>
      </c>
    </row>
    <row r="1171" spans="1:11" hidden="1" x14ac:dyDescent="0.35">
      <c r="A1171" s="1">
        <v>44612</v>
      </c>
      <c r="B1171">
        <v>23.5</v>
      </c>
      <c r="C1171">
        <v>15.8</v>
      </c>
      <c r="D1171">
        <v>32</v>
      </c>
      <c r="E1171">
        <v>0</v>
      </c>
      <c r="F1171" t="str">
        <f>IF(OR(B1171&lt;outliers!$B$7,B1171&gt;outliers!$B$6),"Outlier","Normal")</f>
        <v>Normal</v>
      </c>
      <c r="G1171" t="str">
        <f>IF(OR(C1171&lt;outliers!$B$14,C1171&gt;outliers!$B$13),"Outlier","Normal")</f>
        <v>Outlier</v>
      </c>
      <c r="H1171" t="str">
        <f>IF(OR(D1171&lt;outliers!$B$21,D1171&gt;outliers!$B$20),"Outlier","Normal")</f>
        <v>Normal</v>
      </c>
      <c r="I1171" t="str">
        <f>IF(OR(E1171&lt;outliers!$C$28,E1171&gt;outliers!$B$27),"Outlier","Normal")</f>
        <v>Normal</v>
      </c>
      <c r="J1171">
        <f t="shared" si="38"/>
        <v>2022</v>
      </c>
      <c r="K1171" t="str">
        <f t="shared" si="37"/>
        <v>February</v>
      </c>
    </row>
    <row r="1172" spans="1:11" hidden="1" x14ac:dyDescent="0.35">
      <c r="A1172" s="1">
        <v>44613</v>
      </c>
      <c r="B1172">
        <v>24.3</v>
      </c>
      <c r="C1172">
        <v>16.3</v>
      </c>
      <c r="D1172">
        <v>32.4</v>
      </c>
      <c r="E1172">
        <v>0</v>
      </c>
      <c r="F1172" t="str">
        <f>IF(OR(B1172&lt;outliers!$B$7,B1172&gt;outliers!$B$6),"Outlier","Normal")</f>
        <v>Normal</v>
      </c>
      <c r="G1172" t="str">
        <f>IF(OR(C1172&lt;outliers!$B$14,C1172&gt;outliers!$B$13),"Outlier","Normal")</f>
        <v>Outlier</v>
      </c>
      <c r="H1172" t="str">
        <f>IF(OR(D1172&lt;outliers!$B$21,D1172&gt;outliers!$B$20),"Outlier","Normal")</f>
        <v>Normal</v>
      </c>
      <c r="I1172" t="str">
        <f>IF(OR(E1172&lt;outliers!$C$28,E1172&gt;outliers!$B$27),"Outlier","Normal")</f>
        <v>Normal</v>
      </c>
      <c r="J1172">
        <f t="shared" si="38"/>
        <v>2022</v>
      </c>
      <c r="K1172" t="str">
        <f t="shared" si="37"/>
        <v>February</v>
      </c>
    </row>
    <row r="1173" spans="1:11" x14ac:dyDescent="0.35">
      <c r="A1173" s="1">
        <v>44614</v>
      </c>
      <c r="B1173">
        <v>24.7</v>
      </c>
      <c r="C1173">
        <v>17.899999999999999</v>
      </c>
      <c r="D1173">
        <v>31.3</v>
      </c>
      <c r="E1173">
        <v>0</v>
      </c>
      <c r="F1173" t="str">
        <f>IF(OR(B1173&lt;outliers!$B$7,B1173&gt;outliers!$B$6),"Outlier","Normal")</f>
        <v>Normal</v>
      </c>
      <c r="G1173" t="str">
        <f>IF(OR(C1173&lt;outliers!$B$14,C1173&gt;outliers!$B$13),"Outlier","Normal")</f>
        <v>Normal</v>
      </c>
      <c r="H1173" t="str">
        <f>IF(OR(D1173&lt;outliers!$B$21,D1173&gt;outliers!$B$20),"Outlier","Normal")</f>
        <v>Normal</v>
      </c>
      <c r="I1173" t="str">
        <f>IF(OR(E1173&lt;outliers!$C$28,E1173&gt;outliers!$B$27),"Outlier","Normal")</f>
        <v>Normal</v>
      </c>
      <c r="J1173">
        <f t="shared" si="38"/>
        <v>2022</v>
      </c>
      <c r="K1173" t="str">
        <f t="shared" si="37"/>
        <v>February</v>
      </c>
    </row>
    <row r="1174" spans="1:11" hidden="1" x14ac:dyDescent="0.35">
      <c r="A1174" s="1">
        <v>44615</v>
      </c>
      <c r="B1174">
        <v>23.2</v>
      </c>
      <c r="C1174">
        <v>16.399999999999999</v>
      </c>
      <c r="D1174">
        <v>30.4</v>
      </c>
      <c r="E1174">
        <v>0</v>
      </c>
      <c r="F1174" t="str">
        <f>IF(OR(B1174&lt;outliers!$B$7,B1174&gt;outliers!$B$6),"Outlier","Normal")</f>
        <v>Normal</v>
      </c>
      <c r="G1174" t="str">
        <f>IF(OR(C1174&lt;outliers!$B$14,C1174&gt;outliers!$B$13),"Outlier","Normal")</f>
        <v>Outlier</v>
      </c>
      <c r="H1174" t="str">
        <f>IF(OR(D1174&lt;outliers!$B$21,D1174&gt;outliers!$B$20),"Outlier","Normal")</f>
        <v>Normal</v>
      </c>
      <c r="I1174" t="str">
        <f>IF(OR(E1174&lt;outliers!$C$28,E1174&gt;outliers!$B$27),"Outlier","Normal")</f>
        <v>Normal</v>
      </c>
      <c r="J1174">
        <f t="shared" si="38"/>
        <v>2022</v>
      </c>
      <c r="K1174" t="str">
        <f t="shared" si="37"/>
        <v>February</v>
      </c>
    </row>
    <row r="1175" spans="1:11" hidden="1" x14ac:dyDescent="0.35">
      <c r="A1175" s="1">
        <v>44616</v>
      </c>
      <c r="B1175">
        <v>22.5</v>
      </c>
      <c r="C1175">
        <v>15.5</v>
      </c>
      <c r="D1175">
        <v>29.4</v>
      </c>
      <c r="E1175">
        <v>0</v>
      </c>
      <c r="F1175" t="str">
        <f>IF(OR(B1175&lt;outliers!$B$7,B1175&gt;outliers!$B$6),"Outlier","Normal")</f>
        <v>Normal</v>
      </c>
      <c r="G1175" t="str">
        <f>IF(OR(C1175&lt;outliers!$B$14,C1175&gt;outliers!$B$13),"Outlier","Normal")</f>
        <v>Outlier</v>
      </c>
      <c r="H1175" t="str">
        <f>IF(OR(D1175&lt;outliers!$B$21,D1175&gt;outliers!$B$20),"Outlier","Normal")</f>
        <v>Normal</v>
      </c>
      <c r="I1175" t="str">
        <f>IF(OR(E1175&lt;outliers!$C$28,E1175&gt;outliers!$B$27),"Outlier","Normal")</f>
        <v>Normal</v>
      </c>
      <c r="J1175">
        <f t="shared" si="38"/>
        <v>2022</v>
      </c>
      <c r="K1175" t="str">
        <f t="shared" si="37"/>
        <v>February</v>
      </c>
    </row>
    <row r="1176" spans="1:11" hidden="1" x14ac:dyDescent="0.35">
      <c r="A1176" s="1">
        <v>44617</v>
      </c>
      <c r="B1176">
        <v>22.9</v>
      </c>
      <c r="C1176">
        <v>14.4</v>
      </c>
      <c r="D1176">
        <v>31.2</v>
      </c>
      <c r="E1176">
        <v>0</v>
      </c>
      <c r="F1176" t="str">
        <f>IF(OR(B1176&lt;outliers!$B$7,B1176&gt;outliers!$B$6),"Outlier","Normal")</f>
        <v>Normal</v>
      </c>
      <c r="G1176" t="str">
        <f>IF(OR(C1176&lt;outliers!$B$14,C1176&gt;outliers!$B$13),"Outlier","Normal")</f>
        <v>Outlier</v>
      </c>
      <c r="H1176" t="str">
        <f>IF(OR(D1176&lt;outliers!$B$21,D1176&gt;outliers!$B$20),"Outlier","Normal")</f>
        <v>Normal</v>
      </c>
      <c r="I1176" t="str">
        <f>IF(OR(E1176&lt;outliers!$C$28,E1176&gt;outliers!$B$27),"Outlier","Normal")</f>
        <v>Normal</v>
      </c>
      <c r="J1176">
        <f t="shared" si="38"/>
        <v>2022</v>
      </c>
      <c r="K1176" t="str">
        <f t="shared" si="37"/>
        <v>February</v>
      </c>
    </row>
    <row r="1177" spans="1:11" hidden="1" x14ac:dyDescent="0.35">
      <c r="A1177" s="1">
        <v>44618</v>
      </c>
      <c r="B1177">
        <v>22.5</v>
      </c>
      <c r="C1177">
        <v>14.9</v>
      </c>
      <c r="D1177">
        <v>30.2</v>
      </c>
      <c r="E1177">
        <v>0</v>
      </c>
      <c r="F1177" t="str">
        <f>IF(OR(B1177&lt;outliers!$B$7,B1177&gt;outliers!$B$6),"Outlier","Normal")</f>
        <v>Normal</v>
      </c>
      <c r="G1177" t="str">
        <f>IF(OR(C1177&lt;outliers!$B$14,C1177&gt;outliers!$B$13),"Outlier","Normal")</f>
        <v>Outlier</v>
      </c>
      <c r="H1177" t="str">
        <f>IF(OR(D1177&lt;outliers!$B$21,D1177&gt;outliers!$B$20),"Outlier","Normal")</f>
        <v>Normal</v>
      </c>
      <c r="I1177" t="str">
        <f>IF(OR(E1177&lt;outliers!$C$28,E1177&gt;outliers!$B$27),"Outlier","Normal")</f>
        <v>Normal</v>
      </c>
      <c r="J1177">
        <f t="shared" si="38"/>
        <v>2022</v>
      </c>
      <c r="K1177" t="str">
        <f t="shared" si="37"/>
        <v>February</v>
      </c>
    </row>
    <row r="1178" spans="1:11" hidden="1" x14ac:dyDescent="0.35">
      <c r="A1178" s="1">
        <v>44619</v>
      </c>
      <c r="B1178">
        <v>23.3</v>
      </c>
      <c r="C1178">
        <v>16.8</v>
      </c>
      <c r="D1178">
        <v>30</v>
      </c>
      <c r="E1178">
        <v>0</v>
      </c>
      <c r="F1178" t="str">
        <f>IF(OR(B1178&lt;outliers!$B$7,B1178&gt;outliers!$B$6),"Outlier","Normal")</f>
        <v>Normal</v>
      </c>
      <c r="G1178" t="str">
        <f>IF(OR(C1178&lt;outliers!$B$14,C1178&gt;outliers!$B$13),"Outlier","Normal")</f>
        <v>Outlier</v>
      </c>
      <c r="H1178" t="str">
        <f>IF(OR(D1178&lt;outliers!$B$21,D1178&gt;outliers!$B$20),"Outlier","Normal")</f>
        <v>Normal</v>
      </c>
      <c r="I1178" t="str">
        <f>IF(OR(E1178&lt;outliers!$C$28,E1178&gt;outliers!$B$27),"Outlier","Normal")</f>
        <v>Normal</v>
      </c>
      <c r="J1178">
        <f t="shared" si="38"/>
        <v>2022</v>
      </c>
      <c r="K1178" t="str">
        <f t="shared" si="37"/>
        <v>February</v>
      </c>
    </row>
    <row r="1179" spans="1:11" hidden="1" x14ac:dyDescent="0.35">
      <c r="A1179" s="1">
        <v>44620</v>
      </c>
      <c r="B1179">
        <v>23.3</v>
      </c>
      <c r="C1179">
        <v>16.100000000000001</v>
      </c>
      <c r="D1179">
        <v>30.6</v>
      </c>
      <c r="E1179">
        <v>0</v>
      </c>
      <c r="F1179" t="str">
        <f>IF(OR(B1179&lt;outliers!$B$7,B1179&gt;outliers!$B$6),"Outlier","Normal")</f>
        <v>Normal</v>
      </c>
      <c r="G1179" t="str">
        <f>IF(OR(C1179&lt;outliers!$B$14,C1179&gt;outliers!$B$13),"Outlier","Normal")</f>
        <v>Outlier</v>
      </c>
      <c r="H1179" t="str">
        <f>IF(OR(D1179&lt;outliers!$B$21,D1179&gt;outliers!$B$20),"Outlier","Normal")</f>
        <v>Normal</v>
      </c>
      <c r="I1179" t="str">
        <f>IF(OR(E1179&lt;outliers!$C$28,E1179&gt;outliers!$B$27),"Outlier","Normal")</f>
        <v>Normal</v>
      </c>
      <c r="J1179">
        <f t="shared" si="38"/>
        <v>2022</v>
      </c>
      <c r="K1179" t="str">
        <f t="shared" si="37"/>
        <v>February</v>
      </c>
    </row>
    <row r="1180" spans="1:11" hidden="1" x14ac:dyDescent="0.35">
      <c r="A1180" s="1">
        <v>44621</v>
      </c>
      <c r="B1180">
        <v>24</v>
      </c>
      <c r="C1180">
        <v>16.600000000000001</v>
      </c>
      <c r="D1180">
        <v>32</v>
      </c>
      <c r="E1180">
        <v>0</v>
      </c>
      <c r="F1180" t="str">
        <f>IF(OR(B1180&lt;outliers!$B$7,B1180&gt;outliers!$B$6),"Outlier","Normal")</f>
        <v>Normal</v>
      </c>
      <c r="G1180" t="str">
        <f>IF(OR(C1180&lt;outliers!$B$14,C1180&gt;outliers!$B$13),"Outlier","Normal")</f>
        <v>Outlier</v>
      </c>
      <c r="H1180" t="str">
        <f>IF(OR(D1180&lt;outliers!$B$21,D1180&gt;outliers!$B$20),"Outlier","Normal")</f>
        <v>Normal</v>
      </c>
      <c r="I1180" t="str">
        <f>IF(OR(E1180&lt;outliers!$C$28,E1180&gt;outliers!$B$27),"Outlier","Normal")</f>
        <v>Normal</v>
      </c>
      <c r="J1180">
        <f t="shared" si="38"/>
        <v>2022</v>
      </c>
      <c r="K1180" t="str">
        <f t="shared" si="37"/>
        <v>February</v>
      </c>
    </row>
    <row r="1181" spans="1:11" x14ac:dyDescent="0.35">
      <c r="A1181" s="1">
        <v>44622</v>
      </c>
      <c r="B1181">
        <v>23.7</v>
      </c>
      <c r="C1181">
        <v>16.899999999999999</v>
      </c>
      <c r="D1181">
        <v>30.4</v>
      </c>
      <c r="E1181">
        <v>0</v>
      </c>
      <c r="F1181" t="str">
        <f>IF(OR(B1181&lt;outliers!$B$7,B1181&gt;outliers!$B$6),"Outlier","Normal")</f>
        <v>Normal</v>
      </c>
      <c r="G1181" t="str">
        <f>IF(OR(C1181&lt;outliers!$B$14,C1181&gt;outliers!$B$13),"Outlier","Normal")</f>
        <v>Normal</v>
      </c>
      <c r="H1181" t="str">
        <f>IF(OR(D1181&lt;outliers!$B$21,D1181&gt;outliers!$B$20),"Outlier","Normal")</f>
        <v>Normal</v>
      </c>
      <c r="I1181" t="str">
        <f>IF(OR(E1181&lt;outliers!$C$28,E1181&gt;outliers!$B$27),"Outlier","Normal")</f>
        <v>Normal</v>
      </c>
      <c r="J1181">
        <f t="shared" si="38"/>
        <v>2022</v>
      </c>
      <c r="K1181" t="str">
        <f t="shared" si="37"/>
        <v>March</v>
      </c>
    </row>
    <row r="1182" spans="1:11" hidden="1" x14ac:dyDescent="0.35">
      <c r="A1182" s="1">
        <v>44623</v>
      </c>
      <c r="B1182">
        <v>23.5</v>
      </c>
      <c r="C1182">
        <v>16.5</v>
      </c>
      <c r="D1182">
        <v>30.8</v>
      </c>
      <c r="E1182">
        <v>0</v>
      </c>
      <c r="F1182" t="str">
        <f>IF(OR(B1182&lt;outliers!$B$7,B1182&gt;outliers!$B$6),"Outlier","Normal")</f>
        <v>Normal</v>
      </c>
      <c r="G1182" t="str">
        <f>IF(OR(C1182&lt;outliers!$B$14,C1182&gt;outliers!$B$13),"Outlier","Normal")</f>
        <v>Outlier</v>
      </c>
      <c r="H1182" t="str">
        <f>IF(OR(D1182&lt;outliers!$B$21,D1182&gt;outliers!$B$20),"Outlier","Normal")</f>
        <v>Normal</v>
      </c>
      <c r="I1182" t="str">
        <f>IF(OR(E1182&lt;outliers!$C$28,E1182&gt;outliers!$B$27),"Outlier","Normal")</f>
        <v>Normal</v>
      </c>
      <c r="J1182">
        <f t="shared" si="38"/>
        <v>2022</v>
      </c>
      <c r="K1182" t="str">
        <f t="shared" si="37"/>
        <v>March</v>
      </c>
    </row>
    <row r="1183" spans="1:11" x14ac:dyDescent="0.35">
      <c r="A1183" s="1">
        <v>44624</v>
      </c>
      <c r="B1183">
        <v>24</v>
      </c>
      <c r="C1183">
        <v>17.399999999999999</v>
      </c>
      <c r="D1183">
        <v>31.6</v>
      </c>
      <c r="E1183">
        <v>0</v>
      </c>
      <c r="F1183" t="str">
        <f>IF(OR(B1183&lt;outliers!$B$7,B1183&gt;outliers!$B$6),"Outlier","Normal")</f>
        <v>Normal</v>
      </c>
      <c r="G1183" t="str">
        <f>IF(OR(C1183&lt;outliers!$B$14,C1183&gt;outliers!$B$13),"Outlier","Normal")</f>
        <v>Normal</v>
      </c>
      <c r="H1183" t="str">
        <f>IF(OR(D1183&lt;outliers!$B$21,D1183&gt;outliers!$B$20),"Outlier","Normal")</f>
        <v>Normal</v>
      </c>
      <c r="I1183" t="str">
        <f>IF(OR(E1183&lt;outliers!$C$28,E1183&gt;outliers!$B$27),"Outlier","Normal")</f>
        <v>Normal</v>
      </c>
      <c r="J1183">
        <f t="shared" si="38"/>
        <v>2022</v>
      </c>
      <c r="K1183" t="str">
        <f t="shared" si="37"/>
        <v>March</v>
      </c>
    </row>
    <row r="1184" spans="1:11" hidden="1" x14ac:dyDescent="0.35">
      <c r="A1184" s="1">
        <v>44625</v>
      </c>
      <c r="B1184">
        <v>24</v>
      </c>
      <c r="C1184">
        <v>16.2</v>
      </c>
      <c r="D1184">
        <v>30.6</v>
      </c>
      <c r="E1184">
        <v>0</v>
      </c>
      <c r="F1184" t="str">
        <f>IF(OR(B1184&lt;outliers!$B$7,B1184&gt;outliers!$B$6),"Outlier","Normal")</f>
        <v>Normal</v>
      </c>
      <c r="G1184" t="str">
        <f>IF(OR(C1184&lt;outliers!$B$14,C1184&gt;outliers!$B$13),"Outlier","Normal")</f>
        <v>Outlier</v>
      </c>
      <c r="H1184" t="str">
        <f>IF(OR(D1184&lt;outliers!$B$21,D1184&gt;outliers!$B$20),"Outlier","Normal")</f>
        <v>Normal</v>
      </c>
      <c r="I1184" t="str">
        <f>IF(OR(E1184&lt;outliers!$C$28,E1184&gt;outliers!$B$27),"Outlier","Normal")</f>
        <v>Normal</v>
      </c>
      <c r="J1184">
        <f t="shared" si="38"/>
        <v>2022</v>
      </c>
      <c r="K1184" t="str">
        <f t="shared" si="37"/>
        <v>March</v>
      </c>
    </row>
    <row r="1185" spans="1:11" x14ac:dyDescent="0.35">
      <c r="A1185" s="1">
        <v>44626</v>
      </c>
      <c r="B1185">
        <v>23.8</v>
      </c>
      <c r="C1185">
        <v>17.2</v>
      </c>
      <c r="D1185">
        <v>30.3</v>
      </c>
      <c r="E1185">
        <v>0</v>
      </c>
      <c r="F1185" t="str">
        <f>IF(OR(B1185&lt;outliers!$B$7,B1185&gt;outliers!$B$6),"Outlier","Normal")</f>
        <v>Normal</v>
      </c>
      <c r="G1185" t="str">
        <f>IF(OR(C1185&lt;outliers!$B$14,C1185&gt;outliers!$B$13),"Outlier","Normal")</f>
        <v>Normal</v>
      </c>
      <c r="H1185" t="str">
        <f>IF(OR(D1185&lt;outliers!$B$21,D1185&gt;outliers!$B$20),"Outlier","Normal")</f>
        <v>Normal</v>
      </c>
      <c r="I1185" t="str">
        <f>IF(OR(E1185&lt;outliers!$C$28,E1185&gt;outliers!$B$27),"Outlier","Normal")</f>
        <v>Normal</v>
      </c>
      <c r="J1185">
        <f t="shared" si="38"/>
        <v>2022</v>
      </c>
      <c r="K1185" t="str">
        <f t="shared" si="37"/>
        <v>March</v>
      </c>
    </row>
    <row r="1186" spans="1:11" hidden="1" x14ac:dyDescent="0.35">
      <c r="A1186" s="1">
        <v>44627</v>
      </c>
      <c r="B1186">
        <v>21.9</v>
      </c>
      <c r="C1186">
        <v>16.3</v>
      </c>
      <c r="D1186">
        <v>27.9</v>
      </c>
      <c r="E1186">
        <v>2.4</v>
      </c>
      <c r="F1186" t="str">
        <f>IF(OR(B1186&lt;outliers!$B$7,B1186&gt;outliers!$B$6),"Outlier","Normal")</f>
        <v>Normal</v>
      </c>
      <c r="G1186" t="str">
        <f>IF(OR(C1186&lt;outliers!$B$14,C1186&gt;outliers!$B$13),"Outlier","Normal")</f>
        <v>Outlier</v>
      </c>
      <c r="H1186" t="str">
        <f>IF(OR(D1186&lt;outliers!$B$21,D1186&gt;outliers!$B$20),"Outlier","Normal")</f>
        <v>Normal</v>
      </c>
      <c r="I1186" t="str">
        <f>IF(OR(E1186&lt;outliers!$C$28,E1186&gt;outliers!$B$27),"Outlier","Normal")</f>
        <v>Normal</v>
      </c>
      <c r="J1186">
        <f t="shared" si="38"/>
        <v>2022</v>
      </c>
      <c r="K1186" t="str">
        <f t="shared" si="37"/>
        <v>March</v>
      </c>
    </row>
    <row r="1187" spans="1:11" x14ac:dyDescent="0.35">
      <c r="A1187" s="1">
        <v>44628</v>
      </c>
      <c r="B1187">
        <v>24.9</v>
      </c>
      <c r="C1187">
        <v>18</v>
      </c>
      <c r="D1187">
        <v>30.6</v>
      </c>
      <c r="E1187">
        <v>0</v>
      </c>
      <c r="F1187" t="str">
        <f>IF(OR(B1187&lt;outliers!$B$7,B1187&gt;outliers!$B$6),"Outlier","Normal")</f>
        <v>Normal</v>
      </c>
      <c r="G1187" t="str">
        <f>IF(OR(C1187&lt;outliers!$B$14,C1187&gt;outliers!$B$13),"Outlier","Normal")</f>
        <v>Normal</v>
      </c>
      <c r="H1187" t="str">
        <f>IF(OR(D1187&lt;outliers!$B$21,D1187&gt;outliers!$B$20),"Outlier","Normal")</f>
        <v>Normal</v>
      </c>
      <c r="I1187" t="str">
        <f>IF(OR(E1187&lt;outliers!$C$28,E1187&gt;outliers!$B$27),"Outlier","Normal")</f>
        <v>Normal</v>
      </c>
      <c r="J1187">
        <f t="shared" si="38"/>
        <v>2022</v>
      </c>
      <c r="K1187" t="str">
        <f t="shared" si="37"/>
        <v>March</v>
      </c>
    </row>
    <row r="1188" spans="1:11" hidden="1" x14ac:dyDescent="0.35">
      <c r="A1188" s="1">
        <v>44629</v>
      </c>
      <c r="B1188">
        <v>24.9</v>
      </c>
      <c r="C1188">
        <v>16.7</v>
      </c>
      <c r="D1188">
        <v>32.799999999999997</v>
      </c>
      <c r="E1188">
        <v>0</v>
      </c>
      <c r="F1188" t="str">
        <f>IF(OR(B1188&lt;outliers!$B$7,B1188&gt;outliers!$B$6),"Outlier","Normal")</f>
        <v>Normal</v>
      </c>
      <c r="G1188" t="str">
        <f>IF(OR(C1188&lt;outliers!$B$14,C1188&gt;outliers!$B$13),"Outlier","Normal")</f>
        <v>Outlier</v>
      </c>
      <c r="H1188" t="str">
        <f>IF(OR(D1188&lt;outliers!$B$21,D1188&gt;outliers!$B$20),"Outlier","Normal")</f>
        <v>Normal</v>
      </c>
      <c r="I1188" t="str">
        <f>IF(OR(E1188&lt;outliers!$C$28,E1188&gt;outliers!$B$27),"Outlier","Normal")</f>
        <v>Normal</v>
      </c>
      <c r="J1188">
        <f t="shared" si="38"/>
        <v>2022</v>
      </c>
      <c r="K1188" t="str">
        <f t="shared" si="37"/>
        <v>March</v>
      </c>
    </row>
    <row r="1189" spans="1:11" x14ac:dyDescent="0.35">
      <c r="A1189" s="1">
        <v>44630</v>
      </c>
      <c r="B1189">
        <v>25.4</v>
      </c>
      <c r="C1189">
        <v>17.100000000000001</v>
      </c>
      <c r="D1189">
        <v>32.799999999999997</v>
      </c>
      <c r="E1189">
        <v>0</v>
      </c>
      <c r="F1189" t="str">
        <f>IF(OR(B1189&lt;outliers!$B$7,B1189&gt;outliers!$B$6),"Outlier","Normal")</f>
        <v>Normal</v>
      </c>
      <c r="G1189" t="str">
        <f>IF(OR(C1189&lt;outliers!$B$14,C1189&gt;outliers!$B$13),"Outlier","Normal")</f>
        <v>Normal</v>
      </c>
      <c r="H1189" t="str">
        <f>IF(OR(D1189&lt;outliers!$B$21,D1189&gt;outliers!$B$20),"Outlier","Normal")</f>
        <v>Normal</v>
      </c>
      <c r="I1189" t="str">
        <f>IF(OR(E1189&lt;outliers!$C$28,E1189&gt;outliers!$B$27),"Outlier","Normal")</f>
        <v>Normal</v>
      </c>
      <c r="J1189">
        <f t="shared" si="38"/>
        <v>2022</v>
      </c>
      <c r="K1189" t="str">
        <f t="shared" si="37"/>
        <v>March</v>
      </c>
    </row>
    <row r="1190" spans="1:11" x14ac:dyDescent="0.35">
      <c r="A1190" s="1">
        <v>44631</v>
      </c>
      <c r="B1190">
        <v>25.2</v>
      </c>
      <c r="C1190">
        <v>17.2</v>
      </c>
      <c r="D1190">
        <v>32.799999999999997</v>
      </c>
      <c r="E1190">
        <v>0</v>
      </c>
      <c r="F1190" t="str">
        <f>IF(OR(B1190&lt;outliers!$B$7,B1190&gt;outliers!$B$6),"Outlier","Normal")</f>
        <v>Normal</v>
      </c>
      <c r="G1190" t="str">
        <f>IF(OR(C1190&lt;outliers!$B$14,C1190&gt;outliers!$B$13),"Outlier","Normal")</f>
        <v>Normal</v>
      </c>
      <c r="H1190" t="str">
        <f>IF(OR(D1190&lt;outliers!$B$21,D1190&gt;outliers!$B$20),"Outlier","Normal")</f>
        <v>Normal</v>
      </c>
      <c r="I1190" t="str">
        <f>IF(OR(E1190&lt;outliers!$C$28,E1190&gt;outliers!$B$27),"Outlier","Normal")</f>
        <v>Normal</v>
      </c>
      <c r="J1190">
        <f t="shared" si="38"/>
        <v>2022</v>
      </c>
      <c r="K1190" t="str">
        <f t="shared" si="37"/>
        <v>March</v>
      </c>
    </row>
    <row r="1191" spans="1:11" x14ac:dyDescent="0.35">
      <c r="A1191" s="1">
        <v>44632</v>
      </c>
      <c r="B1191">
        <v>25.5</v>
      </c>
      <c r="C1191">
        <v>18.100000000000001</v>
      </c>
      <c r="D1191">
        <v>33</v>
      </c>
      <c r="E1191">
        <v>0</v>
      </c>
      <c r="F1191" t="str">
        <f>IF(OR(B1191&lt;outliers!$B$7,B1191&gt;outliers!$B$6),"Outlier","Normal")</f>
        <v>Normal</v>
      </c>
      <c r="G1191" t="str">
        <f>IF(OR(C1191&lt;outliers!$B$14,C1191&gt;outliers!$B$13),"Outlier","Normal")</f>
        <v>Normal</v>
      </c>
      <c r="H1191" t="str">
        <f>IF(OR(D1191&lt;outliers!$B$21,D1191&gt;outliers!$B$20),"Outlier","Normal")</f>
        <v>Normal</v>
      </c>
      <c r="I1191" t="str">
        <f>IF(OR(E1191&lt;outliers!$C$28,E1191&gt;outliers!$B$27),"Outlier","Normal")</f>
        <v>Normal</v>
      </c>
      <c r="J1191">
        <f t="shared" si="38"/>
        <v>2022</v>
      </c>
      <c r="K1191" t="str">
        <f t="shared" si="37"/>
        <v>March</v>
      </c>
    </row>
    <row r="1192" spans="1:11" x14ac:dyDescent="0.35">
      <c r="A1192" s="1">
        <v>44633</v>
      </c>
      <c r="B1192">
        <v>25.6</v>
      </c>
      <c r="C1192">
        <v>18.5</v>
      </c>
      <c r="D1192">
        <v>32.799999999999997</v>
      </c>
      <c r="E1192">
        <v>0</v>
      </c>
      <c r="F1192" t="str">
        <f>IF(OR(B1192&lt;outliers!$B$7,B1192&gt;outliers!$B$6),"Outlier","Normal")</f>
        <v>Normal</v>
      </c>
      <c r="G1192" t="str">
        <f>IF(OR(C1192&lt;outliers!$B$14,C1192&gt;outliers!$B$13),"Outlier","Normal")</f>
        <v>Normal</v>
      </c>
      <c r="H1192" t="str">
        <f>IF(OR(D1192&lt;outliers!$B$21,D1192&gt;outliers!$B$20),"Outlier","Normal")</f>
        <v>Normal</v>
      </c>
      <c r="I1192" t="str">
        <f>IF(OR(E1192&lt;outliers!$C$28,E1192&gt;outliers!$B$27),"Outlier","Normal")</f>
        <v>Normal</v>
      </c>
      <c r="J1192">
        <f t="shared" si="38"/>
        <v>2022</v>
      </c>
      <c r="K1192" t="str">
        <f t="shared" si="37"/>
        <v>March</v>
      </c>
    </row>
    <row r="1193" spans="1:11" x14ac:dyDescent="0.35">
      <c r="A1193" s="1">
        <v>44634</v>
      </c>
      <c r="B1193">
        <v>26</v>
      </c>
      <c r="C1193">
        <v>18.399999999999999</v>
      </c>
      <c r="D1193">
        <v>32.799999999999997</v>
      </c>
      <c r="E1193">
        <v>0</v>
      </c>
      <c r="F1193" t="str">
        <f>IF(OR(B1193&lt;outliers!$B$7,B1193&gt;outliers!$B$6),"Outlier","Normal")</f>
        <v>Normal</v>
      </c>
      <c r="G1193" t="str">
        <f>IF(OR(C1193&lt;outliers!$B$14,C1193&gt;outliers!$B$13),"Outlier","Normal")</f>
        <v>Normal</v>
      </c>
      <c r="H1193" t="str">
        <f>IF(OR(D1193&lt;outliers!$B$21,D1193&gt;outliers!$B$20),"Outlier","Normal")</f>
        <v>Normal</v>
      </c>
      <c r="I1193" t="str">
        <f>IF(OR(E1193&lt;outliers!$C$28,E1193&gt;outliers!$B$27),"Outlier","Normal")</f>
        <v>Normal</v>
      </c>
      <c r="J1193">
        <f t="shared" si="38"/>
        <v>2022</v>
      </c>
      <c r="K1193" t="str">
        <f t="shared" si="37"/>
        <v>March</v>
      </c>
    </row>
    <row r="1194" spans="1:11" x14ac:dyDescent="0.35">
      <c r="A1194" s="1">
        <v>44635</v>
      </c>
      <c r="B1194">
        <v>25.7</v>
      </c>
      <c r="C1194">
        <v>17.5</v>
      </c>
      <c r="D1194">
        <v>33.4</v>
      </c>
      <c r="E1194">
        <v>0</v>
      </c>
      <c r="F1194" t="str">
        <f>IF(OR(B1194&lt;outliers!$B$7,B1194&gt;outliers!$B$6),"Outlier","Normal")</f>
        <v>Normal</v>
      </c>
      <c r="G1194" t="str">
        <f>IF(OR(C1194&lt;outliers!$B$14,C1194&gt;outliers!$B$13),"Outlier","Normal")</f>
        <v>Normal</v>
      </c>
      <c r="H1194" t="str">
        <f>IF(OR(D1194&lt;outliers!$B$21,D1194&gt;outliers!$B$20),"Outlier","Normal")</f>
        <v>Normal</v>
      </c>
      <c r="I1194" t="str">
        <f>IF(OR(E1194&lt;outliers!$C$28,E1194&gt;outliers!$B$27),"Outlier","Normal")</f>
        <v>Normal</v>
      </c>
      <c r="J1194">
        <f t="shared" si="38"/>
        <v>2022</v>
      </c>
      <c r="K1194" t="str">
        <f t="shared" si="37"/>
        <v>March</v>
      </c>
    </row>
    <row r="1195" spans="1:11" x14ac:dyDescent="0.35">
      <c r="A1195" s="1">
        <v>44636</v>
      </c>
      <c r="B1195">
        <v>25.7</v>
      </c>
      <c r="C1195">
        <v>17.600000000000001</v>
      </c>
      <c r="D1195">
        <v>34.200000000000003</v>
      </c>
      <c r="E1195">
        <v>0</v>
      </c>
      <c r="F1195" t="str">
        <f>IF(OR(B1195&lt;outliers!$B$7,B1195&gt;outliers!$B$6),"Outlier","Normal")</f>
        <v>Normal</v>
      </c>
      <c r="G1195" t="str">
        <f>IF(OR(C1195&lt;outliers!$B$14,C1195&gt;outliers!$B$13),"Outlier","Normal")</f>
        <v>Normal</v>
      </c>
      <c r="H1195" t="str">
        <f>IF(OR(D1195&lt;outliers!$B$21,D1195&gt;outliers!$B$20),"Outlier","Normal")</f>
        <v>Normal</v>
      </c>
      <c r="I1195" t="str">
        <f>IF(OR(E1195&lt;outliers!$C$28,E1195&gt;outliers!$B$27),"Outlier","Normal")</f>
        <v>Normal</v>
      </c>
      <c r="J1195">
        <f t="shared" si="38"/>
        <v>2022</v>
      </c>
      <c r="K1195" t="str">
        <f t="shared" si="37"/>
        <v>March</v>
      </c>
    </row>
    <row r="1196" spans="1:11" x14ac:dyDescent="0.35">
      <c r="A1196" s="1">
        <v>44637</v>
      </c>
      <c r="B1196">
        <v>26.6</v>
      </c>
      <c r="C1196">
        <v>19.100000000000001</v>
      </c>
      <c r="D1196">
        <v>34.200000000000003</v>
      </c>
      <c r="E1196">
        <v>0</v>
      </c>
      <c r="F1196" t="str">
        <f>IF(OR(B1196&lt;outliers!$B$7,B1196&gt;outliers!$B$6),"Outlier","Normal")</f>
        <v>Normal</v>
      </c>
      <c r="G1196" t="str">
        <f>IF(OR(C1196&lt;outliers!$B$14,C1196&gt;outliers!$B$13),"Outlier","Normal")</f>
        <v>Normal</v>
      </c>
      <c r="H1196" t="str">
        <f>IF(OR(D1196&lt;outliers!$B$21,D1196&gt;outliers!$B$20),"Outlier","Normal")</f>
        <v>Normal</v>
      </c>
      <c r="I1196" t="str">
        <f>IF(OR(E1196&lt;outliers!$C$28,E1196&gt;outliers!$B$27),"Outlier","Normal")</f>
        <v>Normal</v>
      </c>
      <c r="J1196">
        <f t="shared" si="38"/>
        <v>2022</v>
      </c>
      <c r="K1196" t="str">
        <f t="shared" si="37"/>
        <v>March</v>
      </c>
    </row>
    <row r="1197" spans="1:11" x14ac:dyDescent="0.35">
      <c r="A1197" s="1">
        <v>44638</v>
      </c>
      <c r="B1197">
        <v>26.6</v>
      </c>
      <c r="C1197">
        <v>18.7</v>
      </c>
      <c r="D1197">
        <v>34</v>
      </c>
      <c r="E1197">
        <v>0</v>
      </c>
      <c r="F1197" t="str">
        <f>IF(OR(B1197&lt;outliers!$B$7,B1197&gt;outliers!$B$6),"Outlier","Normal")</f>
        <v>Normal</v>
      </c>
      <c r="G1197" t="str">
        <f>IF(OR(C1197&lt;outliers!$B$14,C1197&gt;outliers!$B$13),"Outlier","Normal")</f>
        <v>Normal</v>
      </c>
      <c r="H1197" t="str">
        <f>IF(OR(D1197&lt;outliers!$B$21,D1197&gt;outliers!$B$20),"Outlier","Normal")</f>
        <v>Normal</v>
      </c>
      <c r="I1197" t="str">
        <f>IF(OR(E1197&lt;outliers!$C$28,E1197&gt;outliers!$B$27),"Outlier","Normal")</f>
        <v>Normal</v>
      </c>
      <c r="J1197">
        <f t="shared" si="38"/>
        <v>2022</v>
      </c>
      <c r="K1197" t="str">
        <f t="shared" si="37"/>
        <v>March</v>
      </c>
    </row>
    <row r="1198" spans="1:11" x14ac:dyDescent="0.35">
      <c r="A1198" s="1">
        <v>44639</v>
      </c>
      <c r="B1198">
        <v>26.2</v>
      </c>
      <c r="C1198">
        <v>18.899999999999999</v>
      </c>
      <c r="D1198">
        <v>33.4</v>
      </c>
      <c r="E1198">
        <v>0.1</v>
      </c>
      <c r="F1198" t="str">
        <f>IF(OR(B1198&lt;outliers!$B$7,B1198&gt;outliers!$B$6),"Outlier","Normal")</f>
        <v>Normal</v>
      </c>
      <c r="G1198" t="str">
        <f>IF(OR(C1198&lt;outliers!$B$14,C1198&gt;outliers!$B$13),"Outlier","Normal")</f>
        <v>Normal</v>
      </c>
      <c r="H1198" t="str">
        <f>IF(OR(D1198&lt;outliers!$B$21,D1198&gt;outliers!$B$20),"Outlier","Normal")</f>
        <v>Normal</v>
      </c>
      <c r="I1198" t="str">
        <f>IF(OR(E1198&lt;outliers!$C$28,E1198&gt;outliers!$B$27),"Outlier","Normal")</f>
        <v>Normal</v>
      </c>
      <c r="J1198">
        <f t="shared" si="38"/>
        <v>2022</v>
      </c>
      <c r="K1198" t="str">
        <f t="shared" si="37"/>
        <v>March</v>
      </c>
    </row>
    <row r="1199" spans="1:11" x14ac:dyDescent="0.35">
      <c r="A1199" s="1">
        <v>44640</v>
      </c>
      <c r="B1199">
        <v>24.9</v>
      </c>
      <c r="C1199">
        <v>22</v>
      </c>
      <c r="D1199">
        <v>34.1</v>
      </c>
      <c r="E1199">
        <v>0</v>
      </c>
      <c r="F1199" t="str">
        <f>IF(OR(B1199&lt;outliers!$B$7,B1199&gt;outliers!$B$6),"Outlier","Normal")</f>
        <v>Normal</v>
      </c>
      <c r="G1199" t="str">
        <f>IF(OR(C1199&lt;outliers!$B$14,C1199&gt;outliers!$B$13),"Outlier","Normal")</f>
        <v>Normal</v>
      </c>
      <c r="H1199" t="str">
        <f>IF(OR(D1199&lt;outliers!$B$21,D1199&gt;outliers!$B$20),"Outlier","Normal")</f>
        <v>Normal</v>
      </c>
      <c r="I1199" t="str">
        <f>IF(OR(E1199&lt;outliers!$C$28,E1199&gt;outliers!$B$27),"Outlier","Normal")</f>
        <v>Normal</v>
      </c>
      <c r="J1199">
        <f t="shared" si="38"/>
        <v>2022</v>
      </c>
      <c r="K1199" t="str">
        <f t="shared" si="37"/>
        <v>March</v>
      </c>
    </row>
    <row r="1200" spans="1:11" x14ac:dyDescent="0.35">
      <c r="A1200" s="1">
        <v>44641</v>
      </c>
      <c r="B1200">
        <v>24.7</v>
      </c>
      <c r="C1200">
        <v>21.3</v>
      </c>
      <c r="D1200">
        <v>33.200000000000003</v>
      </c>
      <c r="E1200">
        <v>6.1</v>
      </c>
      <c r="F1200" t="str">
        <f>IF(OR(B1200&lt;outliers!$B$7,B1200&gt;outliers!$B$6),"Outlier","Normal")</f>
        <v>Normal</v>
      </c>
      <c r="G1200" t="str">
        <f>IF(OR(C1200&lt;outliers!$B$14,C1200&gt;outliers!$B$13),"Outlier","Normal")</f>
        <v>Normal</v>
      </c>
      <c r="H1200" t="str">
        <f>IF(OR(D1200&lt;outliers!$B$21,D1200&gt;outliers!$B$20),"Outlier","Normal")</f>
        <v>Normal</v>
      </c>
      <c r="I1200" t="str">
        <f>IF(OR(E1200&lt;outliers!$C$28,E1200&gt;outliers!$B$27),"Outlier","Normal")</f>
        <v>Normal</v>
      </c>
      <c r="J1200">
        <f t="shared" si="38"/>
        <v>2022</v>
      </c>
      <c r="K1200" t="str">
        <f t="shared" si="37"/>
        <v>March</v>
      </c>
    </row>
    <row r="1201" spans="1:11" x14ac:dyDescent="0.35">
      <c r="A1201" s="1">
        <v>44642</v>
      </c>
      <c r="B1201">
        <v>25.6</v>
      </c>
      <c r="C1201">
        <v>21.8</v>
      </c>
      <c r="D1201">
        <v>33.5</v>
      </c>
      <c r="E1201">
        <v>7.9</v>
      </c>
      <c r="F1201" t="str">
        <f>IF(OR(B1201&lt;outliers!$B$7,B1201&gt;outliers!$B$6),"Outlier","Normal")</f>
        <v>Normal</v>
      </c>
      <c r="G1201" t="str">
        <f>IF(OR(C1201&lt;outliers!$B$14,C1201&gt;outliers!$B$13),"Outlier","Normal")</f>
        <v>Normal</v>
      </c>
      <c r="H1201" t="str">
        <f>IF(OR(D1201&lt;outliers!$B$21,D1201&gt;outliers!$B$20),"Outlier","Normal")</f>
        <v>Normal</v>
      </c>
      <c r="I1201" t="str">
        <f>IF(OR(E1201&lt;outliers!$C$28,E1201&gt;outliers!$B$27),"Outlier","Normal")</f>
        <v>Normal</v>
      </c>
      <c r="J1201">
        <f t="shared" si="38"/>
        <v>2022</v>
      </c>
      <c r="K1201" t="str">
        <f t="shared" si="37"/>
        <v>March</v>
      </c>
    </row>
    <row r="1202" spans="1:11" x14ac:dyDescent="0.35">
      <c r="A1202" s="1">
        <v>44643</v>
      </c>
      <c r="B1202">
        <v>27</v>
      </c>
      <c r="C1202">
        <v>21.4</v>
      </c>
      <c r="D1202">
        <v>32.799999999999997</v>
      </c>
      <c r="E1202">
        <v>2</v>
      </c>
      <c r="F1202" t="str">
        <f>IF(OR(B1202&lt;outliers!$B$7,B1202&gt;outliers!$B$6),"Outlier","Normal")</f>
        <v>Normal</v>
      </c>
      <c r="G1202" t="str">
        <f>IF(OR(C1202&lt;outliers!$B$14,C1202&gt;outliers!$B$13),"Outlier","Normal")</f>
        <v>Normal</v>
      </c>
      <c r="H1202" t="str">
        <f>IF(OR(D1202&lt;outliers!$B$21,D1202&gt;outliers!$B$20),"Outlier","Normal")</f>
        <v>Normal</v>
      </c>
      <c r="I1202" t="str">
        <f>IF(OR(E1202&lt;outliers!$C$28,E1202&gt;outliers!$B$27),"Outlier","Normal")</f>
        <v>Normal</v>
      </c>
      <c r="J1202">
        <f t="shared" si="38"/>
        <v>2022</v>
      </c>
      <c r="K1202" t="str">
        <f t="shared" si="37"/>
        <v>March</v>
      </c>
    </row>
    <row r="1203" spans="1:11" hidden="1" x14ac:dyDescent="0.35">
      <c r="A1203" s="1">
        <v>44644</v>
      </c>
      <c r="B1203">
        <v>27.1</v>
      </c>
      <c r="C1203">
        <v>23.4</v>
      </c>
      <c r="D1203">
        <v>33.6</v>
      </c>
      <c r="E1203">
        <v>0</v>
      </c>
      <c r="F1203" t="str">
        <f>IF(OR(B1203&lt;outliers!$B$7,B1203&gt;outliers!$B$6),"Outlier","Normal")</f>
        <v>Normal</v>
      </c>
      <c r="G1203" t="str">
        <f>IF(OR(C1203&lt;outliers!$B$14,C1203&gt;outliers!$B$13),"Outlier","Normal")</f>
        <v>Outlier</v>
      </c>
      <c r="H1203" t="str">
        <f>IF(OR(D1203&lt;outliers!$B$21,D1203&gt;outliers!$B$20),"Outlier","Normal")</f>
        <v>Normal</v>
      </c>
      <c r="I1203" t="str">
        <f>IF(OR(E1203&lt;outliers!$C$28,E1203&gt;outliers!$B$27),"Outlier","Normal")</f>
        <v>Normal</v>
      </c>
      <c r="J1203">
        <f t="shared" si="38"/>
        <v>2022</v>
      </c>
      <c r="K1203" t="str">
        <f t="shared" si="37"/>
        <v>March</v>
      </c>
    </row>
    <row r="1204" spans="1:11" x14ac:dyDescent="0.35">
      <c r="A1204" s="1">
        <v>44645</v>
      </c>
      <c r="B1204">
        <v>26.4</v>
      </c>
      <c r="C1204">
        <v>19.399999999999999</v>
      </c>
      <c r="D1204">
        <v>32.299999999999997</v>
      </c>
      <c r="E1204">
        <v>0.2</v>
      </c>
      <c r="F1204" t="str">
        <f>IF(OR(B1204&lt;outliers!$B$7,B1204&gt;outliers!$B$6),"Outlier","Normal")</f>
        <v>Normal</v>
      </c>
      <c r="G1204" t="str">
        <f>IF(OR(C1204&lt;outliers!$B$14,C1204&gt;outliers!$B$13),"Outlier","Normal")</f>
        <v>Normal</v>
      </c>
      <c r="H1204" t="str">
        <f>IF(OR(D1204&lt;outliers!$B$21,D1204&gt;outliers!$B$20),"Outlier","Normal")</f>
        <v>Normal</v>
      </c>
      <c r="I1204" t="str">
        <f>IF(OR(E1204&lt;outliers!$C$28,E1204&gt;outliers!$B$27),"Outlier","Normal")</f>
        <v>Normal</v>
      </c>
      <c r="J1204">
        <f t="shared" si="38"/>
        <v>2022</v>
      </c>
      <c r="K1204" t="str">
        <f t="shared" si="37"/>
        <v>March</v>
      </c>
    </row>
    <row r="1205" spans="1:11" x14ac:dyDescent="0.35">
      <c r="A1205" s="1">
        <v>44646</v>
      </c>
      <c r="B1205">
        <v>26.7</v>
      </c>
      <c r="C1205">
        <v>19.899999999999999</v>
      </c>
      <c r="D1205">
        <v>32.9</v>
      </c>
      <c r="E1205">
        <v>0</v>
      </c>
      <c r="F1205" t="str">
        <f>IF(OR(B1205&lt;outliers!$B$7,B1205&gt;outliers!$B$6),"Outlier","Normal")</f>
        <v>Normal</v>
      </c>
      <c r="G1205" t="str">
        <f>IF(OR(C1205&lt;outliers!$B$14,C1205&gt;outliers!$B$13),"Outlier","Normal")</f>
        <v>Normal</v>
      </c>
      <c r="H1205" t="str">
        <f>IF(OR(D1205&lt;outliers!$B$21,D1205&gt;outliers!$B$20),"Outlier","Normal")</f>
        <v>Normal</v>
      </c>
      <c r="I1205" t="str">
        <f>IF(OR(E1205&lt;outliers!$C$28,E1205&gt;outliers!$B$27),"Outlier","Normal")</f>
        <v>Normal</v>
      </c>
      <c r="J1205">
        <f t="shared" si="38"/>
        <v>2022</v>
      </c>
      <c r="K1205" t="str">
        <f t="shared" si="37"/>
        <v>March</v>
      </c>
    </row>
    <row r="1206" spans="1:11" x14ac:dyDescent="0.35">
      <c r="A1206" s="1">
        <v>44647</v>
      </c>
      <c r="B1206">
        <v>27.1</v>
      </c>
      <c r="C1206">
        <v>20.399999999999999</v>
      </c>
      <c r="D1206">
        <v>33.799999999999997</v>
      </c>
      <c r="E1206">
        <v>0</v>
      </c>
      <c r="F1206" t="str">
        <f>IF(OR(B1206&lt;outliers!$B$7,B1206&gt;outliers!$B$6),"Outlier","Normal")</f>
        <v>Normal</v>
      </c>
      <c r="G1206" t="str">
        <f>IF(OR(C1206&lt;outliers!$B$14,C1206&gt;outliers!$B$13),"Outlier","Normal")</f>
        <v>Normal</v>
      </c>
      <c r="H1206" t="str">
        <f>IF(OR(D1206&lt;outliers!$B$21,D1206&gt;outliers!$B$20),"Outlier","Normal")</f>
        <v>Normal</v>
      </c>
      <c r="I1206" t="str">
        <f>IF(OR(E1206&lt;outliers!$C$28,E1206&gt;outliers!$B$27),"Outlier","Normal")</f>
        <v>Normal</v>
      </c>
      <c r="J1206">
        <f t="shared" si="38"/>
        <v>2022</v>
      </c>
      <c r="K1206" t="str">
        <f t="shared" si="37"/>
        <v>March</v>
      </c>
    </row>
    <row r="1207" spans="1:11" x14ac:dyDescent="0.35">
      <c r="A1207" s="1">
        <v>44648</v>
      </c>
      <c r="B1207">
        <v>27.3</v>
      </c>
      <c r="C1207">
        <v>20.100000000000001</v>
      </c>
      <c r="D1207">
        <v>33.799999999999997</v>
      </c>
      <c r="E1207">
        <v>0</v>
      </c>
      <c r="F1207" t="str">
        <f>IF(OR(B1207&lt;outliers!$B$7,B1207&gt;outliers!$B$6),"Outlier","Normal")</f>
        <v>Normal</v>
      </c>
      <c r="G1207" t="str">
        <f>IF(OR(C1207&lt;outliers!$B$14,C1207&gt;outliers!$B$13),"Outlier","Normal")</f>
        <v>Normal</v>
      </c>
      <c r="H1207" t="str">
        <f>IF(OR(D1207&lt;outliers!$B$21,D1207&gt;outliers!$B$20),"Outlier","Normal")</f>
        <v>Normal</v>
      </c>
      <c r="I1207" t="str">
        <f>IF(OR(E1207&lt;outliers!$C$28,E1207&gt;outliers!$B$27),"Outlier","Normal")</f>
        <v>Normal</v>
      </c>
      <c r="J1207">
        <f t="shared" si="38"/>
        <v>2022</v>
      </c>
      <c r="K1207" t="str">
        <f t="shared" si="37"/>
        <v>March</v>
      </c>
    </row>
    <row r="1208" spans="1:11" x14ac:dyDescent="0.35">
      <c r="A1208" s="1">
        <v>44649</v>
      </c>
      <c r="B1208">
        <v>27.5</v>
      </c>
      <c r="C1208">
        <v>20.399999999999999</v>
      </c>
      <c r="D1208">
        <v>34.200000000000003</v>
      </c>
      <c r="E1208">
        <v>0.1</v>
      </c>
      <c r="F1208" t="str">
        <f>IF(OR(B1208&lt;outliers!$B$7,B1208&gt;outliers!$B$6),"Outlier","Normal")</f>
        <v>Normal</v>
      </c>
      <c r="G1208" t="str">
        <f>IF(OR(C1208&lt;outliers!$B$14,C1208&gt;outliers!$B$13),"Outlier","Normal")</f>
        <v>Normal</v>
      </c>
      <c r="H1208" t="str">
        <f>IF(OR(D1208&lt;outliers!$B$21,D1208&gt;outliers!$B$20),"Outlier","Normal")</f>
        <v>Normal</v>
      </c>
      <c r="I1208" t="str">
        <f>IF(OR(E1208&lt;outliers!$C$28,E1208&gt;outliers!$B$27),"Outlier","Normal")</f>
        <v>Normal</v>
      </c>
      <c r="J1208">
        <f t="shared" si="38"/>
        <v>2022</v>
      </c>
      <c r="K1208" t="str">
        <f t="shared" si="37"/>
        <v>March</v>
      </c>
    </row>
    <row r="1209" spans="1:11" x14ac:dyDescent="0.35">
      <c r="A1209" s="1">
        <v>44650</v>
      </c>
      <c r="B1209">
        <v>27.6</v>
      </c>
      <c r="C1209">
        <v>21.8</v>
      </c>
      <c r="D1209">
        <v>33.799999999999997</v>
      </c>
      <c r="E1209">
        <v>0.1</v>
      </c>
      <c r="F1209" t="str">
        <f>IF(OR(B1209&lt;outliers!$B$7,B1209&gt;outliers!$B$6),"Outlier","Normal")</f>
        <v>Normal</v>
      </c>
      <c r="G1209" t="str">
        <f>IF(OR(C1209&lt;outliers!$B$14,C1209&gt;outliers!$B$13),"Outlier","Normal")</f>
        <v>Normal</v>
      </c>
      <c r="H1209" t="str">
        <f>IF(OR(D1209&lt;outliers!$B$21,D1209&gt;outliers!$B$20),"Outlier","Normal")</f>
        <v>Normal</v>
      </c>
      <c r="I1209" t="str">
        <f>IF(OR(E1209&lt;outliers!$C$28,E1209&gt;outliers!$B$27),"Outlier","Normal")</f>
        <v>Normal</v>
      </c>
      <c r="J1209">
        <f t="shared" si="38"/>
        <v>2022</v>
      </c>
      <c r="K1209" t="str">
        <f t="shared" si="37"/>
        <v>March</v>
      </c>
    </row>
    <row r="1210" spans="1:11" x14ac:dyDescent="0.35">
      <c r="A1210" s="1">
        <v>44651</v>
      </c>
      <c r="B1210">
        <v>27.5</v>
      </c>
      <c r="C1210">
        <v>20.9</v>
      </c>
      <c r="D1210">
        <v>34</v>
      </c>
      <c r="E1210">
        <v>0</v>
      </c>
      <c r="F1210" t="str">
        <f>IF(OR(B1210&lt;outliers!$B$7,B1210&gt;outliers!$B$6),"Outlier","Normal")</f>
        <v>Normal</v>
      </c>
      <c r="G1210" t="str">
        <f>IF(OR(C1210&lt;outliers!$B$14,C1210&gt;outliers!$B$13),"Outlier","Normal")</f>
        <v>Normal</v>
      </c>
      <c r="H1210" t="str">
        <f>IF(OR(D1210&lt;outliers!$B$21,D1210&gt;outliers!$B$20),"Outlier","Normal")</f>
        <v>Normal</v>
      </c>
      <c r="I1210" t="str">
        <f>IF(OR(E1210&lt;outliers!$C$28,E1210&gt;outliers!$B$27),"Outlier","Normal")</f>
        <v>Normal</v>
      </c>
      <c r="J1210">
        <f t="shared" si="38"/>
        <v>2022</v>
      </c>
      <c r="K1210" t="str">
        <f t="shared" si="37"/>
        <v>March</v>
      </c>
    </row>
    <row r="1211" spans="1:11" x14ac:dyDescent="0.35">
      <c r="A1211" s="1">
        <v>44652</v>
      </c>
      <c r="B1211">
        <v>27.2</v>
      </c>
      <c r="C1211">
        <v>21.2</v>
      </c>
      <c r="D1211">
        <v>33</v>
      </c>
      <c r="E1211">
        <v>0</v>
      </c>
      <c r="F1211" t="str">
        <f>IF(OR(B1211&lt;outliers!$B$7,B1211&gt;outliers!$B$6),"Outlier","Normal")</f>
        <v>Normal</v>
      </c>
      <c r="G1211" t="str">
        <f>IF(OR(C1211&lt;outliers!$B$14,C1211&gt;outliers!$B$13),"Outlier","Normal")</f>
        <v>Normal</v>
      </c>
      <c r="H1211" t="str">
        <f>IF(OR(D1211&lt;outliers!$B$21,D1211&gt;outliers!$B$20),"Outlier","Normal")</f>
        <v>Normal</v>
      </c>
      <c r="I1211" t="str">
        <f>IF(OR(E1211&lt;outliers!$C$28,E1211&gt;outliers!$B$27),"Outlier","Normal")</f>
        <v>Normal</v>
      </c>
      <c r="J1211">
        <f t="shared" si="38"/>
        <v>2022</v>
      </c>
      <c r="K1211" t="str">
        <f t="shared" si="37"/>
        <v>March</v>
      </c>
    </row>
    <row r="1212" spans="1:11" x14ac:dyDescent="0.35">
      <c r="A1212" s="1">
        <v>44653</v>
      </c>
      <c r="B1212">
        <v>26.8</v>
      </c>
      <c r="C1212">
        <v>20</v>
      </c>
      <c r="D1212">
        <v>33</v>
      </c>
      <c r="E1212">
        <v>0</v>
      </c>
      <c r="F1212" t="str">
        <f>IF(OR(B1212&lt;outliers!$B$7,B1212&gt;outliers!$B$6),"Outlier","Normal")</f>
        <v>Normal</v>
      </c>
      <c r="G1212" t="str">
        <f>IF(OR(C1212&lt;outliers!$B$14,C1212&gt;outliers!$B$13),"Outlier","Normal")</f>
        <v>Normal</v>
      </c>
      <c r="H1212" t="str">
        <f>IF(OR(D1212&lt;outliers!$B$21,D1212&gt;outliers!$B$20),"Outlier","Normal")</f>
        <v>Normal</v>
      </c>
      <c r="I1212" t="str">
        <f>IF(OR(E1212&lt;outliers!$C$28,E1212&gt;outliers!$B$27),"Outlier","Normal")</f>
        <v>Normal</v>
      </c>
      <c r="J1212">
        <f t="shared" si="38"/>
        <v>2022</v>
      </c>
      <c r="K1212" t="str">
        <f t="shared" si="37"/>
        <v>April</v>
      </c>
    </row>
    <row r="1213" spans="1:11" x14ac:dyDescent="0.35">
      <c r="A1213" s="1">
        <v>44654</v>
      </c>
      <c r="B1213">
        <v>26.6</v>
      </c>
      <c r="C1213">
        <v>18.600000000000001</v>
      </c>
      <c r="D1213">
        <v>33.6</v>
      </c>
      <c r="E1213">
        <v>0</v>
      </c>
      <c r="F1213" t="str">
        <f>IF(OR(B1213&lt;outliers!$B$7,B1213&gt;outliers!$B$6),"Outlier","Normal")</f>
        <v>Normal</v>
      </c>
      <c r="G1213" t="str">
        <f>IF(OR(C1213&lt;outliers!$B$14,C1213&gt;outliers!$B$13),"Outlier","Normal")</f>
        <v>Normal</v>
      </c>
      <c r="H1213" t="str">
        <f>IF(OR(D1213&lt;outliers!$B$21,D1213&gt;outliers!$B$20),"Outlier","Normal")</f>
        <v>Normal</v>
      </c>
      <c r="I1213" t="str">
        <f>IF(OR(E1213&lt;outliers!$C$28,E1213&gt;outliers!$B$27),"Outlier","Normal")</f>
        <v>Normal</v>
      </c>
      <c r="J1213">
        <f t="shared" si="38"/>
        <v>2022</v>
      </c>
      <c r="K1213" t="str">
        <f t="shared" si="37"/>
        <v>April</v>
      </c>
    </row>
    <row r="1214" spans="1:11" x14ac:dyDescent="0.35">
      <c r="A1214" s="1">
        <v>44655</v>
      </c>
      <c r="B1214">
        <v>26.5</v>
      </c>
      <c r="C1214">
        <v>19</v>
      </c>
      <c r="D1214">
        <v>33.799999999999997</v>
      </c>
      <c r="E1214">
        <v>0</v>
      </c>
      <c r="F1214" t="str">
        <f>IF(OR(B1214&lt;outliers!$B$7,B1214&gt;outliers!$B$6),"Outlier","Normal")</f>
        <v>Normal</v>
      </c>
      <c r="G1214" t="str">
        <f>IF(OR(C1214&lt;outliers!$B$14,C1214&gt;outliers!$B$13),"Outlier","Normal")</f>
        <v>Normal</v>
      </c>
      <c r="H1214" t="str">
        <f>IF(OR(D1214&lt;outliers!$B$21,D1214&gt;outliers!$B$20),"Outlier","Normal")</f>
        <v>Normal</v>
      </c>
      <c r="I1214" t="str">
        <f>IF(OR(E1214&lt;outliers!$C$28,E1214&gt;outliers!$B$27),"Outlier","Normal")</f>
        <v>Normal</v>
      </c>
      <c r="J1214">
        <f t="shared" si="38"/>
        <v>2022</v>
      </c>
      <c r="K1214" t="str">
        <f t="shared" si="37"/>
        <v>April</v>
      </c>
    </row>
    <row r="1215" spans="1:11" x14ac:dyDescent="0.35">
      <c r="A1215" s="1">
        <v>44656</v>
      </c>
      <c r="B1215">
        <v>26.3</v>
      </c>
      <c r="C1215">
        <v>19</v>
      </c>
      <c r="D1215">
        <v>33.200000000000003</v>
      </c>
      <c r="E1215">
        <v>0</v>
      </c>
      <c r="F1215" t="str">
        <f>IF(OR(B1215&lt;outliers!$B$7,B1215&gt;outliers!$B$6),"Outlier","Normal")</f>
        <v>Normal</v>
      </c>
      <c r="G1215" t="str">
        <f>IF(OR(C1215&lt;outliers!$B$14,C1215&gt;outliers!$B$13),"Outlier","Normal")</f>
        <v>Normal</v>
      </c>
      <c r="H1215" t="str">
        <f>IF(OR(D1215&lt;outliers!$B$21,D1215&gt;outliers!$B$20),"Outlier","Normal")</f>
        <v>Normal</v>
      </c>
      <c r="I1215" t="str">
        <f>IF(OR(E1215&lt;outliers!$C$28,E1215&gt;outliers!$B$27),"Outlier","Normal")</f>
        <v>Normal</v>
      </c>
      <c r="J1215">
        <f t="shared" si="38"/>
        <v>2022</v>
      </c>
      <c r="K1215" t="str">
        <f t="shared" si="37"/>
        <v>April</v>
      </c>
    </row>
    <row r="1216" spans="1:11" x14ac:dyDescent="0.35">
      <c r="A1216" s="1">
        <v>44657</v>
      </c>
      <c r="B1216">
        <v>26.7</v>
      </c>
      <c r="C1216">
        <v>18.399999999999999</v>
      </c>
      <c r="D1216">
        <v>35</v>
      </c>
      <c r="E1216">
        <v>0</v>
      </c>
      <c r="F1216" t="str">
        <f>IF(OR(B1216&lt;outliers!$B$7,B1216&gt;outliers!$B$6),"Outlier","Normal")</f>
        <v>Normal</v>
      </c>
      <c r="G1216" t="str">
        <f>IF(OR(C1216&lt;outliers!$B$14,C1216&gt;outliers!$B$13),"Outlier","Normal")</f>
        <v>Normal</v>
      </c>
      <c r="H1216" t="str">
        <f>IF(OR(D1216&lt;outliers!$B$21,D1216&gt;outliers!$B$20),"Outlier","Normal")</f>
        <v>Normal</v>
      </c>
      <c r="I1216" t="str">
        <f>IF(OR(E1216&lt;outliers!$C$28,E1216&gt;outliers!$B$27),"Outlier","Normal")</f>
        <v>Normal</v>
      </c>
      <c r="J1216">
        <f t="shared" si="38"/>
        <v>2022</v>
      </c>
      <c r="K1216" t="str">
        <f t="shared" si="37"/>
        <v>April</v>
      </c>
    </row>
    <row r="1217" spans="1:11" x14ac:dyDescent="0.35">
      <c r="A1217" s="1">
        <v>44658</v>
      </c>
      <c r="B1217">
        <v>27.1</v>
      </c>
      <c r="C1217">
        <v>19.100000000000001</v>
      </c>
      <c r="D1217">
        <v>34.799999999999997</v>
      </c>
      <c r="E1217">
        <v>0</v>
      </c>
      <c r="F1217" t="str">
        <f>IF(OR(B1217&lt;outliers!$B$7,B1217&gt;outliers!$B$6),"Outlier","Normal")</f>
        <v>Normal</v>
      </c>
      <c r="G1217" t="str">
        <f>IF(OR(C1217&lt;outliers!$B$14,C1217&gt;outliers!$B$13),"Outlier","Normal")</f>
        <v>Normal</v>
      </c>
      <c r="H1217" t="str">
        <f>IF(OR(D1217&lt;outliers!$B$21,D1217&gt;outliers!$B$20),"Outlier","Normal")</f>
        <v>Normal</v>
      </c>
      <c r="I1217" t="str">
        <f>IF(OR(E1217&lt;outliers!$C$28,E1217&gt;outliers!$B$27),"Outlier","Normal")</f>
        <v>Normal</v>
      </c>
      <c r="J1217">
        <f t="shared" si="38"/>
        <v>2022</v>
      </c>
      <c r="K1217" t="str">
        <f t="shared" si="37"/>
        <v>April</v>
      </c>
    </row>
    <row r="1218" spans="1:11" x14ac:dyDescent="0.35">
      <c r="A1218" s="1">
        <v>44659</v>
      </c>
      <c r="B1218">
        <v>26.7</v>
      </c>
      <c r="C1218">
        <v>19.3</v>
      </c>
      <c r="D1218">
        <v>33.200000000000003</v>
      </c>
      <c r="E1218">
        <v>0</v>
      </c>
      <c r="F1218" t="str">
        <f>IF(OR(B1218&lt;outliers!$B$7,B1218&gt;outliers!$B$6),"Outlier","Normal")</f>
        <v>Normal</v>
      </c>
      <c r="G1218" t="str">
        <f>IF(OR(C1218&lt;outliers!$B$14,C1218&gt;outliers!$B$13),"Outlier","Normal")</f>
        <v>Normal</v>
      </c>
      <c r="H1218" t="str">
        <f>IF(OR(D1218&lt;outliers!$B$21,D1218&gt;outliers!$B$20),"Outlier","Normal")</f>
        <v>Normal</v>
      </c>
      <c r="I1218" t="str">
        <f>IF(OR(E1218&lt;outliers!$C$28,E1218&gt;outliers!$B$27),"Outlier","Normal")</f>
        <v>Normal</v>
      </c>
      <c r="J1218">
        <f t="shared" si="38"/>
        <v>2022</v>
      </c>
      <c r="K1218" t="str">
        <f t="shared" ref="K1218:K1281" si="39">TEXT(A1217,"mmmm")</f>
        <v>April</v>
      </c>
    </row>
    <row r="1219" spans="1:11" x14ac:dyDescent="0.35">
      <c r="A1219" s="1">
        <v>44660</v>
      </c>
      <c r="B1219">
        <v>27.1</v>
      </c>
      <c r="C1219">
        <v>19.899999999999999</v>
      </c>
      <c r="D1219">
        <v>33.6</v>
      </c>
      <c r="E1219">
        <v>0</v>
      </c>
      <c r="F1219" t="str">
        <f>IF(OR(B1219&lt;outliers!$B$7,B1219&gt;outliers!$B$6),"Outlier","Normal")</f>
        <v>Normal</v>
      </c>
      <c r="G1219" t="str">
        <f>IF(OR(C1219&lt;outliers!$B$14,C1219&gt;outliers!$B$13),"Outlier","Normal")</f>
        <v>Normal</v>
      </c>
      <c r="H1219" t="str">
        <f>IF(OR(D1219&lt;outliers!$B$21,D1219&gt;outliers!$B$20),"Outlier","Normal")</f>
        <v>Normal</v>
      </c>
      <c r="I1219" t="str">
        <f>IF(OR(E1219&lt;outliers!$C$28,E1219&gt;outliers!$B$27),"Outlier","Normal")</f>
        <v>Normal</v>
      </c>
      <c r="J1219">
        <f t="shared" si="38"/>
        <v>2022</v>
      </c>
      <c r="K1219" t="str">
        <f t="shared" si="39"/>
        <v>April</v>
      </c>
    </row>
    <row r="1220" spans="1:11" x14ac:dyDescent="0.35">
      <c r="A1220" s="1">
        <v>44661</v>
      </c>
      <c r="B1220">
        <v>27</v>
      </c>
      <c r="C1220">
        <v>20.3</v>
      </c>
      <c r="D1220">
        <v>34</v>
      </c>
      <c r="E1220">
        <v>0</v>
      </c>
      <c r="F1220" t="str">
        <f>IF(OR(B1220&lt;outliers!$B$7,B1220&gt;outliers!$B$6),"Outlier","Normal")</f>
        <v>Normal</v>
      </c>
      <c r="G1220" t="str">
        <f>IF(OR(C1220&lt;outliers!$B$14,C1220&gt;outliers!$B$13),"Outlier","Normal")</f>
        <v>Normal</v>
      </c>
      <c r="H1220" t="str">
        <f>IF(OR(D1220&lt;outliers!$B$21,D1220&gt;outliers!$B$20),"Outlier","Normal")</f>
        <v>Normal</v>
      </c>
      <c r="I1220" t="str">
        <f>IF(OR(E1220&lt;outliers!$C$28,E1220&gt;outliers!$B$27),"Outlier","Normal")</f>
        <v>Normal</v>
      </c>
      <c r="J1220">
        <f t="shared" si="38"/>
        <v>2022</v>
      </c>
      <c r="K1220" t="str">
        <f t="shared" si="39"/>
        <v>April</v>
      </c>
    </row>
    <row r="1221" spans="1:11" x14ac:dyDescent="0.35">
      <c r="A1221" s="1">
        <v>44662</v>
      </c>
      <c r="B1221">
        <v>27.2</v>
      </c>
      <c r="C1221">
        <v>20.100000000000001</v>
      </c>
      <c r="D1221">
        <v>34.200000000000003</v>
      </c>
      <c r="E1221">
        <v>0</v>
      </c>
      <c r="F1221" t="str">
        <f>IF(OR(B1221&lt;outliers!$B$7,B1221&gt;outliers!$B$6),"Outlier","Normal")</f>
        <v>Normal</v>
      </c>
      <c r="G1221" t="str">
        <f>IF(OR(C1221&lt;outliers!$B$14,C1221&gt;outliers!$B$13),"Outlier","Normal")</f>
        <v>Normal</v>
      </c>
      <c r="H1221" t="str">
        <f>IF(OR(D1221&lt;outliers!$B$21,D1221&gt;outliers!$B$20),"Outlier","Normal")</f>
        <v>Normal</v>
      </c>
      <c r="I1221" t="str">
        <f>IF(OR(E1221&lt;outliers!$C$28,E1221&gt;outliers!$B$27),"Outlier","Normal")</f>
        <v>Normal</v>
      </c>
      <c r="J1221">
        <f t="shared" si="38"/>
        <v>2022</v>
      </c>
      <c r="K1221" t="str">
        <f t="shared" si="39"/>
        <v>April</v>
      </c>
    </row>
    <row r="1222" spans="1:11" x14ac:dyDescent="0.35">
      <c r="A1222" s="1">
        <v>44663</v>
      </c>
      <c r="B1222">
        <v>26.7</v>
      </c>
      <c r="C1222">
        <v>20.5</v>
      </c>
      <c r="D1222">
        <v>34</v>
      </c>
      <c r="E1222">
        <v>0</v>
      </c>
      <c r="F1222" t="str">
        <f>IF(OR(B1222&lt;outliers!$B$7,B1222&gt;outliers!$B$6),"Outlier","Normal")</f>
        <v>Normal</v>
      </c>
      <c r="G1222" t="str">
        <f>IF(OR(C1222&lt;outliers!$B$14,C1222&gt;outliers!$B$13),"Outlier","Normal")</f>
        <v>Normal</v>
      </c>
      <c r="H1222" t="str">
        <f>IF(OR(D1222&lt;outliers!$B$21,D1222&gt;outliers!$B$20),"Outlier","Normal")</f>
        <v>Normal</v>
      </c>
      <c r="I1222" t="str">
        <f>IF(OR(E1222&lt;outliers!$C$28,E1222&gt;outliers!$B$27),"Outlier","Normal")</f>
        <v>Normal</v>
      </c>
      <c r="J1222">
        <f t="shared" si="38"/>
        <v>2022</v>
      </c>
      <c r="K1222" t="str">
        <f t="shared" si="39"/>
        <v>April</v>
      </c>
    </row>
    <row r="1223" spans="1:11" x14ac:dyDescent="0.35">
      <c r="A1223" s="1">
        <v>44664</v>
      </c>
      <c r="B1223">
        <v>25</v>
      </c>
      <c r="C1223">
        <v>21.5</v>
      </c>
      <c r="D1223">
        <v>32.799999999999997</v>
      </c>
      <c r="E1223">
        <v>3.5</v>
      </c>
      <c r="F1223" t="str">
        <f>IF(OR(B1223&lt;outliers!$B$7,B1223&gt;outliers!$B$6),"Outlier","Normal")</f>
        <v>Normal</v>
      </c>
      <c r="G1223" t="str">
        <f>IF(OR(C1223&lt;outliers!$B$14,C1223&gt;outliers!$B$13),"Outlier","Normal")</f>
        <v>Normal</v>
      </c>
      <c r="H1223" t="str">
        <f>IF(OR(D1223&lt;outliers!$B$21,D1223&gt;outliers!$B$20),"Outlier","Normal")</f>
        <v>Normal</v>
      </c>
      <c r="I1223" t="str">
        <f>IF(OR(E1223&lt;outliers!$C$28,E1223&gt;outliers!$B$27),"Outlier","Normal")</f>
        <v>Normal</v>
      </c>
      <c r="J1223">
        <f t="shared" si="38"/>
        <v>2022</v>
      </c>
      <c r="K1223" t="str">
        <f t="shared" si="39"/>
        <v>April</v>
      </c>
    </row>
    <row r="1224" spans="1:11" hidden="1" x14ac:dyDescent="0.35">
      <c r="A1224" s="1">
        <v>44665</v>
      </c>
      <c r="B1224">
        <v>24.8</v>
      </c>
      <c r="C1224">
        <v>20.7</v>
      </c>
      <c r="D1224">
        <v>32.1</v>
      </c>
      <c r="E1224">
        <v>13.6</v>
      </c>
      <c r="F1224" t="str">
        <f>IF(OR(B1224&lt;outliers!$B$7,B1224&gt;outliers!$B$6),"Outlier","Normal")</f>
        <v>Normal</v>
      </c>
      <c r="G1224" t="str">
        <f>IF(OR(C1224&lt;outliers!$B$14,C1224&gt;outliers!$B$13),"Outlier","Normal")</f>
        <v>Normal</v>
      </c>
      <c r="H1224" t="str">
        <f>IF(OR(D1224&lt;outliers!$B$21,D1224&gt;outliers!$B$20),"Outlier","Normal")</f>
        <v>Normal</v>
      </c>
      <c r="I1224" t="str">
        <f>IF(OR(E1224&lt;outliers!$C$28,E1224&gt;outliers!$B$27),"Outlier","Normal")</f>
        <v>Outlier</v>
      </c>
      <c r="J1224">
        <f t="shared" si="38"/>
        <v>2022</v>
      </c>
      <c r="K1224" t="str">
        <f t="shared" si="39"/>
        <v>April</v>
      </c>
    </row>
    <row r="1225" spans="1:11" hidden="1" x14ac:dyDescent="0.35">
      <c r="A1225" s="1">
        <v>44666</v>
      </c>
      <c r="B1225">
        <v>25.4</v>
      </c>
      <c r="C1225">
        <v>19.100000000000001</v>
      </c>
      <c r="D1225">
        <v>33</v>
      </c>
      <c r="E1225">
        <v>37.6</v>
      </c>
      <c r="F1225" t="str">
        <f>IF(OR(B1225&lt;outliers!$B$7,B1225&gt;outliers!$B$6),"Outlier","Normal")</f>
        <v>Normal</v>
      </c>
      <c r="G1225" t="str">
        <f>IF(OR(C1225&lt;outliers!$B$14,C1225&gt;outliers!$B$13),"Outlier","Normal")</f>
        <v>Normal</v>
      </c>
      <c r="H1225" t="str">
        <f>IF(OR(D1225&lt;outliers!$B$21,D1225&gt;outliers!$B$20),"Outlier","Normal")</f>
        <v>Normal</v>
      </c>
      <c r="I1225" t="str">
        <f>IF(OR(E1225&lt;outliers!$C$28,E1225&gt;outliers!$B$27),"Outlier","Normal")</f>
        <v>Outlier</v>
      </c>
      <c r="J1225">
        <f t="shared" si="38"/>
        <v>2022</v>
      </c>
      <c r="K1225" t="str">
        <f t="shared" si="39"/>
        <v>April</v>
      </c>
    </row>
    <row r="1226" spans="1:11" x14ac:dyDescent="0.35">
      <c r="A1226" s="1">
        <v>44667</v>
      </c>
      <c r="B1226">
        <v>26.3</v>
      </c>
      <c r="C1226">
        <v>19.7</v>
      </c>
      <c r="D1226">
        <v>34.1</v>
      </c>
      <c r="E1226">
        <v>0</v>
      </c>
      <c r="F1226" t="str">
        <f>IF(OR(B1226&lt;outliers!$B$7,B1226&gt;outliers!$B$6),"Outlier","Normal")</f>
        <v>Normal</v>
      </c>
      <c r="G1226" t="str">
        <f>IF(OR(C1226&lt;outliers!$B$14,C1226&gt;outliers!$B$13),"Outlier","Normal")</f>
        <v>Normal</v>
      </c>
      <c r="H1226" t="str">
        <f>IF(OR(D1226&lt;outliers!$B$21,D1226&gt;outliers!$B$20),"Outlier","Normal")</f>
        <v>Normal</v>
      </c>
      <c r="I1226" t="str">
        <f>IF(OR(E1226&lt;outliers!$C$28,E1226&gt;outliers!$B$27),"Outlier","Normal")</f>
        <v>Normal</v>
      </c>
      <c r="J1226">
        <f t="shared" si="38"/>
        <v>2022</v>
      </c>
      <c r="K1226" t="str">
        <f t="shared" si="39"/>
        <v>April</v>
      </c>
    </row>
    <row r="1227" spans="1:11" hidden="1" x14ac:dyDescent="0.35">
      <c r="A1227" s="1">
        <v>44668</v>
      </c>
      <c r="B1227">
        <v>25.6</v>
      </c>
      <c r="C1227">
        <v>20</v>
      </c>
      <c r="D1227">
        <v>34.1</v>
      </c>
      <c r="E1227">
        <v>51.1</v>
      </c>
      <c r="F1227" t="str">
        <f>IF(OR(B1227&lt;outliers!$B$7,B1227&gt;outliers!$B$6),"Outlier","Normal")</f>
        <v>Normal</v>
      </c>
      <c r="G1227" t="str">
        <f>IF(OR(C1227&lt;outliers!$B$14,C1227&gt;outliers!$B$13),"Outlier","Normal")</f>
        <v>Normal</v>
      </c>
      <c r="H1227" t="str">
        <f>IF(OR(D1227&lt;outliers!$B$21,D1227&gt;outliers!$B$20),"Outlier","Normal")</f>
        <v>Normal</v>
      </c>
      <c r="I1227" t="str">
        <f>IF(OR(E1227&lt;outliers!$C$28,E1227&gt;outliers!$B$27),"Outlier","Normal")</f>
        <v>Outlier</v>
      </c>
      <c r="J1227">
        <f t="shared" si="38"/>
        <v>2022</v>
      </c>
      <c r="K1227" t="str">
        <f t="shared" si="39"/>
        <v>April</v>
      </c>
    </row>
    <row r="1228" spans="1:11" x14ac:dyDescent="0.35">
      <c r="A1228" s="1">
        <v>44669</v>
      </c>
      <c r="B1228">
        <v>23.8</v>
      </c>
      <c r="C1228">
        <v>19.100000000000001</v>
      </c>
      <c r="D1228">
        <v>32.1</v>
      </c>
      <c r="E1228">
        <v>1</v>
      </c>
      <c r="F1228" t="str">
        <f>IF(OR(B1228&lt;outliers!$B$7,B1228&gt;outliers!$B$6),"Outlier","Normal")</f>
        <v>Normal</v>
      </c>
      <c r="G1228" t="str">
        <f>IF(OR(C1228&lt;outliers!$B$14,C1228&gt;outliers!$B$13),"Outlier","Normal")</f>
        <v>Normal</v>
      </c>
      <c r="H1228" t="str">
        <f>IF(OR(D1228&lt;outliers!$B$21,D1228&gt;outliers!$B$20),"Outlier","Normal")</f>
        <v>Normal</v>
      </c>
      <c r="I1228" t="str">
        <f>IF(OR(E1228&lt;outliers!$C$28,E1228&gt;outliers!$B$27),"Outlier","Normal")</f>
        <v>Normal</v>
      </c>
      <c r="J1228">
        <f t="shared" si="38"/>
        <v>2022</v>
      </c>
      <c r="K1228" t="str">
        <f t="shared" si="39"/>
        <v>April</v>
      </c>
    </row>
    <row r="1229" spans="1:11" hidden="1" x14ac:dyDescent="0.35">
      <c r="A1229" s="1">
        <v>44670</v>
      </c>
      <c r="B1229">
        <v>26</v>
      </c>
      <c r="C1229">
        <v>20</v>
      </c>
      <c r="D1229">
        <v>32.4</v>
      </c>
      <c r="E1229">
        <v>32.799999999999997</v>
      </c>
      <c r="F1229" t="str">
        <f>IF(OR(B1229&lt;outliers!$B$7,B1229&gt;outliers!$B$6),"Outlier","Normal")</f>
        <v>Normal</v>
      </c>
      <c r="G1229" t="str">
        <f>IF(OR(C1229&lt;outliers!$B$14,C1229&gt;outliers!$B$13),"Outlier","Normal")</f>
        <v>Normal</v>
      </c>
      <c r="H1229" t="str">
        <f>IF(OR(D1229&lt;outliers!$B$21,D1229&gt;outliers!$B$20),"Outlier","Normal")</f>
        <v>Normal</v>
      </c>
      <c r="I1229" t="str">
        <f>IF(OR(E1229&lt;outliers!$C$28,E1229&gt;outliers!$B$27),"Outlier","Normal")</f>
        <v>Outlier</v>
      </c>
      <c r="J1229">
        <f t="shared" si="38"/>
        <v>2022</v>
      </c>
      <c r="K1229" t="str">
        <f t="shared" si="39"/>
        <v>April</v>
      </c>
    </row>
    <row r="1230" spans="1:11" x14ac:dyDescent="0.35">
      <c r="A1230" s="1">
        <v>44671</v>
      </c>
      <c r="B1230">
        <v>27.9</v>
      </c>
      <c r="C1230">
        <v>21.8</v>
      </c>
      <c r="D1230">
        <v>34.1</v>
      </c>
      <c r="E1230">
        <v>0</v>
      </c>
      <c r="F1230" t="str">
        <f>IF(OR(B1230&lt;outliers!$B$7,B1230&gt;outliers!$B$6),"Outlier","Normal")</f>
        <v>Normal</v>
      </c>
      <c r="G1230" t="str">
        <f>IF(OR(C1230&lt;outliers!$B$14,C1230&gt;outliers!$B$13),"Outlier","Normal")</f>
        <v>Normal</v>
      </c>
      <c r="H1230" t="str">
        <f>IF(OR(D1230&lt;outliers!$B$21,D1230&gt;outliers!$B$20),"Outlier","Normal")</f>
        <v>Normal</v>
      </c>
      <c r="I1230" t="str">
        <f>IF(OR(E1230&lt;outliers!$C$28,E1230&gt;outliers!$B$27),"Outlier","Normal")</f>
        <v>Normal</v>
      </c>
      <c r="J1230">
        <f t="shared" si="38"/>
        <v>2022</v>
      </c>
      <c r="K1230" t="str">
        <f t="shared" si="39"/>
        <v>April</v>
      </c>
    </row>
    <row r="1231" spans="1:11" x14ac:dyDescent="0.35">
      <c r="A1231" s="1">
        <v>44672</v>
      </c>
      <c r="B1231">
        <v>27.3</v>
      </c>
      <c r="C1231">
        <v>20.8</v>
      </c>
      <c r="D1231">
        <v>33.4</v>
      </c>
      <c r="E1231">
        <v>0</v>
      </c>
      <c r="F1231" t="str">
        <f>IF(OR(B1231&lt;outliers!$B$7,B1231&gt;outliers!$B$6),"Outlier","Normal")</f>
        <v>Normal</v>
      </c>
      <c r="G1231" t="str">
        <f>IF(OR(C1231&lt;outliers!$B$14,C1231&gt;outliers!$B$13),"Outlier","Normal")</f>
        <v>Normal</v>
      </c>
      <c r="H1231" t="str">
        <f>IF(OR(D1231&lt;outliers!$B$21,D1231&gt;outliers!$B$20),"Outlier","Normal")</f>
        <v>Normal</v>
      </c>
      <c r="I1231" t="str">
        <f>IF(OR(E1231&lt;outliers!$C$28,E1231&gt;outliers!$B$27),"Outlier","Normal")</f>
        <v>Normal</v>
      </c>
      <c r="J1231">
        <f t="shared" si="38"/>
        <v>2022</v>
      </c>
      <c r="K1231" t="str">
        <f t="shared" si="39"/>
        <v>April</v>
      </c>
    </row>
    <row r="1232" spans="1:11" x14ac:dyDescent="0.35">
      <c r="A1232" s="1">
        <v>44673</v>
      </c>
      <c r="B1232">
        <v>26.7</v>
      </c>
      <c r="C1232">
        <v>20.3</v>
      </c>
      <c r="D1232">
        <v>33.200000000000003</v>
      </c>
      <c r="E1232">
        <v>0</v>
      </c>
      <c r="F1232" t="str">
        <f>IF(OR(B1232&lt;outliers!$B$7,B1232&gt;outliers!$B$6),"Outlier","Normal")</f>
        <v>Normal</v>
      </c>
      <c r="G1232" t="str">
        <f>IF(OR(C1232&lt;outliers!$B$14,C1232&gt;outliers!$B$13),"Outlier","Normal")</f>
        <v>Normal</v>
      </c>
      <c r="H1232" t="str">
        <f>IF(OR(D1232&lt;outliers!$B$21,D1232&gt;outliers!$B$20),"Outlier","Normal")</f>
        <v>Normal</v>
      </c>
      <c r="I1232" t="str">
        <f>IF(OR(E1232&lt;outliers!$C$28,E1232&gt;outliers!$B$27),"Outlier","Normal")</f>
        <v>Normal</v>
      </c>
      <c r="J1232">
        <f t="shared" si="38"/>
        <v>2022</v>
      </c>
      <c r="K1232" t="str">
        <f t="shared" si="39"/>
        <v>April</v>
      </c>
    </row>
    <row r="1233" spans="1:11" x14ac:dyDescent="0.35">
      <c r="A1233" s="1">
        <v>44674</v>
      </c>
      <c r="B1233">
        <v>26.3</v>
      </c>
      <c r="C1233">
        <v>20.5</v>
      </c>
      <c r="D1233">
        <v>32.200000000000003</v>
      </c>
      <c r="E1233">
        <v>0</v>
      </c>
      <c r="F1233" t="str">
        <f>IF(OR(B1233&lt;outliers!$B$7,B1233&gt;outliers!$B$6),"Outlier","Normal")</f>
        <v>Normal</v>
      </c>
      <c r="G1233" t="str">
        <f>IF(OR(C1233&lt;outliers!$B$14,C1233&gt;outliers!$B$13),"Outlier","Normal")</f>
        <v>Normal</v>
      </c>
      <c r="H1233" t="str">
        <f>IF(OR(D1233&lt;outliers!$B$21,D1233&gt;outliers!$B$20),"Outlier","Normal")</f>
        <v>Normal</v>
      </c>
      <c r="I1233" t="str">
        <f>IF(OR(E1233&lt;outliers!$C$28,E1233&gt;outliers!$B$27),"Outlier","Normal")</f>
        <v>Normal</v>
      </c>
      <c r="J1233">
        <f t="shared" ref="J1233:J1296" si="40">YEAR(A1233)</f>
        <v>2022</v>
      </c>
      <c r="K1233" t="str">
        <f t="shared" si="39"/>
        <v>April</v>
      </c>
    </row>
    <row r="1234" spans="1:11" x14ac:dyDescent="0.35">
      <c r="A1234" s="1">
        <v>44675</v>
      </c>
      <c r="B1234">
        <v>27</v>
      </c>
      <c r="C1234">
        <v>20.399999999999999</v>
      </c>
      <c r="D1234">
        <v>33.700000000000003</v>
      </c>
      <c r="E1234">
        <v>0</v>
      </c>
      <c r="F1234" t="str">
        <f>IF(OR(B1234&lt;outliers!$B$7,B1234&gt;outliers!$B$6),"Outlier","Normal")</f>
        <v>Normal</v>
      </c>
      <c r="G1234" t="str">
        <f>IF(OR(C1234&lt;outliers!$B$14,C1234&gt;outliers!$B$13),"Outlier","Normal")</f>
        <v>Normal</v>
      </c>
      <c r="H1234" t="str">
        <f>IF(OR(D1234&lt;outliers!$B$21,D1234&gt;outliers!$B$20),"Outlier","Normal")</f>
        <v>Normal</v>
      </c>
      <c r="I1234" t="str">
        <f>IF(OR(E1234&lt;outliers!$C$28,E1234&gt;outliers!$B$27),"Outlier","Normal")</f>
        <v>Normal</v>
      </c>
      <c r="J1234">
        <f t="shared" si="40"/>
        <v>2022</v>
      </c>
      <c r="K1234" t="str">
        <f t="shared" si="39"/>
        <v>April</v>
      </c>
    </row>
    <row r="1235" spans="1:11" x14ac:dyDescent="0.35">
      <c r="A1235" s="1">
        <v>44676</v>
      </c>
      <c r="B1235">
        <v>27.8</v>
      </c>
      <c r="C1235">
        <v>20.8</v>
      </c>
      <c r="D1235">
        <v>34.1</v>
      </c>
      <c r="E1235">
        <v>0</v>
      </c>
      <c r="F1235" t="str">
        <f>IF(OR(B1235&lt;outliers!$B$7,B1235&gt;outliers!$B$6),"Outlier","Normal")</f>
        <v>Normal</v>
      </c>
      <c r="G1235" t="str">
        <f>IF(OR(C1235&lt;outliers!$B$14,C1235&gt;outliers!$B$13),"Outlier","Normal")</f>
        <v>Normal</v>
      </c>
      <c r="H1235" t="str">
        <f>IF(OR(D1235&lt;outliers!$B$21,D1235&gt;outliers!$B$20),"Outlier","Normal")</f>
        <v>Normal</v>
      </c>
      <c r="I1235" t="str">
        <f>IF(OR(E1235&lt;outliers!$C$28,E1235&gt;outliers!$B$27),"Outlier","Normal")</f>
        <v>Normal</v>
      </c>
      <c r="J1235">
        <f t="shared" si="40"/>
        <v>2022</v>
      </c>
      <c r="K1235" t="str">
        <f t="shared" si="39"/>
        <v>April</v>
      </c>
    </row>
    <row r="1236" spans="1:11" x14ac:dyDescent="0.35">
      <c r="A1236" s="1">
        <v>44677</v>
      </c>
      <c r="B1236">
        <v>27.9</v>
      </c>
      <c r="C1236">
        <v>20.6</v>
      </c>
      <c r="D1236">
        <v>34.5</v>
      </c>
      <c r="E1236">
        <v>0</v>
      </c>
      <c r="F1236" t="str">
        <f>IF(OR(B1236&lt;outliers!$B$7,B1236&gt;outliers!$B$6),"Outlier","Normal")</f>
        <v>Normal</v>
      </c>
      <c r="G1236" t="str">
        <f>IF(OR(C1236&lt;outliers!$B$14,C1236&gt;outliers!$B$13),"Outlier","Normal")</f>
        <v>Normal</v>
      </c>
      <c r="H1236" t="str">
        <f>IF(OR(D1236&lt;outliers!$B$21,D1236&gt;outliers!$B$20),"Outlier","Normal")</f>
        <v>Normal</v>
      </c>
      <c r="I1236" t="str">
        <f>IF(OR(E1236&lt;outliers!$C$28,E1236&gt;outliers!$B$27),"Outlier","Normal")</f>
        <v>Normal</v>
      </c>
      <c r="J1236">
        <f t="shared" si="40"/>
        <v>2022</v>
      </c>
      <c r="K1236" t="str">
        <f t="shared" si="39"/>
        <v>April</v>
      </c>
    </row>
    <row r="1237" spans="1:11" hidden="1" x14ac:dyDescent="0.35">
      <c r="A1237" s="1">
        <v>44678</v>
      </c>
      <c r="B1237">
        <v>28.5</v>
      </c>
      <c r="C1237">
        <v>21.5</v>
      </c>
      <c r="D1237">
        <v>35.1</v>
      </c>
      <c r="E1237">
        <v>0</v>
      </c>
      <c r="F1237" t="str">
        <f>IF(OR(B1237&lt;outliers!$B$7,B1237&gt;outliers!$B$6),"Outlier","Normal")</f>
        <v>Outlier</v>
      </c>
      <c r="G1237" t="str">
        <f>IF(OR(C1237&lt;outliers!$B$14,C1237&gt;outliers!$B$13),"Outlier","Normal")</f>
        <v>Normal</v>
      </c>
      <c r="H1237" t="str">
        <f>IF(OR(D1237&lt;outliers!$B$21,D1237&gt;outliers!$B$20),"Outlier","Normal")</f>
        <v>Normal</v>
      </c>
      <c r="I1237" t="str">
        <f>IF(OR(E1237&lt;outliers!$C$28,E1237&gt;outliers!$B$27),"Outlier","Normal")</f>
        <v>Normal</v>
      </c>
      <c r="J1237">
        <f t="shared" si="40"/>
        <v>2022</v>
      </c>
      <c r="K1237" t="str">
        <f t="shared" si="39"/>
        <v>April</v>
      </c>
    </row>
    <row r="1238" spans="1:11" x14ac:dyDescent="0.35">
      <c r="A1238" s="1">
        <v>44679</v>
      </c>
      <c r="B1238">
        <v>28.2</v>
      </c>
      <c r="C1238">
        <v>21.7</v>
      </c>
      <c r="D1238">
        <v>34.799999999999997</v>
      </c>
      <c r="E1238">
        <v>0</v>
      </c>
      <c r="F1238" t="str">
        <f>IF(OR(B1238&lt;outliers!$B$7,B1238&gt;outliers!$B$6),"Outlier","Normal")</f>
        <v>Normal</v>
      </c>
      <c r="G1238" t="str">
        <f>IF(OR(C1238&lt;outliers!$B$14,C1238&gt;outliers!$B$13),"Outlier","Normal")</f>
        <v>Normal</v>
      </c>
      <c r="H1238" t="str">
        <f>IF(OR(D1238&lt;outliers!$B$21,D1238&gt;outliers!$B$20),"Outlier","Normal")</f>
        <v>Normal</v>
      </c>
      <c r="I1238" t="str">
        <f>IF(OR(E1238&lt;outliers!$C$28,E1238&gt;outliers!$B$27),"Outlier","Normal")</f>
        <v>Normal</v>
      </c>
      <c r="J1238">
        <f t="shared" si="40"/>
        <v>2022</v>
      </c>
      <c r="K1238" t="str">
        <f t="shared" si="39"/>
        <v>April</v>
      </c>
    </row>
    <row r="1239" spans="1:11" hidden="1" x14ac:dyDescent="0.35">
      <c r="A1239" s="1">
        <v>44680</v>
      </c>
      <c r="B1239">
        <v>29.1</v>
      </c>
      <c r="C1239">
        <v>21.2</v>
      </c>
      <c r="D1239">
        <v>36.9</v>
      </c>
      <c r="E1239">
        <v>0</v>
      </c>
      <c r="F1239" t="str">
        <f>IF(OR(B1239&lt;outliers!$B$7,B1239&gt;outliers!$B$6),"Outlier","Normal")</f>
        <v>Outlier</v>
      </c>
      <c r="G1239" t="str">
        <f>IF(OR(C1239&lt;outliers!$B$14,C1239&gt;outliers!$B$13),"Outlier","Normal")</f>
        <v>Normal</v>
      </c>
      <c r="H1239" t="str">
        <f>IF(OR(D1239&lt;outliers!$B$21,D1239&gt;outliers!$B$20),"Outlier","Normal")</f>
        <v>Outlier</v>
      </c>
      <c r="I1239" t="str">
        <f>IF(OR(E1239&lt;outliers!$C$28,E1239&gt;outliers!$B$27),"Outlier","Normal")</f>
        <v>Normal</v>
      </c>
      <c r="J1239">
        <f t="shared" si="40"/>
        <v>2022</v>
      </c>
      <c r="K1239" t="str">
        <f t="shared" si="39"/>
        <v>April</v>
      </c>
    </row>
    <row r="1240" spans="1:11" hidden="1" x14ac:dyDescent="0.35">
      <c r="A1240" s="1">
        <v>44681</v>
      </c>
      <c r="B1240">
        <v>28.1</v>
      </c>
      <c r="C1240">
        <v>22.7</v>
      </c>
      <c r="D1240">
        <v>36.700000000000003</v>
      </c>
      <c r="E1240">
        <v>0</v>
      </c>
      <c r="F1240" t="str">
        <f>IF(OR(B1240&lt;outliers!$B$7,B1240&gt;outliers!$B$6),"Outlier","Normal")</f>
        <v>Normal</v>
      </c>
      <c r="G1240" t="str">
        <f>IF(OR(C1240&lt;outliers!$B$14,C1240&gt;outliers!$B$13),"Outlier","Normal")</f>
        <v>Normal</v>
      </c>
      <c r="H1240" t="str">
        <f>IF(OR(D1240&lt;outliers!$B$21,D1240&gt;outliers!$B$20),"Outlier","Normal")</f>
        <v>Outlier</v>
      </c>
      <c r="I1240" t="str">
        <f>IF(OR(E1240&lt;outliers!$C$28,E1240&gt;outliers!$B$27),"Outlier","Normal")</f>
        <v>Normal</v>
      </c>
      <c r="J1240">
        <f t="shared" si="40"/>
        <v>2022</v>
      </c>
      <c r="K1240" t="str">
        <f t="shared" si="39"/>
        <v>April</v>
      </c>
    </row>
    <row r="1241" spans="1:11" x14ac:dyDescent="0.35">
      <c r="A1241" s="1">
        <v>44682</v>
      </c>
      <c r="B1241">
        <v>24.9</v>
      </c>
      <c r="C1241">
        <v>20.399999999999999</v>
      </c>
      <c r="D1241">
        <v>34.799999999999997</v>
      </c>
      <c r="E1241">
        <v>0</v>
      </c>
      <c r="F1241" t="str">
        <f>IF(OR(B1241&lt;outliers!$B$7,B1241&gt;outliers!$B$6),"Outlier","Normal")</f>
        <v>Normal</v>
      </c>
      <c r="G1241" t="str">
        <f>IF(OR(C1241&lt;outliers!$B$14,C1241&gt;outliers!$B$13),"Outlier","Normal")</f>
        <v>Normal</v>
      </c>
      <c r="H1241" t="str">
        <f>IF(OR(D1241&lt;outliers!$B$21,D1241&gt;outliers!$B$20),"Outlier","Normal")</f>
        <v>Normal</v>
      </c>
      <c r="I1241" t="str">
        <f>IF(OR(E1241&lt;outliers!$C$28,E1241&gt;outliers!$B$27),"Outlier","Normal")</f>
        <v>Normal</v>
      </c>
      <c r="J1241">
        <f t="shared" si="40"/>
        <v>2022</v>
      </c>
      <c r="K1241" t="str">
        <f t="shared" si="39"/>
        <v>April</v>
      </c>
    </row>
    <row r="1242" spans="1:11" hidden="1" x14ac:dyDescent="0.35">
      <c r="A1242" s="1">
        <v>44683</v>
      </c>
      <c r="B1242">
        <v>26.3</v>
      </c>
      <c r="C1242">
        <v>20.2</v>
      </c>
      <c r="D1242">
        <v>33.9</v>
      </c>
      <c r="E1242">
        <v>54.1</v>
      </c>
      <c r="F1242" t="str">
        <f>IF(OR(B1242&lt;outliers!$B$7,B1242&gt;outliers!$B$6),"Outlier","Normal")</f>
        <v>Normal</v>
      </c>
      <c r="G1242" t="str">
        <f>IF(OR(C1242&lt;outliers!$B$14,C1242&gt;outliers!$B$13),"Outlier","Normal")</f>
        <v>Normal</v>
      </c>
      <c r="H1242" t="str">
        <f>IF(OR(D1242&lt;outliers!$B$21,D1242&gt;outliers!$B$20),"Outlier","Normal")</f>
        <v>Normal</v>
      </c>
      <c r="I1242" t="str">
        <f>IF(OR(E1242&lt;outliers!$C$28,E1242&gt;outliers!$B$27),"Outlier","Normal")</f>
        <v>Outlier</v>
      </c>
      <c r="J1242">
        <f t="shared" si="40"/>
        <v>2022</v>
      </c>
      <c r="K1242" t="str">
        <f t="shared" si="39"/>
        <v>May</v>
      </c>
    </row>
    <row r="1243" spans="1:11" x14ac:dyDescent="0.35">
      <c r="A1243" s="1">
        <v>44684</v>
      </c>
      <c r="B1243">
        <v>26.3</v>
      </c>
      <c r="C1243">
        <v>21.8</v>
      </c>
      <c r="D1243">
        <v>34</v>
      </c>
      <c r="E1243">
        <v>0</v>
      </c>
      <c r="F1243" t="str">
        <f>IF(OR(B1243&lt;outliers!$B$7,B1243&gt;outliers!$B$6),"Outlier","Normal")</f>
        <v>Normal</v>
      </c>
      <c r="G1243" t="str">
        <f>IF(OR(C1243&lt;outliers!$B$14,C1243&gt;outliers!$B$13),"Outlier","Normal")</f>
        <v>Normal</v>
      </c>
      <c r="H1243" t="str">
        <f>IF(OR(D1243&lt;outliers!$B$21,D1243&gt;outliers!$B$20),"Outlier","Normal")</f>
        <v>Normal</v>
      </c>
      <c r="I1243" t="str">
        <f>IF(OR(E1243&lt;outliers!$C$28,E1243&gt;outliers!$B$27),"Outlier","Normal")</f>
        <v>Normal</v>
      </c>
      <c r="J1243">
        <f t="shared" si="40"/>
        <v>2022</v>
      </c>
      <c r="K1243" t="str">
        <f t="shared" si="39"/>
        <v>May</v>
      </c>
    </row>
    <row r="1244" spans="1:11" x14ac:dyDescent="0.35">
      <c r="A1244" s="1">
        <v>44685</v>
      </c>
      <c r="B1244">
        <v>25.5</v>
      </c>
      <c r="C1244">
        <v>20.9</v>
      </c>
      <c r="D1244">
        <v>34.200000000000003</v>
      </c>
      <c r="E1244">
        <v>8.9</v>
      </c>
      <c r="F1244" t="str">
        <f>IF(OR(B1244&lt;outliers!$B$7,B1244&gt;outliers!$B$6),"Outlier","Normal")</f>
        <v>Normal</v>
      </c>
      <c r="G1244" t="str">
        <f>IF(OR(C1244&lt;outliers!$B$14,C1244&gt;outliers!$B$13),"Outlier","Normal")</f>
        <v>Normal</v>
      </c>
      <c r="H1244" t="str">
        <f>IF(OR(D1244&lt;outliers!$B$21,D1244&gt;outliers!$B$20),"Outlier","Normal")</f>
        <v>Normal</v>
      </c>
      <c r="I1244" t="str">
        <f>IF(OR(E1244&lt;outliers!$C$28,E1244&gt;outliers!$B$27),"Outlier","Normal")</f>
        <v>Normal</v>
      </c>
      <c r="J1244">
        <f t="shared" si="40"/>
        <v>2022</v>
      </c>
      <c r="K1244" t="str">
        <f t="shared" si="39"/>
        <v>May</v>
      </c>
    </row>
    <row r="1245" spans="1:11" x14ac:dyDescent="0.35">
      <c r="A1245" s="1">
        <v>44686</v>
      </c>
      <c r="B1245">
        <v>23.9</v>
      </c>
      <c r="C1245">
        <v>20.399999999999999</v>
      </c>
      <c r="D1245">
        <v>34.200000000000003</v>
      </c>
      <c r="E1245">
        <v>4.3</v>
      </c>
      <c r="F1245" t="str">
        <f>IF(OR(B1245&lt;outliers!$B$7,B1245&gt;outliers!$B$6),"Outlier","Normal")</f>
        <v>Normal</v>
      </c>
      <c r="G1245" t="str">
        <f>IF(OR(C1245&lt;outliers!$B$14,C1245&gt;outliers!$B$13),"Outlier","Normal")</f>
        <v>Normal</v>
      </c>
      <c r="H1245" t="str">
        <f>IF(OR(D1245&lt;outliers!$B$21,D1245&gt;outliers!$B$20),"Outlier","Normal")</f>
        <v>Normal</v>
      </c>
      <c r="I1245" t="str">
        <f>IF(OR(E1245&lt;outliers!$C$28,E1245&gt;outliers!$B$27),"Outlier","Normal")</f>
        <v>Normal</v>
      </c>
      <c r="J1245">
        <f t="shared" si="40"/>
        <v>2022</v>
      </c>
      <c r="K1245" t="str">
        <f t="shared" si="39"/>
        <v>May</v>
      </c>
    </row>
    <row r="1246" spans="1:11" x14ac:dyDescent="0.35">
      <c r="A1246" s="1">
        <v>44687</v>
      </c>
      <c r="B1246">
        <v>25.2</v>
      </c>
      <c r="C1246">
        <v>21.3</v>
      </c>
      <c r="D1246">
        <v>31.8</v>
      </c>
      <c r="E1246">
        <v>0.3</v>
      </c>
      <c r="F1246" t="str">
        <f>IF(OR(B1246&lt;outliers!$B$7,B1246&gt;outliers!$B$6),"Outlier","Normal")</f>
        <v>Normal</v>
      </c>
      <c r="G1246" t="str">
        <f>IF(OR(C1246&lt;outliers!$B$14,C1246&gt;outliers!$B$13),"Outlier","Normal")</f>
        <v>Normal</v>
      </c>
      <c r="H1246" t="str">
        <f>IF(OR(D1246&lt;outliers!$B$21,D1246&gt;outliers!$B$20),"Outlier","Normal")</f>
        <v>Normal</v>
      </c>
      <c r="I1246" t="str">
        <f>IF(OR(E1246&lt;outliers!$C$28,E1246&gt;outliers!$B$27),"Outlier","Normal")</f>
        <v>Normal</v>
      </c>
      <c r="J1246">
        <f t="shared" si="40"/>
        <v>2022</v>
      </c>
      <c r="K1246" t="str">
        <f t="shared" si="39"/>
        <v>May</v>
      </c>
    </row>
    <row r="1247" spans="1:11" x14ac:dyDescent="0.35">
      <c r="A1247" s="1">
        <v>44688</v>
      </c>
      <c r="B1247">
        <v>26</v>
      </c>
      <c r="C1247">
        <v>21.2</v>
      </c>
      <c r="D1247">
        <v>33.5</v>
      </c>
      <c r="E1247">
        <v>5.0999999999999996</v>
      </c>
      <c r="F1247" t="str">
        <f>IF(OR(B1247&lt;outliers!$B$7,B1247&gt;outliers!$B$6),"Outlier","Normal")</f>
        <v>Normal</v>
      </c>
      <c r="G1247" t="str">
        <f>IF(OR(C1247&lt;outliers!$B$14,C1247&gt;outliers!$B$13),"Outlier","Normal")</f>
        <v>Normal</v>
      </c>
      <c r="H1247" t="str">
        <f>IF(OR(D1247&lt;outliers!$B$21,D1247&gt;outliers!$B$20),"Outlier","Normal")</f>
        <v>Normal</v>
      </c>
      <c r="I1247" t="str">
        <f>IF(OR(E1247&lt;outliers!$C$28,E1247&gt;outliers!$B$27),"Outlier","Normal")</f>
        <v>Normal</v>
      </c>
      <c r="J1247">
        <f t="shared" si="40"/>
        <v>2022</v>
      </c>
      <c r="K1247" t="str">
        <f t="shared" si="39"/>
        <v>May</v>
      </c>
    </row>
    <row r="1248" spans="1:11" x14ac:dyDescent="0.35">
      <c r="A1248" s="1">
        <v>44689</v>
      </c>
      <c r="B1248">
        <v>26.1</v>
      </c>
      <c r="C1248">
        <v>21</v>
      </c>
      <c r="D1248">
        <v>33.200000000000003</v>
      </c>
      <c r="E1248">
        <v>0</v>
      </c>
      <c r="F1248" t="str">
        <f>IF(OR(B1248&lt;outliers!$B$7,B1248&gt;outliers!$B$6),"Outlier","Normal")</f>
        <v>Normal</v>
      </c>
      <c r="G1248" t="str">
        <f>IF(OR(C1248&lt;outliers!$B$14,C1248&gt;outliers!$B$13),"Outlier","Normal")</f>
        <v>Normal</v>
      </c>
      <c r="H1248" t="str">
        <f>IF(OR(D1248&lt;outliers!$B$21,D1248&gt;outliers!$B$20),"Outlier","Normal")</f>
        <v>Normal</v>
      </c>
      <c r="I1248" t="str">
        <f>IF(OR(E1248&lt;outliers!$C$28,E1248&gt;outliers!$B$27),"Outlier","Normal")</f>
        <v>Normal</v>
      </c>
      <c r="J1248">
        <f t="shared" si="40"/>
        <v>2022</v>
      </c>
      <c r="K1248" t="str">
        <f t="shared" si="39"/>
        <v>May</v>
      </c>
    </row>
    <row r="1249" spans="1:11" x14ac:dyDescent="0.35">
      <c r="A1249" s="1">
        <v>44690</v>
      </c>
      <c r="B1249">
        <v>25.3</v>
      </c>
      <c r="C1249">
        <v>21</v>
      </c>
      <c r="D1249">
        <v>33.200000000000003</v>
      </c>
      <c r="E1249">
        <v>2</v>
      </c>
      <c r="F1249" t="str">
        <f>IF(OR(B1249&lt;outliers!$B$7,B1249&gt;outliers!$B$6),"Outlier","Normal")</f>
        <v>Normal</v>
      </c>
      <c r="G1249" t="str">
        <f>IF(OR(C1249&lt;outliers!$B$14,C1249&gt;outliers!$B$13),"Outlier","Normal")</f>
        <v>Normal</v>
      </c>
      <c r="H1249" t="str">
        <f>IF(OR(D1249&lt;outliers!$B$21,D1249&gt;outliers!$B$20),"Outlier","Normal")</f>
        <v>Normal</v>
      </c>
      <c r="I1249" t="str">
        <f>IF(OR(E1249&lt;outliers!$C$28,E1249&gt;outliers!$B$27),"Outlier","Normal")</f>
        <v>Normal</v>
      </c>
      <c r="J1249">
        <f t="shared" si="40"/>
        <v>2022</v>
      </c>
      <c r="K1249" t="str">
        <f t="shared" si="39"/>
        <v>May</v>
      </c>
    </row>
    <row r="1250" spans="1:11" hidden="1" x14ac:dyDescent="0.35">
      <c r="A1250" s="1">
        <v>44691</v>
      </c>
      <c r="B1250">
        <v>22.6</v>
      </c>
      <c r="C1250">
        <v>20.2</v>
      </c>
      <c r="D1250">
        <v>31.5</v>
      </c>
      <c r="E1250">
        <v>22.9</v>
      </c>
      <c r="F1250" t="str">
        <f>IF(OR(B1250&lt;outliers!$B$7,B1250&gt;outliers!$B$6),"Outlier","Normal")</f>
        <v>Normal</v>
      </c>
      <c r="G1250" t="str">
        <f>IF(OR(C1250&lt;outliers!$B$14,C1250&gt;outliers!$B$13),"Outlier","Normal")</f>
        <v>Normal</v>
      </c>
      <c r="H1250" t="str">
        <f>IF(OR(D1250&lt;outliers!$B$21,D1250&gt;outliers!$B$20),"Outlier","Normal")</f>
        <v>Normal</v>
      </c>
      <c r="I1250" t="str">
        <f>IF(OR(E1250&lt;outliers!$C$28,E1250&gt;outliers!$B$27),"Outlier","Normal")</f>
        <v>Outlier</v>
      </c>
      <c r="J1250">
        <f t="shared" si="40"/>
        <v>2022</v>
      </c>
      <c r="K1250" t="str">
        <f t="shared" si="39"/>
        <v>May</v>
      </c>
    </row>
    <row r="1251" spans="1:11" x14ac:dyDescent="0.35">
      <c r="A1251" s="1">
        <v>44692</v>
      </c>
      <c r="B1251">
        <v>22.1</v>
      </c>
      <c r="C1251">
        <v>20.399999999999999</v>
      </c>
      <c r="D1251">
        <v>25</v>
      </c>
      <c r="E1251">
        <v>5.0999999999999996</v>
      </c>
      <c r="F1251" t="str">
        <f>IF(OR(B1251&lt;outliers!$B$7,B1251&gt;outliers!$B$6),"Outlier","Normal")</f>
        <v>Normal</v>
      </c>
      <c r="G1251" t="str">
        <f>IF(OR(C1251&lt;outliers!$B$14,C1251&gt;outliers!$B$13),"Outlier","Normal")</f>
        <v>Normal</v>
      </c>
      <c r="H1251" t="str">
        <f>IF(OR(D1251&lt;outliers!$B$21,D1251&gt;outliers!$B$20),"Outlier","Normal")</f>
        <v>Normal</v>
      </c>
      <c r="I1251" t="str">
        <f>IF(OR(E1251&lt;outliers!$C$28,E1251&gt;outliers!$B$27),"Outlier","Normal")</f>
        <v>Normal</v>
      </c>
      <c r="J1251">
        <f t="shared" si="40"/>
        <v>2022</v>
      </c>
      <c r="K1251" t="str">
        <f t="shared" si="39"/>
        <v>May</v>
      </c>
    </row>
    <row r="1252" spans="1:11" x14ac:dyDescent="0.35">
      <c r="A1252" s="1">
        <v>44693</v>
      </c>
      <c r="B1252">
        <v>21.3</v>
      </c>
      <c r="C1252">
        <v>19.5</v>
      </c>
      <c r="D1252">
        <v>25</v>
      </c>
      <c r="E1252">
        <v>5.3</v>
      </c>
      <c r="F1252" t="str">
        <f>IF(OR(B1252&lt;outliers!$B$7,B1252&gt;outliers!$B$6),"Outlier","Normal")</f>
        <v>Normal</v>
      </c>
      <c r="G1252" t="str">
        <f>IF(OR(C1252&lt;outliers!$B$14,C1252&gt;outliers!$B$13),"Outlier","Normal")</f>
        <v>Normal</v>
      </c>
      <c r="H1252" t="str">
        <f>IF(OR(D1252&lt;outliers!$B$21,D1252&gt;outliers!$B$20),"Outlier","Normal")</f>
        <v>Normal</v>
      </c>
      <c r="I1252" t="str">
        <f>IF(OR(E1252&lt;outliers!$C$28,E1252&gt;outliers!$B$27),"Outlier","Normal")</f>
        <v>Normal</v>
      </c>
      <c r="J1252">
        <f t="shared" si="40"/>
        <v>2022</v>
      </c>
      <c r="K1252" t="str">
        <f t="shared" si="39"/>
        <v>May</v>
      </c>
    </row>
    <row r="1253" spans="1:11" x14ac:dyDescent="0.35">
      <c r="A1253" s="1">
        <v>44694</v>
      </c>
      <c r="B1253">
        <v>22.9</v>
      </c>
      <c r="C1253">
        <v>20</v>
      </c>
      <c r="D1253">
        <v>26.3</v>
      </c>
      <c r="E1253">
        <v>2</v>
      </c>
      <c r="F1253" t="str">
        <f>IF(OR(B1253&lt;outliers!$B$7,B1253&gt;outliers!$B$6),"Outlier","Normal")</f>
        <v>Normal</v>
      </c>
      <c r="G1253" t="str">
        <f>IF(OR(C1253&lt;outliers!$B$14,C1253&gt;outliers!$B$13),"Outlier","Normal")</f>
        <v>Normal</v>
      </c>
      <c r="H1253" t="str">
        <f>IF(OR(D1253&lt;outliers!$B$21,D1253&gt;outliers!$B$20),"Outlier","Normal")</f>
        <v>Normal</v>
      </c>
      <c r="I1253" t="str">
        <f>IF(OR(E1253&lt;outliers!$C$28,E1253&gt;outliers!$B$27),"Outlier","Normal")</f>
        <v>Normal</v>
      </c>
      <c r="J1253">
        <f t="shared" si="40"/>
        <v>2022</v>
      </c>
      <c r="K1253" t="str">
        <f t="shared" si="39"/>
        <v>May</v>
      </c>
    </row>
    <row r="1254" spans="1:11" x14ac:dyDescent="0.35">
      <c r="A1254" s="1">
        <v>44695</v>
      </c>
      <c r="B1254">
        <v>25.2</v>
      </c>
      <c r="C1254">
        <v>20.3</v>
      </c>
      <c r="D1254">
        <v>29.7</v>
      </c>
      <c r="E1254">
        <v>0</v>
      </c>
      <c r="F1254" t="str">
        <f>IF(OR(B1254&lt;outliers!$B$7,B1254&gt;outliers!$B$6),"Outlier","Normal")</f>
        <v>Normal</v>
      </c>
      <c r="G1254" t="str">
        <f>IF(OR(C1254&lt;outliers!$B$14,C1254&gt;outliers!$B$13),"Outlier","Normal")</f>
        <v>Normal</v>
      </c>
      <c r="H1254" t="str">
        <f>IF(OR(D1254&lt;outliers!$B$21,D1254&gt;outliers!$B$20),"Outlier","Normal")</f>
        <v>Normal</v>
      </c>
      <c r="I1254" t="str">
        <f>IF(OR(E1254&lt;outliers!$C$28,E1254&gt;outliers!$B$27),"Outlier","Normal")</f>
        <v>Normal</v>
      </c>
      <c r="J1254">
        <f t="shared" si="40"/>
        <v>2022</v>
      </c>
      <c r="K1254" t="str">
        <f t="shared" si="39"/>
        <v>May</v>
      </c>
    </row>
    <row r="1255" spans="1:11" hidden="1" x14ac:dyDescent="0.35">
      <c r="A1255" s="1">
        <v>44696</v>
      </c>
      <c r="B1255">
        <v>25.2</v>
      </c>
      <c r="C1255">
        <v>20.9</v>
      </c>
      <c r="D1255">
        <v>29.7</v>
      </c>
      <c r="E1255">
        <v>21.1</v>
      </c>
      <c r="F1255" t="str">
        <f>IF(OR(B1255&lt;outliers!$B$7,B1255&gt;outliers!$B$6),"Outlier","Normal")</f>
        <v>Normal</v>
      </c>
      <c r="G1255" t="str">
        <f>IF(OR(C1255&lt;outliers!$B$14,C1255&gt;outliers!$B$13),"Outlier","Normal")</f>
        <v>Normal</v>
      </c>
      <c r="H1255" t="str">
        <f>IF(OR(D1255&lt;outliers!$B$21,D1255&gt;outliers!$B$20),"Outlier","Normal")</f>
        <v>Normal</v>
      </c>
      <c r="I1255" t="str">
        <f>IF(OR(E1255&lt;outliers!$C$28,E1255&gt;outliers!$B$27),"Outlier","Normal")</f>
        <v>Outlier</v>
      </c>
      <c r="J1255">
        <f t="shared" si="40"/>
        <v>2022</v>
      </c>
      <c r="K1255" t="str">
        <f t="shared" si="39"/>
        <v>May</v>
      </c>
    </row>
    <row r="1256" spans="1:11" x14ac:dyDescent="0.35">
      <c r="A1256" s="1">
        <v>44697</v>
      </c>
      <c r="B1256">
        <v>23.9</v>
      </c>
      <c r="C1256">
        <v>20.8</v>
      </c>
      <c r="D1256">
        <v>29.5</v>
      </c>
      <c r="E1256">
        <v>0.3</v>
      </c>
      <c r="F1256" t="str">
        <f>IF(OR(B1256&lt;outliers!$B$7,B1256&gt;outliers!$B$6),"Outlier","Normal")</f>
        <v>Normal</v>
      </c>
      <c r="G1256" t="str">
        <f>IF(OR(C1256&lt;outliers!$B$14,C1256&gt;outliers!$B$13),"Outlier","Normal")</f>
        <v>Normal</v>
      </c>
      <c r="H1256" t="str">
        <f>IF(OR(D1256&lt;outliers!$B$21,D1256&gt;outliers!$B$20),"Outlier","Normal")</f>
        <v>Normal</v>
      </c>
      <c r="I1256" t="str">
        <f>IF(OR(E1256&lt;outliers!$C$28,E1256&gt;outliers!$B$27),"Outlier","Normal")</f>
        <v>Normal</v>
      </c>
      <c r="J1256">
        <f t="shared" si="40"/>
        <v>2022</v>
      </c>
      <c r="K1256" t="str">
        <f t="shared" si="39"/>
        <v>May</v>
      </c>
    </row>
    <row r="1257" spans="1:11" x14ac:dyDescent="0.35">
      <c r="A1257" s="1">
        <v>44698</v>
      </c>
      <c r="B1257">
        <v>23.8</v>
      </c>
      <c r="C1257">
        <v>21.1</v>
      </c>
      <c r="D1257">
        <v>30.1</v>
      </c>
      <c r="E1257">
        <v>6.4</v>
      </c>
      <c r="F1257" t="str">
        <f>IF(OR(B1257&lt;outliers!$B$7,B1257&gt;outliers!$B$6),"Outlier","Normal")</f>
        <v>Normal</v>
      </c>
      <c r="G1257" t="str">
        <f>IF(OR(C1257&lt;outliers!$B$14,C1257&gt;outliers!$B$13),"Outlier","Normal")</f>
        <v>Normal</v>
      </c>
      <c r="H1257" t="str">
        <f>IF(OR(D1257&lt;outliers!$B$21,D1257&gt;outliers!$B$20),"Outlier","Normal")</f>
        <v>Normal</v>
      </c>
      <c r="I1257" t="str">
        <f>IF(OR(E1257&lt;outliers!$C$28,E1257&gt;outliers!$B$27),"Outlier","Normal")</f>
        <v>Normal</v>
      </c>
      <c r="J1257">
        <f t="shared" si="40"/>
        <v>2022</v>
      </c>
      <c r="K1257" t="str">
        <f t="shared" si="39"/>
        <v>May</v>
      </c>
    </row>
    <row r="1258" spans="1:11" hidden="1" x14ac:dyDescent="0.35">
      <c r="A1258" s="1">
        <v>44699</v>
      </c>
      <c r="B1258">
        <v>24.3</v>
      </c>
      <c r="C1258">
        <v>20.2</v>
      </c>
      <c r="D1258">
        <v>29</v>
      </c>
      <c r="E1258">
        <v>114.6</v>
      </c>
      <c r="F1258" t="str">
        <f>IF(OR(B1258&lt;outliers!$B$7,B1258&gt;outliers!$B$6),"Outlier","Normal")</f>
        <v>Normal</v>
      </c>
      <c r="G1258" t="str">
        <f>IF(OR(C1258&lt;outliers!$B$14,C1258&gt;outliers!$B$13),"Outlier","Normal")</f>
        <v>Normal</v>
      </c>
      <c r="H1258" t="str">
        <f>IF(OR(D1258&lt;outliers!$B$21,D1258&gt;outliers!$B$20),"Outlier","Normal")</f>
        <v>Normal</v>
      </c>
      <c r="I1258" t="str">
        <f>IF(OR(E1258&lt;outliers!$C$28,E1258&gt;outliers!$B$27),"Outlier","Normal")</f>
        <v>Outlier</v>
      </c>
      <c r="J1258">
        <f t="shared" si="40"/>
        <v>2022</v>
      </c>
      <c r="K1258" t="str">
        <f t="shared" si="39"/>
        <v>May</v>
      </c>
    </row>
    <row r="1259" spans="1:11" x14ac:dyDescent="0.35">
      <c r="A1259" s="1">
        <v>44700</v>
      </c>
      <c r="B1259">
        <v>20.6</v>
      </c>
      <c r="C1259">
        <v>19.399999999999999</v>
      </c>
      <c r="D1259">
        <v>29</v>
      </c>
      <c r="E1259">
        <v>0.8</v>
      </c>
      <c r="F1259" t="str">
        <f>IF(OR(B1259&lt;outliers!$B$7,B1259&gt;outliers!$B$6),"Outlier","Normal")</f>
        <v>Normal</v>
      </c>
      <c r="G1259" t="str">
        <f>IF(OR(C1259&lt;outliers!$B$14,C1259&gt;outliers!$B$13),"Outlier","Normal")</f>
        <v>Normal</v>
      </c>
      <c r="H1259" t="str">
        <f>IF(OR(D1259&lt;outliers!$B$21,D1259&gt;outliers!$B$20),"Outlier","Normal")</f>
        <v>Normal</v>
      </c>
      <c r="I1259" t="str">
        <f>IF(OR(E1259&lt;outliers!$C$28,E1259&gt;outliers!$B$27),"Outlier","Normal")</f>
        <v>Normal</v>
      </c>
      <c r="J1259">
        <f t="shared" si="40"/>
        <v>2022</v>
      </c>
      <c r="K1259" t="str">
        <f t="shared" si="39"/>
        <v>May</v>
      </c>
    </row>
    <row r="1260" spans="1:11" x14ac:dyDescent="0.35">
      <c r="A1260" s="1">
        <v>44701</v>
      </c>
      <c r="B1260">
        <v>21.8</v>
      </c>
      <c r="C1260">
        <v>17.899999999999999</v>
      </c>
      <c r="D1260">
        <v>27</v>
      </c>
      <c r="E1260">
        <v>4.8</v>
      </c>
      <c r="F1260" t="str">
        <f>IF(OR(B1260&lt;outliers!$B$7,B1260&gt;outliers!$B$6),"Outlier","Normal")</f>
        <v>Normal</v>
      </c>
      <c r="G1260" t="str">
        <f>IF(OR(C1260&lt;outliers!$B$14,C1260&gt;outliers!$B$13),"Outlier","Normal")</f>
        <v>Normal</v>
      </c>
      <c r="H1260" t="str">
        <f>IF(OR(D1260&lt;outliers!$B$21,D1260&gt;outliers!$B$20),"Outlier","Normal")</f>
        <v>Normal</v>
      </c>
      <c r="I1260" t="str">
        <f>IF(OR(E1260&lt;outliers!$C$28,E1260&gt;outliers!$B$27),"Outlier","Normal")</f>
        <v>Normal</v>
      </c>
      <c r="J1260">
        <f t="shared" si="40"/>
        <v>2022</v>
      </c>
      <c r="K1260" t="str">
        <f t="shared" si="39"/>
        <v>May</v>
      </c>
    </row>
    <row r="1261" spans="1:11" x14ac:dyDescent="0.35">
      <c r="A1261" s="1">
        <v>44702</v>
      </c>
      <c r="B1261">
        <v>22.8</v>
      </c>
      <c r="C1261">
        <v>18.8</v>
      </c>
      <c r="D1261">
        <v>27</v>
      </c>
      <c r="E1261">
        <v>3.8</v>
      </c>
      <c r="F1261" t="str">
        <f>IF(OR(B1261&lt;outliers!$B$7,B1261&gt;outliers!$B$6),"Outlier","Normal")</f>
        <v>Normal</v>
      </c>
      <c r="G1261" t="str">
        <f>IF(OR(C1261&lt;outliers!$B$14,C1261&gt;outliers!$B$13),"Outlier","Normal")</f>
        <v>Normal</v>
      </c>
      <c r="H1261" t="str">
        <f>IF(OR(D1261&lt;outliers!$B$21,D1261&gt;outliers!$B$20),"Outlier","Normal")</f>
        <v>Normal</v>
      </c>
      <c r="I1261" t="str">
        <f>IF(OR(E1261&lt;outliers!$C$28,E1261&gt;outliers!$B$27),"Outlier","Normal")</f>
        <v>Normal</v>
      </c>
      <c r="J1261">
        <f t="shared" si="40"/>
        <v>2022</v>
      </c>
      <c r="K1261" t="str">
        <f t="shared" si="39"/>
        <v>May</v>
      </c>
    </row>
    <row r="1262" spans="1:11" x14ac:dyDescent="0.35">
      <c r="A1262" s="1">
        <v>44703</v>
      </c>
      <c r="B1262">
        <v>23.8</v>
      </c>
      <c r="C1262">
        <v>20.7</v>
      </c>
      <c r="D1262">
        <v>28.5</v>
      </c>
      <c r="E1262">
        <v>0</v>
      </c>
      <c r="F1262" t="str">
        <f>IF(OR(B1262&lt;outliers!$B$7,B1262&gt;outliers!$B$6),"Outlier","Normal")</f>
        <v>Normal</v>
      </c>
      <c r="G1262" t="str">
        <f>IF(OR(C1262&lt;outliers!$B$14,C1262&gt;outliers!$B$13),"Outlier","Normal")</f>
        <v>Normal</v>
      </c>
      <c r="H1262" t="str">
        <f>IF(OR(D1262&lt;outliers!$B$21,D1262&gt;outliers!$B$20),"Outlier","Normal")</f>
        <v>Normal</v>
      </c>
      <c r="I1262" t="str">
        <f>IF(OR(E1262&lt;outliers!$C$28,E1262&gt;outliers!$B$27),"Outlier","Normal")</f>
        <v>Normal</v>
      </c>
      <c r="J1262">
        <f t="shared" si="40"/>
        <v>2022</v>
      </c>
      <c r="K1262" t="str">
        <f t="shared" si="39"/>
        <v>May</v>
      </c>
    </row>
    <row r="1263" spans="1:11" x14ac:dyDescent="0.35">
      <c r="A1263" s="1">
        <v>44704</v>
      </c>
      <c r="B1263">
        <v>24.5</v>
      </c>
      <c r="C1263">
        <v>19.899999999999999</v>
      </c>
      <c r="D1263">
        <v>29.6</v>
      </c>
      <c r="E1263">
        <v>0</v>
      </c>
      <c r="F1263" t="str">
        <f>IF(OR(B1263&lt;outliers!$B$7,B1263&gt;outliers!$B$6),"Outlier","Normal")</f>
        <v>Normal</v>
      </c>
      <c r="G1263" t="str">
        <f>IF(OR(C1263&lt;outliers!$B$14,C1263&gt;outliers!$B$13),"Outlier","Normal")</f>
        <v>Normal</v>
      </c>
      <c r="H1263" t="str">
        <f>IF(OR(D1263&lt;outliers!$B$21,D1263&gt;outliers!$B$20),"Outlier","Normal")</f>
        <v>Normal</v>
      </c>
      <c r="I1263" t="str">
        <f>IF(OR(E1263&lt;outliers!$C$28,E1263&gt;outliers!$B$27),"Outlier","Normal")</f>
        <v>Normal</v>
      </c>
      <c r="J1263">
        <f t="shared" si="40"/>
        <v>2022</v>
      </c>
      <c r="K1263" t="str">
        <f t="shared" si="39"/>
        <v>May</v>
      </c>
    </row>
    <row r="1264" spans="1:11" x14ac:dyDescent="0.35">
      <c r="A1264" s="1">
        <v>44705</v>
      </c>
      <c r="B1264">
        <v>26.2</v>
      </c>
      <c r="C1264">
        <v>22.1</v>
      </c>
      <c r="D1264">
        <v>30.7</v>
      </c>
      <c r="E1264">
        <v>0</v>
      </c>
      <c r="F1264" t="str">
        <f>IF(OR(B1264&lt;outliers!$B$7,B1264&gt;outliers!$B$6),"Outlier","Normal")</f>
        <v>Normal</v>
      </c>
      <c r="G1264" t="str">
        <f>IF(OR(C1264&lt;outliers!$B$14,C1264&gt;outliers!$B$13),"Outlier","Normal")</f>
        <v>Normal</v>
      </c>
      <c r="H1264" t="str">
        <f>IF(OR(D1264&lt;outliers!$B$21,D1264&gt;outliers!$B$20),"Outlier","Normal")</f>
        <v>Normal</v>
      </c>
      <c r="I1264" t="str">
        <f>IF(OR(E1264&lt;outliers!$C$28,E1264&gt;outliers!$B$27),"Outlier","Normal")</f>
        <v>Normal</v>
      </c>
      <c r="J1264">
        <f t="shared" si="40"/>
        <v>2022</v>
      </c>
      <c r="K1264" t="str">
        <f t="shared" si="39"/>
        <v>May</v>
      </c>
    </row>
    <row r="1265" spans="1:11" x14ac:dyDescent="0.35">
      <c r="A1265" s="1">
        <v>44706</v>
      </c>
      <c r="B1265">
        <v>24.6</v>
      </c>
      <c r="C1265">
        <v>20.100000000000001</v>
      </c>
      <c r="D1265">
        <v>30</v>
      </c>
      <c r="E1265">
        <v>0</v>
      </c>
      <c r="F1265" t="str">
        <f>IF(OR(B1265&lt;outliers!$B$7,B1265&gt;outliers!$B$6),"Outlier","Normal")</f>
        <v>Normal</v>
      </c>
      <c r="G1265" t="str">
        <f>IF(OR(C1265&lt;outliers!$B$14,C1265&gt;outliers!$B$13),"Outlier","Normal")</f>
        <v>Normal</v>
      </c>
      <c r="H1265" t="str">
        <f>IF(OR(D1265&lt;outliers!$B$21,D1265&gt;outliers!$B$20),"Outlier","Normal")</f>
        <v>Normal</v>
      </c>
      <c r="I1265" t="str">
        <f>IF(OR(E1265&lt;outliers!$C$28,E1265&gt;outliers!$B$27),"Outlier","Normal")</f>
        <v>Normal</v>
      </c>
      <c r="J1265">
        <f t="shared" si="40"/>
        <v>2022</v>
      </c>
      <c r="K1265" t="str">
        <f t="shared" si="39"/>
        <v>May</v>
      </c>
    </row>
    <row r="1266" spans="1:11" x14ac:dyDescent="0.35">
      <c r="A1266" s="1">
        <v>44707</v>
      </c>
      <c r="B1266">
        <v>24.9</v>
      </c>
      <c r="C1266">
        <v>21.8</v>
      </c>
      <c r="D1266">
        <v>31.7</v>
      </c>
      <c r="E1266">
        <v>1.1000000000000001</v>
      </c>
      <c r="F1266" t="str">
        <f>IF(OR(B1266&lt;outliers!$B$7,B1266&gt;outliers!$B$6),"Outlier","Normal")</f>
        <v>Normal</v>
      </c>
      <c r="G1266" t="str">
        <f>IF(OR(C1266&lt;outliers!$B$14,C1266&gt;outliers!$B$13),"Outlier","Normal")</f>
        <v>Normal</v>
      </c>
      <c r="H1266" t="str">
        <f>IF(OR(D1266&lt;outliers!$B$21,D1266&gt;outliers!$B$20),"Outlier","Normal")</f>
        <v>Normal</v>
      </c>
      <c r="I1266" t="str">
        <f>IF(OR(E1266&lt;outliers!$C$28,E1266&gt;outliers!$B$27),"Outlier","Normal")</f>
        <v>Normal</v>
      </c>
      <c r="J1266">
        <f t="shared" si="40"/>
        <v>2022</v>
      </c>
      <c r="K1266" t="str">
        <f t="shared" si="39"/>
        <v>May</v>
      </c>
    </row>
    <row r="1267" spans="1:11" x14ac:dyDescent="0.35">
      <c r="A1267" s="1">
        <v>44708</v>
      </c>
      <c r="B1267">
        <v>26.1</v>
      </c>
      <c r="C1267">
        <v>21.6</v>
      </c>
      <c r="D1267">
        <v>31.9</v>
      </c>
      <c r="E1267">
        <v>0</v>
      </c>
      <c r="F1267" t="str">
        <f>IF(OR(B1267&lt;outliers!$B$7,B1267&gt;outliers!$B$6),"Outlier","Normal")</f>
        <v>Normal</v>
      </c>
      <c r="G1267" t="str">
        <f>IF(OR(C1267&lt;outliers!$B$14,C1267&gt;outliers!$B$13),"Outlier","Normal")</f>
        <v>Normal</v>
      </c>
      <c r="H1267" t="str">
        <f>IF(OR(D1267&lt;outliers!$B$21,D1267&gt;outliers!$B$20),"Outlier","Normal")</f>
        <v>Normal</v>
      </c>
      <c r="I1267" t="str">
        <f>IF(OR(E1267&lt;outliers!$C$28,E1267&gt;outliers!$B$27),"Outlier","Normal")</f>
        <v>Normal</v>
      </c>
      <c r="J1267">
        <f t="shared" si="40"/>
        <v>2022</v>
      </c>
      <c r="K1267" t="str">
        <f t="shared" si="39"/>
        <v>May</v>
      </c>
    </row>
    <row r="1268" spans="1:11" x14ac:dyDescent="0.35">
      <c r="A1268" s="1">
        <v>44709</v>
      </c>
      <c r="B1268">
        <v>24.5</v>
      </c>
      <c r="C1268">
        <v>19.2</v>
      </c>
      <c r="D1268">
        <v>30</v>
      </c>
      <c r="E1268">
        <v>0.3</v>
      </c>
      <c r="F1268" t="str">
        <f>IF(OR(B1268&lt;outliers!$B$7,B1268&gt;outliers!$B$6),"Outlier","Normal")</f>
        <v>Normal</v>
      </c>
      <c r="G1268" t="str">
        <f>IF(OR(C1268&lt;outliers!$B$14,C1268&gt;outliers!$B$13),"Outlier","Normal")</f>
        <v>Normal</v>
      </c>
      <c r="H1268" t="str">
        <f>IF(OR(D1268&lt;outliers!$B$21,D1268&gt;outliers!$B$20),"Outlier","Normal")</f>
        <v>Normal</v>
      </c>
      <c r="I1268" t="str">
        <f>IF(OR(E1268&lt;outliers!$C$28,E1268&gt;outliers!$B$27),"Outlier","Normal")</f>
        <v>Normal</v>
      </c>
      <c r="J1268">
        <f t="shared" si="40"/>
        <v>2022</v>
      </c>
      <c r="K1268" t="str">
        <f t="shared" si="39"/>
        <v>May</v>
      </c>
    </row>
    <row r="1269" spans="1:11" x14ac:dyDescent="0.35">
      <c r="A1269" s="1">
        <v>44710</v>
      </c>
      <c r="B1269">
        <v>24.8</v>
      </c>
      <c r="C1269">
        <v>19.5</v>
      </c>
      <c r="D1269">
        <v>30</v>
      </c>
      <c r="E1269">
        <v>0</v>
      </c>
      <c r="F1269" t="str">
        <f>IF(OR(B1269&lt;outliers!$B$7,B1269&gt;outliers!$B$6),"Outlier","Normal")</f>
        <v>Normal</v>
      </c>
      <c r="G1269" t="str">
        <f>IF(OR(C1269&lt;outliers!$B$14,C1269&gt;outliers!$B$13),"Outlier","Normal")</f>
        <v>Normal</v>
      </c>
      <c r="H1269" t="str">
        <f>IF(OR(D1269&lt;outliers!$B$21,D1269&gt;outliers!$B$20),"Outlier","Normal")</f>
        <v>Normal</v>
      </c>
      <c r="I1269" t="str">
        <f>IF(OR(E1269&lt;outliers!$C$28,E1269&gt;outliers!$B$27),"Outlier","Normal")</f>
        <v>Normal</v>
      </c>
      <c r="J1269">
        <f t="shared" si="40"/>
        <v>2022</v>
      </c>
      <c r="K1269" t="str">
        <f t="shared" si="39"/>
        <v>May</v>
      </c>
    </row>
    <row r="1270" spans="1:11" hidden="1" x14ac:dyDescent="0.35">
      <c r="A1270" s="1">
        <v>44711</v>
      </c>
      <c r="B1270">
        <v>23.9</v>
      </c>
      <c r="C1270">
        <v>19.600000000000001</v>
      </c>
      <c r="D1270">
        <v>29.6</v>
      </c>
      <c r="E1270">
        <v>12.6</v>
      </c>
      <c r="F1270" t="str">
        <f>IF(OR(B1270&lt;outliers!$B$7,B1270&gt;outliers!$B$6),"Outlier","Normal")</f>
        <v>Normal</v>
      </c>
      <c r="G1270" t="str">
        <f>IF(OR(C1270&lt;outliers!$B$14,C1270&gt;outliers!$B$13),"Outlier","Normal")</f>
        <v>Normal</v>
      </c>
      <c r="H1270" t="str">
        <f>IF(OR(D1270&lt;outliers!$B$21,D1270&gt;outliers!$B$20),"Outlier","Normal")</f>
        <v>Normal</v>
      </c>
      <c r="I1270" t="str">
        <f>IF(OR(E1270&lt;outliers!$C$28,E1270&gt;outliers!$B$27),"Outlier","Normal")</f>
        <v>Outlier</v>
      </c>
      <c r="J1270">
        <f t="shared" si="40"/>
        <v>2022</v>
      </c>
      <c r="K1270" t="str">
        <f t="shared" si="39"/>
        <v>May</v>
      </c>
    </row>
    <row r="1271" spans="1:11" x14ac:dyDescent="0.35">
      <c r="A1271" s="1">
        <v>44712</v>
      </c>
      <c r="B1271">
        <v>24.1</v>
      </c>
      <c r="C1271">
        <v>20.6</v>
      </c>
      <c r="D1271">
        <v>30.4</v>
      </c>
      <c r="E1271">
        <v>6.9</v>
      </c>
      <c r="F1271" t="str">
        <f>IF(OR(B1271&lt;outliers!$B$7,B1271&gt;outliers!$B$6),"Outlier","Normal")</f>
        <v>Normal</v>
      </c>
      <c r="G1271" t="str">
        <f>IF(OR(C1271&lt;outliers!$B$14,C1271&gt;outliers!$B$13),"Outlier","Normal")</f>
        <v>Normal</v>
      </c>
      <c r="H1271" t="str">
        <f>IF(OR(D1271&lt;outliers!$B$21,D1271&gt;outliers!$B$20),"Outlier","Normal")</f>
        <v>Normal</v>
      </c>
      <c r="I1271" t="str">
        <f>IF(OR(E1271&lt;outliers!$C$28,E1271&gt;outliers!$B$27),"Outlier","Normal")</f>
        <v>Normal</v>
      </c>
      <c r="J1271">
        <f t="shared" si="40"/>
        <v>2022</v>
      </c>
      <c r="K1271" t="str">
        <f t="shared" si="39"/>
        <v>May</v>
      </c>
    </row>
    <row r="1272" spans="1:11" x14ac:dyDescent="0.35">
      <c r="A1272" s="1">
        <v>44713</v>
      </c>
      <c r="B1272">
        <v>25.2</v>
      </c>
      <c r="C1272">
        <v>21.2</v>
      </c>
      <c r="D1272">
        <v>30.4</v>
      </c>
      <c r="E1272">
        <v>3.3</v>
      </c>
      <c r="F1272" t="str">
        <f>IF(OR(B1272&lt;outliers!$B$7,B1272&gt;outliers!$B$6),"Outlier","Normal")</f>
        <v>Normal</v>
      </c>
      <c r="G1272" t="str">
        <f>IF(OR(C1272&lt;outliers!$B$14,C1272&gt;outliers!$B$13),"Outlier","Normal")</f>
        <v>Normal</v>
      </c>
      <c r="H1272" t="str">
        <f>IF(OR(D1272&lt;outliers!$B$21,D1272&gt;outliers!$B$20),"Outlier","Normal")</f>
        <v>Normal</v>
      </c>
      <c r="I1272" t="str">
        <f>IF(OR(E1272&lt;outliers!$C$28,E1272&gt;outliers!$B$27),"Outlier","Normal")</f>
        <v>Normal</v>
      </c>
      <c r="J1272">
        <f t="shared" si="40"/>
        <v>2022</v>
      </c>
      <c r="K1272" t="str">
        <f t="shared" si="39"/>
        <v>May</v>
      </c>
    </row>
    <row r="1273" spans="1:11" x14ac:dyDescent="0.35">
      <c r="A1273" s="1">
        <v>44714</v>
      </c>
      <c r="B1273">
        <v>25.7</v>
      </c>
      <c r="C1273">
        <v>22</v>
      </c>
      <c r="D1273">
        <v>31</v>
      </c>
      <c r="E1273">
        <v>0</v>
      </c>
      <c r="F1273" t="str">
        <f>IF(OR(B1273&lt;outliers!$B$7,B1273&gt;outliers!$B$6),"Outlier","Normal")</f>
        <v>Normal</v>
      </c>
      <c r="G1273" t="str">
        <f>IF(OR(C1273&lt;outliers!$B$14,C1273&gt;outliers!$B$13),"Outlier","Normal")</f>
        <v>Normal</v>
      </c>
      <c r="H1273" t="str">
        <f>IF(OR(D1273&lt;outliers!$B$21,D1273&gt;outliers!$B$20),"Outlier","Normal")</f>
        <v>Normal</v>
      </c>
      <c r="I1273" t="str">
        <f>IF(OR(E1273&lt;outliers!$C$28,E1273&gt;outliers!$B$27),"Outlier","Normal")</f>
        <v>Normal</v>
      </c>
      <c r="J1273">
        <f t="shared" si="40"/>
        <v>2022</v>
      </c>
      <c r="K1273" t="str">
        <f t="shared" si="39"/>
        <v>June</v>
      </c>
    </row>
    <row r="1274" spans="1:11" hidden="1" x14ac:dyDescent="0.35">
      <c r="A1274" s="1">
        <v>44715</v>
      </c>
      <c r="B1274">
        <v>24.1</v>
      </c>
      <c r="C1274">
        <v>20.2</v>
      </c>
      <c r="D1274">
        <v>31.2</v>
      </c>
      <c r="E1274">
        <v>10.7</v>
      </c>
      <c r="F1274" t="str">
        <f>IF(OR(B1274&lt;outliers!$B$7,B1274&gt;outliers!$B$6),"Outlier","Normal")</f>
        <v>Normal</v>
      </c>
      <c r="G1274" t="str">
        <f>IF(OR(C1274&lt;outliers!$B$14,C1274&gt;outliers!$B$13),"Outlier","Normal")</f>
        <v>Normal</v>
      </c>
      <c r="H1274" t="str">
        <f>IF(OR(D1274&lt;outliers!$B$21,D1274&gt;outliers!$B$20),"Outlier","Normal")</f>
        <v>Normal</v>
      </c>
      <c r="I1274" t="str">
        <f>IF(OR(E1274&lt;outliers!$C$28,E1274&gt;outliers!$B$27),"Outlier","Normal")</f>
        <v>Outlier</v>
      </c>
      <c r="J1274">
        <f t="shared" si="40"/>
        <v>2022</v>
      </c>
      <c r="K1274" t="str">
        <f t="shared" si="39"/>
        <v>June</v>
      </c>
    </row>
    <row r="1275" spans="1:11" x14ac:dyDescent="0.35">
      <c r="A1275" s="1">
        <v>44716</v>
      </c>
      <c r="B1275">
        <v>24.2</v>
      </c>
      <c r="C1275">
        <v>19.7</v>
      </c>
      <c r="D1275">
        <v>32.200000000000003</v>
      </c>
      <c r="E1275">
        <v>7.2</v>
      </c>
      <c r="F1275" t="str">
        <f>IF(OR(B1275&lt;outliers!$B$7,B1275&gt;outliers!$B$6),"Outlier","Normal")</f>
        <v>Normal</v>
      </c>
      <c r="G1275" t="str">
        <f>IF(OR(C1275&lt;outliers!$B$14,C1275&gt;outliers!$B$13),"Outlier","Normal")</f>
        <v>Normal</v>
      </c>
      <c r="H1275" t="str">
        <f>IF(OR(D1275&lt;outliers!$B$21,D1275&gt;outliers!$B$20),"Outlier","Normal")</f>
        <v>Normal</v>
      </c>
      <c r="I1275" t="str">
        <f>IF(OR(E1275&lt;outliers!$C$28,E1275&gt;outliers!$B$27),"Outlier","Normal")</f>
        <v>Normal</v>
      </c>
      <c r="J1275">
        <f t="shared" si="40"/>
        <v>2022</v>
      </c>
      <c r="K1275" t="str">
        <f t="shared" si="39"/>
        <v>June</v>
      </c>
    </row>
    <row r="1276" spans="1:11" hidden="1" x14ac:dyDescent="0.35">
      <c r="A1276" s="1">
        <v>44717</v>
      </c>
      <c r="B1276">
        <v>24.4</v>
      </c>
      <c r="C1276">
        <v>20.399999999999999</v>
      </c>
      <c r="D1276">
        <v>31.6</v>
      </c>
      <c r="E1276">
        <v>17.3</v>
      </c>
      <c r="F1276" t="str">
        <f>IF(OR(B1276&lt;outliers!$B$7,B1276&gt;outliers!$B$6),"Outlier","Normal")</f>
        <v>Normal</v>
      </c>
      <c r="G1276" t="str">
        <f>IF(OR(C1276&lt;outliers!$B$14,C1276&gt;outliers!$B$13),"Outlier","Normal")</f>
        <v>Normal</v>
      </c>
      <c r="H1276" t="str">
        <f>IF(OR(D1276&lt;outliers!$B$21,D1276&gt;outliers!$B$20),"Outlier","Normal")</f>
        <v>Normal</v>
      </c>
      <c r="I1276" t="str">
        <f>IF(OR(E1276&lt;outliers!$C$28,E1276&gt;outliers!$B$27),"Outlier","Normal")</f>
        <v>Outlier</v>
      </c>
      <c r="J1276">
        <f t="shared" si="40"/>
        <v>2022</v>
      </c>
      <c r="K1276" t="str">
        <f t="shared" si="39"/>
        <v>June</v>
      </c>
    </row>
    <row r="1277" spans="1:11" hidden="1" x14ac:dyDescent="0.35">
      <c r="A1277" s="1">
        <v>44718</v>
      </c>
      <c r="B1277">
        <v>24.8</v>
      </c>
      <c r="C1277">
        <v>19.100000000000001</v>
      </c>
      <c r="D1277">
        <v>32.5</v>
      </c>
      <c r="E1277">
        <v>32</v>
      </c>
      <c r="F1277" t="str">
        <f>IF(OR(B1277&lt;outliers!$B$7,B1277&gt;outliers!$B$6),"Outlier","Normal")</f>
        <v>Normal</v>
      </c>
      <c r="G1277" t="str">
        <f>IF(OR(C1277&lt;outliers!$B$14,C1277&gt;outliers!$B$13),"Outlier","Normal")</f>
        <v>Normal</v>
      </c>
      <c r="H1277" t="str">
        <f>IF(OR(D1277&lt;outliers!$B$21,D1277&gt;outliers!$B$20),"Outlier","Normal")</f>
        <v>Normal</v>
      </c>
      <c r="I1277" t="str">
        <f>IF(OR(E1277&lt;outliers!$C$28,E1277&gt;outliers!$B$27),"Outlier","Normal")</f>
        <v>Outlier</v>
      </c>
      <c r="J1277">
        <f t="shared" si="40"/>
        <v>2022</v>
      </c>
      <c r="K1277" t="str">
        <f t="shared" si="39"/>
        <v>June</v>
      </c>
    </row>
    <row r="1278" spans="1:11" x14ac:dyDescent="0.35">
      <c r="A1278" s="1">
        <v>44719</v>
      </c>
      <c r="B1278">
        <v>24.9</v>
      </c>
      <c r="C1278">
        <v>21.1</v>
      </c>
      <c r="D1278">
        <v>30.6</v>
      </c>
      <c r="E1278">
        <v>0.8</v>
      </c>
      <c r="F1278" t="str">
        <f>IF(OR(B1278&lt;outliers!$B$7,B1278&gt;outliers!$B$6),"Outlier","Normal")</f>
        <v>Normal</v>
      </c>
      <c r="G1278" t="str">
        <f>IF(OR(C1278&lt;outliers!$B$14,C1278&gt;outliers!$B$13),"Outlier","Normal")</f>
        <v>Normal</v>
      </c>
      <c r="H1278" t="str">
        <f>IF(OR(D1278&lt;outliers!$B$21,D1278&gt;outliers!$B$20),"Outlier","Normal")</f>
        <v>Normal</v>
      </c>
      <c r="I1278" t="str">
        <f>IF(OR(E1278&lt;outliers!$C$28,E1278&gt;outliers!$B$27),"Outlier","Normal")</f>
        <v>Normal</v>
      </c>
      <c r="J1278">
        <f t="shared" si="40"/>
        <v>2022</v>
      </c>
      <c r="K1278" t="str">
        <f t="shared" si="39"/>
        <v>June</v>
      </c>
    </row>
    <row r="1279" spans="1:11" x14ac:dyDescent="0.35">
      <c r="A1279" s="1">
        <v>44720</v>
      </c>
      <c r="B1279">
        <v>25.1</v>
      </c>
      <c r="C1279">
        <v>21.2</v>
      </c>
      <c r="D1279">
        <v>30.6</v>
      </c>
      <c r="E1279">
        <v>0</v>
      </c>
      <c r="F1279" t="str">
        <f>IF(OR(B1279&lt;outliers!$B$7,B1279&gt;outliers!$B$6),"Outlier","Normal")</f>
        <v>Normal</v>
      </c>
      <c r="G1279" t="str">
        <f>IF(OR(C1279&lt;outliers!$B$14,C1279&gt;outliers!$B$13),"Outlier","Normal")</f>
        <v>Normal</v>
      </c>
      <c r="H1279" t="str">
        <f>IF(OR(D1279&lt;outliers!$B$21,D1279&gt;outliers!$B$20),"Outlier","Normal")</f>
        <v>Normal</v>
      </c>
      <c r="I1279" t="str">
        <f>IF(OR(E1279&lt;outliers!$C$28,E1279&gt;outliers!$B$27),"Outlier","Normal")</f>
        <v>Normal</v>
      </c>
      <c r="J1279">
        <f t="shared" si="40"/>
        <v>2022</v>
      </c>
      <c r="K1279" t="str">
        <f t="shared" si="39"/>
        <v>June</v>
      </c>
    </row>
    <row r="1280" spans="1:11" x14ac:dyDescent="0.35">
      <c r="A1280" s="1">
        <v>44721</v>
      </c>
      <c r="B1280">
        <v>24.3</v>
      </c>
      <c r="C1280">
        <v>19.8</v>
      </c>
      <c r="D1280">
        <v>29.4</v>
      </c>
      <c r="E1280">
        <v>1</v>
      </c>
      <c r="F1280" t="str">
        <f>IF(OR(B1280&lt;outliers!$B$7,B1280&gt;outliers!$B$6),"Outlier","Normal")</f>
        <v>Normal</v>
      </c>
      <c r="G1280" t="str">
        <f>IF(OR(C1280&lt;outliers!$B$14,C1280&gt;outliers!$B$13),"Outlier","Normal")</f>
        <v>Normal</v>
      </c>
      <c r="H1280" t="str">
        <f>IF(OR(D1280&lt;outliers!$B$21,D1280&gt;outliers!$B$20),"Outlier","Normal")</f>
        <v>Normal</v>
      </c>
      <c r="I1280" t="str">
        <f>IF(OR(E1280&lt;outliers!$C$28,E1280&gt;outliers!$B$27),"Outlier","Normal")</f>
        <v>Normal</v>
      </c>
      <c r="J1280">
        <f t="shared" si="40"/>
        <v>2022</v>
      </c>
      <c r="K1280" t="str">
        <f t="shared" si="39"/>
        <v>June</v>
      </c>
    </row>
    <row r="1281" spans="1:11" x14ac:dyDescent="0.35">
      <c r="A1281" s="1">
        <v>44722</v>
      </c>
      <c r="B1281">
        <v>24</v>
      </c>
      <c r="C1281">
        <v>19.5</v>
      </c>
      <c r="D1281">
        <v>29.2</v>
      </c>
      <c r="E1281">
        <v>1.6</v>
      </c>
      <c r="F1281" t="str">
        <f>IF(OR(B1281&lt;outliers!$B$7,B1281&gt;outliers!$B$6),"Outlier","Normal")</f>
        <v>Normal</v>
      </c>
      <c r="G1281" t="str">
        <f>IF(OR(C1281&lt;outliers!$B$14,C1281&gt;outliers!$B$13),"Outlier","Normal")</f>
        <v>Normal</v>
      </c>
      <c r="H1281" t="str">
        <f>IF(OR(D1281&lt;outliers!$B$21,D1281&gt;outliers!$B$20),"Outlier","Normal")</f>
        <v>Normal</v>
      </c>
      <c r="I1281" t="str">
        <f>IF(OR(E1281&lt;outliers!$C$28,E1281&gt;outliers!$B$27),"Outlier","Normal")</f>
        <v>Normal</v>
      </c>
      <c r="J1281">
        <f t="shared" si="40"/>
        <v>2022</v>
      </c>
      <c r="K1281" t="str">
        <f t="shared" si="39"/>
        <v>June</v>
      </c>
    </row>
    <row r="1282" spans="1:11" x14ac:dyDescent="0.35">
      <c r="A1282" s="1">
        <v>44723</v>
      </c>
      <c r="B1282">
        <v>23.6</v>
      </c>
      <c r="C1282">
        <v>19.3</v>
      </c>
      <c r="D1282">
        <v>29.2</v>
      </c>
      <c r="E1282">
        <v>2</v>
      </c>
      <c r="F1282" t="str">
        <f>IF(OR(B1282&lt;outliers!$B$7,B1282&gt;outliers!$B$6),"Outlier","Normal")</f>
        <v>Normal</v>
      </c>
      <c r="G1282" t="str">
        <f>IF(OR(C1282&lt;outliers!$B$14,C1282&gt;outliers!$B$13),"Outlier","Normal")</f>
        <v>Normal</v>
      </c>
      <c r="H1282" t="str">
        <f>IF(OR(D1282&lt;outliers!$B$21,D1282&gt;outliers!$B$20),"Outlier","Normal")</f>
        <v>Normal</v>
      </c>
      <c r="I1282" t="str">
        <f>IF(OR(E1282&lt;outliers!$C$28,E1282&gt;outliers!$B$27),"Outlier","Normal")</f>
        <v>Normal</v>
      </c>
      <c r="J1282">
        <f t="shared" si="40"/>
        <v>2022</v>
      </c>
      <c r="K1282" t="str">
        <f t="shared" ref="K1282:K1326" si="41">TEXT(A1281,"mmmm")</f>
        <v>June</v>
      </c>
    </row>
    <row r="1283" spans="1:11" x14ac:dyDescent="0.35">
      <c r="A1283" s="1">
        <v>44724</v>
      </c>
      <c r="B1283">
        <v>23</v>
      </c>
      <c r="C1283">
        <v>19.7</v>
      </c>
      <c r="D1283">
        <v>28.8</v>
      </c>
      <c r="E1283">
        <v>10</v>
      </c>
      <c r="F1283" t="str">
        <f>IF(OR(B1283&lt;outliers!$B$7,B1283&gt;outliers!$B$6),"Outlier","Normal")</f>
        <v>Normal</v>
      </c>
      <c r="G1283" t="str">
        <f>IF(OR(C1283&lt;outliers!$B$14,C1283&gt;outliers!$B$13),"Outlier","Normal")</f>
        <v>Normal</v>
      </c>
      <c r="H1283" t="str">
        <f>IF(OR(D1283&lt;outliers!$B$21,D1283&gt;outliers!$B$20),"Outlier","Normal")</f>
        <v>Normal</v>
      </c>
      <c r="I1283" t="str">
        <f>IF(OR(E1283&lt;outliers!$C$28,E1283&gt;outliers!$B$27),"Outlier","Normal")</f>
        <v>Normal</v>
      </c>
      <c r="J1283">
        <f t="shared" si="40"/>
        <v>2022</v>
      </c>
      <c r="K1283" t="str">
        <f t="shared" si="41"/>
        <v>June</v>
      </c>
    </row>
    <row r="1284" spans="1:11" x14ac:dyDescent="0.35">
      <c r="A1284" s="1">
        <v>44725</v>
      </c>
      <c r="B1284">
        <v>23.6</v>
      </c>
      <c r="C1284">
        <v>19.2</v>
      </c>
      <c r="D1284">
        <v>28.9</v>
      </c>
      <c r="E1284">
        <v>0.1</v>
      </c>
      <c r="F1284" t="str">
        <f>IF(OR(B1284&lt;outliers!$B$7,B1284&gt;outliers!$B$6),"Outlier","Normal")</f>
        <v>Normal</v>
      </c>
      <c r="G1284" t="str">
        <f>IF(OR(C1284&lt;outliers!$B$14,C1284&gt;outliers!$B$13),"Outlier","Normal")</f>
        <v>Normal</v>
      </c>
      <c r="H1284" t="str">
        <f>IF(OR(D1284&lt;outliers!$B$21,D1284&gt;outliers!$B$20),"Outlier","Normal")</f>
        <v>Normal</v>
      </c>
      <c r="I1284" t="str">
        <f>IF(OR(E1284&lt;outliers!$C$28,E1284&gt;outliers!$B$27),"Outlier","Normal")</f>
        <v>Normal</v>
      </c>
      <c r="J1284">
        <f t="shared" si="40"/>
        <v>2022</v>
      </c>
      <c r="K1284" t="str">
        <f t="shared" si="41"/>
        <v>June</v>
      </c>
    </row>
    <row r="1285" spans="1:11" x14ac:dyDescent="0.35">
      <c r="A1285" s="1">
        <v>44726</v>
      </c>
      <c r="B1285">
        <v>23.6</v>
      </c>
      <c r="C1285">
        <v>19.399999999999999</v>
      </c>
      <c r="D1285">
        <v>29.5</v>
      </c>
      <c r="E1285">
        <v>0.6</v>
      </c>
      <c r="F1285" t="str">
        <f>IF(OR(B1285&lt;outliers!$B$7,B1285&gt;outliers!$B$6),"Outlier","Normal")</f>
        <v>Normal</v>
      </c>
      <c r="G1285" t="str">
        <f>IF(OR(C1285&lt;outliers!$B$14,C1285&gt;outliers!$B$13),"Outlier","Normal")</f>
        <v>Normal</v>
      </c>
      <c r="H1285" t="str">
        <f>IF(OR(D1285&lt;outliers!$B$21,D1285&gt;outliers!$B$20),"Outlier","Normal")</f>
        <v>Normal</v>
      </c>
      <c r="I1285" t="str">
        <f>IF(OR(E1285&lt;outliers!$C$28,E1285&gt;outliers!$B$27),"Outlier","Normal")</f>
        <v>Normal</v>
      </c>
      <c r="J1285">
        <f t="shared" si="40"/>
        <v>2022</v>
      </c>
      <c r="K1285" t="str">
        <f t="shared" si="41"/>
        <v>June</v>
      </c>
    </row>
    <row r="1286" spans="1:11" hidden="1" x14ac:dyDescent="0.35">
      <c r="A1286" s="1">
        <v>44727</v>
      </c>
      <c r="B1286">
        <v>23.7</v>
      </c>
      <c r="C1286">
        <v>20.2</v>
      </c>
      <c r="D1286">
        <v>31.9</v>
      </c>
      <c r="E1286">
        <v>31</v>
      </c>
      <c r="F1286" t="str">
        <f>IF(OR(B1286&lt;outliers!$B$7,B1286&gt;outliers!$B$6),"Outlier","Normal")</f>
        <v>Normal</v>
      </c>
      <c r="G1286" t="str">
        <f>IF(OR(C1286&lt;outliers!$B$14,C1286&gt;outliers!$B$13),"Outlier","Normal")</f>
        <v>Normal</v>
      </c>
      <c r="H1286" t="str">
        <f>IF(OR(D1286&lt;outliers!$B$21,D1286&gt;outliers!$B$20),"Outlier","Normal")</f>
        <v>Normal</v>
      </c>
      <c r="I1286" t="str">
        <f>IF(OR(E1286&lt;outliers!$C$28,E1286&gt;outliers!$B$27),"Outlier","Normal")</f>
        <v>Outlier</v>
      </c>
      <c r="J1286">
        <f t="shared" si="40"/>
        <v>2022</v>
      </c>
      <c r="K1286" t="str">
        <f t="shared" si="41"/>
        <v>June</v>
      </c>
    </row>
    <row r="1287" spans="1:11" x14ac:dyDescent="0.35">
      <c r="A1287" s="1">
        <v>44728</v>
      </c>
      <c r="B1287">
        <v>24.5</v>
      </c>
      <c r="C1287">
        <v>20</v>
      </c>
      <c r="D1287">
        <v>30.6</v>
      </c>
      <c r="E1287">
        <v>0</v>
      </c>
      <c r="F1287" t="str">
        <f>IF(OR(B1287&lt;outliers!$B$7,B1287&gt;outliers!$B$6),"Outlier","Normal")</f>
        <v>Normal</v>
      </c>
      <c r="G1287" t="str">
        <f>IF(OR(C1287&lt;outliers!$B$14,C1287&gt;outliers!$B$13),"Outlier","Normal")</f>
        <v>Normal</v>
      </c>
      <c r="H1287" t="str">
        <f>IF(OR(D1287&lt;outliers!$B$21,D1287&gt;outliers!$B$20),"Outlier","Normal")</f>
        <v>Normal</v>
      </c>
      <c r="I1287" t="str">
        <f>IF(OR(E1287&lt;outliers!$C$28,E1287&gt;outliers!$B$27),"Outlier","Normal")</f>
        <v>Normal</v>
      </c>
      <c r="J1287">
        <f t="shared" si="40"/>
        <v>2022</v>
      </c>
      <c r="K1287" t="str">
        <f t="shared" si="41"/>
        <v>June</v>
      </c>
    </row>
    <row r="1288" spans="1:11" hidden="1" x14ac:dyDescent="0.35">
      <c r="A1288" s="1">
        <v>44729</v>
      </c>
      <c r="B1288">
        <v>24.6</v>
      </c>
      <c r="C1288">
        <v>19.7</v>
      </c>
      <c r="D1288">
        <v>30.6</v>
      </c>
      <c r="E1288">
        <v>38.9</v>
      </c>
      <c r="F1288" t="str">
        <f>IF(OR(B1288&lt;outliers!$B$7,B1288&gt;outliers!$B$6),"Outlier","Normal")</f>
        <v>Normal</v>
      </c>
      <c r="G1288" t="str">
        <f>IF(OR(C1288&lt;outliers!$B$14,C1288&gt;outliers!$B$13),"Outlier","Normal")</f>
        <v>Normal</v>
      </c>
      <c r="H1288" t="str">
        <f>IF(OR(D1288&lt;outliers!$B$21,D1288&gt;outliers!$B$20),"Outlier","Normal")</f>
        <v>Normal</v>
      </c>
      <c r="I1288" t="str">
        <f>IF(OR(E1288&lt;outliers!$C$28,E1288&gt;outliers!$B$27),"Outlier","Normal")</f>
        <v>Outlier</v>
      </c>
      <c r="J1288">
        <f t="shared" si="40"/>
        <v>2022</v>
      </c>
      <c r="K1288" t="str">
        <f t="shared" si="41"/>
        <v>June</v>
      </c>
    </row>
    <row r="1289" spans="1:11" hidden="1" x14ac:dyDescent="0.35">
      <c r="A1289" s="1">
        <v>44730</v>
      </c>
      <c r="B1289">
        <v>23.8</v>
      </c>
      <c r="C1289">
        <v>21.2</v>
      </c>
      <c r="D1289">
        <v>30.5</v>
      </c>
      <c r="E1289">
        <v>42.9</v>
      </c>
      <c r="F1289" t="str">
        <f>IF(OR(B1289&lt;outliers!$B$7,B1289&gt;outliers!$B$6),"Outlier","Normal")</f>
        <v>Normal</v>
      </c>
      <c r="G1289" t="str">
        <f>IF(OR(C1289&lt;outliers!$B$14,C1289&gt;outliers!$B$13),"Outlier","Normal")</f>
        <v>Normal</v>
      </c>
      <c r="H1289" t="str">
        <f>IF(OR(D1289&lt;outliers!$B$21,D1289&gt;outliers!$B$20),"Outlier","Normal")</f>
        <v>Normal</v>
      </c>
      <c r="I1289" t="str">
        <f>IF(OR(E1289&lt;outliers!$C$28,E1289&gt;outliers!$B$27),"Outlier","Normal")</f>
        <v>Outlier</v>
      </c>
      <c r="J1289">
        <f t="shared" si="40"/>
        <v>2022</v>
      </c>
      <c r="K1289" t="str">
        <f t="shared" si="41"/>
        <v>June</v>
      </c>
    </row>
    <row r="1290" spans="1:11" x14ac:dyDescent="0.35">
      <c r="A1290" s="1">
        <v>44731</v>
      </c>
      <c r="B1290">
        <v>24.2</v>
      </c>
      <c r="C1290">
        <v>21.1</v>
      </c>
      <c r="D1290">
        <v>29.5</v>
      </c>
      <c r="E1290">
        <v>1</v>
      </c>
      <c r="F1290" t="str">
        <f>IF(OR(B1290&lt;outliers!$B$7,B1290&gt;outliers!$B$6),"Outlier","Normal")</f>
        <v>Normal</v>
      </c>
      <c r="G1290" t="str">
        <f>IF(OR(C1290&lt;outliers!$B$14,C1290&gt;outliers!$B$13),"Outlier","Normal")</f>
        <v>Normal</v>
      </c>
      <c r="H1290" t="str">
        <f>IF(OR(D1290&lt;outliers!$B$21,D1290&gt;outliers!$B$20),"Outlier","Normal")</f>
        <v>Normal</v>
      </c>
      <c r="I1290" t="str">
        <f>IF(OR(E1290&lt;outliers!$C$28,E1290&gt;outliers!$B$27),"Outlier","Normal")</f>
        <v>Normal</v>
      </c>
      <c r="J1290">
        <f t="shared" si="40"/>
        <v>2022</v>
      </c>
      <c r="K1290" t="str">
        <f t="shared" si="41"/>
        <v>June</v>
      </c>
    </row>
    <row r="1291" spans="1:11" x14ac:dyDescent="0.35">
      <c r="A1291" s="1">
        <v>44732</v>
      </c>
      <c r="B1291">
        <v>24.1</v>
      </c>
      <c r="C1291">
        <v>20.7</v>
      </c>
      <c r="D1291">
        <v>29.5</v>
      </c>
      <c r="E1291">
        <v>2</v>
      </c>
      <c r="F1291" t="str">
        <f>IF(OR(B1291&lt;outliers!$B$7,B1291&gt;outliers!$B$6),"Outlier","Normal")</f>
        <v>Normal</v>
      </c>
      <c r="G1291" t="str">
        <f>IF(OR(C1291&lt;outliers!$B$14,C1291&gt;outliers!$B$13),"Outlier","Normal")</f>
        <v>Normal</v>
      </c>
      <c r="H1291" t="str">
        <f>IF(OR(D1291&lt;outliers!$B$21,D1291&gt;outliers!$B$20),"Outlier","Normal")</f>
        <v>Normal</v>
      </c>
      <c r="I1291" t="str">
        <f>IF(OR(E1291&lt;outliers!$C$28,E1291&gt;outliers!$B$27),"Outlier","Normal")</f>
        <v>Normal</v>
      </c>
      <c r="J1291">
        <f t="shared" si="40"/>
        <v>2022</v>
      </c>
      <c r="K1291" t="str">
        <f t="shared" si="41"/>
        <v>June</v>
      </c>
    </row>
    <row r="1292" spans="1:11" hidden="1" x14ac:dyDescent="0.35">
      <c r="A1292" s="1">
        <v>44733</v>
      </c>
      <c r="B1292">
        <v>23.2</v>
      </c>
      <c r="C1292">
        <v>19.8</v>
      </c>
      <c r="D1292">
        <v>27.8</v>
      </c>
      <c r="E1292">
        <v>15</v>
      </c>
      <c r="F1292" t="str">
        <f>IF(OR(B1292&lt;outliers!$B$7,B1292&gt;outliers!$B$6),"Outlier","Normal")</f>
        <v>Normal</v>
      </c>
      <c r="G1292" t="str">
        <f>IF(OR(C1292&lt;outliers!$B$14,C1292&gt;outliers!$B$13),"Outlier","Normal")</f>
        <v>Normal</v>
      </c>
      <c r="H1292" t="str">
        <f>IF(OR(D1292&lt;outliers!$B$21,D1292&gt;outliers!$B$20),"Outlier","Normal")</f>
        <v>Normal</v>
      </c>
      <c r="I1292" t="str">
        <f>IF(OR(E1292&lt;outliers!$C$28,E1292&gt;outliers!$B$27),"Outlier","Normal")</f>
        <v>Outlier</v>
      </c>
      <c r="J1292">
        <f t="shared" si="40"/>
        <v>2022</v>
      </c>
      <c r="K1292" t="str">
        <f t="shared" si="41"/>
        <v>June</v>
      </c>
    </row>
    <row r="1293" spans="1:11" x14ac:dyDescent="0.35">
      <c r="A1293" s="1">
        <v>44734</v>
      </c>
      <c r="B1293">
        <v>22.7</v>
      </c>
      <c r="C1293">
        <v>20.399999999999999</v>
      </c>
      <c r="D1293">
        <v>27.8</v>
      </c>
      <c r="E1293">
        <v>0.3</v>
      </c>
      <c r="F1293" t="str">
        <f>IF(OR(B1293&lt;outliers!$B$7,B1293&gt;outliers!$B$6),"Outlier","Normal")</f>
        <v>Normal</v>
      </c>
      <c r="G1293" t="str">
        <f>IF(OR(C1293&lt;outliers!$B$14,C1293&gt;outliers!$B$13),"Outlier","Normal")</f>
        <v>Normal</v>
      </c>
      <c r="H1293" t="str">
        <f>IF(OR(D1293&lt;outliers!$B$21,D1293&gt;outliers!$B$20),"Outlier","Normal")</f>
        <v>Normal</v>
      </c>
      <c r="I1293" t="str">
        <f>IF(OR(E1293&lt;outliers!$C$28,E1293&gt;outliers!$B$27),"Outlier","Normal")</f>
        <v>Normal</v>
      </c>
      <c r="J1293">
        <f t="shared" si="40"/>
        <v>2022</v>
      </c>
      <c r="K1293" t="str">
        <f t="shared" si="41"/>
        <v>June</v>
      </c>
    </row>
    <row r="1294" spans="1:11" x14ac:dyDescent="0.35">
      <c r="A1294" s="1">
        <v>44735</v>
      </c>
      <c r="B1294">
        <v>23.1</v>
      </c>
      <c r="C1294">
        <v>20.399999999999999</v>
      </c>
      <c r="D1294">
        <v>26.2</v>
      </c>
      <c r="E1294">
        <v>0</v>
      </c>
      <c r="F1294" t="str">
        <f>IF(OR(B1294&lt;outliers!$B$7,B1294&gt;outliers!$B$6),"Outlier","Normal")</f>
        <v>Normal</v>
      </c>
      <c r="G1294" t="str">
        <f>IF(OR(C1294&lt;outliers!$B$14,C1294&gt;outliers!$B$13),"Outlier","Normal")</f>
        <v>Normal</v>
      </c>
      <c r="H1294" t="str">
        <f>IF(OR(D1294&lt;outliers!$B$21,D1294&gt;outliers!$B$20),"Outlier","Normal")</f>
        <v>Normal</v>
      </c>
      <c r="I1294" t="str">
        <f>IF(OR(E1294&lt;outliers!$C$28,E1294&gt;outliers!$B$27),"Outlier","Normal")</f>
        <v>Normal</v>
      </c>
      <c r="J1294">
        <f t="shared" si="40"/>
        <v>2022</v>
      </c>
      <c r="K1294" t="str">
        <f t="shared" si="41"/>
        <v>June</v>
      </c>
    </row>
    <row r="1295" spans="1:11" x14ac:dyDescent="0.35">
      <c r="A1295" s="1">
        <v>44736</v>
      </c>
      <c r="B1295">
        <v>22.8</v>
      </c>
      <c r="C1295">
        <v>19.5</v>
      </c>
      <c r="D1295">
        <v>27.6</v>
      </c>
      <c r="E1295">
        <v>0.3</v>
      </c>
      <c r="F1295" t="str">
        <f>IF(OR(B1295&lt;outliers!$B$7,B1295&gt;outliers!$B$6),"Outlier","Normal")</f>
        <v>Normal</v>
      </c>
      <c r="G1295" t="str">
        <f>IF(OR(C1295&lt;outliers!$B$14,C1295&gt;outliers!$B$13),"Outlier","Normal")</f>
        <v>Normal</v>
      </c>
      <c r="H1295" t="str">
        <f>IF(OR(D1295&lt;outliers!$B$21,D1295&gt;outliers!$B$20),"Outlier","Normal")</f>
        <v>Normal</v>
      </c>
      <c r="I1295" t="str">
        <f>IF(OR(E1295&lt;outliers!$C$28,E1295&gt;outliers!$B$27),"Outlier","Normal")</f>
        <v>Normal</v>
      </c>
      <c r="J1295">
        <f t="shared" si="40"/>
        <v>2022</v>
      </c>
      <c r="K1295" t="str">
        <f t="shared" si="41"/>
        <v>June</v>
      </c>
    </row>
    <row r="1296" spans="1:11" x14ac:dyDescent="0.35">
      <c r="A1296" s="1">
        <v>44737</v>
      </c>
      <c r="B1296">
        <v>22.4</v>
      </c>
      <c r="C1296">
        <v>19.7</v>
      </c>
      <c r="D1296">
        <v>27.7</v>
      </c>
      <c r="E1296">
        <v>4.2</v>
      </c>
      <c r="F1296" t="str">
        <f>IF(OR(B1296&lt;outliers!$B$7,B1296&gt;outliers!$B$6),"Outlier","Normal")</f>
        <v>Normal</v>
      </c>
      <c r="G1296" t="str">
        <f>IF(OR(C1296&lt;outliers!$B$14,C1296&gt;outliers!$B$13),"Outlier","Normal")</f>
        <v>Normal</v>
      </c>
      <c r="H1296" t="str">
        <f>IF(OR(D1296&lt;outliers!$B$21,D1296&gt;outliers!$B$20),"Outlier","Normal")</f>
        <v>Normal</v>
      </c>
      <c r="I1296" t="str">
        <f>IF(OR(E1296&lt;outliers!$C$28,E1296&gt;outliers!$B$27),"Outlier","Normal")</f>
        <v>Normal</v>
      </c>
      <c r="J1296">
        <f t="shared" si="40"/>
        <v>2022</v>
      </c>
      <c r="K1296" t="str">
        <f t="shared" si="41"/>
        <v>June</v>
      </c>
    </row>
    <row r="1297" spans="1:11" x14ac:dyDescent="0.35">
      <c r="A1297" s="1">
        <v>44738</v>
      </c>
      <c r="B1297">
        <v>23.2</v>
      </c>
      <c r="C1297">
        <v>20.3</v>
      </c>
      <c r="D1297">
        <v>27.2</v>
      </c>
      <c r="E1297">
        <v>0.2</v>
      </c>
      <c r="F1297" t="str">
        <f>IF(OR(B1297&lt;outliers!$B$7,B1297&gt;outliers!$B$6),"Outlier","Normal")</f>
        <v>Normal</v>
      </c>
      <c r="G1297" t="str">
        <f>IF(OR(C1297&lt;outliers!$B$14,C1297&gt;outliers!$B$13),"Outlier","Normal")</f>
        <v>Normal</v>
      </c>
      <c r="H1297" t="str">
        <f>IF(OR(D1297&lt;outliers!$B$21,D1297&gt;outliers!$B$20),"Outlier","Normal")</f>
        <v>Normal</v>
      </c>
      <c r="I1297" t="str">
        <f>IF(OR(E1297&lt;outliers!$C$28,E1297&gt;outliers!$B$27),"Outlier","Normal")</f>
        <v>Normal</v>
      </c>
      <c r="J1297">
        <f t="shared" ref="J1297:J1326" si="42">YEAR(A1297)</f>
        <v>2022</v>
      </c>
      <c r="K1297" t="str">
        <f t="shared" si="41"/>
        <v>June</v>
      </c>
    </row>
    <row r="1298" spans="1:11" x14ac:dyDescent="0.35">
      <c r="A1298" s="1">
        <v>44739</v>
      </c>
      <c r="B1298">
        <v>23.7</v>
      </c>
      <c r="C1298">
        <v>20.100000000000001</v>
      </c>
      <c r="D1298">
        <v>28.3</v>
      </c>
      <c r="E1298">
        <v>0</v>
      </c>
      <c r="F1298" t="str">
        <f>IF(OR(B1298&lt;outliers!$B$7,B1298&gt;outliers!$B$6),"Outlier","Normal")</f>
        <v>Normal</v>
      </c>
      <c r="G1298" t="str">
        <f>IF(OR(C1298&lt;outliers!$B$14,C1298&gt;outliers!$B$13),"Outlier","Normal")</f>
        <v>Normal</v>
      </c>
      <c r="H1298" t="str">
        <f>IF(OR(D1298&lt;outliers!$B$21,D1298&gt;outliers!$B$20),"Outlier","Normal")</f>
        <v>Normal</v>
      </c>
      <c r="I1298" t="str">
        <f>IF(OR(E1298&lt;outliers!$C$28,E1298&gt;outliers!$B$27),"Outlier","Normal")</f>
        <v>Normal</v>
      </c>
      <c r="J1298">
        <f t="shared" si="42"/>
        <v>2022</v>
      </c>
      <c r="K1298" t="str">
        <f t="shared" si="41"/>
        <v>June</v>
      </c>
    </row>
    <row r="1299" spans="1:11" x14ac:dyDescent="0.35">
      <c r="A1299" s="1">
        <v>44740</v>
      </c>
      <c r="B1299">
        <v>22.5</v>
      </c>
      <c r="C1299">
        <v>19.600000000000001</v>
      </c>
      <c r="D1299">
        <v>26.7</v>
      </c>
      <c r="E1299">
        <v>2.2000000000000002</v>
      </c>
      <c r="F1299" t="str">
        <f>IF(OR(B1299&lt;outliers!$B$7,B1299&gt;outliers!$B$6),"Outlier","Normal")</f>
        <v>Normal</v>
      </c>
      <c r="G1299" t="str">
        <f>IF(OR(C1299&lt;outliers!$B$14,C1299&gt;outliers!$B$13),"Outlier","Normal")</f>
        <v>Normal</v>
      </c>
      <c r="H1299" t="str">
        <f>IF(OR(D1299&lt;outliers!$B$21,D1299&gt;outliers!$B$20),"Outlier","Normal")</f>
        <v>Normal</v>
      </c>
      <c r="I1299" t="str">
        <f>IF(OR(E1299&lt;outliers!$C$28,E1299&gt;outliers!$B$27),"Outlier","Normal")</f>
        <v>Normal</v>
      </c>
      <c r="J1299">
        <f t="shared" si="42"/>
        <v>2022</v>
      </c>
      <c r="K1299" t="str">
        <f t="shared" si="41"/>
        <v>June</v>
      </c>
    </row>
    <row r="1300" spans="1:11" x14ac:dyDescent="0.35">
      <c r="A1300" s="1">
        <v>44741</v>
      </c>
      <c r="B1300">
        <v>23.9</v>
      </c>
      <c r="C1300">
        <v>21.1</v>
      </c>
      <c r="D1300">
        <v>29.5</v>
      </c>
      <c r="E1300">
        <v>0</v>
      </c>
      <c r="F1300" t="str">
        <f>IF(OR(B1300&lt;outliers!$B$7,B1300&gt;outliers!$B$6),"Outlier","Normal")</f>
        <v>Normal</v>
      </c>
      <c r="G1300" t="str">
        <f>IF(OR(C1300&lt;outliers!$B$14,C1300&gt;outliers!$B$13),"Outlier","Normal")</f>
        <v>Normal</v>
      </c>
      <c r="H1300" t="str">
        <f>IF(OR(D1300&lt;outliers!$B$21,D1300&gt;outliers!$B$20),"Outlier","Normal")</f>
        <v>Normal</v>
      </c>
      <c r="I1300" t="str">
        <f>IF(OR(E1300&lt;outliers!$C$28,E1300&gt;outliers!$B$27),"Outlier","Normal")</f>
        <v>Normal</v>
      </c>
      <c r="J1300">
        <f t="shared" si="42"/>
        <v>2022</v>
      </c>
      <c r="K1300" t="str">
        <f t="shared" si="41"/>
        <v>June</v>
      </c>
    </row>
    <row r="1301" spans="1:11" x14ac:dyDescent="0.35">
      <c r="A1301" s="1">
        <v>44742</v>
      </c>
      <c r="B1301">
        <v>23.2</v>
      </c>
      <c r="C1301">
        <v>20.5</v>
      </c>
      <c r="D1301">
        <v>29.5</v>
      </c>
      <c r="E1301">
        <v>5.8</v>
      </c>
      <c r="F1301" t="str">
        <f>IF(OR(B1301&lt;outliers!$B$7,B1301&gt;outliers!$B$6),"Outlier","Normal")</f>
        <v>Normal</v>
      </c>
      <c r="G1301" t="str">
        <f>IF(OR(C1301&lt;outliers!$B$14,C1301&gt;outliers!$B$13),"Outlier","Normal")</f>
        <v>Normal</v>
      </c>
      <c r="H1301" t="str">
        <f>IF(OR(D1301&lt;outliers!$B$21,D1301&gt;outliers!$B$20),"Outlier","Normal")</f>
        <v>Normal</v>
      </c>
      <c r="I1301" t="str">
        <f>IF(OR(E1301&lt;outliers!$C$28,E1301&gt;outliers!$B$27),"Outlier","Normal")</f>
        <v>Normal</v>
      </c>
      <c r="J1301">
        <f t="shared" si="42"/>
        <v>2022</v>
      </c>
      <c r="K1301" t="str">
        <f t="shared" si="41"/>
        <v>June</v>
      </c>
    </row>
    <row r="1302" spans="1:11" x14ac:dyDescent="0.35">
      <c r="A1302" s="1">
        <v>44743</v>
      </c>
      <c r="B1302">
        <v>23.6</v>
      </c>
      <c r="C1302">
        <v>20.5</v>
      </c>
      <c r="D1302">
        <v>28.7</v>
      </c>
      <c r="E1302">
        <v>3.6</v>
      </c>
      <c r="F1302" t="str">
        <f>IF(OR(B1302&lt;outliers!$B$7,B1302&gt;outliers!$B$6),"Outlier","Normal")</f>
        <v>Normal</v>
      </c>
      <c r="G1302" t="str">
        <f>IF(OR(C1302&lt;outliers!$B$14,C1302&gt;outliers!$B$13),"Outlier","Normal")</f>
        <v>Normal</v>
      </c>
      <c r="H1302" t="str">
        <f>IF(OR(D1302&lt;outliers!$B$21,D1302&gt;outliers!$B$20),"Outlier","Normal")</f>
        <v>Normal</v>
      </c>
      <c r="I1302" t="str">
        <f>IF(OR(E1302&lt;outliers!$C$28,E1302&gt;outliers!$B$27),"Outlier","Normal")</f>
        <v>Normal</v>
      </c>
      <c r="J1302">
        <f t="shared" si="42"/>
        <v>2022</v>
      </c>
      <c r="K1302" t="str">
        <f t="shared" si="41"/>
        <v>June</v>
      </c>
    </row>
    <row r="1303" spans="1:11" x14ac:dyDescent="0.35">
      <c r="A1303" s="1">
        <v>44744</v>
      </c>
      <c r="B1303">
        <v>24.1</v>
      </c>
      <c r="C1303">
        <v>20.9</v>
      </c>
      <c r="D1303">
        <v>28.7</v>
      </c>
      <c r="E1303">
        <v>0</v>
      </c>
      <c r="F1303" t="str">
        <f>IF(OR(B1303&lt;outliers!$B$7,B1303&gt;outliers!$B$6),"Outlier","Normal")</f>
        <v>Normal</v>
      </c>
      <c r="G1303" t="str">
        <f>IF(OR(C1303&lt;outliers!$B$14,C1303&gt;outliers!$B$13),"Outlier","Normal")</f>
        <v>Normal</v>
      </c>
      <c r="H1303" t="str">
        <f>IF(OR(D1303&lt;outliers!$B$21,D1303&gt;outliers!$B$20),"Outlier","Normal")</f>
        <v>Normal</v>
      </c>
      <c r="I1303" t="str">
        <f>IF(OR(E1303&lt;outliers!$C$28,E1303&gt;outliers!$B$27),"Outlier","Normal")</f>
        <v>Normal</v>
      </c>
      <c r="J1303">
        <f t="shared" si="42"/>
        <v>2022</v>
      </c>
      <c r="K1303" t="str">
        <f t="shared" si="41"/>
        <v>July</v>
      </c>
    </row>
    <row r="1304" spans="1:11" x14ac:dyDescent="0.35">
      <c r="A1304" s="1">
        <v>44745</v>
      </c>
      <c r="B1304">
        <v>23.5</v>
      </c>
      <c r="C1304">
        <v>21.1</v>
      </c>
      <c r="D1304">
        <v>28.5</v>
      </c>
      <c r="E1304">
        <v>0</v>
      </c>
      <c r="F1304" t="str">
        <f>IF(OR(B1304&lt;outliers!$B$7,B1304&gt;outliers!$B$6),"Outlier","Normal")</f>
        <v>Normal</v>
      </c>
      <c r="G1304" t="str">
        <f>IF(OR(C1304&lt;outliers!$B$14,C1304&gt;outliers!$B$13),"Outlier","Normal")</f>
        <v>Normal</v>
      </c>
      <c r="H1304" t="str">
        <f>IF(OR(D1304&lt;outliers!$B$21,D1304&gt;outliers!$B$20),"Outlier","Normal")</f>
        <v>Normal</v>
      </c>
      <c r="I1304" t="str">
        <f>IF(OR(E1304&lt;outliers!$C$28,E1304&gt;outliers!$B$27),"Outlier","Normal")</f>
        <v>Normal</v>
      </c>
      <c r="J1304">
        <f t="shared" si="42"/>
        <v>2022</v>
      </c>
      <c r="K1304" t="str">
        <f t="shared" si="41"/>
        <v>July</v>
      </c>
    </row>
    <row r="1305" spans="1:11" x14ac:dyDescent="0.35">
      <c r="A1305" s="1">
        <v>44746</v>
      </c>
      <c r="B1305">
        <v>22.5</v>
      </c>
      <c r="C1305">
        <v>20.2</v>
      </c>
      <c r="D1305">
        <v>27</v>
      </c>
      <c r="E1305">
        <v>0</v>
      </c>
      <c r="F1305" t="str">
        <f>IF(OR(B1305&lt;outliers!$B$7,B1305&gt;outliers!$B$6),"Outlier","Normal")</f>
        <v>Normal</v>
      </c>
      <c r="G1305" t="str">
        <f>IF(OR(C1305&lt;outliers!$B$14,C1305&gt;outliers!$B$13),"Outlier","Normal")</f>
        <v>Normal</v>
      </c>
      <c r="H1305" t="str">
        <f>IF(OR(D1305&lt;outliers!$B$21,D1305&gt;outliers!$B$20),"Outlier","Normal")</f>
        <v>Normal</v>
      </c>
      <c r="I1305" t="str">
        <f>IF(OR(E1305&lt;outliers!$C$28,E1305&gt;outliers!$B$27),"Outlier","Normal")</f>
        <v>Normal</v>
      </c>
      <c r="J1305">
        <f t="shared" si="42"/>
        <v>2022</v>
      </c>
      <c r="K1305" t="str">
        <f t="shared" si="41"/>
        <v>July</v>
      </c>
    </row>
    <row r="1306" spans="1:11" x14ac:dyDescent="0.35">
      <c r="A1306" s="1">
        <v>44747</v>
      </c>
      <c r="B1306">
        <v>22.9</v>
      </c>
      <c r="C1306">
        <v>20.100000000000001</v>
      </c>
      <c r="D1306">
        <v>26.5</v>
      </c>
      <c r="E1306">
        <v>2</v>
      </c>
      <c r="F1306" t="str">
        <f>IF(OR(B1306&lt;outliers!$B$7,B1306&gt;outliers!$B$6),"Outlier","Normal")</f>
        <v>Normal</v>
      </c>
      <c r="G1306" t="str">
        <f>IF(OR(C1306&lt;outliers!$B$14,C1306&gt;outliers!$B$13),"Outlier","Normal")</f>
        <v>Normal</v>
      </c>
      <c r="H1306" t="str">
        <f>IF(OR(D1306&lt;outliers!$B$21,D1306&gt;outliers!$B$20),"Outlier","Normal")</f>
        <v>Normal</v>
      </c>
      <c r="I1306" t="str">
        <f>IF(OR(E1306&lt;outliers!$C$28,E1306&gt;outliers!$B$27),"Outlier","Normal")</f>
        <v>Normal</v>
      </c>
      <c r="J1306">
        <f t="shared" si="42"/>
        <v>2022</v>
      </c>
      <c r="K1306" t="str">
        <f t="shared" si="41"/>
        <v>July</v>
      </c>
    </row>
    <row r="1307" spans="1:11" x14ac:dyDescent="0.35">
      <c r="A1307" s="1">
        <v>44748</v>
      </c>
      <c r="B1307">
        <v>22.1</v>
      </c>
      <c r="C1307">
        <v>20.6</v>
      </c>
      <c r="D1307">
        <v>26.5</v>
      </c>
      <c r="E1307">
        <v>0.3</v>
      </c>
      <c r="F1307" t="str">
        <f>IF(OR(B1307&lt;outliers!$B$7,B1307&gt;outliers!$B$6),"Outlier","Normal")</f>
        <v>Normal</v>
      </c>
      <c r="G1307" t="str">
        <f>IF(OR(C1307&lt;outliers!$B$14,C1307&gt;outliers!$B$13),"Outlier","Normal")</f>
        <v>Normal</v>
      </c>
      <c r="H1307" t="str">
        <f>IF(OR(D1307&lt;outliers!$B$21,D1307&gt;outliers!$B$20),"Outlier","Normal")</f>
        <v>Normal</v>
      </c>
      <c r="I1307" t="str">
        <f>IF(OR(E1307&lt;outliers!$C$28,E1307&gt;outliers!$B$27),"Outlier","Normal")</f>
        <v>Normal</v>
      </c>
      <c r="J1307">
        <f t="shared" si="42"/>
        <v>2022</v>
      </c>
      <c r="K1307" t="str">
        <f t="shared" si="41"/>
        <v>July</v>
      </c>
    </row>
    <row r="1308" spans="1:11" x14ac:dyDescent="0.35">
      <c r="A1308" s="1">
        <v>44749</v>
      </c>
      <c r="B1308">
        <v>21.4</v>
      </c>
      <c r="C1308">
        <v>19.7</v>
      </c>
      <c r="D1308">
        <v>25</v>
      </c>
      <c r="E1308">
        <v>1</v>
      </c>
      <c r="F1308" t="str">
        <f>IF(OR(B1308&lt;outliers!$B$7,B1308&gt;outliers!$B$6),"Outlier","Normal")</f>
        <v>Normal</v>
      </c>
      <c r="G1308" t="str">
        <f>IF(OR(C1308&lt;outliers!$B$14,C1308&gt;outliers!$B$13),"Outlier","Normal")</f>
        <v>Normal</v>
      </c>
      <c r="H1308" t="str">
        <f>IF(OR(D1308&lt;outliers!$B$21,D1308&gt;outliers!$B$20),"Outlier","Normal")</f>
        <v>Normal</v>
      </c>
      <c r="I1308" t="str">
        <f>IF(OR(E1308&lt;outliers!$C$28,E1308&gt;outliers!$B$27),"Outlier","Normal")</f>
        <v>Normal</v>
      </c>
      <c r="J1308">
        <f t="shared" si="42"/>
        <v>2022</v>
      </c>
      <c r="K1308" t="str">
        <f t="shared" si="41"/>
        <v>July</v>
      </c>
    </row>
    <row r="1309" spans="1:11" x14ac:dyDescent="0.35">
      <c r="A1309" s="1">
        <v>44750</v>
      </c>
      <c r="B1309">
        <v>21.4</v>
      </c>
      <c r="C1309">
        <v>19.7</v>
      </c>
      <c r="D1309">
        <v>25.5</v>
      </c>
      <c r="E1309">
        <v>6.1</v>
      </c>
      <c r="F1309" t="str">
        <f>IF(OR(B1309&lt;outliers!$B$7,B1309&gt;outliers!$B$6),"Outlier","Normal")</f>
        <v>Normal</v>
      </c>
      <c r="G1309" t="str">
        <f>IF(OR(C1309&lt;outliers!$B$14,C1309&gt;outliers!$B$13),"Outlier","Normal")</f>
        <v>Normal</v>
      </c>
      <c r="H1309" t="str">
        <f>IF(OR(D1309&lt;outliers!$B$21,D1309&gt;outliers!$B$20),"Outlier","Normal")</f>
        <v>Normal</v>
      </c>
      <c r="I1309" t="str">
        <f>IF(OR(E1309&lt;outliers!$C$28,E1309&gt;outliers!$B$27),"Outlier","Normal")</f>
        <v>Normal</v>
      </c>
      <c r="J1309">
        <f t="shared" si="42"/>
        <v>2022</v>
      </c>
      <c r="K1309" t="str">
        <f t="shared" si="41"/>
        <v>July</v>
      </c>
    </row>
    <row r="1310" spans="1:11" x14ac:dyDescent="0.35">
      <c r="A1310" s="1">
        <v>44751</v>
      </c>
      <c r="B1310">
        <v>21.7</v>
      </c>
      <c r="C1310">
        <v>19.8</v>
      </c>
      <c r="D1310">
        <v>25.5</v>
      </c>
      <c r="E1310">
        <v>7.1</v>
      </c>
      <c r="F1310" t="str">
        <f>IF(OR(B1310&lt;outliers!$B$7,B1310&gt;outliers!$B$6),"Outlier","Normal")</f>
        <v>Normal</v>
      </c>
      <c r="G1310" t="str">
        <f>IF(OR(C1310&lt;outliers!$B$14,C1310&gt;outliers!$B$13),"Outlier","Normal")</f>
        <v>Normal</v>
      </c>
      <c r="H1310" t="str">
        <f>IF(OR(D1310&lt;outliers!$B$21,D1310&gt;outliers!$B$20),"Outlier","Normal")</f>
        <v>Normal</v>
      </c>
      <c r="I1310" t="str">
        <f>IF(OR(E1310&lt;outliers!$C$28,E1310&gt;outliers!$B$27),"Outlier","Normal")</f>
        <v>Normal</v>
      </c>
      <c r="J1310">
        <f t="shared" si="42"/>
        <v>2022</v>
      </c>
      <c r="K1310" t="str">
        <f t="shared" si="41"/>
        <v>July</v>
      </c>
    </row>
    <row r="1311" spans="1:11" hidden="1" x14ac:dyDescent="0.35">
      <c r="A1311" s="1">
        <v>44752</v>
      </c>
      <c r="B1311">
        <v>22.4</v>
      </c>
      <c r="C1311">
        <v>20</v>
      </c>
      <c r="D1311">
        <v>26.2</v>
      </c>
      <c r="E1311">
        <v>15</v>
      </c>
      <c r="F1311" t="str">
        <f>IF(OR(B1311&lt;outliers!$B$7,B1311&gt;outliers!$B$6),"Outlier","Normal")</f>
        <v>Normal</v>
      </c>
      <c r="G1311" t="str">
        <f>IF(OR(C1311&lt;outliers!$B$14,C1311&gt;outliers!$B$13),"Outlier","Normal")</f>
        <v>Normal</v>
      </c>
      <c r="H1311" t="str">
        <f>IF(OR(D1311&lt;outliers!$B$21,D1311&gt;outliers!$B$20),"Outlier","Normal")</f>
        <v>Normal</v>
      </c>
      <c r="I1311" t="str">
        <f>IF(OR(E1311&lt;outliers!$C$28,E1311&gt;outliers!$B$27),"Outlier","Normal")</f>
        <v>Outlier</v>
      </c>
      <c r="J1311">
        <f t="shared" si="42"/>
        <v>2022</v>
      </c>
      <c r="K1311" t="str">
        <f t="shared" si="41"/>
        <v>July</v>
      </c>
    </row>
    <row r="1312" spans="1:11" x14ac:dyDescent="0.35">
      <c r="A1312" s="1">
        <v>44753</v>
      </c>
      <c r="B1312">
        <v>21.7</v>
      </c>
      <c r="C1312">
        <v>20.2</v>
      </c>
      <c r="D1312">
        <v>26.2</v>
      </c>
      <c r="E1312">
        <v>0.8</v>
      </c>
      <c r="F1312" t="str">
        <f>IF(OR(B1312&lt;outliers!$B$7,B1312&gt;outliers!$B$6),"Outlier","Normal")</f>
        <v>Normal</v>
      </c>
      <c r="G1312" t="str">
        <f>IF(OR(C1312&lt;outliers!$B$14,C1312&gt;outliers!$B$13),"Outlier","Normal")</f>
        <v>Normal</v>
      </c>
      <c r="H1312" t="str">
        <f>IF(OR(D1312&lt;outliers!$B$21,D1312&gt;outliers!$B$20),"Outlier","Normal")</f>
        <v>Normal</v>
      </c>
      <c r="I1312" t="str">
        <f>IF(OR(E1312&lt;outliers!$C$28,E1312&gt;outliers!$B$27),"Outlier","Normal")</f>
        <v>Normal</v>
      </c>
      <c r="J1312">
        <f t="shared" si="42"/>
        <v>2022</v>
      </c>
      <c r="K1312" t="str">
        <f t="shared" si="41"/>
        <v>July</v>
      </c>
    </row>
    <row r="1313" spans="1:11" x14ac:dyDescent="0.35">
      <c r="A1313" s="1">
        <v>44754</v>
      </c>
      <c r="B1313">
        <v>23.2</v>
      </c>
      <c r="C1313">
        <v>19.8</v>
      </c>
      <c r="D1313">
        <v>27.5</v>
      </c>
      <c r="E1313">
        <v>4.5999999999999996</v>
      </c>
      <c r="F1313" t="str">
        <f>IF(OR(B1313&lt;outliers!$B$7,B1313&gt;outliers!$B$6),"Outlier","Normal")</f>
        <v>Normal</v>
      </c>
      <c r="G1313" t="str">
        <f>IF(OR(C1313&lt;outliers!$B$14,C1313&gt;outliers!$B$13),"Outlier","Normal")</f>
        <v>Normal</v>
      </c>
      <c r="H1313" t="str">
        <f>IF(OR(D1313&lt;outliers!$B$21,D1313&gt;outliers!$B$20),"Outlier","Normal")</f>
        <v>Normal</v>
      </c>
      <c r="I1313" t="str">
        <f>IF(OR(E1313&lt;outliers!$C$28,E1313&gt;outliers!$B$27),"Outlier","Normal")</f>
        <v>Normal</v>
      </c>
      <c r="J1313">
        <f t="shared" si="42"/>
        <v>2022</v>
      </c>
      <c r="K1313" t="str">
        <f t="shared" si="41"/>
        <v>July</v>
      </c>
    </row>
    <row r="1314" spans="1:11" x14ac:dyDescent="0.35">
      <c r="A1314" s="1">
        <v>44755</v>
      </c>
      <c r="B1314">
        <v>21.6</v>
      </c>
      <c r="C1314">
        <v>19.7</v>
      </c>
      <c r="D1314">
        <v>27.5</v>
      </c>
      <c r="E1314">
        <v>1</v>
      </c>
      <c r="F1314" t="str">
        <f>IF(OR(B1314&lt;outliers!$B$7,B1314&gt;outliers!$B$6),"Outlier","Normal")</f>
        <v>Normal</v>
      </c>
      <c r="G1314" t="str">
        <f>IF(OR(C1314&lt;outliers!$B$14,C1314&gt;outliers!$B$13),"Outlier","Normal")</f>
        <v>Normal</v>
      </c>
      <c r="H1314" t="str">
        <f>IF(OR(D1314&lt;outliers!$B$21,D1314&gt;outliers!$B$20),"Outlier","Normal")</f>
        <v>Normal</v>
      </c>
      <c r="I1314" t="str">
        <f>IF(OR(E1314&lt;outliers!$C$28,E1314&gt;outliers!$B$27),"Outlier","Normal")</f>
        <v>Normal</v>
      </c>
      <c r="J1314">
        <f t="shared" si="42"/>
        <v>2022</v>
      </c>
      <c r="K1314" t="str">
        <f t="shared" si="41"/>
        <v>July</v>
      </c>
    </row>
    <row r="1315" spans="1:11" x14ac:dyDescent="0.35">
      <c r="A1315" s="1">
        <v>44756</v>
      </c>
      <c r="B1315">
        <v>21.2</v>
      </c>
      <c r="C1315">
        <v>19.5</v>
      </c>
      <c r="D1315">
        <v>24.3</v>
      </c>
      <c r="E1315">
        <v>2</v>
      </c>
      <c r="F1315" t="str">
        <f>IF(OR(B1315&lt;outliers!$B$7,B1315&gt;outliers!$B$6),"Outlier","Normal")</f>
        <v>Normal</v>
      </c>
      <c r="G1315" t="str">
        <f>IF(OR(C1315&lt;outliers!$B$14,C1315&gt;outliers!$B$13),"Outlier","Normal")</f>
        <v>Normal</v>
      </c>
      <c r="H1315" t="str">
        <f>IF(OR(D1315&lt;outliers!$B$21,D1315&gt;outliers!$B$20),"Outlier","Normal")</f>
        <v>Normal</v>
      </c>
      <c r="I1315" t="str">
        <f>IF(OR(E1315&lt;outliers!$C$28,E1315&gt;outliers!$B$27),"Outlier","Normal")</f>
        <v>Normal</v>
      </c>
      <c r="J1315">
        <f t="shared" si="42"/>
        <v>2022</v>
      </c>
      <c r="K1315" t="str">
        <f t="shared" si="41"/>
        <v>July</v>
      </c>
    </row>
    <row r="1316" spans="1:11" x14ac:dyDescent="0.35">
      <c r="A1316" s="1">
        <v>44757</v>
      </c>
      <c r="B1316">
        <v>22.3</v>
      </c>
      <c r="C1316">
        <v>19.5</v>
      </c>
      <c r="D1316">
        <v>25.6</v>
      </c>
      <c r="E1316">
        <v>2.2999999999999998</v>
      </c>
      <c r="F1316" t="str">
        <f>IF(OR(B1316&lt;outliers!$B$7,B1316&gt;outliers!$B$6),"Outlier","Normal")</f>
        <v>Normal</v>
      </c>
      <c r="G1316" t="str">
        <f>IF(OR(C1316&lt;outliers!$B$14,C1316&gt;outliers!$B$13),"Outlier","Normal")</f>
        <v>Normal</v>
      </c>
      <c r="H1316" t="str">
        <f>IF(OR(D1316&lt;outliers!$B$21,D1316&gt;outliers!$B$20),"Outlier","Normal")</f>
        <v>Normal</v>
      </c>
      <c r="I1316" t="str">
        <f>IF(OR(E1316&lt;outliers!$C$28,E1316&gt;outliers!$B$27),"Outlier","Normal")</f>
        <v>Normal</v>
      </c>
      <c r="J1316">
        <f t="shared" si="42"/>
        <v>2022</v>
      </c>
      <c r="K1316" t="str">
        <f t="shared" si="41"/>
        <v>July</v>
      </c>
    </row>
    <row r="1317" spans="1:11" x14ac:dyDescent="0.35">
      <c r="A1317" s="1">
        <v>44758</v>
      </c>
      <c r="B1317">
        <v>22</v>
      </c>
      <c r="C1317">
        <v>20.100000000000001</v>
      </c>
      <c r="D1317">
        <v>25.6</v>
      </c>
      <c r="E1317">
        <v>0.5</v>
      </c>
      <c r="F1317" t="str">
        <f>IF(OR(B1317&lt;outliers!$B$7,B1317&gt;outliers!$B$6),"Outlier","Normal")</f>
        <v>Normal</v>
      </c>
      <c r="G1317" t="str">
        <f>IF(OR(C1317&lt;outliers!$B$14,C1317&gt;outliers!$B$13),"Outlier","Normal")</f>
        <v>Normal</v>
      </c>
      <c r="H1317" t="str">
        <f>IF(OR(D1317&lt;outliers!$B$21,D1317&gt;outliers!$B$20),"Outlier","Normal")</f>
        <v>Normal</v>
      </c>
      <c r="I1317" t="str">
        <f>IF(OR(E1317&lt;outliers!$C$28,E1317&gt;outliers!$B$27),"Outlier","Normal")</f>
        <v>Normal</v>
      </c>
      <c r="J1317">
        <f t="shared" si="42"/>
        <v>2022</v>
      </c>
      <c r="K1317" t="str">
        <f t="shared" si="41"/>
        <v>July</v>
      </c>
    </row>
    <row r="1318" spans="1:11" x14ac:dyDescent="0.35">
      <c r="A1318" s="1">
        <v>44759</v>
      </c>
      <c r="B1318">
        <v>23.2</v>
      </c>
      <c r="C1318">
        <v>20.2</v>
      </c>
      <c r="D1318">
        <v>25.3</v>
      </c>
      <c r="E1318">
        <v>0</v>
      </c>
      <c r="F1318" t="str">
        <f>IF(OR(B1318&lt;outliers!$B$7,B1318&gt;outliers!$B$6),"Outlier","Normal")</f>
        <v>Normal</v>
      </c>
      <c r="G1318" t="str">
        <f>IF(OR(C1318&lt;outliers!$B$14,C1318&gt;outliers!$B$13),"Outlier","Normal")</f>
        <v>Normal</v>
      </c>
      <c r="H1318" t="str">
        <f>IF(OR(D1318&lt;outliers!$B$21,D1318&gt;outliers!$B$20),"Outlier","Normal")</f>
        <v>Normal</v>
      </c>
      <c r="I1318" t="str">
        <f>IF(OR(E1318&lt;outliers!$C$28,E1318&gt;outliers!$B$27),"Outlier","Normal")</f>
        <v>Normal</v>
      </c>
      <c r="J1318">
        <f t="shared" si="42"/>
        <v>2022</v>
      </c>
      <c r="K1318" t="str">
        <f t="shared" si="41"/>
        <v>July</v>
      </c>
    </row>
    <row r="1319" spans="1:11" x14ac:dyDescent="0.35">
      <c r="A1319" s="1">
        <v>44760</v>
      </c>
      <c r="B1319">
        <v>22.6</v>
      </c>
      <c r="C1319">
        <v>20.9</v>
      </c>
      <c r="D1319">
        <v>27.5</v>
      </c>
      <c r="E1319">
        <v>0.3</v>
      </c>
      <c r="F1319" t="str">
        <f>IF(OR(B1319&lt;outliers!$B$7,B1319&gt;outliers!$B$6),"Outlier","Normal")</f>
        <v>Normal</v>
      </c>
      <c r="G1319" t="str">
        <f>IF(OR(C1319&lt;outliers!$B$14,C1319&gt;outliers!$B$13),"Outlier","Normal")</f>
        <v>Normal</v>
      </c>
      <c r="H1319" t="str">
        <f>IF(OR(D1319&lt;outliers!$B$21,D1319&gt;outliers!$B$20),"Outlier","Normal")</f>
        <v>Normal</v>
      </c>
      <c r="I1319" t="str">
        <f>IF(OR(E1319&lt;outliers!$C$28,E1319&gt;outliers!$B$27),"Outlier","Normal")</f>
        <v>Normal</v>
      </c>
      <c r="J1319">
        <f t="shared" si="42"/>
        <v>2022</v>
      </c>
      <c r="K1319" t="str">
        <f t="shared" si="41"/>
        <v>July</v>
      </c>
    </row>
    <row r="1320" spans="1:11" x14ac:dyDescent="0.35">
      <c r="A1320" s="1">
        <v>44761</v>
      </c>
      <c r="B1320">
        <v>24.7</v>
      </c>
      <c r="C1320">
        <v>20.100000000000001</v>
      </c>
      <c r="D1320">
        <v>29.6</v>
      </c>
      <c r="E1320">
        <v>0.3</v>
      </c>
      <c r="F1320" t="str">
        <f>IF(OR(B1320&lt;outliers!$B$7,B1320&gt;outliers!$B$6),"Outlier","Normal")</f>
        <v>Normal</v>
      </c>
      <c r="G1320" t="str">
        <f>IF(OR(C1320&lt;outliers!$B$14,C1320&gt;outliers!$B$13),"Outlier","Normal")</f>
        <v>Normal</v>
      </c>
      <c r="H1320" t="str">
        <f>IF(OR(D1320&lt;outliers!$B$21,D1320&gt;outliers!$B$20),"Outlier","Normal")</f>
        <v>Normal</v>
      </c>
      <c r="I1320" t="str">
        <f>IF(OR(E1320&lt;outliers!$C$28,E1320&gt;outliers!$B$27),"Outlier","Normal")</f>
        <v>Normal</v>
      </c>
      <c r="J1320">
        <f t="shared" si="42"/>
        <v>2022</v>
      </c>
      <c r="K1320" t="str">
        <f t="shared" si="41"/>
        <v>July</v>
      </c>
    </row>
    <row r="1321" spans="1:11" x14ac:dyDescent="0.35">
      <c r="A1321" s="1">
        <v>44762</v>
      </c>
      <c r="B1321">
        <v>24.9</v>
      </c>
      <c r="C1321">
        <v>19.8</v>
      </c>
      <c r="D1321">
        <v>30.8</v>
      </c>
      <c r="E1321">
        <v>0</v>
      </c>
      <c r="F1321" t="str">
        <f>IF(OR(B1321&lt;outliers!$B$7,B1321&gt;outliers!$B$6),"Outlier","Normal")</f>
        <v>Normal</v>
      </c>
      <c r="G1321" t="str">
        <f>IF(OR(C1321&lt;outliers!$B$14,C1321&gt;outliers!$B$13),"Outlier","Normal")</f>
        <v>Normal</v>
      </c>
      <c r="H1321" t="str">
        <f>IF(OR(D1321&lt;outliers!$B$21,D1321&gt;outliers!$B$20),"Outlier","Normal")</f>
        <v>Normal</v>
      </c>
      <c r="I1321" t="str">
        <f>IF(OR(E1321&lt;outliers!$C$28,E1321&gt;outliers!$B$27),"Outlier","Normal")</f>
        <v>Normal</v>
      </c>
      <c r="J1321">
        <f t="shared" si="42"/>
        <v>2022</v>
      </c>
      <c r="K1321" t="str">
        <f t="shared" si="41"/>
        <v>July</v>
      </c>
    </row>
    <row r="1322" spans="1:11" hidden="1" x14ac:dyDescent="0.35">
      <c r="A1322" s="1">
        <v>44763</v>
      </c>
      <c r="B1322">
        <v>23.7</v>
      </c>
      <c r="C1322">
        <v>20.5</v>
      </c>
      <c r="D1322">
        <v>30.8</v>
      </c>
      <c r="E1322">
        <v>82.5</v>
      </c>
      <c r="F1322" t="str">
        <f>IF(OR(B1322&lt;outliers!$B$7,B1322&gt;outliers!$B$6),"Outlier","Normal")</f>
        <v>Normal</v>
      </c>
      <c r="G1322" t="str">
        <f>IF(OR(C1322&lt;outliers!$B$14,C1322&gt;outliers!$B$13),"Outlier","Normal")</f>
        <v>Normal</v>
      </c>
      <c r="H1322" t="str">
        <f>IF(OR(D1322&lt;outliers!$B$21,D1322&gt;outliers!$B$20),"Outlier","Normal")</f>
        <v>Normal</v>
      </c>
      <c r="I1322" t="str">
        <f>IF(OR(E1322&lt;outliers!$C$28,E1322&gt;outliers!$B$27),"Outlier","Normal")</f>
        <v>Outlier</v>
      </c>
      <c r="J1322">
        <f t="shared" si="42"/>
        <v>2022</v>
      </c>
      <c r="K1322" t="str">
        <f t="shared" si="41"/>
        <v>July</v>
      </c>
    </row>
    <row r="1323" spans="1:11" x14ac:dyDescent="0.35">
      <c r="A1323" s="1">
        <v>44764</v>
      </c>
      <c r="B1323">
        <v>23.2</v>
      </c>
      <c r="C1323">
        <v>21.1</v>
      </c>
      <c r="D1323">
        <v>27.9</v>
      </c>
      <c r="E1323">
        <v>0</v>
      </c>
      <c r="F1323" t="str">
        <f>IF(OR(B1323&lt;outliers!$B$7,B1323&gt;outliers!$B$6),"Outlier","Normal")</f>
        <v>Normal</v>
      </c>
      <c r="G1323" t="str">
        <f>IF(OR(C1323&lt;outliers!$B$14,C1323&gt;outliers!$B$13),"Outlier","Normal")</f>
        <v>Normal</v>
      </c>
      <c r="H1323" t="str">
        <f>IF(OR(D1323&lt;outliers!$B$21,D1323&gt;outliers!$B$20),"Outlier","Normal")</f>
        <v>Normal</v>
      </c>
      <c r="I1323" t="str">
        <f>IF(OR(E1323&lt;outliers!$C$28,E1323&gt;outliers!$B$27),"Outlier","Normal")</f>
        <v>Normal</v>
      </c>
      <c r="J1323">
        <f t="shared" si="42"/>
        <v>2022</v>
      </c>
      <c r="K1323" t="str">
        <f t="shared" si="41"/>
        <v>July</v>
      </c>
    </row>
    <row r="1324" spans="1:11" x14ac:dyDescent="0.35">
      <c r="A1324" s="1">
        <v>44765</v>
      </c>
      <c r="B1324">
        <v>23.1</v>
      </c>
      <c r="C1324">
        <v>20.9</v>
      </c>
      <c r="D1324">
        <v>26.7</v>
      </c>
      <c r="E1324">
        <v>0</v>
      </c>
      <c r="F1324" t="str">
        <f>IF(OR(B1324&lt;outliers!$B$7,B1324&gt;outliers!$B$6),"Outlier","Normal")</f>
        <v>Normal</v>
      </c>
      <c r="G1324" t="str">
        <f>IF(OR(C1324&lt;outliers!$B$14,C1324&gt;outliers!$B$13),"Outlier","Normal")</f>
        <v>Normal</v>
      </c>
      <c r="H1324" t="str">
        <f>IF(OR(D1324&lt;outliers!$B$21,D1324&gt;outliers!$B$20),"Outlier","Normal")</f>
        <v>Normal</v>
      </c>
      <c r="I1324" t="str">
        <f>IF(OR(E1324&lt;outliers!$C$28,E1324&gt;outliers!$B$27),"Outlier","Normal")</f>
        <v>Normal</v>
      </c>
      <c r="J1324">
        <f t="shared" si="42"/>
        <v>2022</v>
      </c>
      <c r="K1324" t="str">
        <f t="shared" si="41"/>
        <v>July</v>
      </c>
    </row>
    <row r="1325" spans="1:11" x14ac:dyDescent="0.35">
      <c r="A1325" s="1">
        <v>44766</v>
      </c>
      <c r="B1325">
        <v>22.8</v>
      </c>
      <c r="C1325">
        <v>20</v>
      </c>
      <c r="D1325">
        <v>26.7</v>
      </c>
      <c r="E1325">
        <v>0.3</v>
      </c>
      <c r="F1325" t="str">
        <f>IF(OR(B1325&lt;outliers!$B$7,B1325&gt;outliers!$B$6),"Outlier","Normal")</f>
        <v>Normal</v>
      </c>
      <c r="G1325" t="str">
        <f>IF(OR(C1325&lt;outliers!$B$14,C1325&gt;outliers!$B$13),"Outlier","Normal")</f>
        <v>Normal</v>
      </c>
      <c r="H1325" t="str">
        <f>IF(OR(D1325&lt;outliers!$B$21,D1325&gt;outliers!$B$20),"Outlier","Normal")</f>
        <v>Normal</v>
      </c>
      <c r="I1325" t="str">
        <f>IF(OR(E1325&lt;outliers!$C$28,E1325&gt;outliers!$B$27),"Outlier","Normal")</f>
        <v>Normal</v>
      </c>
      <c r="J1325">
        <f t="shared" si="42"/>
        <v>2022</v>
      </c>
      <c r="K1325" t="str">
        <f t="shared" si="41"/>
        <v>July</v>
      </c>
    </row>
    <row r="1326" spans="1:11" x14ac:dyDescent="0.35">
      <c r="A1326" s="1">
        <v>44767</v>
      </c>
      <c r="B1326">
        <v>24.1</v>
      </c>
      <c r="C1326">
        <v>20.2</v>
      </c>
      <c r="D1326">
        <v>28.5</v>
      </c>
      <c r="E1326">
        <v>0.5</v>
      </c>
      <c r="F1326" t="str">
        <f>IF(OR(B1326&lt;outliers!$B$7,B1326&gt;outliers!$B$6),"Outlier","Normal")</f>
        <v>Normal</v>
      </c>
      <c r="G1326" t="str">
        <f>IF(OR(C1326&lt;outliers!$B$14,C1326&gt;outliers!$B$13),"Outlier","Normal")</f>
        <v>Normal</v>
      </c>
      <c r="H1326" t="str">
        <f>IF(OR(D1326&lt;outliers!$B$21,D1326&gt;outliers!$B$20),"Outlier","Normal")</f>
        <v>Normal</v>
      </c>
      <c r="I1326" t="str">
        <f>IF(OR(E1326&lt;outliers!$C$28,E1326&gt;outliers!$B$27),"Outlier","Normal")</f>
        <v>Normal</v>
      </c>
      <c r="J1326">
        <f t="shared" si="42"/>
        <v>2022</v>
      </c>
      <c r="K1326" t="str">
        <f t="shared" si="41"/>
        <v>July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8D007-091C-41C1-8C03-5474AB6F6DFB}">
  <dimension ref="A3:D21"/>
  <sheetViews>
    <sheetView zoomScale="96" workbookViewId="0">
      <selection activeCell="C21" sqref="C21"/>
    </sheetView>
  </sheetViews>
  <sheetFormatPr defaultRowHeight="14.5" x14ac:dyDescent="0.35"/>
  <cols>
    <col min="1" max="1" width="19.54296875" bestFit="1" customWidth="1"/>
    <col min="2" max="3" width="26.81640625" bestFit="1" customWidth="1"/>
  </cols>
  <sheetData>
    <row r="3" spans="1:4" x14ac:dyDescent="0.35">
      <c r="A3" t="s">
        <v>19</v>
      </c>
      <c r="B3" s="3" t="s">
        <v>20</v>
      </c>
      <c r="C3" t="s">
        <v>22</v>
      </c>
      <c r="D3" t="s">
        <v>23</v>
      </c>
    </row>
    <row r="4" spans="1:4" x14ac:dyDescent="0.35">
      <c r="A4">
        <v>2017</v>
      </c>
      <c r="B4" s="4" t="s">
        <v>31</v>
      </c>
      <c r="C4">
        <v>4477.3999999999987</v>
      </c>
      <c r="D4">
        <v>1693.3999999999999</v>
      </c>
    </row>
    <row r="5" spans="1:4" x14ac:dyDescent="0.35">
      <c r="A5">
        <v>2018</v>
      </c>
      <c r="B5" s="4" t="s">
        <v>32</v>
      </c>
      <c r="C5">
        <v>4410.4000000000015</v>
      </c>
      <c r="D5">
        <v>911.09999999999957</v>
      </c>
    </row>
    <row r="6" spans="1:4" x14ac:dyDescent="0.35">
      <c r="A6">
        <v>2019</v>
      </c>
      <c r="B6" s="4" t="s">
        <v>33</v>
      </c>
      <c r="C6">
        <v>4481.4999999999982</v>
      </c>
      <c r="D6">
        <v>897.49999999999977</v>
      </c>
    </row>
    <row r="7" spans="1:4" x14ac:dyDescent="0.35">
      <c r="A7">
        <v>2020</v>
      </c>
      <c r="B7" s="4" t="s">
        <v>34</v>
      </c>
      <c r="C7">
        <v>4808.5000000000009</v>
      </c>
      <c r="D7">
        <v>1175.1999999999994</v>
      </c>
    </row>
    <row r="8" spans="1:4" x14ac:dyDescent="0.35">
      <c r="A8">
        <v>2021</v>
      </c>
      <c r="B8" s="4" t="s">
        <v>35</v>
      </c>
      <c r="C8">
        <v>8489.5000000000055</v>
      </c>
      <c r="D8">
        <v>1592.9999999999995</v>
      </c>
    </row>
    <row r="9" spans="1:4" x14ac:dyDescent="0.35">
      <c r="B9" s="4" t="s">
        <v>21</v>
      </c>
      <c r="C9">
        <v>26667.300000000003</v>
      </c>
      <c r="D9">
        <v>6270.1999999999989</v>
      </c>
    </row>
    <row r="11" spans="1:4" x14ac:dyDescent="0.35">
      <c r="A11" t="s">
        <v>26</v>
      </c>
      <c r="B11">
        <v>0.90749999999999997</v>
      </c>
      <c r="C11">
        <v>0.92659999999999998</v>
      </c>
    </row>
    <row r="12" spans="1:4" ht="16.5" x14ac:dyDescent="0.35">
      <c r="A12" t="s">
        <v>27</v>
      </c>
      <c r="B12" t="s">
        <v>28</v>
      </c>
      <c r="C12" t="s">
        <v>29</v>
      </c>
    </row>
    <row r="20" spans="1:3" x14ac:dyDescent="0.35">
      <c r="A20" t="s">
        <v>26</v>
      </c>
      <c r="B20">
        <v>0.56540000000000001</v>
      </c>
      <c r="C20" t="s">
        <v>37</v>
      </c>
    </row>
    <row r="21" spans="1:3" x14ac:dyDescent="0.35">
      <c r="A21" t="s">
        <v>27</v>
      </c>
      <c r="B21">
        <v>6.9999999999999999E-4</v>
      </c>
      <c r="C21" t="s">
        <v>38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AE68-F5AC-4BFA-85F7-FA20D06B09FA}">
  <dimension ref="A1:N160"/>
  <sheetViews>
    <sheetView workbookViewId="0">
      <selection activeCell="L24" sqref="L24"/>
    </sheetView>
  </sheetViews>
  <sheetFormatPr defaultRowHeight="14.5" x14ac:dyDescent="0.35"/>
  <cols>
    <col min="1" max="1" width="12.54296875" style="1" bestFit="1" customWidth="1"/>
    <col min="2" max="2" width="11.08984375" bestFit="1" customWidth="1"/>
    <col min="3" max="3" width="11.1796875" bestFit="1" customWidth="1"/>
    <col min="4" max="4" width="11" bestFit="1" customWidth="1"/>
    <col min="5" max="5" width="12" bestFit="1" customWidth="1"/>
    <col min="6" max="7" width="11.54296875" customWidth="1"/>
    <col min="8" max="8" width="11.6328125" customWidth="1"/>
    <col min="9" max="9" width="11.453125" customWidth="1"/>
    <col min="11" max="11" width="12" bestFit="1" customWidth="1"/>
  </cols>
  <sheetData>
    <row r="1" spans="1:14" x14ac:dyDescent="0.35">
      <c r="N1" s="17"/>
    </row>
    <row r="2" spans="1:14" x14ac:dyDescent="0.35">
      <c r="A2" s="12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15</v>
      </c>
      <c r="G2" s="6" t="s">
        <v>16</v>
      </c>
      <c r="H2" s="6" t="s">
        <v>17</v>
      </c>
      <c r="I2" s="6" t="s">
        <v>18</v>
      </c>
      <c r="J2" s="7" t="s">
        <v>19</v>
      </c>
      <c r="K2" s="15" t="s">
        <v>43</v>
      </c>
    </row>
    <row r="3" spans="1:14" x14ac:dyDescent="0.35">
      <c r="A3" s="13">
        <v>44562</v>
      </c>
      <c r="B3" s="8">
        <v>21.4</v>
      </c>
      <c r="C3" s="8">
        <v>18.5</v>
      </c>
      <c r="D3" s="8">
        <v>24.6</v>
      </c>
      <c r="E3" s="8">
        <v>3.3</v>
      </c>
      <c r="F3" s="8" t="s">
        <v>30</v>
      </c>
      <c r="G3" s="8" t="s">
        <v>30</v>
      </c>
      <c r="H3" s="8" t="s">
        <v>30</v>
      </c>
      <c r="I3" s="8" t="s">
        <v>30</v>
      </c>
      <c r="J3" s="9">
        <v>2022</v>
      </c>
      <c r="K3">
        <f>MONTH(A3)</f>
        <v>1</v>
      </c>
    </row>
    <row r="4" spans="1:14" x14ac:dyDescent="0.35">
      <c r="A4" s="13">
        <v>44563</v>
      </c>
      <c r="B4" s="8">
        <v>22</v>
      </c>
      <c r="C4" s="8">
        <v>17.5</v>
      </c>
      <c r="D4" s="8">
        <v>26.4</v>
      </c>
      <c r="E4" s="8">
        <v>0</v>
      </c>
      <c r="F4" s="8" t="s">
        <v>30</v>
      </c>
      <c r="G4" s="8" t="s">
        <v>30</v>
      </c>
      <c r="H4" s="8" t="s">
        <v>30</v>
      </c>
      <c r="I4" s="8" t="s">
        <v>30</v>
      </c>
      <c r="J4" s="9">
        <v>2022</v>
      </c>
      <c r="K4">
        <f t="shared" ref="K4:K67" si="0">MONTH(A4)</f>
        <v>1</v>
      </c>
    </row>
    <row r="5" spans="1:14" x14ac:dyDescent="0.35">
      <c r="A5" s="13">
        <v>44569</v>
      </c>
      <c r="B5" s="8">
        <v>21.6</v>
      </c>
      <c r="C5" s="8">
        <v>17.2</v>
      </c>
      <c r="D5" s="8">
        <v>27.2</v>
      </c>
      <c r="E5" s="8">
        <v>0</v>
      </c>
      <c r="F5" s="8" t="s">
        <v>30</v>
      </c>
      <c r="G5" s="8" t="s">
        <v>30</v>
      </c>
      <c r="H5" s="8" t="s">
        <v>30</v>
      </c>
      <c r="I5" s="8" t="s">
        <v>30</v>
      </c>
      <c r="J5" s="9">
        <v>2022</v>
      </c>
      <c r="K5">
        <f t="shared" si="0"/>
        <v>1</v>
      </c>
    </row>
    <row r="6" spans="1:14" x14ac:dyDescent="0.35">
      <c r="A6" s="13">
        <v>44570</v>
      </c>
      <c r="B6" s="8">
        <v>21.7</v>
      </c>
      <c r="C6" s="8">
        <v>17.3</v>
      </c>
      <c r="D6" s="8">
        <v>27.2</v>
      </c>
      <c r="E6" s="8">
        <v>0</v>
      </c>
      <c r="F6" s="8" t="s">
        <v>30</v>
      </c>
      <c r="G6" s="8" t="s">
        <v>30</v>
      </c>
      <c r="H6" s="8" t="s">
        <v>30</v>
      </c>
      <c r="I6" s="8" t="s">
        <v>30</v>
      </c>
      <c r="J6" s="9">
        <v>2022</v>
      </c>
      <c r="K6">
        <f t="shared" si="0"/>
        <v>1</v>
      </c>
    </row>
    <row r="7" spans="1:14" x14ac:dyDescent="0.35">
      <c r="A7" s="13">
        <v>44573</v>
      </c>
      <c r="B7" s="8">
        <v>22.4</v>
      </c>
      <c r="C7" s="8">
        <v>18.3</v>
      </c>
      <c r="D7" s="8">
        <v>28.6</v>
      </c>
      <c r="E7" s="8">
        <v>0.4</v>
      </c>
      <c r="F7" s="8" t="s">
        <v>30</v>
      </c>
      <c r="G7" s="8" t="s">
        <v>30</v>
      </c>
      <c r="H7" s="8" t="s">
        <v>30</v>
      </c>
      <c r="I7" s="8" t="s">
        <v>30</v>
      </c>
      <c r="J7" s="9">
        <v>2022</v>
      </c>
      <c r="K7">
        <f t="shared" si="0"/>
        <v>1</v>
      </c>
    </row>
    <row r="8" spans="1:14" x14ac:dyDescent="0.35">
      <c r="A8" s="13">
        <v>44574</v>
      </c>
      <c r="B8" s="8">
        <v>22.1</v>
      </c>
      <c r="C8" s="8">
        <v>17.5</v>
      </c>
      <c r="D8" s="8">
        <v>27.4</v>
      </c>
      <c r="E8" s="8">
        <v>0.5</v>
      </c>
      <c r="F8" s="8" t="s">
        <v>30</v>
      </c>
      <c r="G8" s="8" t="s">
        <v>30</v>
      </c>
      <c r="H8" s="8" t="s">
        <v>30</v>
      </c>
      <c r="I8" s="8" t="s">
        <v>30</v>
      </c>
      <c r="J8" s="9">
        <v>2022</v>
      </c>
      <c r="K8">
        <f t="shared" si="0"/>
        <v>1</v>
      </c>
    </row>
    <row r="9" spans="1:14" x14ac:dyDescent="0.35">
      <c r="A9" s="13">
        <v>44575</v>
      </c>
      <c r="B9" s="8">
        <v>21.8</v>
      </c>
      <c r="C9" s="8">
        <v>17.8</v>
      </c>
      <c r="D9" s="8">
        <v>27.4</v>
      </c>
      <c r="E9" s="8">
        <v>0.2</v>
      </c>
      <c r="F9" s="8" t="s">
        <v>30</v>
      </c>
      <c r="G9" s="8" t="s">
        <v>30</v>
      </c>
      <c r="H9" s="8" t="s">
        <v>30</v>
      </c>
      <c r="I9" s="8" t="s">
        <v>30</v>
      </c>
      <c r="J9" s="9">
        <v>2022</v>
      </c>
      <c r="K9">
        <f t="shared" si="0"/>
        <v>1</v>
      </c>
    </row>
    <row r="10" spans="1:14" x14ac:dyDescent="0.35">
      <c r="A10" s="13">
        <v>44577</v>
      </c>
      <c r="B10" s="8">
        <v>21.9</v>
      </c>
      <c r="C10" s="8">
        <v>17.399999999999999</v>
      </c>
      <c r="D10" s="8">
        <v>27.6</v>
      </c>
      <c r="E10" s="8">
        <v>0.2</v>
      </c>
      <c r="F10" s="8" t="s">
        <v>30</v>
      </c>
      <c r="G10" s="8" t="s">
        <v>30</v>
      </c>
      <c r="H10" s="8" t="s">
        <v>30</v>
      </c>
      <c r="I10" s="8" t="s">
        <v>30</v>
      </c>
      <c r="J10" s="9">
        <v>2022</v>
      </c>
      <c r="K10">
        <f t="shared" si="0"/>
        <v>1</v>
      </c>
    </row>
    <row r="11" spans="1:14" x14ac:dyDescent="0.35">
      <c r="A11" s="13">
        <v>44587</v>
      </c>
      <c r="B11" s="8">
        <v>22.2</v>
      </c>
      <c r="C11" s="8">
        <v>17.3</v>
      </c>
      <c r="D11" s="8">
        <v>28</v>
      </c>
      <c r="E11" s="8">
        <v>0.1</v>
      </c>
      <c r="F11" s="8" t="s">
        <v>30</v>
      </c>
      <c r="G11" s="8" t="s">
        <v>30</v>
      </c>
      <c r="H11" s="8" t="s">
        <v>30</v>
      </c>
      <c r="I11" s="8" t="s">
        <v>30</v>
      </c>
      <c r="J11" s="9">
        <v>2022</v>
      </c>
      <c r="K11">
        <f t="shared" si="0"/>
        <v>1</v>
      </c>
    </row>
    <row r="12" spans="1:14" x14ac:dyDescent="0.35">
      <c r="A12" s="13">
        <v>44588</v>
      </c>
      <c r="B12" s="8">
        <v>21.5</v>
      </c>
      <c r="C12" s="8">
        <v>17.899999999999999</v>
      </c>
      <c r="D12" s="8">
        <v>25.4</v>
      </c>
      <c r="E12" s="8">
        <v>1.8</v>
      </c>
      <c r="F12" s="8" t="s">
        <v>30</v>
      </c>
      <c r="G12" s="8" t="s">
        <v>30</v>
      </c>
      <c r="H12" s="8" t="s">
        <v>30</v>
      </c>
      <c r="I12" s="8" t="s">
        <v>30</v>
      </c>
      <c r="J12" s="9">
        <v>2022</v>
      </c>
      <c r="K12">
        <f t="shared" si="0"/>
        <v>1</v>
      </c>
    </row>
    <row r="13" spans="1:14" x14ac:dyDescent="0.35">
      <c r="A13" s="13">
        <v>44589</v>
      </c>
      <c r="B13" s="8">
        <v>21.1</v>
      </c>
      <c r="C13" s="8">
        <v>17</v>
      </c>
      <c r="D13" s="8">
        <v>26.3</v>
      </c>
      <c r="E13" s="8">
        <v>0</v>
      </c>
      <c r="F13" s="8" t="s">
        <v>30</v>
      </c>
      <c r="G13" s="8" t="s">
        <v>30</v>
      </c>
      <c r="H13" s="8" t="s">
        <v>30</v>
      </c>
      <c r="I13" s="8" t="s">
        <v>30</v>
      </c>
      <c r="J13" s="9">
        <v>2022</v>
      </c>
      <c r="K13">
        <f t="shared" si="0"/>
        <v>1</v>
      </c>
    </row>
    <row r="14" spans="1:14" x14ac:dyDescent="0.35">
      <c r="A14" s="13">
        <v>44591</v>
      </c>
      <c r="B14" s="8">
        <v>23</v>
      </c>
      <c r="C14" s="8">
        <v>18.100000000000001</v>
      </c>
      <c r="D14" s="8">
        <v>29.4</v>
      </c>
      <c r="E14" s="8">
        <v>0</v>
      </c>
      <c r="F14" s="8" t="s">
        <v>30</v>
      </c>
      <c r="G14" s="8" t="s">
        <v>30</v>
      </c>
      <c r="H14" s="8" t="s">
        <v>30</v>
      </c>
      <c r="I14" s="8" t="s">
        <v>30</v>
      </c>
      <c r="J14" s="9">
        <v>2022</v>
      </c>
      <c r="K14">
        <f t="shared" si="0"/>
        <v>1</v>
      </c>
    </row>
    <row r="15" spans="1:14" x14ac:dyDescent="0.35">
      <c r="A15" s="13">
        <v>44592</v>
      </c>
      <c r="B15" s="8">
        <v>23.4</v>
      </c>
      <c r="C15" s="8">
        <v>18.3</v>
      </c>
      <c r="D15" s="8">
        <v>29.6</v>
      </c>
      <c r="E15" s="8">
        <v>0</v>
      </c>
      <c r="F15" s="8" t="s">
        <v>30</v>
      </c>
      <c r="G15" s="8" t="s">
        <v>30</v>
      </c>
      <c r="H15" s="8" t="s">
        <v>30</v>
      </c>
      <c r="I15" s="8" t="s">
        <v>30</v>
      </c>
      <c r="J15" s="9">
        <v>2022</v>
      </c>
      <c r="K15">
        <f t="shared" si="0"/>
        <v>1</v>
      </c>
    </row>
    <row r="16" spans="1:14" x14ac:dyDescent="0.35">
      <c r="A16" s="13">
        <v>44593</v>
      </c>
      <c r="B16" s="8">
        <v>23.2</v>
      </c>
      <c r="C16" s="8">
        <v>17.399999999999999</v>
      </c>
      <c r="D16" s="8">
        <v>29.8</v>
      </c>
      <c r="E16" s="8">
        <v>0</v>
      </c>
      <c r="F16" s="8" t="s">
        <v>30</v>
      </c>
      <c r="G16" s="8" t="s">
        <v>30</v>
      </c>
      <c r="H16" s="8" t="s">
        <v>30</v>
      </c>
      <c r="I16" s="8" t="s">
        <v>30</v>
      </c>
      <c r="J16" s="9">
        <v>2022</v>
      </c>
      <c r="K16">
        <f t="shared" si="0"/>
        <v>2</v>
      </c>
    </row>
    <row r="17" spans="1:11" x14ac:dyDescent="0.35">
      <c r="A17" s="13">
        <v>44598</v>
      </c>
      <c r="B17" s="8">
        <v>22.7</v>
      </c>
      <c r="C17" s="8">
        <v>18.2</v>
      </c>
      <c r="D17" s="8">
        <v>28</v>
      </c>
      <c r="E17" s="8">
        <v>0</v>
      </c>
      <c r="F17" s="8" t="s">
        <v>30</v>
      </c>
      <c r="G17" s="8" t="s">
        <v>30</v>
      </c>
      <c r="H17" s="8" t="s">
        <v>30</v>
      </c>
      <c r="I17" s="8" t="s">
        <v>30</v>
      </c>
      <c r="J17" s="9">
        <v>2022</v>
      </c>
      <c r="K17">
        <f t="shared" si="0"/>
        <v>2</v>
      </c>
    </row>
    <row r="18" spans="1:11" x14ac:dyDescent="0.35">
      <c r="A18" s="13">
        <v>44599</v>
      </c>
      <c r="B18" s="8">
        <v>22.6</v>
      </c>
      <c r="C18" s="8">
        <v>17.3</v>
      </c>
      <c r="D18" s="8">
        <v>28.3</v>
      </c>
      <c r="E18" s="8">
        <v>0</v>
      </c>
      <c r="F18" s="8" t="s">
        <v>30</v>
      </c>
      <c r="G18" s="8" t="s">
        <v>30</v>
      </c>
      <c r="H18" s="8" t="s">
        <v>30</v>
      </c>
      <c r="I18" s="8" t="s">
        <v>30</v>
      </c>
      <c r="J18" s="9">
        <v>2022</v>
      </c>
      <c r="K18">
        <f t="shared" si="0"/>
        <v>2</v>
      </c>
    </row>
    <row r="19" spans="1:11" x14ac:dyDescent="0.35">
      <c r="A19" s="13">
        <v>44607</v>
      </c>
      <c r="B19" s="8">
        <v>22.7</v>
      </c>
      <c r="C19" s="8">
        <v>17.100000000000001</v>
      </c>
      <c r="D19" s="8">
        <v>28.4</v>
      </c>
      <c r="E19" s="8">
        <v>0</v>
      </c>
      <c r="F19" s="8" t="s">
        <v>30</v>
      </c>
      <c r="G19" s="8" t="s">
        <v>30</v>
      </c>
      <c r="H19" s="8" t="s">
        <v>30</v>
      </c>
      <c r="I19" s="8" t="s">
        <v>30</v>
      </c>
      <c r="J19" s="9">
        <v>2022</v>
      </c>
      <c r="K19">
        <f t="shared" si="0"/>
        <v>2</v>
      </c>
    </row>
    <row r="20" spans="1:11" x14ac:dyDescent="0.35">
      <c r="A20" s="13">
        <v>44614</v>
      </c>
      <c r="B20" s="8">
        <v>24.7</v>
      </c>
      <c r="C20" s="8">
        <v>17.899999999999999</v>
      </c>
      <c r="D20" s="8">
        <v>31.3</v>
      </c>
      <c r="E20" s="8">
        <v>0</v>
      </c>
      <c r="F20" s="8" t="s">
        <v>30</v>
      </c>
      <c r="G20" s="8" t="s">
        <v>30</v>
      </c>
      <c r="H20" s="8" t="s">
        <v>30</v>
      </c>
      <c r="I20" s="8" t="s">
        <v>30</v>
      </c>
      <c r="J20" s="9">
        <v>2022</v>
      </c>
      <c r="K20">
        <f t="shared" si="0"/>
        <v>2</v>
      </c>
    </row>
    <row r="21" spans="1:11" x14ac:dyDescent="0.35">
      <c r="A21" s="13">
        <v>44622</v>
      </c>
      <c r="B21" s="8">
        <v>23.7</v>
      </c>
      <c r="C21" s="8">
        <v>16.899999999999999</v>
      </c>
      <c r="D21" s="8">
        <v>30.4</v>
      </c>
      <c r="E21" s="8">
        <v>0</v>
      </c>
      <c r="F21" s="8" t="s">
        <v>30</v>
      </c>
      <c r="G21" s="8" t="s">
        <v>30</v>
      </c>
      <c r="H21" s="8" t="s">
        <v>30</v>
      </c>
      <c r="I21" s="8" t="s">
        <v>30</v>
      </c>
      <c r="J21" s="9">
        <v>2022</v>
      </c>
      <c r="K21">
        <f t="shared" si="0"/>
        <v>3</v>
      </c>
    </row>
    <row r="22" spans="1:11" x14ac:dyDescent="0.35">
      <c r="A22" s="13">
        <v>44624</v>
      </c>
      <c r="B22" s="8">
        <v>24</v>
      </c>
      <c r="C22" s="8">
        <v>17.399999999999999</v>
      </c>
      <c r="D22" s="8">
        <v>31.6</v>
      </c>
      <c r="E22" s="8">
        <v>0</v>
      </c>
      <c r="F22" s="8" t="s">
        <v>30</v>
      </c>
      <c r="G22" s="8" t="s">
        <v>30</v>
      </c>
      <c r="H22" s="8" t="s">
        <v>30</v>
      </c>
      <c r="I22" s="8" t="s">
        <v>30</v>
      </c>
      <c r="J22" s="9">
        <v>2022</v>
      </c>
      <c r="K22">
        <f t="shared" si="0"/>
        <v>3</v>
      </c>
    </row>
    <row r="23" spans="1:11" x14ac:dyDescent="0.35">
      <c r="A23" s="13">
        <v>44626</v>
      </c>
      <c r="B23" s="8">
        <v>23.8</v>
      </c>
      <c r="C23" s="8">
        <v>17.2</v>
      </c>
      <c r="D23" s="8">
        <v>30.3</v>
      </c>
      <c r="E23" s="8">
        <v>0</v>
      </c>
      <c r="F23" s="8" t="s">
        <v>30</v>
      </c>
      <c r="G23" s="8" t="s">
        <v>30</v>
      </c>
      <c r="H23" s="8" t="s">
        <v>30</v>
      </c>
      <c r="I23" s="8" t="s">
        <v>30</v>
      </c>
      <c r="J23" s="9">
        <v>2022</v>
      </c>
      <c r="K23">
        <f t="shared" si="0"/>
        <v>3</v>
      </c>
    </row>
    <row r="24" spans="1:11" x14ac:dyDescent="0.35">
      <c r="A24" s="13">
        <v>44628</v>
      </c>
      <c r="B24" s="8">
        <v>24.9</v>
      </c>
      <c r="C24" s="8">
        <v>18</v>
      </c>
      <c r="D24" s="8">
        <v>30.6</v>
      </c>
      <c r="E24" s="8">
        <v>0</v>
      </c>
      <c r="F24" s="8" t="s">
        <v>30</v>
      </c>
      <c r="G24" s="8" t="s">
        <v>30</v>
      </c>
      <c r="H24" s="8" t="s">
        <v>30</v>
      </c>
      <c r="I24" s="8" t="s">
        <v>30</v>
      </c>
      <c r="J24" s="9">
        <v>2022</v>
      </c>
      <c r="K24">
        <f t="shared" si="0"/>
        <v>3</v>
      </c>
    </row>
    <row r="25" spans="1:11" x14ac:dyDescent="0.35">
      <c r="A25" s="13">
        <v>44630</v>
      </c>
      <c r="B25" s="8">
        <v>25.4</v>
      </c>
      <c r="C25" s="8">
        <v>17.100000000000001</v>
      </c>
      <c r="D25" s="8">
        <v>32.799999999999997</v>
      </c>
      <c r="E25" s="8">
        <v>0</v>
      </c>
      <c r="F25" s="8" t="s">
        <v>30</v>
      </c>
      <c r="G25" s="8" t="s">
        <v>30</v>
      </c>
      <c r="H25" s="8" t="s">
        <v>30</v>
      </c>
      <c r="I25" s="8" t="s">
        <v>30</v>
      </c>
      <c r="J25" s="9">
        <v>2022</v>
      </c>
      <c r="K25">
        <f t="shared" si="0"/>
        <v>3</v>
      </c>
    </row>
    <row r="26" spans="1:11" x14ac:dyDescent="0.35">
      <c r="A26" s="13">
        <v>44631</v>
      </c>
      <c r="B26" s="8">
        <v>25.2</v>
      </c>
      <c r="C26" s="8">
        <v>17.2</v>
      </c>
      <c r="D26" s="8">
        <v>32.799999999999997</v>
      </c>
      <c r="E26" s="8">
        <v>0</v>
      </c>
      <c r="F26" s="8" t="s">
        <v>30</v>
      </c>
      <c r="G26" s="8" t="s">
        <v>30</v>
      </c>
      <c r="H26" s="8" t="s">
        <v>30</v>
      </c>
      <c r="I26" s="8" t="s">
        <v>30</v>
      </c>
      <c r="J26" s="9">
        <v>2022</v>
      </c>
      <c r="K26">
        <f t="shared" si="0"/>
        <v>3</v>
      </c>
    </row>
    <row r="27" spans="1:11" x14ac:dyDescent="0.35">
      <c r="A27" s="13">
        <v>44632</v>
      </c>
      <c r="B27" s="8">
        <v>25.5</v>
      </c>
      <c r="C27" s="8">
        <v>18.100000000000001</v>
      </c>
      <c r="D27" s="8">
        <v>33</v>
      </c>
      <c r="E27" s="8">
        <v>0</v>
      </c>
      <c r="F27" s="8" t="s">
        <v>30</v>
      </c>
      <c r="G27" s="8" t="s">
        <v>30</v>
      </c>
      <c r="H27" s="8" t="s">
        <v>30</v>
      </c>
      <c r="I27" s="8" t="s">
        <v>30</v>
      </c>
      <c r="J27" s="9">
        <v>2022</v>
      </c>
      <c r="K27">
        <f t="shared" si="0"/>
        <v>3</v>
      </c>
    </row>
    <row r="28" spans="1:11" x14ac:dyDescent="0.35">
      <c r="A28" s="13">
        <v>44633</v>
      </c>
      <c r="B28" s="8">
        <v>25.6</v>
      </c>
      <c r="C28" s="8">
        <v>18.5</v>
      </c>
      <c r="D28" s="8">
        <v>32.799999999999997</v>
      </c>
      <c r="E28" s="8">
        <v>0</v>
      </c>
      <c r="F28" s="8" t="s">
        <v>30</v>
      </c>
      <c r="G28" s="8" t="s">
        <v>30</v>
      </c>
      <c r="H28" s="8" t="s">
        <v>30</v>
      </c>
      <c r="I28" s="8" t="s">
        <v>30</v>
      </c>
      <c r="J28" s="9">
        <v>2022</v>
      </c>
      <c r="K28">
        <f t="shared" si="0"/>
        <v>3</v>
      </c>
    </row>
    <row r="29" spans="1:11" x14ac:dyDescent="0.35">
      <c r="A29" s="13">
        <v>44634</v>
      </c>
      <c r="B29" s="8">
        <v>26</v>
      </c>
      <c r="C29" s="8">
        <v>18.399999999999999</v>
      </c>
      <c r="D29" s="8">
        <v>32.799999999999997</v>
      </c>
      <c r="E29" s="8">
        <v>0</v>
      </c>
      <c r="F29" s="8" t="s">
        <v>30</v>
      </c>
      <c r="G29" s="8" t="s">
        <v>30</v>
      </c>
      <c r="H29" s="8" t="s">
        <v>30</v>
      </c>
      <c r="I29" s="8" t="s">
        <v>30</v>
      </c>
      <c r="J29" s="9">
        <v>2022</v>
      </c>
      <c r="K29">
        <f t="shared" si="0"/>
        <v>3</v>
      </c>
    </row>
    <row r="30" spans="1:11" x14ac:dyDescent="0.35">
      <c r="A30" s="13">
        <v>44635</v>
      </c>
      <c r="B30" s="8">
        <v>25.7</v>
      </c>
      <c r="C30" s="8">
        <v>17.5</v>
      </c>
      <c r="D30" s="8">
        <v>33.4</v>
      </c>
      <c r="E30" s="8">
        <v>0</v>
      </c>
      <c r="F30" s="8" t="s">
        <v>30</v>
      </c>
      <c r="G30" s="8" t="s">
        <v>30</v>
      </c>
      <c r="H30" s="8" t="s">
        <v>30</v>
      </c>
      <c r="I30" s="8" t="s">
        <v>30</v>
      </c>
      <c r="J30" s="9">
        <v>2022</v>
      </c>
      <c r="K30">
        <f t="shared" si="0"/>
        <v>3</v>
      </c>
    </row>
    <row r="31" spans="1:11" x14ac:dyDescent="0.35">
      <c r="A31" s="13">
        <v>44636</v>
      </c>
      <c r="B31" s="8">
        <v>25.7</v>
      </c>
      <c r="C31" s="8">
        <v>17.600000000000001</v>
      </c>
      <c r="D31" s="8">
        <v>34.200000000000003</v>
      </c>
      <c r="E31" s="8">
        <v>0</v>
      </c>
      <c r="F31" s="8" t="s">
        <v>30</v>
      </c>
      <c r="G31" s="8" t="s">
        <v>30</v>
      </c>
      <c r="H31" s="8" t="s">
        <v>30</v>
      </c>
      <c r="I31" s="8" t="s">
        <v>30</v>
      </c>
      <c r="J31" s="9">
        <v>2022</v>
      </c>
      <c r="K31">
        <f t="shared" si="0"/>
        <v>3</v>
      </c>
    </row>
    <row r="32" spans="1:11" x14ac:dyDescent="0.35">
      <c r="A32" s="13">
        <v>44637</v>
      </c>
      <c r="B32" s="8">
        <v>26.6</v>
      </c>
      <c r="C32" s="8">
        <v>19.100000000000001</v>
      </c>
      <c r="D32" s="8">
        <v>34.200000000000003</v>
      </c>
      <c r="E32" s="8">
        <v>0</v>
      </c>
      <c r="F32" s="8" t="s">
        <v>30</v>
      </c>
      <c r="G32" s="8" t="s">
        <v>30</v>
      </c>
      <c r="H32" s="8" t="s">
        <v>30</v>
      </c>
      <c r="I32" s="8" t="s">
        <v>30</v>
      </c>
      <c r="J32" s="9">
        <v>2022</v>
      </c>
      <c r="K32">
        <f t="shared" si="0"/>
        <v>3</v>
      </c>
    </row>
    <row r="33" spans="1:11" x14ac:dyDescent="0.35">
      <c r="A33" s="13">
        <v>44638</v>
      </c>
      <c r="B33" s="8">
        <v>26.6</v>
      </c>
      <c r="C33" s="8">
        <v>18.7</v>
      </c>
      <c r="D33" s="8">
        <v>34</v>
      </c>
      <c r="E33" s="8">
        <v>0</v>
      </c>
      <c r="F33" s="8" t="s">
        <v>30</v>
      </c>
      <c r="G33" s="8" t="s">
        <v>30</v>
      </c>
      <c r="H33" s="8" t="s">
        <v>30</v>
      </c>
      <c r="I33" s="8" t="s">
        <v>30</v>
      </c>
      <c r="J33" s="9">
        <v>2022</v>
      </c>
      <c r="K33">
        <f t="shared" si="0"/>
        <v>3</v>
      </c>
    </row>
    <row r="34" spans="1:11" x14ac:dyDescent="0.35">
      <c r="A34" s="13">
        <v>44639</v>
      </c>
      <c r="B34" s="8">
        <v>26.2</v>
      </c>
      <c r="C34" s="8">
        <v>18.899999999999999</v>
      </c>
      <c r="D34" s="8">
        <v>33.4</v>
      </c>
      <c r="E34" s="8">
        <v>0.1</v>
      </c>
      <c r="F34" s="8" t="s">
        <v>30</v>
      </c>
      <c r="G34" s="8" t="s">
        <v>30</v>
      </c>
      <c r="H34" s="8" t="s">
        <v>30</v>
      </c>
      <c r="I34" s="8" t="s">
        <v>30</v>
      </c>
      <c r="J34" s="9">
        <v>2022</v>
      </c>
      <c r="K34">
        <f t="shared" si="0"/>
        <v>3</v>
      </c>
    </row>
    <row r="35" spans="1:11" x14ac:dyDescent="0.35">
      <c r="A35" s="13">
        <v>44640</v>
      </c>
      <c r="B35" s="8">
        <v>24.9</v>
      </c>
      <c r="C35" s="8">
        <v>22</v>
      </c>
      <c r="D35" s="8">
        <v>34.1</v>
      </c>
      <c r="E35" s="8">
        <v>0</v>
      </c>
      <c r="F35" s="8" t="s">
        <v>30</v>
      </c>
      <c r="G35" s="8" t="s">
        <v>30</v>
      </c>
      <c r="H35" s="8" t="s">
        <v>30</v>
      </c>
      <c r="I35" s="8" t="s">
        <v>30</v>
      </c>
      <c r="J35" s="9">
        <v>2022</v>
      </c>
      <c r="K35">
        <f t="shared" si="0"/>
        <v>3</v>
      </c>
    </row>
    <row r="36" spans="1:11" x14ac:dyDescent="0.35">
      <c r="A36" s="13">
        <v>44641</v>
      </c>
      <c r="B36" s="8">
        <v>24.7</v>
      </c>
      <c r="C36" s="8">
        <v>21.3</v>
      </c>
      <c r="D36" s="8">
        <v>33.200000000000003</v>
      </c>
      <c r="E36" s="8">
        <v>6.1</v>
      </c>
      <c r="F36" s="8" t="s">
        <v>30</v>
      </c>
      <c r="G36" s="8" t="s">
        <v>30</v>
      </c>
      <c r="H36" s="8" t="s">
        <v>30</v>
      </c>
      <c r="I36" s="8" t="s">
        <v>30</v>
      </c>
      <c r="J36" s="9">
        <v>2022</v>
      </c>
      <c r="K36">
        <f t="shared" si="0"/>
        <v>3</v>
      </c>
    </row>
    <row r="37" spans="1:11" x14ac:dyDescent="0.35">
      <c r="A37" s="13">
        <v>44642</v>
      </c>
      <c r="B37" s="8">
        <v>25.6</v>
      </c>
      <c r="C37" s="8">
        <v>21.8</v>
      </c>
      <c r="D37" s="8">
        <v>33.5</v>
      </c>
      <c r="E37" s="8">
        <v>7.9</v>
      </c>
      <c r="F37" s="8" t="s">
        <v>30</v>
      </c>
      <c r="G37" s="8" t="s">
        <v>30</v>
      </c>
      <c r="H37" s="8" t="s">
        <v>30</v>
      </c>
      <c r="I37" s="8" t="s">
        <v>30</v>
      </c>
      <c r="J37" s="9">
        <v>2022</v>
      </c>
      <c r="K37">
        <f t="shared" si="0"/>
        <v>3</v>
      </c>
    </row>
    <row r="38" spans="1:11" x14ac:dyDescent="0.35">
      <c r="A38" s="13">
        <v>44643</v>
      </c>
      <c r="B38" s="8">
        <v>27</v>
      </c>
      <c r="C38" s="8">
        <v>21.4</v>
      </c>
      <c r="D38" s="8">
        <v>32.799999999999997</v>
      </c>
      <c r="E38" s="8">
        <v>2</v>
      </c>
      <c r="F38" s="8" t="s">
        <v>30</v>
      </c>
      <c r="G38" s="8" t="s">
        <v>30</v>
      </c>
      <c r="H38" s="8" t="s">
        <v>30</v>
      </c>
      <c r="I38" s="8" t="s">
        <v>30</v>
      </c>
      <c r="J38" s="9">
        <v>2022</v>
      </c>
      <c r="K38">
        <f t="shared" si="0"/>
        <v>3</v>
      </c>
    </row>
    <row r="39" spans="1:11" x14ac:dyDescent="0.35">
      <c r="A39" s="13">
        <v>44645</v>
      </c>
      <c r="B39" s="8">
        <v>26.4</v>
      </c>
      <c r="C39" s="8">
        <v>19.399999999999999</v>
      </c>
      <c r="D39" s="8">
        <v>32.299999999999997</v>
      </c>
      <c r="E39" s="8">
        <v>0.2</v>
      </c>
      <c r="F39" s="8" t="s">
        <v>30</v>
      </c>
      <c r="G39" s="8" t="s">
        <v>30</v>
      </c>
      <c r="H39" s="8" t="s">
        <v>30</v>
      </c>
      <c r="I39" s="8" t="s">
        <v>30</v>
      </c>
      <c r="J39" s="9">
        <v>2022</v>
      </c>
      <c r="K39">
        <f t="shared" si="0"/>
        <v>3</v>
      </c>
    </row>
    <row r="40" spans="1:11" x14ac:dyDescent="0.35">
      <c r="A40" s="13">
        <v>44646</v>
      </c>
      <c r="B40" s="8">
        <v>26.7</v>
      </c>
      <c r="C40" s="8">
        <v>19.899999999999999</v>
      </c>
      <c r="D40" s="8">
        <v>32.9</v>
      </c>
      <c r="E40" s="8">
        <v>0</v>
      </c>
      <c r="F40" s="8" t="s">
        <v>30</v>
      </c>
      <c r="G40" s="8" t="s">
        <v>30</v>
      </c>
      <c r="H40" s="8" t="s">
        <v>30</v>
      </c>
      <c r="I40" s="8" t="s">
        <v>30</v>
      </c>
      <c r="J40" s="9">
        <v>2022</v>
      </c>
      <c r="K40">
        <f t="shared" si="0"/>
        <v>3</v>
      </c>
    </row>
    <row r="41" spans="1:11" x14ac:dyDescent="0.35">
      <c r="A41" s="13">
        <v>44647</v>
      </c>
      <c r="B41" s="8">
        <v>27.1</v>
      </c>
      <c r="C41" s="8">
        <v>20.399999999999999</v>
      </c>
      <c r="D41" s="8">
        <v>33.799999999999997</v>
      </c>
      <c r="E41" s="8">
        <v>0</v>
      </c>
      <c r="F41" s="8" t="s">
        <v>30</v>
      </c>
      <c r="G41" s="8" t="s">
        <v>30</v>
      </c>
      <c r="H41" s="8" t="s">
        <v>30</v>
      </c>
      <c r="I41" s="8" t="s">
        <v>30</v>
      </c>
      <c r="J41" s="9">
        <v>2022</v>
      </c>
      <c r="K41">
        <f t="shared" si="0"/>
        <v>3</v>
      </c>
    </row>
    <row r="42" spans="1:11" x14ac:dyDescent="0.35">
      <c r="A42" s="13">
        <v>44648</v>
      </c>
      <c r="B42" s="8">
        <v>27.3</v>
      </c>
      <c r="C42" s="8">
        <v>20.100000000000001</v>
      </c>
      <c r="D42" s="8">
        <v>33.799999999999997</v>
      </c>
      <c r="E42" s="8">
        <v>0</v>
      </c>
      <c r="F42" s="8" t="s">
        <v>30</v>
      </c>
      <c r="G42" s="8" t="s">
        <v>30</v>
      </c>
      <c r="H42" s="8" t="s">
        <v>30</v>
      </c>
      <c r="I42" s="8" t="s">
        <v>30</v>
      </c>
      <c r="J42" s="9">
        <v>2022</v>
      </c>
      <c r="K42">
        <f t="shared" si="0"/>
        <v>3</v>
      </c>
    </row>
    <row r="43" spans="1:11" x14ac:dyDescent="0.35">
      <c r="A43" s="13">
        <v>44649</v>
      </c>
      <c r="B43" s="8">
        <v>27.5</v>
      </c>
      <c r="C43" s="8">
        <v>20.399999999999999</v>
      </c>
      <c r="D43" s="8">
        <v>34.200000000000003</v>
      </c>
      <c r="E43" s="8">
        <v>0.1</v>
      </c>
      <c r="F43" s="8" t="s">
        <v>30</v>
      </c>
      <c r="G43" s="8" t="s">
        <v>30</v>
      </c>
      <c r="H43" s="8" t="s">
        <v>30</v>
      </c>
      <c r="I43" s="8" t="s">
        <v>30</v>
      </c>
      <c r="J43" s="9">
        <v>2022</v>
      </c>
      <c r="K43">
        <f t="shared" si="0"/>
        <v>3</v>
      </c>
    </row>
    <row r="44" spans="1:11" x14ac:dyDescent="0.35">
      <c r="A44" s="13">
        <v>44650</v>
      </c>
      <c r="B44" s="8">
        <v>27.6</v>
      </c>
      <c r="C44" s="8">
        <v>21.8</v>
      </c>
      <c r="D44" s="8">
        <v>33.799999999999997</v>
      </c>
      <c r="E44" s="8">
        <v>0.1</v>
      </c>
      <c r="F44" s="8" t="s">
        <v>30</v>
      </c>
      <c r="G44" s="8" t="s">
        <v>30</v>
      </c>
      <c r="H44" s="8" t="s">
        <v>30</v>
      </c>
      <c r="I44" s="8" t="s">
        <v>30</v>
      </c>
      <c r="J44" s="9">
        <v>2022</v>
      </c>
      <c r="K44">
        <f t="shared" si="0"/>
        <v>3</v>
      </c>
    </row>
    <row r="45" spans="1:11" x14ac:dyDescent="0.35">
      <c r="A45" s="13">
        <v>44651</v>
      </c>
      <c r="B45" s="8">
        <v>27.5</v>
      </c>
      <c r="C45" s="8">
        <v>20.9</v>
      </c>
      <c r="D45" s="8">
        <v>34</v>
      </c>
      <c r="E45" s="8">
        <v>0</v>
      </c>
      <c r="F45" s="8" t="s">
        <v>30</v>
      </c>
      <c r="G45" s="8" t="s">
        <v>30</v>
      </c>
      <c r="H45" s="8" t="s">
        <v>30</v>
      </c>
      <c r="I45" s="8" t="s">
        <v>30</v>
      </c>
      <c r="J45" s="9">
        <v>2022</v>
      </c>
      <c r="K45">
        <f t="shared" si="0"/>
        <v>3</v>
      </c>
    </row>
    <row r="46" spans="1:11" x14ac:dyDescent="0.35">
      <c r="A46" s="13">
        <v>44652</v>
      </c>
      <c r="B46" s="8">
        <v>27.2</v>
      </c>
      <c r="C46" s="8">
        <v>21.2</v>
      </c>
      <c r="D46" s="8">
        <v>33</v>
      </c>
      <c r="E46" s="8">
        <v>0</v>
      </c>
      <c r="F46" s="8" t="s">
        <v>30</v>
      </c>
      <c r="G46" s="8" t="s">
        <v>30</v>
      </c>
      <c r="H46" s="8" t="s">
        <v>30</v>
      </c>
      <c r="I46" s="8" t="s">
        <v>30</v>
      </c>
      <c r="J46" s="9">
        <v>2022</v>
      </c>
      <c r="K46">
        <f t="shared" si="0"/>
        <v>4</v>
      </c>
    </row>
    <row r="47" spans="1:11" x14ac:dyDescent="0.35">
      <c r="A47" s="13">
        <v>44653</v>
      </c>
      <c r="B47" s="8">
        <v>26.8</v>
      </c>
      <c r="C47" s="8">
        <v>20</v>
      </c>
      <c r="D47" s="8">
        <v>33</v>
      </c>
      <c r="E47" s="8">
        <v>0</v>
      </c>
      <c r="F47" s="8" t="s">
        <v>30</v>
      </c>
      <c r="G47" s="8" t="s">
        <v>30</v>
      </c>
      <c r="H47" s="8" t="s">
        <v>30</v>
      </c>
      <c r="I47" s="8" t="s">
        <v>30</v>
      </c>
      <c r="J47" s="9">
        <v>2022</v>
      </c>
      <c r="K47">
        <f t="shared" si="0"/>
        <v>4</v>
      </c>
    </row>
    <row r="48" spans="1:11" x14ac:dyDescent="0.35">
      <c r="A48" s="13">
        <v>44654</v>
      </c>
      <c r="B48" s="8">
        <v>26.6</v>
      </c>
      <c r="C48" s="8">
        <v>18.600000000000001</v>
      </c>
      <c r="D48" s="8">
        <v>33.6</v>
      </c>
      <c r="E48" s="8">
        <v>0</v>
      </c>
      <c r="F48" s="8" t="s">
        <v>30</v>
      </c>
      <c r="G48" s="8" t="s">
        <v>30</v>
      </c>
      <c r="H48" s="8" t="s">
        <v>30</v>
      </c>
      <c r="I48" s="8" t="s">
        <v>30</v>
      </c>
      <c r="J48" s="9">
        <v>2022</v>
      </c>
      <c r="K48">
        <f t="shared" si="0"/>
        <v>4</v>
      </c>
    </row>
    <row r="49" spans="1:11" x14ac:dyDescent="0.35">
      <c r="A49" s="13">
        <v>44655</v>
      </c>
      <c r="B49" s="8">
        <v>26.5</v>
      </c>
      <c r="C49" s="8">
        <v>19</v>
      </c>
      <c r="D49" s="8">
        <v>33.799999999999997</v>
      </c>
      <c r="E49" s="8">
        <v>0</v>
      </c>
      <c r="F49" s="8" t="s">
        <v>30</v>
      </c>
      <c r="G49" s="8" t="s">
        <v>30</v>
      </c>
      <c r="H49" s="8" t="s">
        <v>30</v>
      </c>
      <c r="I49" s="8" t="s">
        <v>30</v>
      </c>
      <c r="J49" s="9">
        <v>2022</v>
      </c>
      <c r="K49">
        <f t="shared" si="0"/>
        <v>4</v>
      </c>
    </row>
    <row r="50" spans="1:11" x14ac:dyDescent="0.35">
      <c r="A50" s="13">
        <v>44656</v>
      </c>
      <c r="B50" s="8">
        <v>26.3</v>
      </c>
      <c r="C50" s="8">
        <v>19</v>
      </c>
      <c r="D50" s="8">
        <v>33.200000000000003</v>
      </c>
      <c r="E50" s="8">
        <v>0</v>
      </c>
      <c r="F50" s="8" t="s">
        <v>30</v>
      </c>
      <c r="G50" s="8" t="s">
        <v>30</v>
      </c>
      <c r="H50" s="8" t="s">
        <v>30</v>
      </c>
      <c r="I50" s="8" t="s">
        <v>30</v>
      </c>
      <c r="J50" s="9">
        <v>2022</v>
      </c>
      <c r="K50">
        <f t="shared" si="0"/>
        <v>4</v>
      </c>
    </row>
    <row r="51" spans="1:11" x14ac:dyDescent="0.35">
      <c r="A51" s="13">
        <v>44657</v>
      </c>
      <c r="B51" s="8">
        <v>26.7</v>
      </c>
      <c r="C51" s="8">
        <v>18.399999999999999</v>
      </c>
      <c r="D51" s="8">
        <v>35</v>
      </c>
      <c r="E51" s="8">
        <v>0</v>
      </c>
      <c r="F51" s="8" t="s">
        <v>30</v>
      </c>
      <c r="G51" s="8" t="s">
        <v>30</v>
      </c>
      <c r="H51" s="8" t="s">
        <v>30</v>
      </c>
      <c r="I51" s="8" t="s">
        <v>30</v>
      </c>
      <c r="J51" s="9">
        <v>2022</v>
      </c>
      <c r="K51">
        <f t="shared" si="0"/>
        <v>4</v>
      </c>
    </row>
    <row r="52" spans="1:11" x14ac:dyDescent="0.35">
      <c r="A52" s="13">
        <v>44658</v>
      </c>
      <c r="B52" s="8">
        <v>27.1</v>
      </c>
      <c r="C52" s="8">
        <v>19.100000000000001</v>
      </c>
      <c r="D52" s="8">
        <v>34.799999999999997</v>
      </c>
      <c r="E52" s="8">
        <v>0</v>
      </c>
      <c r="F52" s="8" t="s">
        <v>30</v>
      </c>
      <c r="G52" s="8" t="s">
        <v>30</v>
      </c>
      <c r="H52" s="8" t="s">
        <v>30</v>
      </c>
      <c r="I52" s="8" t="s">
        <v>30</v>
      </c>
      <c r="J52" s="9">
        <v>2022</v>
      </c>
      <c r="K52">
        <f t="shared" si="0"/>
        <v>4</v>
      </c>
    </row>
    <row r="53" spans="1:11" x14ac:dyDescent="0.35">
      <c r="A53" s="13">
        <v>44659</v>
      </c>
      <c r="B53" s="8">
        <v>26.7</v>
      </c>
      <c r="C53" s="8">
        <v>19.3</v>
      </c>
      <c r="D53" s="8">
        <v>33.200000000000003</v>
      </c>
      <c r="E53" s="8">
        <v>0</v>
      </c>
      <c r="F53" s="8" t="s">
        <v>30</v>
      </c>
      <c r="G53" s="8" t="s">
        <v>30</v>
      </c>
      <c r="H53" s="8" t="s">
        <v>30</v>
      </c>
      <c r="I53" s="8" t="s">
        <v>30</v>
      </c>
      <c r="J53" s="9">
        <v>2022</v>
      </c>
      <c r="K53">
        <f t="shared" si="0"/>
        <v>4</v>
      </c>
    </row>
    <row r="54" spans="1:11" x14ac:dyDescent="0.35">
      <c r="A54" s="13">
        <v>44660</v>
      </c>
      <c r="B54" s="8">
        <v>27.1</v>
      </c>
      <c r="C54" s="8">
        <v>19.899999999999999</v>
      </c>
      <c r="D54" s="8">
        <v>33.6</v>
      </c>
      <c r="E54" s="8">
        <v>0</v>
      </c>
      <c r="F54" s="8" t="s">
        <v>30</v>
      </c>
      <c r="G54" s="8" t="s">
        <v>30</v>
      </c>
      <c r="H54" s="8" t="s">
        <v>30</v>
      </c>
      <c r="I54" s="8" t="s">
        <v>30</v>
      </c>
      <c r="J54" s="9">
        <v>2022</v>
      </c>
      <c r="K54">
        <f t="shared" si="0"/>
        <v>4</v>
      </c>
    </row>
    <row r="55" spans="1:11" x14ac:dyDescent="0.35">
      <c r="A55" s="13">
        <v>44661</v>
      </c>
      <c r="B55" s="8">
        <v>27</v>
      </c>
      <c r="C55" s="8">
        <v>20.3</v>
      </c>
      <c r="D55" s="8">
        <v>34</v>
      </c>
      <c r="E55" s="8">
        <v>0</v>
      </c>
      <c r="F55" s="8" t="s">
        <v>30</v>
      </c>
      <c r="G55" s="8" t="s">
        <v>30</v>
      </c>
      <c r="H55" s="8" t="s">
        <v>30</v>
      </c>
      <c r="I55" s="8" t="s">
        <v>30</v>
      </c>
      <c r="J55" s="9">
        <v>2022</v>
      </c>
      <c r="K55">
        <f t="shared" si="0"/>
        <v>4</v>
      </c>
    </row>
    <row r="56" spans="1:11" x14ac:dyDescent="0.35">
      <c r="A56" s="13">
        <v>44662</v>
      </c>
      <c r="B56" s="8">
        <v>27.2</v>
      </c>
      <c r="C56" s="8">
        <v>20.100000000000001</v>
      </c>
      <c r="D56" s="8">
        <v>34.200000000000003</v>
      </c>
      <c r="E56" s="8">
        <v>0</v>
      </c>
      <c r="F56" s="8" t="s">
        <v>30</v>
      </c>
      <c r="G56" s="8" t="s">
        <v>30</v>
      </c>
      <c r="H56" s="8" t="s">
        <v>30</v>
      </c>
      <c r="I56" s="8" t="s">
        <v>30</v>
      </c>
      <c r="J56" s="9">
        <v>2022</v>
      </c>
      <c r="K56">
        <f t="shared" si="0"/>
        <v>4</v>
      </c>
    </row>
    <row r="57" spans="1:11" x14ac:dyDescent="0.35">
      <c r="A57" s="13">
        <v>44663</v>
      </c>
      <c r="B57" s="8">
        <v>26.7</v>
      </c>
      <c r="C57" s="8">
        <v>20.5</v>
      </c>
      <c r="D57" s="8">
        <v>34</v>
      </c>
      <c r="E57" s="8">
        <v>0</v>
      </c>
      <c r="F57" s="8" t="s">
        <v>30</v>
      </c>
      <c r="G57" s="8" t="s">
        <v>30</v>
      </c>
      <c r="H57" s="8" t="s">
        <v>30</v>
      </c>
      <c r="I57" s="8" t="s">
        <v>30</v>
      </c>
      <c r="J57" s="9">
        <v>2022</v>
      </c>
      <c r="K57">
        <f t="shared" si="0"/>
        <v>4</v>
      </c>
    </row>
    <row r="58" spans="1:11" x14ac:dyDescent="0.35">
      <c r="A58" s="13">
        <v>44664</v>
      </c>
      <c r="B58" s="8">
        <v>25</v>
      </c>
      <c r="C58" s="8">
        <v>21.5</v>
      </c>
      <c r="D58" s="8">
        <v>32.799999999999997</v>
      </c>
      <c r="E58" s="8">
        <v>3.5</v>
      </c>
      <c r="F58" s="8" t="s">
        <v>30</v>
      </c>
      <c r="G58" s="8" t="s">
        <v>30</v>
      </c>
      <c r="H58" s="8" t="s">
        <v>30</v>
      </c>
      <c r="I58" s="8" t="s">
        <v>30</v>
      </c>
      <c r="J58" s="9">
        <v>2022</v>
      </c>
      <c r="K58">
        <f t="shared" si="0"/>
        <v>4</v>
      </c>
    </row>
    <row r="59" spans="1:11" x14ac:dyDescent="0.35">
      <c r="A59" s="13">
        <v>44667</v>
      </c>
      <c r="B59" s="8">
        <v>26.3</v>
      </c>
      <c r="C59" s="8">
        <v>19.7</v>
      </c>
      <c r="D59" s="8">
        <v>34.1</v>
      </c>
      <c r="E59" s="8">
        <v>0</v>
      </c>
      <c r="F59" s="8" t="s">
        <v>30</v>
      </c>
      <c r="G59" s="8" t="s">
        <v>30</v>
      </c>
      <c r="H59" s="8" t="s">
        <v>30</v>
      </c>
      <c r="I59" s="8" t="s">
        <v>30</v>
      </c>
      <c r="J59" s="9">
        <v>2022</v>
      </c>
      <c r="K59">
        <f t="shared" si="0"/>
        <v>4</v>
      </c>
    </row>
    <row r="60" spans="1:11" x14ac:dyDescent="0.35">
      <c r="A60" s="13">
        <v>44669</v>
      </c>
      <c r="B60" s="8">
        <v>23.8</v>
      </c>
      <c r="C60" s="8">
        <v>19.100000000000001</v>
      </c>
      <c r="D60" s="8">
        <v>32.1</v>
      </c>
      <c r="E60" s="8">
        <v>1</v>
      </c>
      <c r="F60" s="8" t="s">
        <v>30</v>
      </c>
      <c r="G60" s="8" t="s">
        <v>30</v>
      </c>
      <c r="H60" s="8" t="s">
        <v>30</v>
      </c>
      <c r="I60" s="8" t="s">
        <v>30</v>
      </c>
      <c r="J60" s="9">
        <v>2022</v>
      </c>
      <c r="K60">
        <f t="shared" si="0"/>
        <v>4</v>
      </c>
    </row>
    <row r="61" spans="1:11" x14ac:dyDescent="0.35">
      <c r="A61" s="13">
        <v>44671</v>
      </c>
      <c r="B61" s="8">
        <v>27.9</v>
      </c>
      <c r="C61" s="8">
        <v>21.8</v>
      </c>
      <c r="D61" s="8">
        <v>34.1</v>
      </c>
      <c r="E61" s="8">
        <v>0</v>
      </c>
      <c r="F61" s="8" t="s">
        <v>30</v>
      </c>
      <c r="G61" s="8" t="s">
        <v>30</v>
      </c>
      <c r="H61" s="8" t="s">
        <v>30</v>
      </c>
      <c r="I61" s="8" t="s">
        <v>30</v>
      </c>
      <c r="J61" s="9">
        <v>2022</v>
      </c>
      <c r="K61">
        <f t="shared" si="0"/>
        <v>4</v>
      </c>
    </row>
    <row r="62" spans="1:11" x14ac:dyDescent="0.35">
      <c r="A62" s="13">
        <v>44672</v>
      </c>
      <c r="B62" s="8">
        <v>27.3</v>
      </c>
      <c r="C62" s="8">
        <v>20.8</v>
      </c>
      <c r="D62" s="8">
        <v>33.4</v>
      </c>
      <c r="E62" s="8">
        <v>0</v>
      </c>
      <c r="F62" s="8" t="s">
        <v>30</v>
      </c>
      <c r="G62" s="8" t="s">
        <v>30</v>
      </c>
      <c r="H62" s="8" t="s">
        <v>30</v>
      </c>
      <c r="I62" s="8" t="s">
        <v>30</v>
      </c>
      <c r="J62" s="9">
        <v>2022</v>
      </c>
      <c r="K62">
        <f t="shared" si="0"/>
        <v>4</v>
      </c>
    </row>
    <row r="63" spans="1:11" x14ac:dyDescent="0.35">
      <c r="A63" s="13">
        <v>44673</v>
      </c>
      <c r="B63" s="8">
        <v>26.7</v>
      </c>
      <c r="C63" s="8">
        <v>20.3</v>
      </c>
      <c r="D63" s="8">
        <v>33.200000000000003</v>
      </c>
      <c r="E63" s="8">
        <v>0</v>
      </c>
      <c r="F63" s="8" t="s">
        <v>30</v>
      </c>
      <c r="G63" s="8" t="s">
        <v>30</v>
      </c>
      <c r="H63" s="8" t="s">
        <v>30</v>
      </c>
      <c r="I63" s="8" t="s">
        <v>30</v>
      </c>
      <c r="J63" s="9">
        <v>2022</v>
      </c>
      <c r="K63">
        <f t="shared" si="0"/>
        <v>4</v>
      </c>
    </row>
    <row r="64" spans="1:11" x14ac:dyDescent="0.35">
      <c r="A64" s="13">
        <v>44674</v>
      </c>
      <c r="B64" s="8">
        <v>26.3</v>
      </c>
      <c r="C64" s="8">
        <v>20.5</v>
      </c>
      <c r="D64" s="8">
        <v>32.200000000000003</v>
      </c>
      <c r="E64" s="8">
        <v>0</v>
      </c>
      <c r="F64" s="8" t="s">
        <v>30</v>
      </c>
      <c r="G64" s="8" t="s">
        <v>30</v>
      </c>
      <c r="H64" s="8" t="s">
        <v>30</v>
      </c>
      <c r="I64" s="8" t="s">
        <v>30</v>
      </c>
      <c r="J64" s="9">
        <v>2022</v>
      </c>
      <c r="K64">
        <f t="shared" si="0"/>
        <v>4</v>
      </c>
    </row>
    <row r="65" spans="1:11" x14ac:dyDescent="0.35">
      <c r="A65" s="13">
        <v>44675</v>
      </c>
      <c r="B65" s="8">
        <v>27</v>
      </c>
      <c r="C65" s="8">
        <v>20.399999999999999</v>
      </c>
      <c r="D65" s="8">
        <v>33.700000000000003</v>
      </c>
      <c r="E65" s="8">
        <v>0</v>
      </c>
      <c r="F65" s="8" t="s">
        <v>30</v>
      </c>
      <c r="G65" s="8" t="s">
        <v>30</v>
      </c>
      <c r="H65" s="8" t="s">
        <v>30</v>
      </c>
      <c r="I65" s="8" t="s">
        <v>30</v>
      </c>
      <c r="J65" s="9">
        <v>2022</v>
      </c>
      <c r="K65">
        <f t="shared" si="0"/>
        <v>4</v>
      </c>
    </row>
    <row r="66" spans="1:11" x14ac:dyDescent="0.35">
      <c r="A66" s="13">
        <v>44676</v>
      </c>
      <c r="B66" s="8">
        <v>27.8</v>
      </c>
      <c r="C66" s="8">
        <v>20.8</v>
      </c>
      <c r="D66" s="8">
        <v>34.1</v>
      </c>
      <c r="E66" s="8">
        <v>0</v>
      </c>
      <c r="F66" s="8" t="s">
        <v>30</v>
      </c>
      <c r="G66" s="8" t="s">
        <v>30</v>
      </c>
      <c r="H66" s="8" t="s">
        <v>30</v>
      </c>
      <c r="I66" s="8" t="s">
        <v>30</v>
      </c>
      <c r="J66" s="9">
        <v>2022</v>
      </c>
      <c r="K66">
        <f t="shared" si="0"/>
        <v>4</v>
      </c>
    </row>
    <row r="67" spans="1:11" x14ac:dyDescent="0.35">
      <c r="A67" s="13">
        <v>44677</v>
      </c>
      <c r="B67" s="8">
        <v>27.9</v>
      </c>
      <c r="C67" s="8">
        <v>20.6</v>
      </c>
      <c r="D67" s="8">
        <v>34.5</v>
      </c>
      <c r="E67" s="8">
        <v>0</v>
      </c>
      <c r="F67" s="8" t="s">
        <v>30</v>
      </c>
      <c r="G67" s="8" t="s">
        <v>30</v>
      </c>
      <c r="H67" s="8" t="s">
        <v>30</v>
      </c>
      <c r="I67" s="8" t="s">
        <v>30</v>
      </c>
      <c r="J67" s="9">
        <v>2022</v>
      </c>
      <c r="K67">
        <f t="shared" si="0"/>
        <v>4</v>
      </c>
    </row>
    <row r="68" spans="1:11" x14ac:dyDescent="0.35">
      <c r="A68" s="13">
        <v>44679</v>
      </c>
      <c r="B68" s="8">
        <v>28.2</v>
      </c>
      <c r="C68" s="8">
        <v>21.7</v>
      </c>
      <c r="D68" s="8">
        <v>34.799999999999997</v>
      </c>
      <c r="E68" s="8">
        <v>0</v>
      </c>
      <c r="F68" s="8" t="s">
        <v>30</v>
      </c>
      <c r="G68" s="8" t="s">
        <v>30</v>
      </c>
      <c r="H68" s="8" t="s">
        <v>30</v>
      </c>
      <c r="I68" s="8" t="s">
        <v>30</v>
      </c>
      <c r="J68" s="9">
        <v>2022</v>
      </c>
      <c r="K68">
        <f t="shared" ref="K68:K131" si="1">MONTH(A68)</f>
        <v>4</v>
      </c>
    </row>
    <row r="69" spans="1:11" x14ac:dyDescent="0.35">
      <c r="A69" s="13">
        <v>44682</v>
      </c>
      <c r="B69" s="8">
        <v>24.9</v>
      </c>
      <c r="C69" s="8">
        <v>20.399999999999999</v>
      </c>
      <c r="D69" s="8">
        <v>34.799999999999997</v>
      </c>
      <c r="E69" s="8">
        <v>0</v>
      </c>
      <c r="F69" s="8" t="s">
        <v>30</v>
      </c>
      <c r="G69" s="8" t="s">
        <v>30</v>
      </c>
      <c r="H69" s="8" t="s">
        <v>30</v>
      </c>
      <c r="I69" s="8" t="s">
        <v>30</v>
      </c>
      <c r="J69" s="9">
        <v>2022</v>
      </c>
      <c r="K69">
        <f t="shared" si="1"/>
        <v>5</v>
      </c>
    </row>
    <row r="70" spans="1:11" x14ac:dyDescent="0.35">
      <c r="A70" s="13">
        <v>44684</v>
      </c>
      <c r="B70" s="8">
        <v>26.3</v>
      </c>
      <c r="C70" s="8">
        <v>21.8</v>
      </c>
      <c r="D70" s="8">
        <v>34</v>
      </c>
      <c r="E70" s="8">
        <v>0</v>
      </c>
      <c r="F70" s="8" t="s">
        <v>30</v>
      </c>
      <c r="G70" s="8" t="s">
        <v>30</v>
      </c>
      <c r="H70" s="8" t="s">
        <v>30</v>
      </c>
      <c r="I70" s="8" t="s">
        <v>30</v>
      </c>
      <c r="J70" s="9">
        <v>2022</v>
      </c>
      <c r="K70">
        <f t="shared" si="1"/>
        <v>5</v>
      </c>
    </row>
    <row r="71" spans="1:11" x14ac:dyDescent="0.35">
      <c r="A71" s="13">
        <v>44685</v>
      </c>
      <c r="B71" s="8">
        <v>25.5</v>
      </c>
      <c r="C71" s="8">
        <v>20.9</v>
      </c>
      <c r="D71" s="8">
        <v>34.200000000000003</v>
      </c>
      <c r="E71" s="8">
        <v>8.9</v>
      </c>
      <c r="F71" s="8" t="s">
        <v>30</v>
      </c>
      <c r="G71" s="8" t="s">
        <v>30</v>
      </c>
      <c r="H71" s="8" t="s">
        <v>30</v>
      </c>
      <c r="I71" s="8" t="s">
        <v>30</v>
      </c>
      <c r="J71" s="9">
        <v>2022</v>
      </c>
      <c r="K71">
        <f t="shared" si="1"/>
        <v>5</v>
      </c>
    </row>
    <row r="72" spans="1:11" x14ac:dyDescent="0.35">
      <c r="A72" s="13">
        <v>44686</v>
      </c>
      <c r="B72" s="8">
        <v>23.9</v>
      </c>
      <c r="C72" s="8">
        <v>20.399999999999999</v>
      </c>
      <c r="D72" s="8">
        <v>34.200000000000003</v>
      </c>
      <c r="E72" s="8">
        <v>4.3</v>
      </c>
      <c r="F72" s="8" t="s">
        <v>30</v>
      </c>
      <c r="G72" s="8" t="s">
        <v>30</v>
      </c>
      <c r="H72" s="8" t="s">
        <v>30</v>
      </c>
      <c r="I72" s="8" t="s">
        <v>30</v>
      </c>
      <c r="J72" s="9">
        <v>2022</v>
      </c>
      <c r="K72">
        <f t="shared" si="1"/>
        <v>5</v>
      </c>
    </row>
    <row r="73" spans="1:11" x14ac:dyDescent="0.35">
      <c r="A73" s="13">
        <v>44687</v>
      </c>
      <c r="B73" s="8">
        <v>25.2</v>
      </c>
      <c r="C73" s="8">
        <v>21.3</v>
      </c>
      <c r="D73" s="8">
        <v>31.8</v>
      </c>
      <c r="E73" s="8">
        <v>0.3</v>
      </c>
      <c r="F73" s="8" t="s">
        <v>30</v>
      </c>
      <c r="G73" s="8" t="s">
        <v>30</v>
      </c>
      <c r="H73" s="8" t="s">
        <v>30</v>
      </c>
      <c r="I73" s="8" t="s">
        <v>30</v>
      </c>
      <c r="J73" s="9">
        <v>2022</v>
      </c>
      <c r="K73">
        <f t="shared" si="1"/>
        <v>5</v>
      </c>
    </row>
    <row r="74" spans="1:11" x14ac:dyDescent="0.35">
      <c r="A74" s="13">
        <v>44688</v>
      </c>
      <c r="B74" s="8">
        <v>26</v>
      </c>
      <c r="C74" s="8">
        <v>21.2</v>
      </c>
      <c r="D74" s="8">
        <v>33.5</v>
      </c>
      <c r="E74" s="8">
        <v>5.0999999999999996</v>
      </c>
      <c r="F74" s="8" t="s">
        <v>30</v>
      </c>
      <c r="G74" s="8" t="s">
        <v>30</v>
      </c>
      <c r="H74" s="8" t="s">
        <v>30</v>
      </c>
      <c r="I74" s="8" t="s">
        <v>30</v>
      </c>
      <c r="J74" s="9">
        <v>2022</v>
      </c>
      <c r="K74">
        <f t="shared" si="1"/>
        <v>5</v>
      </c>
    </row>
    <row r="75" spans="1:11" x14ac:dyDescent="0.35">
      <c r="A75" s="13">
        <v>44689</v>
      </c>
      <c r="B75" s="8">
        <v>26.1</v>
      </c>
      <c r="C75" s="8">
        <v>21</v>
      </c>
      <c r="D75" s="8">
        <v>33.200000000000003</v>
      </c>
      <c r="E75" s="8">
        <v>0</v>
      </c>
      <c r="F75" s="8" t="s">
        <v>30</v>
      </c>
      <c r="G75" s="8" t="s">
        <v>30</v>
      </c>
      <c r="H75" s="8" t="s">
        <v>30</v>
      </c>
      <c r="I75" s="8" t="s">
        <v>30</v>
      </c>
      <c r="J75" s="9">
        <v>2022</v>
      </c>
      <c r="K75">
        <f t="shared" si="1"/>
        <v>5</v>
      </c>
    </row>
    <row r="76" spans="1:11" x14ac:dyDescent="0.35">
      <c r="A76" s="13">
        <v>44690</v>
      </c>
      <c r="B76" s="8">
        <v>25.3</v>
      </c>
      <c r="C76" s="8">
        <v>21</v>
      </c>
      <c r="D76" s="8">
        <v>33.200000000000003</v>
      </c>
      <c r="E76" s="8">
        <v>2</v>
      </c>
      <c r="F76" s="8" t="s">
        <v>30</v>
      </c>
      <c r="G76" s="8" t="s">
        <v>30</v>
      </c>
      <c r="H76" s="8" t="s">
        <v>30</v>
      </c>
      <c r="I76" s="8" t="s">
        <v>30</v>
      </c>
      <c r="J76" s="9">
        <v>2022</v>
      </c>
      <c r="K76">
        <f t="shared" si="1"/>
        <v>5</v>
      </c>
    </row>
    <row r="77" spans="1:11" x14ac:dyDescent="0.35">
      <c r="A77" s="13">
        <v>44692</v>
      </c>
      <c r="B77" s="8">
        <v>22.1</v>
      </c>
      <c r="C77" s="8">
        <v>20.399999999999999</v>
      </c>
      <c r="D77" s="8">
        <v>25</v>
      </c>
      <c r="E77" s="8">
        <v>5.0999999999999996</v>
      </c>
      <c r="F77" s="8" t="s">
        <v>30</v>
      </c>
      <c r="G77" s="8" t="s">
        <v>30</v>
      </c>
      <c r="H77" s="8" t="s">
        <v>30</v>
      </c>
      <c r="I77" s="8" t="s">
        <v>30</v>
      </c>
      <c r="J77" s="9">
        <v>2022</v>
      </c>
      <c r="K77">
        <f t="shared" si="1"/>
        <v>5</v>
      </c>
    </row>
    <row r="78" spans="1:11" x14ac:dyDescent="0.35">
      <c r="A78" s="13">
        <v>44693</v>
      </c>
      <c r="B78" s="8">
        <v>21.3</v>
      </c>
      <c r="C78" s="8">
        <v>19.5</v>
      </c>
      <c r="D78" s="8">
        <v>25</v>
      </c>
      <c r="E78" s="8">
        <v>5.3</v>
      </c>
      <c r="F78" s="8" t="s">
        <v>30</v>
      </c>
      <c r="G78" s="8" t="s">
        <v>30</v>
      </c>
      <c r="H78" s="8" t="s">
        <v>30</v>
      </c>
      <c r="I78" s="8" t="s">
        <v>30</v>
      </c>
      <c r="J78" s="9">
        <v>2022</v>
      </c>
      <c r="K78">
        <f t="shared" si="1"/>
        <v>5</v>
      </c>
    </row>
    <row r="79" spans="1:11" x14ac:dyDescent="0.35">
      <c r="A79" s="13">
        <v>44694</v>
      </c>
      <c r="B79" s="8">
        <v>22.9</v>
      </c>
      <c r="C79" s="8">
        <v>20</v>
      </c>
      <c r="D79" s="8">
        <v>26.3</v>
      </c>
      <c r="E79" s="8">
        <v>2</v>
      </c>
      <c r="F79" s="8" t="s">
        <v>30</v>
      </c>
      <c r="G79" s="8" t="s">
        <v>30</v>
      </c>
      <c r="H79" s="8" t="s">
        <v>30</v>
      </c>
      <c r="I79" s="8" t="s">
        <v>30</v>
      </c>
      <c r="J79" s="9">
        <v>2022</v>
      </c>
      <c r="K79">
        <f t="shared" si="1"/>
        <v>5</v>
      </c>
    </row>
    <row r="80" spans="1:11" x14ac:dyDescent="0.35">
      <c r="A80" s="13">
        <v>44695</v>
      </c>
      <c r="B80" s="8">
        <v>25.2</v>
      </c>
      <c r="C80" s="8">
        <v>20.3</v>
      </c>
      <c r="D80" s="8">
        <v>29.7</v>
      </c>
      <c r="E80" s="8">
        <v>0</v>
      </c>
      <c r="F80" s="8" t="s">
        <v>30</v>
      </c>
      <c r="G80" s="8" t="s">
        <v>30</v>
      </c>
      <c r="H80" s="8" t="s">
        <v>30</v>
      </c>
      <c r="I80" s="8" t="s">
        <v>30</v>
      </c>
      <c r="J80" s="9">
        <v>2022</v>
      </c>
      <c r="K80">
        <f t="shared" si="1"/>
        <v>5</v>
      </c>
    </row>
    <row r="81" spans="1:11" x14ac:dyDescent="0.35">
      <c r="A81" s="13">
        <v>44697</v>
      </c>
      <c r="B81" s="8">
        <v>23.9</v>
      </c>
      <c r="C81" s="8">
        <v>20.8</v>
      </c>
      <c r="D81" s="8">
        <v>29.5</v>
      </c>
      <c r="E81" s="8">
        <v>0.3</v>
      </c>
      <c r="F81" s="8" t="s">
        <v>30</v>
      </c>
      <c r="G81" s="8" t="s">
        <v>30</v>
      </c>
      <c r="H81" s="8" t="s">
        <v>30</v>
      </c>
      <c r="I81" s="8" t="s">
        <v>30</v>
      </c>
      <c r="J81" s="9">
        <v>2022</v>
      </c>
      <c r="K81">
        <f t="shared" si="1"/>
        <v>5</v>
      </c>
    </row>
    <row r="82" spans="1:11" x14ac:dyDescent="0.35">
      <c r="A82" s="13">
        <v>44698</v>
      </c>
      <c r="B82" s="8">
        <v>23.8</v>
      </c>
      <c r="C82" s="8">
        <v>21.1</v>
      </c>
      <c r="D82" s="8">
        <v>30.1</v>
      </c>
      <c r="E82" s="8">
        <v>6.4</v>
      </c>
      <c r="F82" s="8" t="s">
        <v>30</v>
      </c>
      <c r="G82" s="8" t="s">
        <v>30</v>
      </c>
      <c r="H82" s="8" t="s">
        <v>30</v>
      </c>
      <c r="I82" s="8" t="s">
        <v>30</v>
      </c>
      <c r="J82" s="9">
        <v>2022</v>
      </c>
      <c r="K82">
        <f t="shared" si="1"/>
        <v>5</v>
      </c>
    </row>
    <row r="83" spans="1:11" x14ac:dyDescent="0.35">
      <c r="A83" s="13">
        <v>44700</v>
      </c>
      <c r="B83" s="8">
        <v>20.6</v>
      </c>
      <c r="C83" s="8">
        <v>19.399999999999999</v>
      </c>
      <c r="D83" s="8">
        <v>29</v>
      </c>
      <c r="E83" s="8">
        <v>0.8</v>
      </c>
      <c r="F83" s="8" t="s">
        <v>30</v>
      </c>
      <c r="G83" s="8" t="s">
        <v>30</v>
      </c>
      <c r="H83" s="8" t="s">
        <v>30</v>
      </c>
      <c r="I83" s="8" t="s">
        <v>30</v>
      </c>
      <c r="J83" s="9">
        <v>2022</v>
      </c>
      <c r="K83">
        <f t="shared" si="1"/>
        <v>5</v>
      </c>
    </row>
    <row r="84" spans="1:11" x14ac:dyDescent="0.35">
      <c r="A84" s="13">
        <v>44701</v>
      </c>
      <c r="B84" s="8">
        <v>21.8</v>
      </c>
      <c r="C84" s="8">
        <v>17.899999999999999</v>
      </c>
      <c r="D84" s="8">
        <v>27</v>
      </c>
      <c r="E84" s="8">
        <v>4.8</v>
      </c>
      <c r="F84" s="8" t="s">
        <v>30</v>
      </c>
      <c r="G84" s="8" t="s">
        <v>30</v>
      </c>
      <c r="H84" s="8" t="s">
        <v>30</v>
      </c>
      <c r="I84" s="8" t="s">
        <v>30</v>
      </c>
      <c r="J84" s="9">
        <v>2022</v>
      </c>
      <c r="K84">
        <f t="shared" si="1"/>
        <v>5</v>
      </c>
    </row>
    <row r="85" spans="1:11" x14ac:dyDescent="0.35">
      <c r="A85" s="13">
        <v>44702</v>
      </c>
      <c r="B85" s="8">
        <v>22.8</v>
      </c>
      <c r="C85" s="8">
        <v>18.8</v>
      </c>
      <c r="D85" s="8">
        <v>27</v>
      </c>
      <c r="E85" s="8">
        <v>3.8</v>
      </c>
      <c r="F85" s="8" t="s">
        <v>30</v>
      </c>
      <c r="G85" s="8" t="s">
        <v>30</v>
      </c>
      <c r="H85" s="8" t="s">
        <v>30</v>
      </c>
      <c r="I85" s="8" t="s">
        <v>30</v>
      </c>
      <c r="J85" s="9">
        <v>2022</v>
      </c>
      <c r="K85">
        <f t="shared" si="1"/>
        <v>5</v>
      </c>
    </row>
    <row r="86" spans="1:11" x14ac:dyDescent="0.35">
      <c r="A86" s="13">
        <v>44703</v>
      </c>
      <c r="B86" s="8">
        <v>23.8</v>
      </c>
      <c r="C86" s="8">
        <v>20.7</v>
      </c>
      <c r="D86" s="8">
        <v>28.5</v>
      </c>
      <c r="E86" s="8">
        <v>0</v>
      </c>
      <c r="F86" s="8" t="s">
        <v>30</v>
      </c>
      <c r="G86" s="8" t="s">
        <v>30</v>
      </c>
      <c r="H86" s="8" t="s">
        <v>30</v>
      </c>
      <c r="I86" s="8" t="s">
        <v>30</v>
      </c>
      <c r="J86" s="9">
        <v>2022</v>
      </c>
      <c r="K86">
        <f t="shared" si="1"/>
        <v>5</v>
      </c>
    </row>
    <row r="87" spans="1:11" x14ac:dyDescent="0.35">
      <c r="A87" s="13">
        <v>44704</v>
      </c>
      <c r="B87" s="8">
        <v>24.5</v>
      </c>
      <c r="C87" s="8">
        <v>19.899999999999999</v>
      </c>
      <c r="D87" s="8">
        <v>29.6</v>
      </c>
      <c r="E87" s="8">
        <v>0</v>
      </c>
      <c r="F87" s="8" t="s">
        <v>30</v>
      </c>
      <c r="G87" s="8" t="s">
        <v>30</v>
      </c>
      <c r="H87" s="8" t="s">
        <v>30</v>
      </c>
      <c r="I87" s="8" t="s">
        <v>30</v>
      </c>
      <c r="J87" s="9">
        <v>2022</v>
      </c>
      <c r="K87">
        <f t="shared" si="1"/>
        <v>5</v>
      </c>
    </row>
    <row r="88" spans="1:11" x14ac:dyDescent="0.35">
      <c r="A88" s="13">
        <v>44705</v>
      </c>
      <c r="B88" s="8">
        <v>26.2</v>
      </c>
      <c r="C88" s="8">
        <v>22.1</v>
      </c>
      <c r="D88" s="8">
        <v>30.7</v>
      </c>
      <c r="E88" s="8">
        <v>0</v>
      </c>
      <c r="F88" s="8" t="s">
        <v>30</v>
      </c>
      <c r="G88" s="8" t="s">
        <v>30</v>
      </c>
      <c r="H88" s="8" t="s">
        <v>30</v>
      </c>
      <c r="I88" s="8" t="s">
        <v>30</v>
      </c>
      <c r="J88" s="9">
        <v>2022</v>
      </c>
      <c r="K88">
        <f t="shared" si="1"/>
        <v>5</v>
      </c>
    </row>
    <row r="89" spans="1:11" x14ac:dyDescent="0.35">
      <c r="A89" s="13">
        <v>44706</v>
      </c>
      <c r="B89" s="8">
        <v>24.6</v>
      </c>
      <c r="C89" s="8">
        <v>20.100000000000001</v>
      </c>
      <c r="D89" s="8">
        <v>30</v>
      </c>
      <c r="E89" s="8">
        <v>0</v>
      </c>
      <c r="F89" s="8" t="s">
        <v>30</v>
      </c>
      <c r="G89" s="8" t="s">
        <v>30</v>
      </c>
      <c r="H89" s="8" t="s">
        <v>30</v>
      </c>
      <c r="I89" s="8" t="s">
        <v>30</v>
      </c>
      <c r="J89" s="9">
        <v>2022</v>
      </c>
      <c r="K89">
        <f t="shared" si="1"/>
        <v>5</v>
      </c>
    </row>
    <row r="90" spans="1:11" x14ac:dyDescent="0.35">
      <c r="A90" s="13">
        <v>44707</v>
      </c>
      <c r="B90" s="8">
        <v>24.9</v>
      </c>
      <c r="C90" s="8">
        <v>21.8</v>
      </c>
      <c r="D90" s="8">
        <v>31.7</v>
      </c>
      <c r="E90" s="8">
        <v>1.1000000000000001</v>
      </c>
      <c r="F90" s="8" t="s">
        <v>30</v>
      </c>
      <c r="G90" s="8" t="s">
        <v>30</v>
      </c>
      <c r="H90" s="8" t="s">
        <v>30</v>
      </c>
      <c r="I90" s="8" t="s">
        <v>30</v>
      </c>
      <c r="J90" s="9">
        <v>2022</v>
      </c>
      <c r="K90">
        <f t="shared" si="1"/>
        <v>5</v>
      </c>
    </row>
    <row r="91" spans="1:11" x14ac:dyDescent="0.35">
      <c r="A91" s="13">
        <v>44708</v>
      </c>
      <c r="B91" s="8">
        <v>26.1</v>
      </c>
      <c r="C91" s="8">
        <v>21.6</v>
      </c>
      <c r="D91" s="8">
        <v>31.9</v>
      </c>
      <c r="E91" s="8">
        <v>0</v>
      </c>
      <c r="F91" s="8" t="s">
        <v>30</v>
      </c>
      <c r="G91" s="8" t="s">
        <v>30</v>
      </c>
      <c r="H91" s="8" t="s">
        <v>30</v>
      </c>
      <c r="I91" s="8" t="s">
        <v>30</v>
      </c>
      <c r="J91" s="9">
        <v>2022</v>
      </c>
      <c r="K91">
        <f t="shared" si="1"/>
        <v>5</v>
      </c>
    </row>
    <row r="92" spans="1:11" x14ac:dyDescent="0.35">
      <c r="A92" s="13">
        <v>44709</v>
      </c>
      <c r="B92" s="8">
        <v>24.5</v>
      </c>
      <c r="C92" s="8">
        <v>19.2</v>
      </c>
      <c r="D92" s="8">
        <v>30</v>
      </c>
      <c r="E92" s="8">
        <v>0.3</v>
      </c>
      <c r="F92" s="8" t="s">
        <v>30</v>
      </c>
      <c r="G92" s="8" t="s">
        <v>30</v>
      </c>
      <c r="H92" s="8" t="s">
        <v>30</v>
      </c>
      <c r="I92" s="8" t="s">
        <v>30</v>
      </c>
      <c r="J92" s="9">
        <v>2022</v>
      </c>
      <c r="K92">
        <f t="shared" si="1"/>
        <v>5</v>
      </c>
    </row>
    <row r="93" spans="1:11" x14ac:dyDescent="0.35">
      <c r="A93" s="13">
        <v>44710</v>
      </c>
      <c r="B93" s="8">
        <v>24.8</v>
      </c>
      <c r="C93" s="8">
        <v>19.5</v>
      </c>
      <c r="D93" s="8">
        <v>30</v>
      </c>
      <c r="E93" s="8">
        <v>0</v>
      </c>
      <c r="F93" s="8" t="s">
        <v>30</v>
      </c>
      <c r="G93" s="8" t="s">
        <v>30</v>
      </c>
      <c r="H93" s="8" t="s">
        <v>30</v>
      </c>
      <c r="I93" s="8" t="s">
        <v>30</v>
      </c>
      <c r="J93" s="9">
        <v>2022</v>
      </c>
      <c r="K93">
        <f t="shared" si="1"/>
        <v>5</v>
      </c>
    </row>
    <row r="94" spans="1:11" x14ac:dyDescent="0.35">
      <c r="A94" s="13">
        <v>44712</v>
      </c>
      <c r="B94" s="8">
        <v>24.1</v>
      </c>
      <c r="C94" s="8">
        <v>20.6</v>
      </c>
      <c r="D94" s="8">
        <v>30.4</v>
      </c>
      <c r="E94" s="8">
        <v>6.9</v>
      </c>
      <c r="F94" s="8" t="s">
        <v>30</v>
      </c>
      <c r="G94" s="8" t="s">
        <v>30</v>
      </c>
      <c r="H94" s="8" t="s">
        <v>30</v>
      </c>
      <c r="I94" s="8" t="s">
        <v>30</v>
      </c>
      <c r="J94" s="9">
        <v>2022</v>
      </c>
      <c r="K94">
        <f t="shared" si="1"/>
        <v>5</v>
      </c>
    </row>
    <row r="95" spans="1:11" x14ac:dyDescent="0.35">
      <c r="A95" s="13">
        <v>44713</v>
      </c>
      <c r="B95" s="8">
        <v>25.2</v>
      </c>
      <c r="C95" s="8">
        <v>21.2</v>
      </c>
      <c r="D95" s="8">
        <v>30.4</v>
      </c>
      <c r="E95" s="8">
        <v>3.3</v>
      </c>
      <c r="F95" s="8" t="s">
        <v>30</v>
      </c>
      <c r="G95" s="8" t="s">
        <v>30</v>
      </c>
      <c r="H95" s="8" t="s">
        <v>30</v>
      </c>
      <c r="I95" s="8" t="s">
        <v>30</v>
      </c>
      <c r="J95" s="9">
        <v>2022</v>
      </c>
      <c r="K95">
        <f t="shared" si="1"/>
        <v>6</v>
      </c>
    </row>
    <row r="96" spans="1:11" x14ac:dyDescent="0.35">
      <c r="A96" s="13">
        <v>44714</v>
      </c>
      <c r="B96" s="8">
        <v>25.7</v>
      </c>
      <c r="C96" s="8">
        <v>22</v>
      </c>
      <c r="D96" s="8">
        <v>31</v>
      </c>
      <c r="E96" s="8">
        <v>0</v>
      </c>
      <c r="F96" s="8" t="s">
        <v>30</v>
      </c>
      <c r="G96" s="8" t="s">
        <v>30</v>
      </c>
      <c r="H96" s="8" t="s">
        <v>30</v>
      </c>
      <c r="I96" s="8" t="s">
        <v>30</v>
      </c>
      <c r="J96" s="9">
        <v>2022</v>
      </c>
      <c r="K96">
        <f t="shared" si="1"/>
        <v>6</v>
      </c>
    </row>
    <row r="97" spans="1:11" x14ac:dyDescent="0.35">
      <c r="A97" s="13">
        <v>44716</v>
      </c>
      <c r="B97" s="8">
        <v>24.2</v>
      </c>
      <c r="C97" s="8">
        <v>19.7</v>
      </c>
      <c r="D97" s="8">
        <v>32.200000000000003</v>
      </c>
      <c r="E97" s="8">
        <v>7.2</v>
      </c>
      <c r="F97" s="8" t="s">
        <v>30</v>
      </c>
      <c r="G97" s="8" t="s">
        <v>30</v>
      </c>
      <c r="H97" s="8" t="s">
        <v>30</v>
      </c>
      <c r="I97" s="8" t="s">
        <v>30</v>
      </c>
      <c r="J97" s="9">
        <v>2022</v>
      </c>
      <c r="K97">
        <f t="shared" si="1"/>
        <v>6</v>
      </c>
    </row>
    <row r="98" spans="1:11" x14ac:dyDescent="0.35">
      <c r="A98" s="13">
        <v>44719</v>
      </c>
      <c r="B98" s="8">
        <v>24.9</v>
      </c>
      <c r="C98" s="8">
        <v>21.1</v>
      </c>
      <c r="D98" s="8">
        <v>30.6</v>
      </c>
      <c r="E98" s="8">
        <v>0.8</v>
      </c>
      <c r="F98" s="8" t="s">
        <v>30</v>
      </c>
      <c r="G98" s="8" t="s">
        <v>30</v>
      </c>
      <c r="H98" s="8" t="s">
        <v>30</v>
      </c>
      <c r="I98" s="8" t="s">
        <v>30</v>
      </c>
      <c r="J98" s="9">
        <v>2022</v>
      </c>
      <c r="K98">
        <f t="shared" si="1"/>
        <v>6</v>
      </c>
    </row>
    <row r="99" spans="1:11" x14ac:dyDescent="0.35">
      <c r="A99" s="13">
        <v>44720</v>
      </c>
      <c r="B99" s="8">
        <v>25.1</v>
      </c>
      <c r="C99" s="8">
        <v>21.2</v>
      </c>
      <c r="D99" s="8">
        <v>30.6</v>
      </c>
      <c r="E99" s="8">
        <v>0</v>
      </c>
      <c r="F99" s="8" t="s">
        <v>30</v>
      </c>
      <c r="G99" s="8" t="s">
        <v>30</v>
      </c>
      <c r="H99" s="8" t="s">
        <v>30</v>
      </c>
      <c r="I99" s="8" t="s">
        <v>30</v>
      </c>
      <c r="J99" s="9">
        <v>2022</v>
      </c>
      <c r="K99">
        <f t="shared" si="1"/>
        <v>6</v>
      </c>
    </row>
    <row r="100" spans="1:11" x14ac:dyDescent="0.35">
      <c r="A100" s="13">
        <v>44721</v>
      </c>
      <c r="B100" s="8">
        <v>24.3</v>
      </c>
      <c r="C100" s="8">
        <v>19.8</v>
      </c>
      <c r="D100" s="8">
        <v>29.4</v>
      </c>
      <c r="E100" s="8">
        <v>1</v>
      </c>
      <c r="F100" s="8" t="s">
        <v>30</v>
      </c>
      <c r="G100" s="8" t="s">
        <v>30</v>
      </c>
      <c r="H100" s="8" t="s">
        <v>30</v>
      </c>
      <c r="I100" s="8" t="s">
        <v>30</v>
      </c>
      <c r="J100" s="9">
        <v>2022</v>
      </c>
      <c r="K100">
        <f t="shared" si="1"/>
        <v>6</v>
      </c>
    </row>
    <row r="101" spans="1:11" x14ac:dyDescent="0.35">
      <c r="A101" s="13">
        <v>44722</v>
      </c>
      <c r="B101" s="8">
        <v>24</v>
      </c>
      <c r="C101" s="8">
        <v>19.5</v>
      </c>
      <c r="D101" s="8">
        <v>29.2</v>
      </c>
      <c r="E101" s="8">
        <v>1.6</v>
      </c>
      <c r="F101" s="8" t="s">
        <v>30</v>
      </c>
      <c r="G101" s="8" t="s">
        <v>30</v>
      </c>
      <c r="H101" s="8" t="s">
        <v>30</v>
      </c>
      <c r="I101" s="8" t="s">
        <v>30</v>
      </c>
      <c r="J101" s="9">
        <v>2022</v>
      </c>
      <c r="K101">
        <f t="shared" si="1"/>
        <v>6</v>
      </c>
    </row>
    <row r="102" spans="1:11" x14ac:dyDescent="0.35">
      <c r="A102" s="13">
        <v>44723</v>
      </c>
      <c r="B102" s="8">
        <v>23.6</v>
      </c>
      <c r="C102" s="8">
        <v>19.3</v>
      </c>
      <c r="D102" s="8">
        <v>29.2</v>
      </c>
      <c r="E102" s="8">
        <v>2</v>
      </c>
      <c r="F102" s="8" t="s">
        <v>30</v>
      </c>
      <c r="G102" s="8" t="s">
        <v>30</v>
      </c>
      <c r="H102" s="8" t="s">
        <v>30</v>
      </c>
      <c r="I102" s="8" t="s">
        <v>30</v>
      </c>
      <c r="J102" s="9">
        <v>2022</v>
      </c>
      <c r="K102">
        <f t="shared" si="1"/>
        <v>6</v>
      </c>
    </row>
    <row r="103" spans="1:11" x14ac:dyDescent="0.35">
      <c r="A103" s="13">
        <v>44724</v>
      </c>
      <c r="B103" s="8">
        <v>23</v>
      </c>
      <c r="C103" s="8">
        <v>19.7</v>
      </c>
      <c r="D103" s="8">
        <v>28.8</v>
      </c>
      <c r="E103" s="8">
        <v>10</v>
      </c>
      <c r="F103" s="8" t="s">
        <v>30</v>
      </c>
      <c r="G103" s="8" t="s">
        <v>30</v>
      </c>
      <c r="H103" s="8" t="s">
        <v>30</v>
      </c>
      <c r="I103" s="8" t="s">
        <v>30</v>
      </c>
      <c r="J103" s="9">
        <v>2022</v>
      </c>
      <c r="K103">
        <f t="shared" si="1"/>
        <v>6</v>
      </c>
    </row>
    <row r="104" spans="1:11" x14ac:dyDescent="0.35">
      <c r="A104" s="13">
        <v>44725</v>
      </c>
      <c r="B104" s="8">
        <v>23.6</v>
      </c>
      <c r="C104" s="8">
        <v>19.2</v>
      </c>
      <c r="D104" s="8">
        <v>28.9</v>
      </c>
      <c r="E104" s="8">
        <v>0.1</v>
      </c>
      <c r="F104" s="8" t="s">
        <v>30</v>
      </c>
      <c r="G104" s="8" t="s">
        <v>30</v>
      </c>
      <c r="H104" s="8" t="s">
        <v>30</v>
      </c>
      <c r="I104" s="8" t="s">
        <v>30</v>
      </c>
      <c r="J104" s="9">
        <v>2022</v>
      </c>
      <c r="K104">
        <f t="shared" si="1"/>
        <v>6</v>
      </c>
    </row>
    <row r="105" spans="1:11" x14ac:dyDescent="0.35">
      <c r="A105" s="13">
        <v>44726</v>
      </c>
      <c r="B105" s="8">
        <v>23.6</v>
      </c>
      <c r="C105" s="8">
        <v>19.399999999999999</v>
      </c>
      <c r="D105" s="8">
        <v>29.5</v>
      </c>
      <c r="E105" s="8">
        <v>0.6</v>
      </c>
      <c r="F105" s="8" t="s">
        <v>30</v>
      </c>
      <c r="G105" s="8" t="s">
        <v>30</v>
      </c>
      <c r="H105" s="8" t="s">
        <v>30</v>
      </c>
      <c r="I105" s="8" t="s">
        <v>30</v>
      </c>
      <c r="J105" s="9">
        <v>2022</v>
      </c>
      <c r="K105">
        <f t="shared" si="1"/>
        <v>6</v>
      </c>
    </row>
    <row r="106" spans="1:11" x14ac:dyDescent="0.35">
      <c r="A106" s="13">
        <v>44728</v>
      </c>
      <c r="B106" s="8">
        <v>24.5</v>
      </c>
      <c r="C106" s="8">
        <v>20</v>
      </c>
      <c r="D106" s="8">
        <v>30.6</v>
      </c>
      <c r="E106" s="8">
        <v>0</v>
      </c>
      <c r="F106" s="8" t="s">
        <v>30</v>
      </c>
      <c r="G106" s="8" t="s">
        <v>30</v>
      </c>
      <c r="H106" s="8" t="s">
        <v>30</v>
      </c>
      <c r="I106" s="8" t="s">
        <v>30</v>
      </c>
      <c r="J106" s="9">
        <v>2022</v>
      </c>
      <c r="K106">
        <f t="shared" si="1"/>
        <v>6</v>
      </c>
    </row>
    <row r="107" spans="1:11" x14ac:dyDescent="0.35">
      <c r="A107" s="13">
        <v>44731</v>
      </c>
      <c r="B107" s="8">
        <v>24.2</v>
      </c>
      <c r="C107" s="8">
        <v>21.1</v>
      </c>
      <c r="D107" s="8">
        <v>29.5</v>
      </c>
      <c r="E107" s="8">
        <v>1</v>
      </c>
      <c r="F107" s="8" t="s">
        <v>30</v>
      </c>
      <c r="G107" s="8" t="s">
        <v>30</v>
      </c>
      <c r="H107" s="8" t="s">
        <v>30</v>
      </c>
      <c r="I107" s="8" t="s">
        <v>30</v>
      </c>
      <c r="J107" s="9">
        <v>2022</v>
      </c>
      <c r="K107">
        <f t="shared" si="1"/>
        <v>6</v>
      </c>
    </row>
    <row r="108" spans="1:11" x14ac:dyDescent="0.35">
      <c r="A108" s="13">
        <v>44732</v>
      </c>
      <c r="B108" s="8">
        <v>24.1</v>
      </c>
      <c r="C108" s="8">
        <v>20.7</v>
      </c>
      <c r="D108" s="8">
        <v>29.5</v>
      </c>
      <c r="E108" s="8">
        <v>2</v>
      </c>
      <c r="F108" s="8" t="s">
        <v>30</v>
      </c>
      <c r="G108" s="8" t="s">
        <v>30</v>
      </c>
      <c r="H108" s="8" t="s">
        <v>30</v>
      </c>
      <c r="I108" s="8" t="s">
        <v>30</v>
      </c>
      <c r="J108" s="9">
        <v>2022</v>
      </c>
      <c r="K108">
        <f t="shared" si="1"/>
        <v>6</v>
      </c>
    </row>
    <row r="109" spans="1:11" x14ac:dyDescent="0.35">
      <c r="A109" s="13">
        <v>44734</v>
      </c>
      <c r="B109" s="8">
        <v>22.7</v>
      </c>
      <c r="C109" s="8">
        <v>20.399999999999999</v>
      </c>
      <c r="D109" s="8">
        <v>27.8</v>
      </c>
      <c r="E109" s="8">
        <v>0.3</v>
      </c>
      <c r="F109" s="8" t="s">
        <v>30</v>
      </c>
      <c r="G109" s="8" t="s">
        <v>30</v>
      </c>
      <c r="H109" s="8" t="s">
        <v>30</v>
      </c>
      <c r="I109" s="8" t="s">
        <v>30</v>
      </c>
      <c r="J109" s="9">
        <v>2022</v>
      </c>
      <c r="K109">
        <f t="shared" si="1"/>
        <v>6</v>
      </c>
    </row>
    <row r="110" spans="1:11" x14ac:dyDescent="0.35">
      <c r="A110" s="13">
        <v>44735</v>
      </c>
      <c r="B110" s="8">
        <v>23.1</v>
      </c>
      <c r="C110" s="8">
        <v>20.399999999999999</v>
      </c>
      <c r="D110" s="8">
        <v>26.2</v>
      </c>
      <c r="E110" s="8">
        <v>0</v>
      </c>
      <c r="F110" s="8" t="s">
        <v>30</v>
      </c>
      <c r="G110" s="8" t="s">
        <v>30</v>
      </c>
      <c r="H110" s="8" t="s">
        <v>30</v>
      </c>
      <c r="I110" s="8" t="s">
        <v>30</v>
      </c>
      <c r="J110" s="9">
        <v>2022</v>
      </c>
      <c r="K110">
        <f t="shared" si="1"/>
        <v>6</v>
      </c>
    </row>
    <row r="111" spans="1:11" x14ac:dyDescent="0.35">
      <c r="A111" s="13">
        <v>44736</v>
      </c>
      <c r="B111" s="8">
        <v>22.8</v>
      </c>
      <c r="C111" s="8">
        <v>19.5</v>
      </c>
      <c r="D111" s="8">
        <v>27.6</v>
      </c>
      <c r="E111" s="8">
        <v>0.3</v>
      </c>
      <c r="F111" s="8" t="s">
        <v>30</v>
      </c>
      <c r="G111" s="8" t="s">
        <v>30</v>
      </c>
      <c r="H111" s="8" t="s">
        <v>30</v>
      </c>
      <c r="I111" s="8" t="s">
        <v>30</v>
      </c>
      <c r="J111" s="9">
        <v>2022</v>
      </c>
      <c r="K111">
        <f t="shared" si="1"/>
        <v>6</v>
      </c>
    </row>
    <row r="112" spans="1:11" x14ac:dyDescent="0.35">
      <c r="A112" s="13">
        <v>44737</v>
      </c>
      <c r="B112" s="8">
        <v>22.4</v>
      </c>
      <c r="C112" s="8">
        <v>19.7</v>
      </c>
      <c r="D112" s="8">
        <v>27.7</v>
      </c>
      <c r="E112" s="8">
        <v>4.2</v>
      </c>
      <c r="F112" s="8" t="s">
        <v>30</v>
      </c>
      <c r="G112" s="8" t="s">
        <v>30</v>
      </c>
      <c r="H112" s="8" t="s">
        <v>30</v>
      </c>
      <c r="I112" s="8" t="s">
        <v>30</v>
      </c>
      <c r="J112" s="9">
        <v>2022</v>
      </c>
      <c r="K112">
        <f t="shared" si="1"/>
        <v>6</v>
      </c>
    </row>
    <row r="113" spans="1:11" x14ac:dyDescent="0.35">
      <c r="A113" s="13">
        <v>44738</v>
      </c>
      <c r="B113" s="8">
        <v>23.2</v>
      </c>
      <c r="C113" s="8">
        <v>20.3</v>
      </c>
      <c r="D113" s="8">
        <v>27.2</v>
      </c>
      <c r="E113" s="8">
        <v>0.2</v>
      </c>
      <c r="F113" s="8" t="s">
        <v>30</v>
      </c>
      <c r="G113" s="8" t="s">
        <v>30</v>
      </c>
      <c r="H113" s="8" t="s">
        <v>30</v>
      </c>
      <c r="I113" s="8" t="s">
        <v>30</v>
      </c>
      <c r="J113" s="9">
        <v>2022</v>
      </c>
      <c r="K113">
        <f t="shared" si="1"/>
        <v>6</v>
      </c>
    </row>
    <row r="114" spans="1:11" x14ac:dyDescent="0.35">
      <c r="A114" s="13">
        <v>44739</v>
      </c>
      <c r="B114" s="8">
        <v>23.7</v>
      </c>
      <c r="C114" s="8">
        <v>20.100000000000001</v>
      </c>
      <c r="D114" s="8">
        <v>28.3</v>
      </c>
      <c r="E114" s="8">
        <v>0</v>
      </c>
      <c r="F114" s="8" t="s">
        <v>30</v>
      </c>
      <c r="G114" s="8" t="s">
        <v>30</v>
      </c>
      <c r="H114" s="8" t="s">
        <v>30</v>
      </c>
      <c r="I114" s="8" t="s">
        <v>30</v>
      </c>
      <c r="J114" s="9">
        <v>2022</v>
      </c>
      <c r="K114">
        <f t="shared" si="1"/>
        <v>6</v>
      </c>
    </row>
    <row r="115" spans="1:11" x14ac:dyDescent="0.35">
      <c r="A115" s="13">
        <v>44740</v>
      </c>
      <c r="B115" s="8">
        <v>22.5</v>
      </c>
      <c r="C115" s="8">
        <v>19.600000000000001</v>
      </c>
      <c r="D115" s="8">
        <v>26.7</v>
      </c>
      <c r="E115" s="8">
        <v>2.2000000000000002</v>
      </c>
      <c r="F115" s="8" t="s">
        <v>30</v>
      </c>
      <c r="G115" s="8" t="s">
        <v>30</v>
      </c>
      <c r="H115" s="8" t="s">
        <v>30</v>
      </c>
      <c r="I115" s="8" t="s">
        <v>30</v>
      </c>
      <c r="J115" s="9">
        <v>2022</v>
      </c>
      <c r="K115">
        <f t="shared" si="1"/>
        <v>6</v>
      </c>
    </row>
    <row r="116" spans="1:11" x14ac:dyDescent="0.35">
      <c r="A116" s="13">
        <v>44741</v>
      </c>
      <c r="B116" s="8">
        <v>23.9</v>
      </c>
      <c r="C116" s="8">
        <v>21.1</v>
      </c>
      <c r="D116" s="8">
        <v>29.5</v>
      </c>
      <c r="E116" s="8">
        <v>0</v>
      </c>
      <c r="F116" s="8" t="s">
        <v>30</v>
      </c>
      <c r="G116" s="8" t="s">
        <v>30</v>
      </c>
      <c r="H116" s="8" t="s">
        <v>30</v>
      </c>
      <c r="I116" s="8" t="s">
        <v>30</v>
      </c>
      <c r="J116" s="9">
        <v>2022</v>
      </c>
      <c r="K116">
        <f t="shared" si="1"/>
        <v>6</v>
      </c>
    </row>
    <row r="117" spans="1:11" x14ac:dyDescent="0.35">
      <c r="A117" s="13">
        <v>44742</v>
      </c>
      <c r="B117" s="8">
        <v>23.2</v>
      </c>
      <c r="C117" s="8">
        <v>20.5</v>
      </c>
      <c r="D117" s="8">
        <v>29.5</v>
      </c>
      <c r="E117" s="8">
        <v>5.8</v>
      </c>
      <c r="F117" s="8" t="s">
        <v>30</v>
      </c>
      <c r="G117" s="8" t="s">
        <v>30</v>
      </c>
      <c r="H117" s="8" t="s">
        <v>30</v>
      </c>
      <c r="I117" s="8" t="s">
        <v>30</v>
      </c>
      <c r="J117" s="9">
        <v>2022</v>
      </c>
      <c r="K117">
        <f t="shared" si="1"/>
        <v>6</v>
      </c>
    </row>
    <row r="118" spans="1:11" x14ac:dyDescent="0.35">
      <c r="A118" s="13">
        <v>44743</v>
      </c>
      <c r="B118" s="8">
        <v>23.6</v>
      </c>
      <c r="C118" s="8">
        <v>20.5</v>
      </c>
      <c r="D118" s="8">
        <v>28.7</v>
      </c>
      <c r="E118" s="8">
        <v>3.6</v>
      </c>
      <c r="F118" s="8" t="s">
        <v>30</v>
      </c>
      <c r="G118" s="8" t="s">
        <v>30</v>
      </c>
      <c r="H118" s="8" t="s">
        <v>30</v>
      </c>
      <c r="I118" s="8" t="s">
        <v>30</v>
      </c>
      <c r="J118" s="9">
        <v>2022</v>
      </c>
      <c r="K118">
        <f t="shared" si="1"/>
        <v>7</v>
      </c>
    </row>
    <row r="119" spans="1:11" x14ac:dyDescent="0.35">
      <c r="A119" s="13">
        <v>44744</v>
      </c>
      <c r="B119" s="8">
        <v>24.1</v>
      </c>
      <c r="C119" s="8">
        <v>20.9</v>
      </c>
      <c r="D119" s="8">
        <v>28.7</v>
      </c>
      <c r="E119" s="8">
        <v>0</v>
      </c>
      <c r="F119" s="8" t="s">
        <v>30</v>
      </c>
      <c r="G119" s="8" t="s">
        <v>30</v>
      </c>
      <c r="H119" s="8" t="s">
        <v>30</v>
      </c>
      <c r="I119" s="8" t="s">
        <v>30</v>
      </c>
      <c r="J119" s="9">
        <v>2022</v>
      </c>
      <c r="K119">
        <f t="shared" si="1"/>
        <v>7</v>
      </c>
    </row>
    <row r="120" spans="1:11" x14ac:dyDescent="0.35">
      <c r="A120" s="13">
        <v>44745</v>
      </c>
      <c r="B120" s="8">
        <v>23.5</v>
      </c>
      <c r="C120" s="8">
        <v>21.1</v>
      </c>
      <c r="D120" s="8">
        <v>28.5</v>
      </c>
      <c r="E120" s="8">
        <v>0</v>
      </c>
      <c r="F120" s="8" t="s">
        <v>30</v>
      </c>
      <c r="G120" s="8" t="s">
        <v>30</v>
      </c>
      <c r="H120" s="8" t="s">
        <v>30</v>
      </c>
      <c r="I120" s="8" t="s">
        <v>30</v>
      </c>
      <c r="J120" s="9">
        <v>2022</v>
      </c>
      <c r="K120">
        <f t="shared" si="1"/>
        <v>7</v>
      </c>
    </row>
    <row r="121" spans="1:11" x14ac:dyDescent="0.35">
      <c r="A121" s="13">
        <v>44746</v>
      </c>
      <c r="B121" s="8">
        <v>22.5</v>
      </c>
      <c r="C121" s="8">
        <v>20.2</v>
      </c>
      <c r="D121" s="8">
        <v>27</v>
      </c>
      <c r="E121" s="8">
        <v>0</v>
      </c>
      <c r="F121" s="8" t="s">
        <v>30</v>
      </c>
      <c r="G121" s="8" t="s">
        <v>30</v>
      </c>
      <c r="H121" s="8" t="s">
        <v>30</v>
      </c>
      <c r="I121" s="8" t="s">
        <v>30</v>
      </c>
      <c r="J121" s="9">
        <v>2022</v>
      </c>
      <c r="K121">
        <f t="shared" si="1"/>
        <v>7</v>
      </c>
    </row>
    <row r="122" spans="1:11" x14ac:dyDescent="0.35">
      <c r="A122" s="13">
        <v>44747</v>
      </c>
      <c r="B122" s="8">
        <v>22.9</v>
      </c>
      <c r="C122" s="8">
        <v>20.100000000000001</v>
      </c>
      <c r="D122" s="8">
        <v>26.5</v>
      </c>
      <c r="E122" s="8">
        <v>2</v>
      </c>
      <c r="F122" s="8" t="s">
        <v>30</v>
      </c>
      <c r="G122" s="8" t="s">
        <v>30</v>
      </c>
      <c r="H122" s="8" t="s">
        <v>30</v>
      </c>
      <c r="I122" s="8" t="s">
        <v>30</v>
      </c>
      <c r="J122" s="9">
        <v>2022</v>
      </c>
      <c r="K122">
        <f t="shared" si="1"/>
        <v>7</v>
      </c>
    </row>
    <row r="123" spans="1:11" x14ac:dyDescent="0.35">
      <c r="A123" s="13">
        <v>44748</v>
      </c>
      <c r="B123" s="8">
        <v>22.1</v>
      </c>
      <c r="C123" s="8">
        <v>20.6</v>
      </c>
      <c r="D123" s="8">
        <v>26.5</v>
      </c>
      <c r="E123" s="8">
        <v>0.3</v>
      </c>
      <c r="F123" s="8" t="s">
        <v>30</v>
      </c>
      <c r="G123" s="8" t="s">
        <v>30</v>
      </c>
      <c r="H123" s="8" t="s">
        <v>30</v>
      </c>
      <c r="I123" s="8" t="s">
        <v>30</v>
      </c>
      <c r="J123" s="9">
        <v>2022</v>
      </c>
      <c r="K123">
        <f t="shared" si="1"/>
        <v>7</v>
      </c>
    </row>
    <row r="124" spans="1:11" x14ac:dyDescent="0.35">
      <c r="A124" s="13">
        <v>44749</v>
      </c>
      <c r="B124" s="8">
        <v>21.4</v>
      </c>
      <c r="C124" s="8">
        <v>19.7</v>
      </c>
      <c r="D124" s="8">
        <v>25</v>
      </c>
      <c r="E124" s="8">
        <v>1</v>
      </c>
      <c r="F124" s="8" t="s">
        <v>30</v>
      </c>
      <c r="G124" s="8" t="s">
        <v>30</v>
      </c>
      <c r="H124" s="8" t="s">
        <v>30</v>
      </c>
      <c r="I124" s="8" t="s">
        <v>30</v>
      </c>
      <c r="J124" s="9">
        <v>2022</v>
      </c>
      <c r="K124">
        <f t="shared" si="1"/>
        <v>7</v>
      </c>
    </row>
    <row r="125" spans="1:11" x14ac:dyDescent="0.35">
      <c r="A125" s="13">
        <v>44750</v>
      </c>
      <c r="B125" s="8">
        <v>21.4</v>
      </c>
      <c r="C125" s="8">
        <v>19.7</v>
      </c>
      <c r="D125" s="8">
        <v>25.5</v>
      </c>
      <c r="E125" s="8">
        <v>6.1</v>
      </c>
      <c r="F125" s="8" t="s">
        <v>30</v>
      </c>
      <c r="G125" s="8" t="s">
        <v>30</v>
      </c>
      <c r="H125" s="8" t="s">
        <v>30</v>
      </c>
      <c r="I125" s="8" t="s">
        <v>30</v>
      </c>
      <c r="J125" s="9">
        <v>2022</v>
      </c>
      <c r="K125">
        <f t="shared" si="1"/>
        <v>7</v>
      </c>
    </row>
    <row r="126" spans="1:11" x14ac:dyDescent="0.35">
      <c r="A126" s="13">
        <v>44751</v>
      </c>
      <c r="B126" s="8">
        <v>21.7</v>
      </c>
      <c r="C126" s="8">
        <v>19.8</v>
      </c>
      <c r="D126" s="8">
        <v>25.5</v>
      </c>
      <c r="E126" s="8">
        <v>7.1</v>
      </c>
      <c r="F126" s="8" t="s">
        <v>30</v>
      </c>
      <c r="G126" s="8" t="s">
        <v>30</v>
      </c>
      <c r="H126" s="8" t="s">
        <v>30</v>
      </c>
      <c r="I126" s="8" t="s">
        <v>30</v>
      </c>
      <c r="J126" s="9">
        <v>2022</v>
      </c>
      <c r="K126">
        <f t="shared" si="1"/>
        <v>7</v>
      </c>
    </row>
    <row r="127" spans="1:11" x14ac:dyDescent="0.35">
      <c r="A127" s="13">
        <v>44753</v>
      </c>
      <c r="B127" s="8">
        <v>21.7</v>
      </c>
      <c r="C127" s="8">
        <v>20.2</v>
      </c>
      <c r="D127" s="8">
        <v>26.2</v>
      </c>
      <c r="E127" s="8">
        <v>0.8</v>
      </c>
      <c r="F127" s="8" t="s">
        <v>30</v>
      </c>
      <c r="G127" s="8" t="s">
        <v>30</v>
      </c>
      <c r="H127" s="8" t="s">
        <v>30</v>
      </c>
      <c r="I127" s="8" t="s">
        <v>30</v>
      </c>
      <c r="J127" s="9">
        <v>2022</v>
      </c>
      <c r="K127">
        <f t="shared" si="1"/>
        <v>7</v>
      </c>
    </row>
    <row r="128" spans="1:11" x14ac:dyDescent="0.35">
      <c r="A128" s="13">
        <v>44754</v>
      </c>
      <c r="B128" s="8">
        <v>23.2</v>
      </c>
      <c r="C128" s="8">
        <v>19.8</v>
      </c>
      <c r="D128" s="8">
        <v>27.5</v>
      </c>
      <c r="E128" s="8">
        <v>4.5999999999999996</v>
      </c>
      <c r="F128" s="8" t="s">
        <v>30</v>
      </c>
      <c r="G128" s="8" t="s">
        <v>30</v>
      </c>
      <c r="H128" s="8" t="s">
        <v>30</v>
      </c>
      <c r="I128" s="8" t="s">
        <v>30</v>
      </c>
      <c r="J128" s="9">
        <v>2022</v>
      </c>
      <c r="K128">
        <f t="shared" si="1"/>
        <v>7</v>
      </c>
    </row>
    <row r="129" spans="1:11" x14ac:dyDescent="0.35">
      <c r="A129" s="13">
        <v>44755</v>
      </c>
      <c r="B129" s="8">
        <v>21.6</v>
      </c>
      <c r="C129" s="8">
        <v>19.7</v>
      </c>
      <c r="D129" s="8">
        <v>27.5</v>
      </c>
      <c r="E129" s="8">
        <v>1</v>
      </c>
      <c r="F129" s="8" t="s">
        <v>30</v>
      </c>
      <c r="G129" s="8" t="s">
        <v>30</v>
      </c>
      <c r="H129" s="8" t="s">
        <v>30</v>
      </c>
      <c r="I129" s="8" t="s">
        <v>30</v>
      </c>
      <c r="J129" s="9">
        <v>2022</v>
      </c>
      <c r="K129">
        <f t="shared" si="1"/>
        <v>7</v>
      </c>
    </row>
    <row r="130" spans="1:11" x14ac:dyDescent="0.35">
      <c r="A130" s="13">
        <v>44756</v>
      </c>
      <c r="B130" s="8">
        <v>21.2</v>
      </c>
      <c r="C130" s="8">
        <v>19.5</v>
      </c>
      <c r="D130" s="8">
        <v>24.3</v>
      </c>
      <c r="E130" s="8">
        <v>2</v>
      </c>
      <c r="F130" s="8" t="s">
        <v>30</v>
      </c>
      <c r="G130" s="8" t="s">
        <v>30</v>
      </c>
      <c r="H130" s="8" t="s">
        <v>30</v>
      </c>
      <c r="I130" s="8" t="s">
        <v>30</v>
      </c>
      <c r="J130" s="9">
        <v>2022</v>
      </c>
      <c r="K130">
        <f t="shared" si="1"/>
        <v>7</v>
      </c>
    </row>
    <row r="131" spans="1:11" x14ac:dyDescent="0.35">
      <c r="A131" s="13">
        <v>44757</v>
      </c>
      <c r="B131" s="8">
        <v>22.3</v>
      </c>
      <c r="C131" s="8">
        <v>19.5</v>
      </c>
      <c r="D131" s="8">
        <v>25.6</v>
      </c>
      <c r="E131" s="8">
        <v>2.2999999999999998</v>
      </c>
      <c r="F131" s="8" t="s">
        <v>30</v>
      </c>
      <c r="G131" s="8" t="s">
        <v>30</v>
      </c>
      <c r="H131" s="8" t="s">
        <v>30</v>
      </c>
      <c r="I131" s="8" t="s">
        <v>30</v>
      </c>
      <c r="J131" s="9">
        <v>2022</v>
      </c>
      <c r="K131">
        <f t="shared" si="1"/>
        <v>7</v>
      </c>
    </row>
    <row r="132" spans="1:11" x14ac:dyDescent="0.35">
      <c r="A132" s="13">
        <v>44758</v>
      </c>
      <c r="B132" s="8">
        <v>22</v>
      </c>
      <c r="C132" s="8">
        <v>20.100000000000001</v>
      </c>
      <c r="D132" s="8">
        <v>25.6</v>
      </c>
      <c r="E132" s="8">
        <v>0.5</v>
      </c>
      <c r="F132" s="8" t="s">
        <v>30</v>
      </c>
      <c r="G132" s="8" t="s">
        <v>30</v>
      </c>
      <c r="H132" s="8" t="s">
        <v>30</v>
      </c>
      <c r="I132" s="8" t="s">
        <v>30</v>
      </c>
      <c r="J132" s="9">
        <v>2022</v>
      </c>
      <c r="K132">
        <f t="shared" ref="K132:K140" si="2">MONTH(A132)</f>
        <v>7</v>
      </c>
    </row>
    <row r="133" spans="1:11" x14ac:dyDescent="0.35">
      <c r="A133" s="13">
        <v>44759</v>
      </c>
      <c r="B133" s="8">
        <v>23.2</v>
      </c>
      <c r="C133" s="8">
        <v>20.2</v>
      </c>
      <c r="D133" s="8">
        <v>25.3</v>
      </c>
      <c r="E133" s="8">
        <v>0</v>
      </c>
      <c r="F133" s="8" t="s">
        <v>30</v>
      </c>
      <c r="G133" s="8" t="s">
        <v>30</v>
      </c>
      <c r="H133" s="8" t="s">
        <v>30</v>
      </c>
      <c r="I133" s="8" t="s">
        <v>30</v>
      </c>
      <c r="J133" s="9">
        <v>2022</v>
      </c>
      <c r="K133">
        <f t="shared" si="2"/>
        <v>7</v>
      </c>
    </row>
    <row r="134" spans="1:11" x14ac:dyDescent="0.35">
      <c r="A134" s="13">
        <v>44760</v>
      </c>
      <c r="B134" s="8">
        <v>22.6</v>
      </c>
      <c r="C134" s="8">
        <v>20.9</v>
      </c>
      <c r="D134" s="8">
        <v>27.5</v>
      </c>
      <c r="E134" s="8">
        <v>0.3</v>
      </c>
      <c r="F134" s="8" t="s">
        <v>30</v>
      </c>
      <c r="G134" s="8" t="s">
        <v>30</v>
      </c>
      <c r="H134" s="8" t="s">
        <v>30</v>
      </c>
      <c r="I134" s="8" t="s">
        <v>30</v>
      </c>
      <c r="J134" s="9">
        <v>2022</v>
      </c>
      <c r="K134">
        <f t="shared" si="2"/>
        <v>7</v>
      </c>
    </row>
    <row r="135" spans="1:11" x14ac:dyDescent="0.35">
      <c r="A135" s="13">
        <v>44761</v>
      </c>
      <c r="B135" s="8">
        <v>24.7</v>
      </c>
      <c r="C135" s="8">
        <v>20.100000000000001</v>
      </c>
      <c r="D135" s="8">
        <v>29.6</v>
      </c>
      <c r="E135" s="8">
        <v>0.3</v>
      </c>
      <c r="F135" s="8" t="s">
        <v>30</v>
      </c>
      <c r="G135" s="8" t="s">
        <v>30</v>
      </c>
      <c r="H135" s="8" t="s">
        <v>30</v>
      </c>
      <c r="I135" s="8" t="s">
        <v>30</v>
      </c>
      <c r="J135" s="9">
        <v>2022</v>
      </c>
      <c r="K135">
        <f t="shared" si="2"/>
        <v>7</v>
      </c>
    </row>
    <row r="136" spans="1:11" x14ac:dyDescent="0.35">
      <c r="A136" s="13">
        <v>44762</v>
      </c>
      <c r="B136" s="8">
        <v>24.9</v>
      </c>
      <c r="C136" s="8">
        <v>19.8</v>
      </c>
      <c r="D136" s="8">
        <v>30.8</v>
      </c>
      <c r="E136" s="8">
        <v>0</v>
      </c>
      <c r="F136" s="8" t="s">
        <v>30</v>
      </c>
      <c r="G136" s="8" t="s">
        <v>30</v>
      </c>
      <c r="H136" s="8" t="s">
        <v>30</v>
      </c>
      <c r="I136" s="8" t="s">
        <v>30</v>
      </c>
      <c r="J136" s="9">
        <v>2022</v>
      </c>
      <c r="K136">
        <f t="shared" si="2"/>
        <v>7</v>
      </c>
    </row>
    <row r="137" spans="1:11" x14ac:dyDescent="0.35">
      <c r="A137" s="13">
        <v>44764</v>
      </c>
      <c r="B137" s="8">
        <v>23.2</v>
      </c>
      <c r="C137" s="8">
        <v>21.1</v>
      </c>
      <c r="D137" s="8">
        <v>27.9</v>
      </c>
      <c r="E137" s="8">
        <v>0</v>
      </c>
      <c r="F137" s="8" t="s">
        <v>30</v>
      </c>
      <c r="G137" s="8" t="s">
        <v>30</v>
      </c>
      <c r="H137" s="8" t="s">
        <v>30</v>
      </c>
      <c r="I137" s="8" t="s">
        <v>30</v>
      </c>
      <c r="J137" s="9">
        <v>2022</v>
      </c>
      <c r="K137">
        <f t="shared" si="2"/>
        <v>7</v>
      </c>
    </row>
    <row r="138" spans="1:11" x14ac:dyDescent="0.35">
      <c r="A138" s="13">
        <v>44765</v>
      </c>
      <c r="B138" s="8">
        <v>23.1</v>
      </c>
      <c r="C138" s="8">
        <v>20.9</v>
      </c>
      <c r="D138" s="8">
        <v>26.7</v>
      </c>
      <c r="E138" s="8">
        <v>0</v>
      </c>
      <c r="F138" s="8" t="s">
        <v>30</v>
      </c>
      <c r="G138" s="8" t="s">
        <v>30</v>
      </c>
      <c r="H138" s="8" t="s">
        <v>30</v>
      </c>
      <c r="I138" s="8" t="s">
        <v>30</v>
      </c>
      <c r="J138" s="9">
        <v>2022</v>
      </c>
      <c r="K138">
        <f t="shared" si="2"/>
        <v>7</v>
      </c>
    </row>
    <row r="139" spans="1:11" x14ac:dyDescent="0.35">
      <c r="A139" s="13">
        <v>44766</v>
      </c>
      <c r="B139" s="8">
        <v>22.8</v>
      </c>
      <c r="C139" s="8">
        <v>20</v>
      </c>
      <c r="D139" s="8">
        <v>26.7</v>
      </c>
      <c r="E139" s="8">
        <v>0.3</v>
      </c>
      <c r="F139" s="8" t="s">
        <v>30</v>
      </c>
      <c r="G139" s="8" t="s">
        <v>30</v>
      </c>
      <c r="H139" s="8" t="s">
        <v>30</v>
      </c>
      <c r="I139" s="8" t="s">
        <v>30</v>
      </c>
      <c r="J139" s="9">
        <v>2022</v>
      </c>
      <c r="K139">
        <f t="shared" si="2"/>
        <v>7</v>
      </c>
    </row>
    <row r="140" spans="1:11" x14ac:dyDescent="0.35">
      <c r="A140" s="18">
        <v>44767</v>
      </c>
      <c r="B140" s="10">
        <v>24.1</v>
      </c>
      <c r="C140" s="10">
        <v>20.2</v>
      </c>
      <c r="D140" s="10">
        <v>28.5</v>
      </c>
      <c r="E140" s="10">
        <v>0.5</v>
      </c>
      <c r="F140" s="10" t="s">
        <v>30</v>
      </c>
      <c r="G140" s="10" t="s">
        <v>30</v>
      </c>
      <c r="H140" s="10" t="s">
        <v>30</v>
      </c>
      <c r="I140" s="10" t="s">
        <v>30</v>
      </c>
      <c r="J140" s="11">
        <v>2022</v>
      </c>
      <c r="K140">
        <f t="shared" si="2"/>
        <v>7</v>
      </c>
    </row>
    <row r="142" spans="1:11" x14ac:dyDescent="0.35">
      <c r="D142" s="19" t="s">
        <v>24</v>
      </c>
      <c r="E142" s="19"/>
      <c r="F142" s="19" t="s">
        <v>24</v>
      </c>
      <c r="G142" s="19"/>
    </row>
    <row r="143" spans="1:11" x14ac:dyDescent="0.35">
      <c r="A143" s="3" t="s">
        <v>20</v>
      </c>
      <c r="B143" t="s">
        <v>22</v>
      </c>
      <c r="C143" t="s">
        <v>23</v>
      </c>
      <c r="D143" s="5" t="s">
        <v>22</v>
      </c>
      <c r="E143" s="5" t="s">
        <v>23</v>
      </c>
      <c r="F143" s="5" t="s">
        <v>22</v>
      </c>
      <c r="G143" s="5" t="s">
        <v>23</v>
      </c>
    </row>
    <row r="144" spans="1:11" x14ac:dyDescent="0.35">
      <c r="A144" s="4" t="s">
        <v>36</v>
      </c>
      <c r="B144">
        <v>3367.699999999998</v>
      </c>
      <c r="C144">
        <v>160.20000000000002</v>
      </c>
      <c r="D144">
        <f>( 553.71*(A144*A144) - 2480*A144 + 6682.7)</f>
        <v>11736.260000000002</v>
      </c>
      <c r="E144">
        <f xml:space="preserve"> 192.25*(A144^2) - 1147.2*A144 + 2580.8</f>
        <v>2618.5999999999995</v>
      </c>
      <c r="F144">
        <f xml:space="preserve"> 842.23*A144 + 2806.8</f>
        <v>7860.18</v>
      </c>
      <c r="G144">
        <f xml:space="preserve"> 6.33*A144+ 1235.1</f>
        <v>1273.08</v>
      </c>
    </row>
    <row r="145" spans="1:3" x14ac:dyDescent="0.35">
      <c r="A145" s="4" t="s">
        <v>21</v>
      </c>
      <c r="B145">
        <v>3367.699999999998</v>
      </c>
      <c r="C145">
        <v>160.20000000000002</v>
      </c>
    </row>
    <row r="146" spans="1:3" x14ac:dyDescent="0.35">
      <c r="A146"/>
    </row>
    <row r="147" spans="1:3" x14ac:dyDescent="0.35">
      <c r="A147"/>
    </row>
    <row r="148" spans="1:3" x14ac:dyDescent="0.35">
      <c r="A148"/>
    </row>
    <row r="149" spans="1:3" x14ac:dyDescent="0.35">
      <c r="A149"/>
    </row>
    <row r="150" spans="1:3" x14ac:dyDescent="0.35">
      <c r="A150"/>
    </row>
    <row r="151" spans="1:3" x14ac:dyDescent="0.35">
      <c r="A151"/>
    </row>
    <row r="152" spans="1:3" x14ac:dyDescent="0.35">
      <c r="A152"/>
    </row>
    <row r="153" spans="1:3" x14ac:dyDescent="0.35">
      <c r="A153"/>
    </row>
    <row r="154" spans="1:3" x14ac:dyDescent="0.35">
      <c r="A154"/>
    </row>
    <row r="155" spans="1:3" x14ac:dyDescent="0.35">
      <c r="A155"/>
    </row>
    <row r="156" spans="1:3" x14ac:dyDescent="0.35">
      <c r="A156"/>
    </row>
    <row r="157" spans="1:3" x14ac:dyDescent="0.35">
      <c r="A157"/>
    </row>
    <row r="158" spans="1:3" x14ac:dyDescent="0.35">
      <c r="A158"/>
    </row>
    <row r="159" spans="1:3" x14ac:dyDescent="0.35">
      <c r="A159"/>
    </row>
    <row r="160" spans="1:3" x14ac:dyDescent="0.35">
      <c r="A160"/>
    </row>
  </sheetData>
  <mergeCells count="2">
    <mergeCell ref="D142:E142"/>
    <mergeCell ref="F142:G142"/>
  </mergeCell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8216B-EFA7-49CA-901D-F28A1CB5946F}">
  <dimension ref="A1:P1122"/>
  <sheetViews>
    <sheetView topLeftCell="A77" zoomScaleNormal="100" workbookViewId="0">
      <selection activeCell="A3" sqref="A3:K3"/>
    </sheetView>
  </sheetViews>
  <sheetFormatPr defaultRowHeight="14.5" x14ac:dyDescent="0.35"/>
  <cols>
    <col min="1" max="1" width="10.54296875" style="1" bestFit="1" customWidth="1"/>
    <col min="6" max="7" width="11.54296875" customWidth="1"/>
    <col min="8" max="8" width="11.6328125" customWidth="1"/>
    <col min="9" max="9" width="11.453125" customWidth="1"/>
    <col min="10" max="10" width="6.54296875" customWidth="1"/>
    <col min="15" max="15" width="17.453125" bestFit="1" customWidth="1"/>
  </cols>
  <sheetData>
    <row r="1" spans="1:16" x14ac:dyDescent="0.35">
      <c r="A1" s="1" t="s">
        <v>25</v>
      </c>
    </row>
    <row r="3" spans="1:16" x14ac:dyDescent="0.35">
      <c r="A3" s="14" t="s">
        <v>0</v>
      </c>
      <c r="B3" s="15" t="s">
        <v>1</v>
      </c>
      <c r="C3" s="15" t="s">
        <v>2</v>
      </c>
      <c r="D3" s="15" t="s">
        <v>3</v>
      </c>
      <c r="E3" s="15" t="s">
        <v>4</v>
      </c>
      <c r="F3" s="15" t="s">
        <v>15</v>
      </c>
      <c r="G3" s="15" t="s">
        <v>16</v>
      </c>
      <c r="H3" s="15" t="s">
        <v>17</v>
      </c>
      <c r="I3" s="15" t="s">
        <v>18</v>
      </c>
      <c r="J3" s="15" t="s">
        <v>39</v>
      </c>
      <c r="K3" s="15" t="s">
        <v>40</v>
      </c>
    </row>
    <row r="4" spans="1:16" hidden="1" x14ac:dyDescent="0.35">
      <c r="A4" s="13">
        <v>42757</v>
      </c>
      <c r="B4" s="8">
        <v>23.3</v>
      </c>
      <c r="C4" s="8">
        <v>16.8</v>
      </c>
      <c r="D4" s="8">
        <v>29.1</v>
      </c>
      <c r="E4" s="8">
        <v>0</v>
      </c>
      <c r="F4" s="8" t="str">
        <f>IF(OR(B4&lt;outliers!$B$7,B4&gt;outliers!$B$6),"Outlier","Normal")</f>
        <v>Normal</v>
      </c>
      <c r="G4" s="8" t="str">
        <f>IF(OR(C4&lt;outliers!$B$14,C4&gt;outliers!$B$13),"Outlier","Normal")</f>
        <v>Outlier</v>
      </c>
      <c r="H4" s="8" t="str">
        <f>IF(OR(D4&lt;outliers!$B$21,D4&gt;outliers!$B$20),"Outlier","Normal")</f>
        <v>Normal</v>
      </c>
      <c r="I4" s="8" t="str">
        <f>IF(OR(E4&lt;outliers!$C$28,E4&gt;outliers!$B$27),"Outlier","Normal")</f>
        <v>Normal</v>
      </c>
      <c r="J4" s="8">
        <f t="shared" ref="J4:J67" si="0">YEAR(A4)</f>
        <v>2017</v>
      </c>
      <c r="K4">
        <f t="shared" ref="K4:K67" si="1">MONTH(A4)</f>
        <v>1</v>
      </c>
      <c r="O4" s="16"/>
      <c r="P4" s="16"/>
    </row>
    <row r="5" spans="1:16" x14ac:dyDescent="0.35">
      <c r="A5" s="13">
        <v>42761</v>
      </c>
      <c r="B5" s="8">
        <v>21.9</v>
      </c>
      <c r="C5" s="8">
        <v>18.3</v>
      </c>
      <c r="D5" s="8">
        <v>29.2</v>
      </c>
      <c r="E5" s="8">
        <v>0</v>
      </c>
      <c r="F5" s="8" t="str">
        <f>IF(OR(B5&lt;outliers!$B$7,B5&gt;outliers!$B$6),"Outlier","Normal")</f>
        <v>Normal</v>
      </c>
      <c r="G5" s="8" t="str">
        <f>IF(OR(C5&lt;outliers!$B$14,C5&gt;outliers!$B$13),"Outlier","Normal")</f>
        <v>Normal</v>
      </c>
      <c r="H5" s="8" t="str">
        <f>IF(OR(D5&lt;outliers!$B$21,D5&gt;outliers!$B$20),"Outlier","Normal")</f>
        <v>Normal</v>
      </c>
      <c r="I5" s="8" t="str">
        <f>IF(OR(E5&lt;outliers!$C$28,E5&gt;outliers!$B$27),"Outlier","Normal")</f>
        <v>Normal</v>
      </c>
      <c r="J5" s="8">
        <f t="shared" si="0"/>
        <v>2017</v>
      </c>
      <c r="K5">
        <f t="shared" si="1"/>
        <v>1</v>
      </c>
    </row>
    <row r="6" spans="1:16" x14ac:dyDescent="0.35">
      <c r="A6" s="13">
        <v>42762</v>
      </c>
      <c r="B6" s="8">
        <v>22.1</v>
      </c>
      <c r="C6" s="8">
        <v>19.7</v>
      </c>
      <c r="D6" s="8">
        <v>26</v>
      </c>
      <c r="E6" s="8">
        <v>0.3</v>
      </c>
      <c r="F6" s="8" t="str">
        <f>IF(OR(B6&lt;outliers!$B$7,B6&gt;outliers!$B$6),"Outlier","Normal")</f>
        <v>Normal</v>
      </c>
      <c r="G6" s="8" t="str">
        <f>IF(OR(C6&lt;outliers!$B$14,C6&gt;outliers!$B$13),"Outlier","Normal")</f>
        <v>Normal</v>
      </c>
      <c r="H6" s="8" t="str">
        <f>IF(OR(D6&lt;outliers!$B$21,D6&gt;outliers!$B$20),"Outlier","Normal")</f>
        <v>Normal</v>
      </c>
      <c r="I6" s="8" t="str">
        <f>IF(OR(E6&lt;outliers!$C$28,E6&gt;outliers!$B$27),"Outlier","Normal")</f>
        <v>Normal</v>
      </c>
      <c r="J6" s="8">
        <f t="shared" si="0"/>
        <v>2017</v>
      </c>
      <c r="K6">
        <f t="shared" si="1"/>
        <v>1</v>
      </c>
    </row>
    <row r="7" spans="1:16" x14ac:dyDescent="0.35">
      <c r="A7" s="13">
        <v>42763</v>
      </c>
      <c r="B7" s="8">
        <v>22.7</v>
      </c>
      <c r="C7" s="8">
        <v>20</v>
      </c>
      <c r="D7" s="8">
        <v>26.7</v>
      </c>
      <c r="E7" s="8">
        <v>0</v>
      </c>
      <c r="F7" s="8" t="str">
        <f>IF(OR(B7&lt;outliers!$B$7,B7&gt;outliers!$B$6),"Outlier","Normal")</f>
        <v>Normal</v>
      </c>
      <c r="G7" s="8" t="str">
        <f>IF(OR(C7&lt;outliers!$B$14,C7&gt;outliers!$B$13),"Outlier","Normal")</f>
        <v>Normal</v>
      </c>
      <c r="H7" s="8" t="str">
        <f>IF(OR(D7&lt;outliers!$B$21,D7&gt;outliers!$B$20),"Outlier","Normal")</f>
        <v>Normal</v>
      </c>
      <c r="I7" s="8" t="str">
        <f>IF(OR(E7&lt;outliers!$C$28,E7&gt;outliers!$B$27),"Outlier","Normal")</f>
        <v>Normal</v>
      </c>
      <c r="J7" s="8">
        <f t="shared" si="0"/>
        <v>2017</v>
      </c>
      <c r="K7">
        <f t="shared" si="1"/>
        <v>1</v>
      </c>
    </row>
    <row r="8" spans="1:16" x14ac:dyDescent="0.35">
      <c r="A8" s="13">
        <v>42764</v>
      </c>
      <c r="B8" s="8">
        <v>23.7</v>
      </c>
      <c r="C8" s="8">
        <v>19.2</v>
      </c>
      <c r="D8" s="8">
        <v>29</v>
      </c>
      <c r="E8" s="8">
        <v>0</v>
      </c>
      <c r="F8" s="8" t="str">
        <f>IF(OR(B8&lt;outliers!$B$7,B8&gt;outliers!$B$6),"Outlier","Normal")</f>
        <v>Normal</v>
      </c>
      <c r="G8" s="8" t="str">
        <f>IF(OR(C8&lt;outliers!$B$14,C8&gt;outliers!$B$13),"Outlier","Normal")</f>
        <v>Normal</v>
      </c>
      <c r="H8" s="8" t="str">
        <f>IF(OR(D8&lt;outliers!$B$21,D8&gt;outliers!$B$20),"Outlier","Normal")</f>
        <v>Normal</v>
      </c>
      <c r="I8" s="8" t="str">
        <f>IF(OR(E8&lt;outliers!$C$28,E8&gt;outliers!$B$27),"Outlier","Normal")</f>
        <v>Normal</v>
      </c>
      <c r="J8" s="8">
        <f t="shared" si="0"/>
        <v>2017</v>
      </c>
      <c r="K8">
        <f t="shared" si="1"/>
        <v>1</v>
      </c>
    </row>
    <row r="9" spans="1:16" x14ac:dyDescent="0.35">
      <c r="A9" s="13">
        <v>42801</v>
      </c>
      <c r="B9" s="8">
        <v>26.2</v>
      </c>
      <c r="C9" s="8">
        <v>21.5</v>
      </c>
      <c r="D9" s="8">
        <v>33.1</v>
      </c>
      <c r="E9" s="8">
        <v>8.4</v>
      </c>
      <c r="F9" s="8" t="str">
        <f>IF(OR(B9&lt;outliers!$B$7,B9&gt;outliers!$B$6),"Outlier","Normal")</f>
        <v>Normal</v>
      </c>
      <c r="G9" s="8" t="str">
        <f>IF(OR(C9&lt;outliers!$B$14,C9&gt;outliers!$B$13),"Outlier","Normal")</f>
        <v>Normal</v>
      </c>
      <c r="H9" s="8" t="str">
        <f>IF(OR(D9&lt;outliers!$B$21,D9&gt;outliers!$B$20),"Outlier","Normal")</f>
        <v>Normal</v>
      </c>
      <c r="I9" s="8" t="str">
        <f>IF(OR(E9&lt;outliers!$C$28,E9&gt;outliers!$B$27),"Outlier","Normal")</f>
        <v>Normal</v>
      </c>
      <c r="J9" s="8">
        <f t="shared" si="0"/>
        <v>2017</v>
      </c>
      <c r="K9">
        <f t="shared" si="1"/>
        <v>3</v>
      </c>
    </row>
    <row r="10" spans="1:16" hidden="1" x14ac:dyDescent="0.35">
      <c r="A10" s="13">
        <v>42802</v>
      </c>
      <c r="B10" s="8">
        <v>25.6</v>
      </c>
      <c r="C10" s="8">
        <v>21.1</v>
      </c>
      <c r="D10" s="8">
        <v>33.799999999999997</v>
      </c>
      <c r="E10" s="8">
        <v>36.799999999999997</v>
      </c>
      <c r="F10" s="8" t="str">
        <f>IF(OR(B10&lt;outliers!$B$7,B10&gt;outliers!$B$6),"Outlier","Normal")</f>
        <v>Normal</v>
      </c>
      <c r="G10" s="8" t="str">
        <f>IF(OR(C10&lt;outliers!$B$14,C10&gt;outliers!$B$13),"Outlier","Normal")</f>
        <v>Normal</v>
      </c>
      <c r="H10" s="8" t="str">
        <f>IF(OR(D10&lt;outliers!$B$21,D10&gt;outliers!$B$20),"Outlier","Normal")</f>
        <v>Normal</v>
      </c>
      <c r="I10" s="8" t="str">
        <f>IF(OR(E10&lt;outliers!$C$28,E10&gt;outliers!$B$27),"Outlier","Normal")</f>
        <v>Outlier</v>
      </c>
      <c r="J10" s="8">
        <f t="shared" si="0"/>
        <v>2017</v>
      </c>
      <c r="K10">
        <f t="shared" si="1"/>
        <v>3</v>
      </c>
    </row>
    <row r="11" spans="1:16" x14ac:dyDescent="0.35">
      <c r="A11" s="13">
        <v>42803</v>
      </c>
      <c r="B11" s="8">
        <v>26.7</v>
      </c>
      <c r="C11" s="8">
        <v>21.2</v>
      </c>
      <c r="D11" s="8">
        <v>32.1</v>
      </c>
      <c r="E11" s="8">
        <v>0</v>
      </c>
      <c r="F11" s="8" t="str">
        <f>IF(OR(B11&lt;outliers!$B$7,B11&gt;outliers!$B$6),"Outlier","Normal")</f>
        <v>Normal</v>
      </c>
      <c r="G11" s="8" t="str">
        <f>IF(OR(C11&lt;outliers!$B$14,C11&gt;outliers!$B$13),"Outlier","Normal")</f>
        <v>Normal</v>
      </c>
      <c r="H11" s="8" t="str">
        <f>IF(OR(D11&lt;outliers!$B$21,D11&gt;outliers!$B$20),"Outlier","Normal")</f>
        <v>Normal</v>
      </c>
      <c r="I11" s="8" t="str">
        <f>IF(OR(E11&lt;outliers!$C$28,E11&gt;outliers!$B$27),"Outlier","Normal")</f>
        <v>Normal</v>
      </c>
      <c r="J11" s="8">
        <f t="shared" si="0"/>
        <v>2017</v>
      </c>
      <c r="K11">
        <f t="shared" si="1"/>
        <v>3</v>
      </c>
    </row>
    <row r="12" spans="1:16" x14ac:dyDescent="0.35">
      <c r="A12" s="13">
        <v>42805</v>
      </c>
      <c r="B12" s="8">
        <v>27.2</v>
      </c>
      <c r="C12" s="8">
        <v>21</v>
      </c>
      <c r="D12" s="8">
        <v>33.5</v>
      </c>
      <c r="E12" s="8">
        <v>0</v>
      </c>
      <c r="F12" s="8" t="str">
        <f>IF(OR(B12&lt;outliers!$B$7,B12&gt;outliers!$B$6),"Outlier","Normal")</f>
        <v>Normal</v>
      </c>
      <c r="G12" s="8" t="str">
        <f>IF(OR(C12&lt;outliers!$B$14,C12&gt;outliers!$B$13),"Outlier","Normal")</f>
        <v>Normal</v>
      </c>
      <c r="H12" s="8" t="str">
        <f>IF(OR(D12&lt;outliers!$B$21,D12&gt;outliers!$B$20),"Outlier","Normal")</f>
        <v>Normal</v>
      </c>
      <c r="I12" s="8" t="str">
        <f>IF(OR(E12&lt;outliers!$C$28,E12&gt;outliers!$B$27),"Outlier","Normal")</f>
        <v>Normal</v>
      </c>
      <c r="J12" s="8">
        <f t="shared" si="0"/>
        <v>2017</v>
      </c>
      <c r="K12">
        <f t="shared" si="1"/>
        <v>3</v>
      </c>
    </row>
    <row r="13" spans="1:16" x14ac:dyDescent="0.35">
      <c r="A13" s="13">
        <v>42808</v>
      </c>
      <c r="B13" s="8">
        <v>25.1</v>
      </c>
      <c r="C13" s="8">
        <v>22</v>
      </c>
      <c r="D13" s="8">
        <v>34</v>
      </c>
      <c r="E13" s="8">
        <v>0</v>
      </c>
      <c r="F13" s="8" t="str">
        <f>IF(OR(B13&lt;outliers!$B$7,B13&gt;outliers!$B$6),"Outlier","Normal")</f>
        <v>Normal</v>
      </c>
      <c r="G13" s="8" t="str">
        <f>IF(OR(C13&lt;outliers!$B$14,C13&gt;outliers!$B$13),"Outlier","Normal")</f>
        <v>Normal</v>
      </c>
      <c r="H13" s="8" t="str">
        <f>IF(OR(D13&lt;outliers!$B$21,D13&gt;outliers!$B$20),"Outlier","Normal")</f>
        <v>Normal</v>
      </c>
      <c r="I13" s="8" t="str">
        <f>IF(OR(E13&lt;outliers!$C$28,E13&gt;outliers!$B$27),"Outlier","Normal")</f>
        <v>Normal</v>
      </c>
      <c r="J13" s="8">
        <f t="shared" si="0"/>
        <v>2017</v>
      </c>
      <c r="K13">
        <f t="shared" si="1"/>
        <v>3</v>
      </c>
    </row>
    <row r="14" spans="1:16" x14ac:dyDescent="0.35">
      <c r="A14" s="13">
        <v>42809</v>
      </c>
      <c r="B14" s="8">
        <v>25.3</v>
      </c>
      <c r="C14" s="8">
        <v>20.8</v>
      </c>
      <c r="D14" s="8">
        <v>30.4</v>
      </c>
      <c r="E14" s="8">
        <v>0</v>
      </c>
      <c r="F14" s="8" t="str">
        <f>IF(OR(B14&lt;outliers!$B$7,B14&gt;outliers!$B$6),"Outlier","Normal")</f>
        <v>Normal</v>
      </c>
      <c r="G14" s="8" t="str">
        <f>IF(OR(C14&lt;outliers!$B$14,C14&gt;outliers!$B$13),"Outlier","Normal")</f>
        <v>Normal</v>
      </c>
      <c r="H14" s="8" t="str">
        <f>IF(OR(D14&lt;outliers!$B$21,D14&gt;outliers!$B$20),"Outlier","Normal")</f>
        <v>Normal</v>
      </c>
      <c r="I14" s="8" t="str">
        <f>IF(OR(E14&lt;outliers!$C$28,E14&gt;outliers!$B$27),"Outlier","Normal")</f>
        <v>Normal</v>
      </c>
      <c r="J14" s="8">
        <f t="shared" si="0"/>
        <v>2017</v>
      </c>
      <c r="K14">
        <f t="shared" si="1"/>
        <v>3</v>
      </c>
    </row>
    <row r="15" spans="1:16" x14ac:dyDescent="0.35">
      <c r="A15" s="13">
        <v>42830</v>
      </c>
      <c r="B15" s="8">
        <v>27.3</v>
      </c>
      <c r="C15" s="8">
        <v>21.2</v>
      </c>
      <c r="D15" s="8">
        <v>36.1</v>
      </c>
      <c r="E15" s="8">
        <v>0</v>
      </c>
      <c r="F15" s="8" t="str">
        <f>IF(OR(B15&lt;outliers!$B$7,B15&gt;outliers!$B$6),"Outlier","Normal")</f>
        <v>Normal</v>
      </c>
      <c r="G15" s="8" t="str">
        <f>IF(OR(C15&lt;outliers!$B$14,C15&gt;outliers!$B$13),"Outlier","Normal")</f>
        <v>Normal</v>
      </c>
      <c r="H15" s="8" t="str">
        <f>IF(OR(D15&lt;outliers!$B$21,D15&gt;outliers!$B$20),"Outlier","Normal")</f>
        <v>Normal</v>
      </c>
      <c r="I15" s="8" t="str">
        <f>IF(OR(E15&lt;outliers!$C$28,E15&gt;outliers!$B$27),"Outlier","Normal")</f>
        <v>Normal</v>
      </c>
      <c r="J15" s="8">
        <f t="shared" si="0"/>
        <v>2017</v>
      </c>
      <c r="K15">
        <f t="shared" si="1"/>
        <v>4</v>
      </c>
    </row>
    <row r="16" spans="1:16" x14ac:dyDescent="0.35">
      <c r="A16" s="13">
        <v>42831</v>
      </c>
      <c r="B16" s="8">
        <v>27.8</v>
      </c>
      <c r="C16" s="8">
        <v>22.4</v>
      </c>
      <c r="D16" s="8">
        <v>35.5</v>
      </c>
      <c r="E16" s="8">
        <v>3.6</v>
      </c>
      <c r="F16" s="8" t="str">
        <f>IF(OR(B16&lt;outliers!$B$7,B16&gt;outliers!$B$6),"Outlier","Normal")</f>
        <v>Normal</v>
      </c>
      <c r="G16" s="8" t="str">
        <f>IF(OR(C16&lt;outliers!$B$14,C16&gt;outliers!$B$13),"Outlier","Normal")</f>
        <v>Normal</v>
      </c>
      <c r="H16" s="8" t="str">
        <f>IF(OR(D16&lt;outliers!$B$21,D16&gt;outliers!$B$20),"Outlier","Normal")</f>
        <v>Normal</v>
      </c>
      <c r="I16" s="8" t="str">
        <f>IF(OR(E16&lt;outliers!$C$28,E16&gt;outliers!$B$27),"Outlier","Normal")</f>
        <v>Normal</v>
      </c>
      <c r="J16" s="8">
        <f t="shared" si="0"/>
        <v>2017</v>
      </c>
      <c r="K16">
        <f t="shared" si="1"/>
        <v>4</v>
      </c>
    </row>
    <row r="17" spans="1:11" hidden="1" x14ac:dyDescent="0.35">
      <c r="A17" s="13">
        <v>42832</v>
      </c>
      <c r="B17" s="8">
        <v>28.5</v>
      </c>
      <c r="C17" s="8">
        <v>22.5</v>
      </c>
      <c r="D17" s="8">
        <v>35.5</v>
      </c>
      <c r="E17" s="8">
        <v>0.5</v>
      </c>
      <c r="F17" s="8" t="str">
        <f>IF(OR(B17&lt;outliers!$B$7,B17&gt;outliers!$B$6),"Outlier","Normal")</f>
        <v>Outlier</v>
      </c>
      <c r="G17" s="8" t="str">
        <f>IF(OR(C17&lt;outliers!$B$14,C17&gt;outliers!$B$13),"Outlier","Normal")</f>
        <v>Normal</v>
      </c>
      <c r="H17" s="8" t="str">
        <f>IF(OR(D17&lt;outliers!$B$21,D17&gt;outliers!$B$20),"Outlier","Normal")</f>
        <v>Normal</v>
      </c>
      <c r="I17" s="8" t="str">
        <f>IF(OR(E17&lt;outliers!$C$28,E17&gt;outliers!$B$27),"Outlier","Normal")</f>
        <v>Normal</v>
      </c>
      <c r="J17" s="8">
        <f t="shared" si="0"/>
        <v>2017</v>
      </c>
      <c r="K17">
        <f t="shared" si="1"/>
        <v>4</v>
      </c>
    </row>
    <row r="18" spans="1:11" x14ac:dyDescent="0.35">
      <c r="A18" s="13">
        <v>42842</v>
      </c>
      <c r="B18" s="8">
        <v>25.7</v>
      </c>
      <c r="C18" s="8">
        <v>22.2</v>
      </c>
      <c r="D18" s="8">
        <v>36.200000000000003</v>
      </c>
      <c r="E18" s="8">
        <v>0.5</v>
      </c>
      <c r="F18" s="8" t="str">
        <f>IF(OR(B18&lt;outliers!$B$7,B18&gt;outliers!$B$6),"Outlier","Normal")</f>
        <v>Normal</v>
      </c>
      <c r="G18" s="8" t="str">
        <f>IF(OR(C18&lt;outliers!$B$14,C18&gt;outliers!$B$13),"Outlier","Normal")</f>
        <v>Normal</v>
      </c>
      <c r="H18" s="8" t="str">
        <f>IF(OR(D18&lt;outliers!$B$21,D18&gt;outliers!$B$20),"Outlier","Normal")</f>
        <v>Normal</v>
      </c>
      <c r="I18" s="8" t="str">
        <f>IF(OR(E18&lt;outliers!$C$28,E18&gt;outliers!$B$27),"Outlier","Normal")</f>
        <v>Normal</v>
      </c>
      <c r="J18" s="8">
        <f t="shared" si="0"/>
        <v>2017</v>
      </c>
      <c r="K18">
        <f t="shared" si="1"/>
        <v>4</v>
      </c>
    </row>
    <row r="19" spans="1:11" hidden="1" x14ac:dyDescent="0.35">
      <c r="A19" s="13">
        <v>42843</v>
      </c>
      <c r="B19" s="8">
        <v>28.5</v>
      </c>
      <c r="C19" s="8">
        <v>20.6</v>
      </c>
      <c r="D19" s="8">
        <v>35</v>
      </c>
      <c r="E19" s="8">
        <v>15</v>
      </c>
      <c r="F19" s="8" t="str">
        <f>IF(OR(B19&lt;outliers!$B$7,B19&gt;outliers!$B$6),"Outlier","Normal")</f>
        <v>Outlier</v>
      </c>
      <c r="G19" s="8" t="str">
        <f>IF(OR(C19&lt;outliers!$B$14,C19&gt;outliers!$B$13),"Outlier","Normal")</f>
        <v>Normal</v>
      </c>
      <c r="H19" s="8" t="str">
        <f>IF(OR(D19&lt;outliers!$B$21,D19&gt;outliers!$B$20),"Outlier","Normal")</f>
        <v>Normal</v>
      </c>
      <c r="I19" s="8" t="str">
        <f>IF(OR(E19&lt;outliers!$C$28,E19&gt;outliers!$B$27),"Outlier","Normal")</f>
        <v>Outlier</v>
      </c>
      <c r="J19" s="8">
        <f t="shared" si="0"/>
        <v>2017</v>
      </c>
      <c r="K19">
        <f t="shared" si="1"/>
        <v>4</v>
      </c>
    </row>
    <row r="20" spans="1:11" x14ac:dyDescent="0.35">
      <c r="A20" s="13">
        <v>42845</v>
      </c>
      <c r="B20" s="8">
        <v>26.6</v>
      </c>
      <c r="C20" s="8">
        <v>22.8</v>
      </c>
      <c r="D20" s="8">
        <v>35.700000000000003</v>
      </c>
      <c r="E20" s="8">
        <v>0.3</v>
      </c>
      <c r="F20" s="8" t="str">
        <f>IF(OR(B20&lt;outliers!$B$7,B20&gt;outliers!$B$6),"Outlier","Normal")</f>
        <v>Normal</v>
      </c>
      <c r="G20" s="8" t="str">
        <f>IF(OR(C20&lt;outliers!$B$14,C20&gt;outliers!$B$13),"Outlier","Normal")</f>
        <v>Normal</v>
      </c>
      <c r="H20" s="8" t="str">
        <f>IF(OR(D20&lt;outliers!$B$21,D20&gt;outliers!$B$20),"Outlier","Normal")</f>
        <v>Normal</v>
      </c>
      <c r="I20" s="8" t="str">
        <f>IF(OR(E20&lt;outliers!$C$28,E20&gt;outliers!$B$27),"Outlier","Normal")</f>
        <v>Normal</v>
      </c>
      <c r="J20" s="8">
        <f t="shared" si="0"/>
        <v>2017</v>
      </c>
      <c r="K20">
        <f t="shared" si="1"/>
        <v>4</v>
      </c>
    </row>
    <row r="21" spans="1:11" x14ac:dyDescent="0.35">
      <c r="A21" s="13">
        <v>42846</v>
      </c>
      <c r="B21" s="8">
        <v>26.8</v>
      </c>
      <c r="C21" s="8">
        <v>21.7</v>
      </c>
      <c r="D21" s="8">
        <v>35.200000000000003</v>
      </c>
      <c r="E21" s="8">
        <v>1</v>
      </c>
      <c r="F21" s="8" t="str">
        <f>IF(OR(B21&lt;outliers!$B$7,B21&gt;outliers!$B$6),"Outlier","Normal")</f>
        <v>Normal</v>
      </c>
      <c r="G21" s="8" t="str">
        <f>IF(OR(C21&lt;outliers!$B$14,C21&gt;outliers!$B$13),"Outlier","Normal")</f>
        <v>Normal</v>
      </c>
      <c r="H21" s="8" t="str">
        <f>IF(OR(D21&lt;outliers!$B$21,D21&gt;outliers!$B$20),"Outlier","Normal")</f>
        <v>Normal</v>
      </c>
      <c r="I21" s="8" t="str">
        <f>IF(OR(E21&lt;outliers!$C$28,E21&gt;outliers!$B$27),"Outlier","Normal")</f>
        <v>Normal</v>
      </c>
      <c r="J21" s="8">
        <f t="shared" si="0"/>
        <v>2017</v>
      </c>
      <c r="K21">
        <f t="shared" si="1"/>
        <v>4</v>
      </c>
    </row>
    <row r="22" spans="1:11" hidden="1" x14ac:dyDescent="0.35">
      <c r="A22" s="13">
        <v>42847</v>
      </c>
      <c r="B22" s="8">
        <v>28.6</v>
      </c>
      <c r="C22" s="8">
        <v>22.8</v>
      </c>
      <c r="D22" s="8">
        <v>34.799999999999997</v>
      </c>
      <c r="E22" s="8">
        <v>0</v>
      </c>
      <c r="F22" s="8" t="str">
        <f>IF(OR(B22&lt;outliers!$B$7,B22&gt;outliers!$B$6),"Outlier","Normal")</f>
        <v>Outlier</v>
      </c>
      <c r="G22" s="8" t="str">
        <f>IF(OR(C22&lt;outliers!$B$14,C22&gt;outliers!$B$13),"Outlier","Normal")</f>
        <v>Normal</v>
      </c>
      <c r="H22" s="8" t="str">
        <f>IF(OR(D22&lt;outliers!$B$21,D22&gt;outliers!$B$20),"Outlier","Normal")</f>
        <v>Normal</v>
      </c>
      <c r="I22" s="8" t="str">
        <f>IF(OR(E22&lt;outliers!$C$28,E22&gt;outliers!$B$27),"Outlier","Normal")</f>
        <v>Normal</v>
      </c>
      <c r="J22" s="8">
        <f t="shared" si="0"/>
        <v>2017</v>
      </c>
      <c r="K22">
        <f t="shared" si="1"/>
        <v>4</v>
      </c>
    </row>
    <row r="23" spans="1:11" hidden="1" x14ac:dyDescent="0.35">
      <c r="A23" s="13">
        <v>42851</v>
      </c>
      <c r="B23" s="8">
        <v>28.7</v>
      </c>
      <c r="C23" s="8">
        <v>22.5</v>
      </c>
      <c r="D23" s="8">
        <v>37</v>
      </c>
      <c r="E23" s="8">
        <v>1</v>
      </c>
      <c r="F23" s="8" t="str">
        <f>IF(OR(B23&lt;outliers!$B$7,B23&gt;outliers!$B$6),"Outlier","Normal")</f>
        <v>Outlier</v>
      </c>
      <c r="G23" s="8" t="str">
        <f>IF(OR(C23&lt;outliers!$B$14,C23&gt;outliers!$B$13),"Outlier","Normal")</f>
        <v>Normal</v>
      </c>
      <c r="H23" s="8" t="str">
        <f>IF(OR(D23&lt;outliers!$B$21,D23&gt;outliers!$B$20),"Outlier","Normal")</f>
        <v>Outlier</v>
      </c>
      <c r="I23" s="8" t="str">
        <f>IF(OR(E23&lt;outliers!$C$28,E23&gt;outliers!$B$27),"Outlier","Normal")</f>
        <v>Normal</v>
      </c>
      <c r="J23" s="8">
        <f t="shared" si="0"/>
        <v>2017</v>
      </c>
      <c r="K23">
        <f t="shared" si="1"/>
        <v>4</v>
      </c>
    </row>
    <row r="24" spans="1:11" x14ac:dyDescent="0.35">
      <c r="A24" s="13">
        <v>42854</v>
      </c>
      <c r="B24" s="8">
        <v>25.6</v>
      </c>
      <c r="C24" s="8">
        <v>21.8</v>
      </c>
      <c r="D24" s="8">
        <v>35.299999999999997</v>
      </c>
      <c r="E24" s="8">
        <v>1.3</v>
      </c>
      <c r="F24" s="8" t="str">
        <f>IF(OR(B24&lt;outliers!$B$7,B24&gt;outliers!$B$6),"Outlier","Normal")</f>
        <v>Normal</v>
      </c>
      <c r="G24" s="8" t="str">
        <f>IF(OR(C24&lt;outliers!$B$14,C24&gt;outliers!$B$13),"Outlier","Normal")</f>
        <v>Normal</v>
      </c>
      <c r="H24" s="8" t="str">
        <f>IF(OR(D24&lt;outliers!$B$21,D24&gt;outliers!$B$20),"Outlier","Normal")</f>
        <v>Normal</v>
      </c>
      <c r="I24" s="8" t="str">
        <f>IF(OR(E24&lt;outliers!$C$28,E24&gt;outliers!$B$27),"Outlier","Normal")</f>
        <v>Normal</v>
      </c>
      <c r="J24" s="8">
        <f t="shared" si="0"/>
        <v>2017</v>
      </c>
      <c r="K24">
        <f t="shared" si="1"/>
        <v>4</v>
      </c>
    </row>
    <row r="25" spans="1:11" x14ac:dyDescent="0.35">
      <c r="A25" s="13">
        <v>42855</v>
      </c>
      <c r="B25" s="8">
        <v>28.3</v>
      </c>
      <c r="C25" s="8">
        <v>20.100000000000001</v>
      </c>
      <c r="D25" s="8">
        <v>35.6</v>
      </c>
      <c r="E25" s="8">
        <v>6.1</v>
      </c>
      <c r="F25" s="8" t="str">
        <f>IF(OR(B25&lt;outliers!$B$7,B25&gt;outliers!$B$6),"Outlier","Normal")</f>
        <v>Normal</v>
      </c>
      <c r="G25" s="8" t="str">
        <f>IF(OR(C25&lt;outliers!$B$14,C25&gt;outliers!$B$13),"Outlier","Normal")</f>
        <v>Normal</v>
      </c>
      <c r="H25" s="8" t="str">
        <f>IF(OR(D25&lt;outliers!$B$21,D25&gt;outliers!$B$20),"Outlier","Normal")</f>
        <v>Normal</v>
      </c>
      <c r="I25" s="8" t="str">
        <f>IF(OR(E25&lt;outliers!$C$28,E25&gt;outliers!$B$27),"Outlier","Normal")</f>
        <v>Normal</v>
      </c>
      <c r="J25" s="8">
        <f t="shared" si="0"/>
        <v>2017</v>
      </c>
      <c r="K25">
        <f t="shared" si="1"/>
        <v>4</v>
      </c>
    </row>
    <row r="26" spans="1:11" x14ac:dyDescent="0.35">
      <c r="A26" s="13">
        <v>42856</v>
      </c>
      <c r="B26" s="8">
        <v>26.8</v>
      </c>
      <c r="C26" s="8">
        <v>20.5</v>
      </c>
      <c r="D26" s="8">
        <v>35.6</v>
      </c>
      <c r="E26" s="8">
        <v>1</v>
      </c>
      <c r="F26" s="8" t="str">
        <f>IF(OR(B26&lt;outliers!$B$7,B26&gt;outliers!$B$6),"Outlier","Normal")</f>
        <v>Normal</v>
      </c>
      <c r="G26" s="8" t="str">
        <f>IF(OR(C26&lt;outliers!$B$14,C26&gt;outliers!$B$13),"Outlier","Normal")</f>
        <v>Normal</v>
      </c>
      <c r="H26" s="8" t="str">
        <f>IF(OR(D26&lt;outliers!$B$21,D26&gt;outliers!$B$20),"Outlier","Normal")</f>
        <v>Normal</v>
      </c>
      <c r="I26" s="8" t="str">
        <f>IF(OR(E26&lt;outliers!$C$28,E26&gt;outliers!$B$27),"Outlier","Normal")</f>
        <v>Normal</v>
      </c>
      <c r="J26" s="8">
        <f t="shared" si="0"/>
        <v>2017</v>
      </c>
      <c r="K26">
        <f t="shared" si="1"/>
        <v>5</v>
      </c>
    </row>
    <row r="27" spans="1:11" x14ac:dyDescent="0.35">
      <c r="A27" s="13">
        <v>42857</v>
      </c>
      <c r="B27" s="8">
        <v>27.6</v>
      </c>
      <c r="C27" s="8">
        <v>22.3</v>
      </c>
      <c r="D27" s="8">
        <v>35.1</v>
      </c>
      <c r="E27" s="8">
        <v>0</v>
      </c>
      <c r="F27" s="8" t="str">
        <f>IF(OR(B27&lt;outliers!$B$7,B27&gt;outliers!$B$6),"Outlier","Normal")</f>
        <v>Normal</v>
      </c>
      <c r="G27" s="8" t="str">
        <f>IF(OR(C27&lt;outliers!$B$14,C27&gt;outliers!$B$13),"Outlier","Normal")</f>
        <v>Normal</v>
      </c>
      <c r="H27" s="8" t="str">
        <f>IF(OR(D27&lt;outliers!$B$21,D27&gt;outliers!$B$20),"Outlier","Normal")</f>
        <v>Normal</v>
      </c>
      <c r="I27" s="8" t="str">
        <f>IF(OR(E27&lt;outliers!$C$28,E27&gt;outliers!$B$27),"Outlier","Normal")</f>
        <v>Normal</v>
      </c>
      <c r="J27" s="8">
        <f t="shared" si="0"/>
        <v>2017</v>
      </c>
      <c r="K27">
        <f t="shared" si="1"/>
        <v>5</v>
      </c>
    </row>
    <row r="28" spans="1:11" x14ac:dyDescent="0.35">
      <c r="A28" s="13">
        <v>42858</v>
      </c>
      <c r="B28" s="8">
        <v>28.1</v>
      </c>
      <c r="C28" s="8">
        <v>23.3</v>
      </c>
      <c r="D28" s="8">
        <v>34.200000000000003</v>
      </c>
      <c r="E28" s="8">
        <v>0</v>
      </c>
      <c r="F28" s="8" t="str">
        <f>IF(OR(B28&lt;outliers!$B$7,B28&gt;outliers!$B$6),"Outlier","Normal")</f>
        <v>Normal</v>
      </c>
      <c r="G28" s="8" t="str">
        <f>IF(OR(C28&lt;outliers!$B$14,C28&gt;outliers!$B$13),"Outlier","Normal")</f>
        <v>Normal</v>
      </c>
      <c r="H28" s="8" t="str">
        <f>IF(OR(D28&lt;outliers!$B$21,D28&gt;outliers!$B$20),"Outlier","Normal")</f>
        <v>Normal</v>
      </c>
      <c r="I28" s="8" t="str">
        <f>IF(OR(E28&lt;outliers!$C$28,E28&gt;outliers!$B$27),"Outlier","Normal")</f>
        <v>Normal</v>
      </c>
      <c r="J28" s="8">
        <f t="shared" si="0"/>
        <v>2017</v>
      </c>
      <c r="K28">
        <f t="shared" si="1"/>
        <v>5</v>
      </c>
    </row>
    <row r="29" spans="1:11" x14ac:dyDescent="0.35">
      <c r="A29" s="13">
        <v>42862</v>
      </c>
      <c r="B29" s="8">
        <v>27.3</v>
      </c>
      <c r="C29" s="8">
        <v>20.9</v>
      </c>
      <c r="D29" s="8">
        <v>35.799999999999997</v>
      </c>
      <c r="E29" s="8">
        <v>0</v>
      </c>
      <c r="F29" s="8" t="str">
        <f>IF(OR(B29&lt;outliers!$B$7,B29&gt;outliers!$B$6),"Outlier","Normal")</f>
        <v>Normal</v>
      </c>
      <c r="G29" s="8" t="str">
        <f>IF(OR(C29&lt;outliers!$B$14,C29&gt;outliers!$B$13),"Outlier","Normal")</f>
        <v>Normal</v>
      </c>
      <c r="H29" s="8" t="str">
        <f>IF(OR(D29&lt;outliers!$B$21,D29&gt;outliers!$B$20),"Outlier","Normal")</f>
        <v>Normal</v>
      </c>
      <c r="I29" s="8" t="str">
        <f>IF(OR(E29&lt;outliers!$C$28,E29&gt;outliers!$B$27),"Outlier","Normal")</f>
        <v>Normal</v>
      </c>
      <c r="J29" s="8">
        <f t="shared" si="0"/>
        <v>2017</v>
      </c>
      <c r="K29">
        <f t="shared" si="1"/>
        <v>5</v>
      </c>
    </row>
    <row r="30" spans="1:11" hidden="1" x14ac:dyDescent="0.35">
      <c r="A30" s="13">
        <v>42863</v>
      </c>
      <c r="B30" s="8">
        <v>26.9</v>
      </c>
      <c r="C30" s="8">
        <v>20.8</v>
      </c>
      <c r="D30" s="8">
        <v>37</v>
      </c>
      <c r="E30" s="8">
        <v>1</v>
      </c>
      <c r="F30" s="8" t="str">
        <f>IF(OR(B30&lt;outliers!$B$7,B30&gt;outliers!$B$6),"Outlier","Normal")</f>
        <v>Normal</v>
      </c>
      <c r="G30" s="8" t="str">
        <f>IF(OR(C30&lt;outliers!$B$14,C30&gt;outliers!$B$13),"Outlier","Normal")</f>
        <v>Normal</v>
      </c>
      <c r="H30" s="8" t="str">
        <f>IF(OR(D30&lt;outliers!$B$21,D30&gt;outliers!$B$20),"Outlier","Normal")</f>
        <v>Outlier</v>
      </c>
      <c r="I30" s="8" t="str">
        <f>IF(OR(E30&lt;outliers!$C$28,E30&gt;outliers!$B$27),"Outlier","Normal")</f>
        <v>Normal</v>
      </c>
      <c r="J30" s="8">
        <f t="shared" si="0"/>
        <v>2017</v>
      </c>
      <c r="K30">
        <f t="shared" si="1"/>
        <v>5</v>
      </c>
    </row>
    <row r="31" spans="1:11" x14ac:dyDescent="0.35">
      <c r="A31" s="13">
        <v>42864</v>
      </c>
      <c r="B31" s="8">
        <v>26</v>
      </c>
      <c r="C31" s="8">
        <v>21.9</v>
      </c>
      <c r="D31" s="8">
        <v>33.200000000000003</v>
      </c>
      <c r="E31" s="8">
        <v>0</v>
      </c>
      <c r="F31" s="8" t="str">
        <f>IF(OR(B31&lt;outliers!$B$7,B31&gt;outliers!$B$6),"Outlier","Normal")</f>
        <v>Normal</v>
      </c>
      <c r="G31" s="8" t="str">
        <f>IF(OR(C31&lt;outliers!$B$14,C31&gt;outliers!$B$13),"Outlier","Normal")</f>
        <v>Normal</v>
      </c>
      <c r="H31" s="8" t="str">
        <f>IF(OR(D31&lt;outliers!$B$21,D31&gt;outliers!$B$20),"Outlier","Normal")</f>
        <v>Normal</v>
      </c>
      <c r="I31" s="8" t="str">
        <f>IF(OR(E31&lt;outliers!$C$28,E31&gt;outliers!$B$27),"Outlier","Normal")</f>
        <v>Normal</v>
      </c>
      <c r="J31" s="8">
        <f t="shared" si="0"/>
        <v>2017</v>
      </c>
      <c r="K31">
        <f t="shared" si="1"/>
        <v>5</v>
      </c>
    </row>
    <row r="32" spans="1:11" x14ac:dyDescent="0.35">
      <c r="A32" s="13">
        <v>42865</v>
      </c>
      <c r="B32" s="8">
        <v>27</v>
      </c>
      <c r="C32" s="8">
        <v>21.5</v>
      </c>
      <c r="D32" s="8">
        <v>33.200000000000003</v>
      </c>
      <c r="E32" s="8">
        <v>0</v>
      </c>
      <c r="F32" s="8" t="str">
        <f>IF(OR(B32&lt;outliers!$B$7,B32&gt;outliers!$B$6),"Outlier","Normal")</f>
        <v>Normal</v>
      </c>
      <c r="G32" s="8" t="str">
        <f>IF(OR(C32&lt;outliers!$B$14,C32&gt;outliers!$B$13),"Outlier","Normal")</f>
        <v>Normal</v>
      </c>
      <c r="H32" s="8" t="str">
        <f>IF(OR(D32&lt;outliers!$B$21,D32&gt;outliers!$B$20),"Outlier","Normal")</f>
        <v>Normal</v>
      </c>
      <c r="I32" s="8" t="str">
        <f>IF(OR(E32&lt;outliers!$C$28,E32&gt;outliers!$B$27),"Outlier","Normal")</f>
        <v>Normal</v>
      </c>
      <c r="J32" s="8">
        <f t="shared" si="0"/>
        <v>2017</v>
      </c>
      <c r="K32">
        <f t="shared" si="1"/>
        <v>5</v>
      </c>
    </row>
    <row r="33" spans="1:11" x14ac:dyDescent="0.35">
      <c r="A33" s="13">
        <v>42866</v>
      </c>
      <c r="B33" s="8">
        <v>26.9</v>
      </c>
      <c r="C33" s="8">
        <v>22</v>
      </c>
      <c r="D33" s="8">
        <v>34.4</v>
      </c>
      <c r="E33" s="8">
        <v>0</v>
      </c>
      <c r="F33" s="8" t="str">
        <f>IF(OR(B33&lt;outliers!$B$7,B33&gt;outliers!$B$6),"Outlier","Normal")</f>
        <v>Normal</v>
      </c>
      <c r="G33" s="8" t="str">
        <f>IF(OR(C33&lt;outliers!$B$14,C33&gt;outliers!$B$13),"Outlier","Normal")</f>
        <v>Normal</v>
      </c>
      <c r="H33" s="8" t="str">
        <f>IF(OR(D33&lt;outliers!$B$21,D33&gt;outliers!$B$20),"Outlier","Normal")</f>
        <v>Normal</v>
      </c>
      <c r="I33" s="8" t="str">
        <f>IF(OR(E33&lt;outliers!$C$28,E33&gt;outliers!$B$27),"Outlier","Normal")</f>
        <v>Normal</v>
      </c>
      <c r="J33" s="8">
        <f t="shared" si="0"/>
        <v>2017</v>
      </c>
      <c r="K33">
        <f t="shared" si="1"/>
        <v>5</v>
      </c>
    </row>
    <row r="34" spans="1:11" x14ac:dyDescent="0.35">
      <c r="A34" s="13">
        <v>42867</v>
      </c>
      <c r="B34" s="8">
        <v>27.6</v>
      </c>
      <c r="C34" s="8">
        <v>23</v>
      </c>
      <c r="D34" s="8">
        <v>32.5</v>
      </c>
      <c r="E34" s="8">
        <v>1.8</v>
      </c>
      <c r="F34" s="8" t="str">
        <f>IF(OR(B34&lt;outliers!$B$7,B34&gt;outliers!$B$6),"Outlier","Normal")</f>
        <v>Normal</v>
      </c>
      <c r="G34" s="8" t="str">
        <f>IF(OR(C34&lt;outliers!$B$14,C34&gt;outliers!$B$13),"Outlier","Normal")</f>
        <v>Normal</v>
      </c>
      <c r="H34" s="8" t="str">
        <f>IF(OR(D34&lt;outliers!$B$21,D34&gt;outliers!$B$20),"Outlier","Normal")</f>
        <v>Normal</v>
      </c>
      <c r="I34" s="8" t="str">
        <f>IF(OR(E34&lt;outliers!$C$28,E34&gt;outliers!$B$27),"Outlier","Normal")</f>
        <v>Normal</v>
      </c>
      <c r="J34" s="8">
        <f t="shared" si="0"/>
        <v>2017</v>
      </c>
      <c r="K34">
        <f t="shared" si="1"/>
        <v>5</v>
      </c>
    </row>
    <row r="35" spans="1:11" hidden="1" x14ac:dyDescent="0.35">
      <c r="A35" s="13">
        <v>42868</v>
      </c>
      <c r="B35" s="8">
        <v>28.1</v>
      </c>
      <c r="C35" s="8">
        <v>23.8</v>
      </c>
      <c r="D35" s="8">
        <v>33</v>
      </c>
      <c r="E35" s="8">
        <v>0</v>
      </c>
      <c r="F35" s="8" t="str">
        <f>IF(OR(B35&lt;outliers!$B$7,B35&gt;outliers!$B$6),"Outlier","Normal")</f>
        <v>Normal</v>
      </c>
      <c r="G35" s="8" t="str">
        <f>IF(OR(C35&lt;outliers!$B$14,C35&gt;outliers!$B$13),"Outlier","Normal")</f>
        <v>Outlier</v>
      </c>
      <c r="H35" s="8" t="str">
        <f>IF(OR(D35&lt;outliers!$B$21,D35&gt;outliers!$B$20),"Outlier","Normal")</f>
        <v>Normal</v>
      </c>
      <c r="I35" s="8" t="str">
        <f>IF(OR(E35&lt;outliers!$C$28,E35&gt;outliers!$B$27),"Outlier","Normal")</f>
        <v>Normal</v>
      </c>
      <c r="J35" s="8">
        <f t="shared" si="0"/>
        <v>2017</v>
      </c>
      <c r="K35">
        <f t="shared" si="1"/>
        <v>5</v>
      </c>
    </row>
    <row r="36" spans="1:11" x14ac:dyDescent="0.35">
      <c r="A36" s="13">
        <v>42870</v>
      </c>
      <c r="B36" s="8">
        <v>27.1</v>
      </c>
      <c r="C36" s="8">
        <v>21.8</v>
      </c>
      <c r="D36" s="8">
        <v>35</v>
      </c>
      <c r="E36" s="8">
        <v>2.5</v>
      </c>
      <c r="F36" s="8" t="str">
        <f>IF(OR(B36&lt;outliers!$B$7,B36&gt;outliers!$B$6),"Outlier","Normal")</f>
        <v>Normal</v>
      </c>
      <c r="G36" s="8" t="str">
        <f>IF(OR(C36&lt;outliers!$B$14,C36&gt;outliers!$B$13),"Outlier","Normal")</f>
        <v>Normal</v>
      </c>
      <c r="H36" s="8" t="str">
        <f>IF(OR(D36&lt;outliers!$B$21,D36&gt;outliers!$B$20),"Outlier","Normal")</f>
        <v>Normal</v>
      </c>
      <c r="I36" s="8" t="str">
        <f>IF(OR(E36&lt;outliers!$C$28,E36&gt;outliers!$B$27),"Outlier","Normal")</f>
        <v>Normal</v>
      </c>
      <c r="J36" s="8">
        <f t="shared" si="0"/>
        <v>2017</v>
      </c>
      <c r="K36">
        <f t="shared" si="1"/>
        <v>5</v>
      </c>
    </row>
    <row r="37" spans="1:11" x14ac:dyDescent="0.35">
      <c r="A37" s="13">
        <v>42873</v>
      </c>
      <c r="B37" s="8">
        <v>26</v>
      </c>
      <c r="C37" s="8">
        <v>19.8</v>
      </c>
      <c r="D37" s="8">
        <v>34.5</v>
      </c>
      <c r="E37" s="8">
        <v>9.9</v>
      </c>
      <c r="F37" s="8" t="str">
        <f>IF(OR(B37&lt;outliers!$B$7,B37&gt;outliers!$B$6),"Outlier","Normal")</f>
        <v>Normal</v>
      </c>
      <c r="G37" s="8" t="str">
        <f>IF(OR(C37&lt;outliers!$B$14,C37&gt;outliers!$B$13),"Outlier","Normal")</f>
        <v>Normal</v>
      </c>
      <c r="H37" s="8" t="str">
        <f>IF(OR(D37&lt;outliers!$B$21,D37&gt;outliers!$B$20),"Outlier","Normal")</f>
        <v>Normal</v>
      </c>
      <c r="I37" s="8" t="str">
        <f>IF(OR(E37&lt;outliers!$C$28,E37&gt;outliers!$B$27),"Outlier","Normal")</f>
        <v>Normal</v>
      </c>
      <c r="J37" s="8">
        <f t="shared" si="0"/>
        <v>2017</v>
      </c>
      <c r="K37">
        <f t="shared" si="1"/>
        <v>5</v>
      </c>
    </row>
    <row r="38" spans="1:11" hidden="1" x14ac:dyDescent="0.35">
      <c r="A38" s="13">
        <v>42874</v>
      </c>
      <c r="B38" s="8">
        <v>26.2</v>
      </c>
      <c r="C38" s="8">
        <v>19.399999999999999</v>
      </c>
      <c r="D38" s="8">
        <v>35.5</v>
      </c>
      <c r="E38" s="8">
        <v>20.100000000000001</v>
      </c>
      <c r="F38" s="8" t="str">
        <f>IF(OR(B38&lt;outliers!$B$7,B38&gt;outliers!$B$6),"Outlier","Normal")</f>
        <v>Normal</v>
      </c>
      <c r="G38" s="8" t="str">
        <f>IF(OR(C38&lt;outliers!$B$14,C38&gt;outliers!$B$13),"Outlier","Normal")</f>
        <v>Normal</v>
      </c>
      <c r="H38" s="8" t="str">
        <f>IF(OR(D38&lt;outliers!$B$21,D38&gt;outliers!$B$20),"Outlier","Normal")</f>
        <v>Normal</v>
      </c>
      <c r="I38" s="8" t="str">
        <f>IF(OR(E38&lt;outliers!$C$28,E38&gt;outliers!$B$27),"Outlier","Normal")</f>
        <v>Outlier</v>
      </c>
      <c r="J38" s="8">
        <f t="shared" si="0"/>
        <v>2017</v>
      </c>
      <c r="K38">
        <f t="shared" si="1"/>
        <v>5</v>
      </c>
    </row>
    <row r="39" spans="1:11" x14ac:dyDescent="0.35">
      <c r="A39" s="13">
        <v>42875</v>
      </c>
      <c r="B39" s="8">
        <v>26.8</v>
      </c>
      <c r="C39" s="8">
        <v>20.9</v>
      </c>
      <c r="D39" s="8">
        <v>34.4</v>
      </c>
      <c r="E39" s="8">
        <v>0</v>
      </c>
      <c r="F39" s="8" t="str">
        <f>IF(OR(B39&lt;outliers!$B$7,B39&gt;outliers!$B$6),"Outlier","Normal")</f>
        <v>Normal</v>
      </c>
      <c r="G39" s="8" t="str">
        <f>IF(OR(C39&lt;outliers!$B$14,C39&gt;outliers!$B$13),"Outlier","Normal")</f>
        <v>Normal</v>
      </c>
      <c r="H39" s="8" t="str">
        <f>IF(OR(D39&lt;outliers!$B$21,D39&gt;outliers!$B$20),"Outlier","Normal")</f>
        <v>Normal</v>
      </c>
      <c r="I39" s="8" t="str">
        <f>IF(OR(E39&lt;outliers!$C$28,E39&gt;outliers!$B$27),"Outlier","Normal")</f>
        <v>Normal</v>
      </c>
      <c r="J39" s="8">
        <f t="shared" si="0"/>
        <v>2017</v>
      </c>
      <c r="K39">
        <f t="shared" si="1"/>
        <v>5</v>
      </c>
    </row>
    <row r="40" spans="1:11" hidden="1" x14ac:dyDescent="0.35">
      <c r="A40" s="13">
        <v>42876</v>
      </c>
      <c r="B40" s="8">
        <v>26.1</v>
      </c>
      <c r="C40" s="8">
        <v>19.899999999999999</v>
      </c>
      <c r="D40" s="8">
        <v>35.1</v>
      </c>
      <c r="E40" s="8">
        <v>40.9</v>
      </c>
      <c r="F40" s="8" t="str">
        <f>IF(OR(B40&lt;outliers!$B$7,B40&gt;outliers!$B$6),"Outlier","Normal")</f>
        <v>Normal</v>
      </c>
      <c r="G40" s="8" t="str">
        <f>IF(OR(C40&lt;outliers!$B$14,C40&gt;outliers!$B$13),"Outlier","Normal")</f>
        <v>Normal</v>
      </c>
      <c r="H40" s="8" t="str">
        <f>IF(OR(D40&lt;outliers!$B$21,D40&gt;outliers!$B$20),"Outlier","Normal")</f>
        <v>Normal</v>
      </c>
      <c r="I40" s="8" t="str">
        <f>IF(OR(E40&lt;outliers!$C$28,E40&gt;outliers!$B$27),"Outlier","Normal")</f>
        <v>Outlier</v>
      </c>
      <c r="J40" s="8">
        <f t="shared" si="0"/>
        <v>2017</v>
      </c>
      <c r="K40">
        <f t="shared" si="1"/>
        <v>5</v>
      </c>
    </row>
    <row r="41" spans="1:11" x14ac:dyDescent="0.35">
      <c r="A41" s="13">
        <v>42877</v>
      </c>
      <c r="B41" s="8">
        <v>25.7</v>
      </c>
      <c r="C41" s="8">
        <v>23.2</v>
      </c>
      <c r="D41" s="8">
        <v>32</v>
      </c>
      <c r="E41" s="8">
        <v>0</v>
      </c>
      <c r="F41" s="8" t="str">
        <f>IF(OR(B41&lt;outliers!$B$7,B41&gt;outliers!$B$6),"Outlier","Normal")</f>
        <v>Normal</v>
      </c>
      <c r="G41" s="8" t="str">
        <f>IF(OR(C41&lt;outliers!$B$14,C41&gt;outliers!$B$13),"Outlier","Normal")</f>
        <v>Normal</v>
      </c>
      <c r="H41" s="8" t="str">
        <f>IF(OR(D41&lt;outliers!$B$21,D41&gt;outliers!$B$20),"Outlier","Normal")</f>
        <v>Normal</v>
      </c>
      <c r="I41" s="8" t="str">
        <f>IF(OR(E41&lt;outliers!$C$28,E41&gt;outliers!$B$27),"Outlier","Normal")</f>
        <v>Normal</v>
      </c>
      <c r="J41" s="8">
        <f t="shared" si="0"/>
        <v>2017</v>
      </c>
      <c r="K41">
        <f t="shared" si="1"/>
        <v>5</v>
      </c>
    </row>
    <row r="42" spans="1:11" hidden="1" x14ac:dyDescent="0.35">
      <c r="A42" s="13">
        <v>42878</v>
      </c>
      <c r="B42" s="8">
        <v>26.7</v>
      </c>
      <c r="C42" s="8">
        <v>19.399999999999999</v>
      </c>
      <c r="D42" s="8">
        <v>32.9</v>
      </c>
      <c r="E42" s="8">
        <v>28.7</v>
      </c>
      <c r="F42" s="8" t="str">
        <f>IF(OR(B42&lt;outliers!$B$7,B42&gt;outliers!$B$6),"Outlier","Normal")</f>
        <v>Normal</v>
      </c>
      <c r="G42" s="8" t="str">
        <f>IF(OR(C42&lt;outliers!$B$14,C42&gt;outliers!$B$13),"Outlier","Normal")</f>
        <v>Normal</v>
      </c>
      <c r="H42" s="8" t="str">
        <f>IF(OR(D42&lt;outliers!$B$21,D42&gt;outliers!$B$20),"Outlier","Normal")</f>
        <v>Normal</v>
      </c>
      <c r="I42" s="8" t="str">
        <f>IF(OR(E42&lt;outliers!$C$28,E42&gt;outliers!$B$27),"Outlier","Normal")</f>
        <v>Outlier</v>
      </c>
      <c r="J42" s="8">
        <f t="shared" si="0"/>
        <v>2017</v>
      </c>
      <c r="K42">
        <f t="shared" si="1"/>
        <v>5</v>
      </c>
    </row>
    <row r="43" spans="1:11" hidden="1" x14ac:dyDescent="0.35">
      <c r="A43" s="13">
        <v>42879</v>
      </c>
      <c r="B43" s="8">
        <v>26.4</v>
      </c>
      <c r="C43" s="8">
        <v>20.5</v>
      </c>
      <c r="D43" s="8">
        <v>33.5</v>
      </c>
      <c r="E43" s="8">
        <v>13</v>
      </c>
      <c r="F43" s="8" t="str">
        <f>IF(OR(B43&lt;outliers!$B$7,B43&gt;outliers!$B$6),"Outlier","Normal")</f>
        <v>Normal</v>
      </c>
      <c r="G43" s="8" t="str">
        <f>IF(OR(C43&lt;outliers!$B$14,C43&gt;outliers!$B$13),"Outlier","Normal")</f>
        <v>Normal</v>
      </c>
      <c r="H43" s="8" t="str">
        <f>IF(OR(D43&lt;outliers!$B$21,D43&gt;outliers!$B$20),"Outlier","Normal")</f>
        <v>Normal</v>
      </c>
      <c r="I43" s="8" t="str">
        <f>IF(OR(E43&lt;outliers!$C$28,E43&gt;outliers!$B$27),"Outlier","Normal")</f>
        <v>Outlier</v>
      </c>
      <c r="J43" s="8">
        <f t="shared" si="0"/>
        <v>2017</v>
      </c>
      <c r="K43">
        <f t="shared" si="1"/>
        <v>5</v>
      </c>
    </row>
    <row r="44" spans="1:11" x14ac:dyDescent="0.35">
      <c r="A44" s="13">
        <v>42880</v>
      </c>
      <c r="B44" s="8">
        <v>27.6</v>
      </c>
      <c r="C44" s="8">
        <v>21.9</v>
      </c>
      <c r="D44" s="8">
        <v>34</v>
      </c>
      <c r="E44" s="8">
        <v>0</v>
      </c>
      <c r="F44" s="8" t="str">
        <f>IF(OR(B44&lt;outliers!$B$7,B44&gt;outliers!$B$6),"Outlier","Normal")</f>
        <v>Normal</v>
      </c>
      <c r="G44" s="8" t="str">
        <f>IF(OR(C44&lt;outliers!$B$14,C44&gt;outliers!$B$13),"Outlier","Normal")</f>
        <v>Normal</v>
      </c>
      <c r="H44" s="8" t="str">
        <f>IF(OR(D44&lt;outliers!$B$21,D44&gt;outliers!$B$20),"Outlier","Normal")</f>
        <v>Normal</v>
      </c>
      <c r="I44" s="8" t="str">
        <f>IF(OR(E44&lt;outliers!$C$28,E44&gt;outliers!$B$27),"Outlier","Normal")</f>
        <v>Normal</v>
      </c>
      <c r="J44" s="8">
        <f t="shared" si="0"/>
        <v>2017</v>
      </c>
      <c r="K44">
        <f t="shared" si="1"/>
        <v>5</v>
      </c>
    </row>
    <row r="45" spans="1:11" x14ac:dyDescent="0.35">
      <c r="A45" s="13">
        <v>42881</v>
      </c>
      <c r="B45" s="8">
        <v>26.2</v>
      </c>
      <c r="C45" s="8">
        <v>20.9</v>
      </c>
      <c r="D45" s="8">
        <v>33.299999999999997</v>
      </c>
      <c r="E45" s="8">
        <v>0</v>
      </c>
      <c r="F45" s="8" t="str">
        <f>IF(OR(B45&lt;outliers!$B$7,B45&gt;outliers!$B$6),"Outlier","Normal")</f>
        <v>Normal</v>
      </c>
      <c r="G45" s="8" t="str">
        <f>IF(OR(C45&lt;outliers!$B$14,C45&gt;outliers!$B$13),"Outlier","Normal")</f>
        <v>Normal</v>
      </c>
      <c r="H45" s="8" t="str">
        <f>IF(OR(D45&lt;outliers!$B$21,D45&gt;outliers!$B$20),"Outlier","Normal")</f>
        <v>Normal</v>
      </c>
      <c r="I45" s="8" t="str">
        <f>IF(OR(E45&lt;outliers!$C$28,E45&gt;outliers!$B$27),"Outlier","Normal")</f>
        <v>Normal</v>
      </c>
      <c r="J45" s="8">
        <f t="shared" si="0"/>
        <v>2017</v>
      </c>
      <c r="K45">
        <f t="shared" si="1"/>
        <v>5</v>
      </c>
    </row>
    <row r="46" spans="1:11" hidden="1" x14ac:dyDescent="0.35">
      <c r="A46" s="13">
        <v>42882</v>
      </c>
      <c r="B46" s="8">
        <v>23.1</v>
      </c>
      <c r="C46" s="8">
        <v>20</v>
      </c>
      <c r="D46" s="8">
        <v>33.1</v>
      </c>
      <c r="E46" s="8">
        <v>83.3</v>
      </c>
      <c r="F46" s="8" t="str">
        <f>IF(OR(B46&lt;outliers!$B$7,B46&gt;outliers!$B$6),"Outlier","Normal")</f>
        <v>Normal</v>
      </c>
      <c r="G46" s="8" t="str">
        <f>IF(OR(C46&lt;outliers!$B$14,C46&gt;outliers!$B$13),"Outlier","Normal")</f>
        <v>Normal</v>
      </c>
      <c r="H46" s="8" t="str">
        <f>IF(OR(D46&lt;outliers!$B$21,D46&gt;outliers!$B$20),"Outlier","Normal")</f>
        <v>Normal</v>
      </c>
      <c r="I46" s="8" t="str">
        <f>IF(OR(E46&lt;outliers!$C$28,E46&gt;outliers!$B$27),"Outlier","Normal")</f>
        <v>Outlier</v>
      </c>
      <c r="J46" s="8">
        <f t="shared" si="0"/>
        <v>2017</v>
      </c>
      <c r="K46">
        <f t="shared" si="1"/>
        <v>5</v>
      </c>
    </row>
    <row r="47" spans="1:11" hidden="1" x14ac:dyDescent="0.35">
      <c r="A47" s="13">
        <v>42883</v>
      </c>
      <c r="B47" s="8">
        <v>24.8</v>
      </c>
      <c r="C47" s="8">
        <v>20</v>
      </c>
      <c r="D47" s="8">
        <v>30</v>
      </c>
      <c r="E47" s="8">
        <v>39.9</v>
      </c>
      <c r="F47" s="8" t="str">
        <f>IF(OR(B47&lt;outliers!$B$7,B47&gt;outliers!$B$6),"Outlier","Normal")</f>
        <v>Normal</v>
      </c>
      <c r="G47" s="8" t="str">
        <f>IF(OR(C47&lt;outliers!$B$14,C47&gt;outliers!$B$13),"Outlier","Normal")</f>
        <v>Normal</v>
      </c>
      <c r="H47" s="8" t="str">
        <f>IF(OR(D47&lt;outliers!$B$21,D47&gt;outliers!$B$20),"Outlier","Normal")</f>
        <v>Normal</v>
      </c>
      <c r="I47" s="8" t="str">
        <f>IF(OR(E47&lt;outliers!$C$28,E47&gt;outliers!$B$27),"Outlier","Normal")</f>
        <v>Outlier</v>
      </c>
      <c r="J47" s="8">
        <f t="shared" si="0"/>
        <v>2017</v>
      </c>
      <c r="K47">
        <f t="shared" si="1"/>
        <v>5</v>
      </c>
    </row>
    <row r="48" spans="1:11" x14ac:dyDescent="0.35">
      <c r="A48" s="13">
        <v>42884</v>
      </c>
      <c r="B48" s="8">
        <v>25.5</v>
      </c>
      <c r="C48" s="8">
        <v>21.3</v>
      </c>
      <c r="D48" s="8">
        <v>29.7</v>
      </c>
      <c r="E48" s="8">
        <v>0</v>
      </c>
      <c r="F48" s="8" t="str">
        <f>IF(OR(B48&lt;outliers!$B$7,B48&gt;outliers!$B$6),"Outlier","Normal")</f>
        <v>Normal</v>
      </c>
      <c r="G48" s="8" t="str">
        <f>IF(OR(C48&lt;outliers!$B$14,C48&gt;outliers!$B$13),"Outlier","Normal")</f>
        <v>Normal</v>
      </c>
      <c r="H48" s="8" t="str">
        <f>IF(OR(D48&lt;outliers!$B$21,D48&gt;outliers!$B$20),"Outlier","Normal")</f>
        <v>Normal</v>
      </c>
      <c r="I48" s="8" t="str">
        <f>IF(OR(E48&lt;outliers!$C$28,E48&gt;outliers!$B$27),"Outlier","Normal")</f>
        <v>Normal</v>
      </c>
      <c r="J48" s="8">
        <f t="shared" si="0"/>
        <v>2017</v>
      </c>
      <c r="K48">
        <f t="shared" si="1"/>
        <v>5</v>
      </c>
    </row>
    <row r="49" spans="1:11" x14ac:dyDescent="0.35">
      <c r="A49" s="13">
        <v>42886</v>
      </c>
      <c r="B49" s="8">
        <v>24.9</v>
      </c>
      <c r="C49" s="8">
        <v>20.8</v>
      </c>
      <c r="D49" s="8">
        <v>31.2</v>
      </c>
      <c r="E49" s="8">
        <v>0</v>
      </c>
      <c r="F49" s="8" t="str">
        <f>IF(OR(B49&lt;outliers!$B$7,B49&gt;outliers!$B$6),"Outlier","Normal")</f>
        <v>Normal</v>
      </c>
      <c r="G49" s="8" t="str">
        <f>IF(OR(C49&lt;outliers!$B$14,C49&gt;outliers!$B$13),"Outlier","Normal")</f>
        <v>Normal</v>
      </c>
      <c r="H49" s="8" t="str">
        <f>IF(OR(D49&lt;outliers!$B$21,D49&gt;outliers!$B$20),"Outlier","Normal")</f>
        <v>Normal</v>
      </c>
      <c r="I49" s="8" t="str">
        <f>IF(OR(E49&lt;outliers!$C$28,E49&gt;outliers!$B$27),"Outlier","Normal")</f>
        <v>Normal</v>
      </c>
      <c r="J49" s="8">
        <f t="shared" si="0"/>
        <v>2017</v>
      </c>
      <c r="K49">
        <f t="shared" si="1"/>
        <v>5</v>
      </c>
    </row>
    <row r="50" spans="1:11" x14ac:dyDescent="0.35">
      <c r="A50" s="13">
        <v>42892</v>
      </c>
      <c r="B50" s="8">
        <v>25.8</v>
      </c>
      <c r="C50" s="8">
        <v>21.8</v>
      </c>
      <c r="D50" s="8">
        <v>32</v>
      </c>
      <c r="E50" s="8">
        <v>0</v>
      </c>
      <c r="F50" s="8" t="str">
        <f>IF(OR(B50&lt;outliers!$B$7,B50&gt;outliers!$B$6),"Outlier","Normal")</f>
        <v>Normal</v>
      </c>
      <c r="G50" s="8" t="str">
        <f>IF(OR(C50&lt;outliers!$B$14,C50&gt;outliers!$B$13),"Outlier","Normal")</f>
        <v>Normal</v>
      </c>
      <c r="H50" s="8" t="str">
        <f>IF(OR(D50&lt;outliers!$B$21,D50&gt;outliers!$B$20),"Outlier","Normal")</f>
        <v>Normal</v>
      </c>
      <c r="I50" s="8" t="str">
        <f>IF(OR(E50&lt;outliers!$C$28,E50&gt;outliers!$B$27),"Outlier","Normal")</f>
        <v>Normal</v>
      </c>
      <c r="J50" s="8">
        <f t="shared" si="0"/>
        <v>2017</v>
      </c>
      <c r="K50">
        <f t="shared" si="1"/>
        <v>6</v>
      </c>
    </row>
    <row r="51" spans="1:11" x14ac:dyDescent="0.35">
      <c r="A51" s="13">
        <v>42893</v>
      </c>
      <c r="B51" s="8">
        <v>23.9</v>
      </c>
      <c r="C51" s="8">
        <v>21.7</v>
      </c>
      <c r="D51" s="8">
        <v>31.2</v>
      </c>
      <c r="E51" s="8">
        <v>0</v>
      </c>
      <c r="F51" s="8" t="str">
        <f>IF(OR(B51&lt;outliers!$B$7,B51&gt;outliers!$B$6),"Outlier","Normal")</f>
        <v>Normal</v>
      </c>
      <c r="G51" s="8" t="str">
        <f>IF(OR(C51&lt;outliers!$B$14,C51&gt;outliers!$B$13),"Outlier","Normal")</f>
        <v>Normal</v>
      </c>
      <c r="H51" s="8" t="str">
        <f>IF(OR(D51&lt;outliers!$B$21,D51&gt;outliers!$B$20),"Outlier","Normal")</f>
        <v>Normal</v>
      </c>
      <c r="I51" s="8" t="str">
        <f>IF(OR(E51&lt;outliers!$C$28,E51&gt;outliers!$B$27),"Outlier","Normal")</f>
        <v>Normal</v>
      </c>
      <c r="J51" s="8">
        <f t="shared" si="0"/>
        <v>2017</v>
      </c>
      <c r="K51">
        <f t="shared" si="1"/>
        <v>6</v>
      </c>
    </row>
    <row r="52" spans="1:11" x14ac:dyDescent="0.35">
      <c r="A52" s="13">
        <v>42894</v>
      </c>
      <c r="B52" s="8">
        <v>25</v>
      </c>
      <c r="C52" s="8">
        <v>21.5</v>
      </c>
      <c r="D52" s="8">
        <v>28.9</v>
      </c>
      <c r="E52" s="8">
        <v>0.8</v>
      </c>
      <c r="F52" s="8" t="str">
        <f>IF(OR(B52&lt;outliers!$B$7,B52&gt;outliers!$B$6),"Outlier","Normal")</f>
        <v>Normal</v>
      </c>
      <c r="G52" s="8" t="str">
        <f>IF(OR(C52&lt;outliers!$B$14,C52&gt;outliers!$B$13),"Outlier","Normal")</f>
        <v>Normal</v>
      </c>
      <c r="H52" s="8" t="str">
        <f>IF(OR(D52&lt;outliers!$B$21,D52&gt;outliers!$B$20),"Outlier","Normal")</f>
        <v>Normal</v>
      </c>
      <c r="I52" s="8" t="str">
        <f>IF(OR(E52&lt;outliers!$C$28,E52&gt;outliers!$B$27),"Outlier","Normal")</f>
        <v>Normal</v>
      </c>
      <c r="J52" s="8">
        <f t="shared" si="0"/>
        <v>2017</v>
      </c>
      <c r="K52">
        <f t="shared" si="1"/>
        <v>6</v>
      </c>
    </row>
    <row r="53" spans="1:11" x14ac:dyDescent="0.35">
      <c r="A53" s="13">
        <v>42895</v>
      </c>
      <c r="B53" s="8">
        <v>23.3</v>
      </c>
      <c r="C53" s="8">
        <v>21.1</v>
      </c>
      <c r="D53" s="8">
        <v>29.6</v>
      </c>
      <c r="E53" s="8">
        <v>0</v>
      </c>
      <c r="F53" s="8" t="str">
        <f>IF(OR(B53&lt;outliers!$B$7,B53&gt;outliers!$B$6),"Outlier","Normal")</f>
        <v>Normal</v>
      </c>
      <c r="G53" s="8" t="str">
        <f>IF(OR(C53&lt;outliers!$B$14,C53&gt;outliers!$B$13),"Outlier","Normal")</f>
        <v>Normal</v>
      </c>
      <c r="H53" s="8" t="str">
        <f>IF(OR(D53&lt;outliers!$B$21,D53&gt;outliers!$B$20),"Outlier","Normal")</f>
        <v>Normal</v>
      </c>
      <c r="I53" s="8" t="str">
        <f>IF(OR(E53&lt;outliers!$C$28,E53&gt;outliers!$B$27),"Outlier","Normal")</f>
        <v>Normal</v>
      </c>
      <c r="J53" s="8">
        <f t="shared" si="0"/>
        <v>2017</v>
      </c>
      <c r="K53">
        <f t="shared" si="1"/>
        <v>6</v>
      </c>
    </row>
    <row r="54" spans="1:11" x14ac:dyDescent="0.35">
      <c r="A54" s="13">
        <v>42896</v>
      </c>
      <c r="B54" s="8">
        <v>23.9</v>
      </c>
      <c r="C54" s="8">
        <v>20.7</v>
      </c>
      <c r="D54" s="8">
        <v>28.1</v>
      </c>
      <c r="E54" s="8">
        <v>8.6</v>
      </c>
      <c r="F54" s="8" t="str">
        <f>IF(OR(B54&lt;outliers!$B$7,B54&gt;outliers!$B$6),"Outlier","Normal")</f>
        <v>Normal</v>
      </c>
      <c r="G54" s="8" t="str">
        <f>IF(OR(C54&lt;outliers!$B$14,C54&gt;outliers!$B$13),"Outlier","Normal")</f>
        <v>Normal</v>
      </c>
      <c r="H54" s="8" t="str">
        <f>IF(OR(D54&lt;outliers!$B$21,D54&gt;outliers!$B$20),"Outlier","Normal")</f>
        <v>Normal</v>
      </c>
      <c r="I54" s="8" t="str">
        <f>IF(OR(E54&lt;outliers!$C$28,E54&gt;outliers!$B$27),"Outlier","Normal")</f>
        <v>Normal</v>
      </c>
      <c r="J54" s="8">
        <f t="shared" si="0"/>
        <v>2017</v>
      </c>
      <c r="K54">
        <f t="shared" si="1"/>
        <v>6</v>
      </c>
    </row>
    <row r="55" spans="1:11" x14ac:dyDescent="0.35">
      <c r="A55" s="13">
        <v>42897</v>
      </c>
      <c r="B55" s="8">
        <v>23.4</v>
      </c>
      <c r="C55" s="8">
        <v>20.8</v>
      </c>
      <c r="D55" s="8">
        <v>27.9</v>
      </c>
      <c r="E55" s="8">
        <v>0</v>
      </c>
      <c r="F55" s="8" t="str">
        <f>IF(OR(B55&lt;outliers!$B$7,B55&gt;outliers!$B$6),"Outlier","Normal")</f>
        <v>Normal</v>
      </c>
      <c r="G55" s="8" t="str">
        <f>IF(OR(C55&lt;outliers!$B$14,C55&gt;outliers!$B$13),"Outlier","Normal")</f>
        <v>Normal</v>
      </c>
      <c r="H55" s="8" t="str">
        <f>IF(OR(D55&lt;outliers!$B$21,D55&gt;outliers!$B$20),"Outlier","Normal")</f>
        <v>Normal</v>
      </c>
      <c r="I55" s="8" t="str">
        <f>IF(OR(E55&lt;outliers!$C$28,E55&gt;outliers!$B$27),"Outlier","Normal")</f>
        <v>Normal</v>
      </c>
      <c r="J55" s="8">
        <f t="shared" si="0"/>
        <v>2017</v>
      </c>
      <c r="K55">
        <f t="shared" si="1"/>
        <v>6</v>
      </c>
    </row>
    <row r="56" spans="1:11" x14ac:dyDescent="0.35">
      <c r="A56" s="13">
        <v>42898</v>
      </c>
      <c r="B56" s="8">
        <v>22.3</v>
      </c>
      <c r="C56" s="8">
        <v>20.2</v>
      </c>
      <c r="D56" s="8">
        <v>28.3</v>
      </c>
      <c r="E56" s="8">
        <v>1.8</v>
      </c>
      <c r="F56" s="8" t="str">
        <f>IF(OR(B56&lt;outliers!$B$7,B56&gt;outliers!$B$6),"Outlier","Normal")</f>
        <v>Normal</v>
      </c>
      <c r="G56" s="8" t="str">
        <f>IF(OR(C56&lt;outliers!$B$14,C56&gt;outliers!$B$13),"Outlier","Normal")</f>
        <v>Normal</v>
      </c>
      <c r="H56" s="8" t="str">
        <f>IF(OR(D56&lt;outliers!$B$21,D56&gt;outliers!$B$20),"Outlier","Normal")</f>
        <v>Normal</v>
      </c>
      <c r="I56" s="8" t="str">
        <f>IF(OR(E56&lt;outliers!$C$28,E56&gt;outliers!$B$27),"Outlier","Normal")</f>
        <v>Normal</v>
      </c>
      <c r="J56" s="8">
        <f t="shared" si="0"/>
        <v>2017</v>
      </c>
      <c r="K56">
        <f t="shared" si="1"/>
        <v>6</v>
      </c>
    </row>
    <row r="57" spans="1:11" x14ac:dyDescent="0.35">
      <c r="A57" s="13">
        <v>42899</v>
      </c>
      <c r="B57" s="8">
        <v>24.2</v>
      </c>
      <c r="C57" s="8">
        <v>20.7</v>
      </c>
      <c r="D57" s="8">
        <v>29.2</v>
      </c>
      <c r="E57" s="8">
        <v>1</v>
      </c>
      <c r="F57" s="8" t="str">
        <f>IF(OR(B57&lt;outliers!$B$7,B57&gt;outliers!$B$6),"Outlier","Normal")</f>
        <v>Normal</v>
      </c>
      <c r="G57" s="8" t="str">
        <f>IF(OR(C57&lt;outliers!$B$14,C57&gt;outliers!$B$13),"Outlier","Normal")</f>
        <v>Normal</v>
      </c>
      <c r="H57" s="8" t="str">
        <f>IF(OR(D57&lt;outliers!$B$21,D57&gt;outliers!$B$20),"Outlier","Normal")</f>
        <v>Normal</v>
      </c>
      <c r="I57" s="8" t="str">
        <f>IF(OR(E57&lt;outliers!$C$28,E57&gt;outliers!$B$27),"Outlier","Normal")</f>
        <v>Normal</v>
      </c>
      <c r="J57" s="8">
        <f t="shared" si="0"/>
        <v>2017</v>
      </c>
      <c r="K57">
        <f t="shared" si="1"/>
        <v>6</v>
      </c>
    </row>
    <row r="58" spans="1:11" x14ac:dyDescent="0.35">
      <c r="A58" s="13">
        <v>42900</v>
      </c>
      <c r="B58" s="8">
        <v>25.8</v>
      </c>
      <c r="C58" s="8">
        <v>22</v>
      </c>
      <c r="D58" s="8">
        <v>30.9</v>
      </c>
      <c r="E58" s="8">
        <v>1</v>
      </c>
      <c r="F58" s="8" t="str">
        <f>IF(OR(B58&lt;outliers!$B$7,B58&gt;outliers!$B$6),"Outlier","Normal")</f>
        <v>Normal</v>
      </c>
      <c r="G58" s="8" t="str">
        <f>IF(OR(C58&lt;outliers!$B$14,C58&gt;outliers!$B$13),"Outlier","Normal")</f>
        <v>Normal</v>
      </c>
      <c r="H58" s="8" t="str">
        <f>IF(OR(D58&lt;outliers!$B$21,D58&gt;outliers!$B$20),"Outlier","Normal")</f>
        <v>Normal</v>
      </c>
      <c r="I58" s="8" t="str">
        <f>IF(OR(E58&lt;outliers!$C$28,E58&gt;outliers!$B$27),"Outlier","Normal")</f>
        <v>Normal</v>
      </c>
      <c r="J58" s="8">
        <f t="shared" si="0"/>
        <v>2017</v>
      </c>
      <c r="K58">
        <f t="shared" si="1"/>
        <v>6</v>
      </c>
    </row>
    <row r="59" spans="1:11" x14ac:dyDescent="0.35">
      <c r="A59" s="13">
        <v>42901</v>
      </c>
      <c r="B59" s="8">
        <v>25.1</v>
      </c>
      <c r="C59" s="8">
        <v>21.5</v>
      </c>
      <c r="D59" s="8">
        <v>31.2</v>
      </c>
      <c r="E59" s="8">
        <v>0</v>
      </c>
      <c r="F59" s="8" t="str">
        <f>IF(OR(B59&lt;outliers!$B$7,B59&gt;outliers!$B$6),"Outlier","Normal")</f>
        <v>Normal</v>
      </c>
      <c r="G59" s="8" t="str">
        <f>IF(OR(C59&lt;outliers!$B$14,C59&gt;outliers!$B$13),"Outlier","Normal")</f>
        <v>Normal</v>
      </c>
      <c r="H59" s="8" t="str">
        <f>IF(OR(D59&lt;outliers!$B$21,D59&gt;outliers!$B$20),"Outlier","Normal")</f>
        <v>Normal</v>
      </c>
      <c r="I59" s="8" t="str">
        <f>IF(OR(E59&lt;outliers!$C$28,E59&gt;outliers!$B$27),"Outlier","Normal")</f>
        <v>Normal</v>
      </c>
      <c r="J59" s="8">
        <f t="shared" si="0"/>
        <v>2017</v>
      </c>
      <c r="K59">
        <f t="shared" si="1"/>
        <v>6</v>
      </c>
    </row>
    <row r="60" spans="1:11" hidden="1" x14ac:dyDescent="0.35">
      <c r="A60" s="13">
        <v>42903</v>
      </c>
      <c r="B60" s="8">
        <v>23.1</v>
      </c>
      <c r="C60" s="8">
        <v>19.399999999999999</v>
      </c>
      <c r="D60" s="8">
        <v>28.4</v>
      </c>
      <c r="E60" s="8">
        <v>23.1</v>
      </c>
      <c r="F60" s="8" t="str">
        <f>IF(OR(B60&lt;outliers!$B$7,B60&gt;outliers!$B$6),"Outlier","Normal")</f>
        <v>Normal</v>
      </c>
      <c r="G60" s="8" t="str">
        <f>IF(OR(C60&lt;outliers!$B$14,C60&gt;outliers!$B$13),"Outlier","Normal")</f>
        <v>Normal</v>
      </c>
      <c r="H60" s="8" t="str">
        <f>IF(OR(D60&lt;outliers!$B$21,D60&gt;outliers!$B$20),"Outlier","Normal")</f>
        <v>Normal</v>
      </c>
      <c r="I60" s="8" t="str">
        <f>IF(OR(E60&lt;outliers!$C$28,E60&gt;outliers!$B$27),"Outlier","Normal")</f>
        <v>Outlier</v>
      </c>
      <c r="J60" s="8">
        <f t="shared" si="0"/>
        <v>2017</v>
      </c>
      <c r="K60">
        <f t="shared" si="1"/>
        <v>6</v>
      </c>
    </row>
    <row r="61" spans="1:11" x14ac:dyDescent="0.35">
      <c r="A61" s="13">
        <v>42904</v>
      </c>
      <c r="B61" s="8">
        <v>23.8</v>
      </c>
      <c r="C61" s="8">
        <v>20.2</v>
      </c>
      <c r="D61" s="8">
        <v>29.3</v>
      </c>
      <c r="E61" s="8">
        <v>0</v>
      </c>
      <c r="F61" s="8" t="str">
        <f>IF(OR(B61&lt;outliers!$B$7,B61&gt;outliers!$B$6),"Outlier","Normal")</f>
        <v>Normal</v>
      </c>
      <c r="G61" s="8" t="str">
        <f>IF(OR(C61&lt;outliers!$B$14,C61&gt;outliers!$B$13),"Outlier","Normal")</f>
        <v>Normal</v>
      </c>
      <c r="H61" s="8" t="str">
        <f>IF(OR(D61&lt;outliers!$B$21,D61&gt;outliers!$B$20),"Outlier","Normal")</f>
        <v>Normal</v>
      </c>
      <c r="I61" s="8" t="str">
        <f>IF(OR(E61&lt;outliers!$C$28,E61&gt;outliers!$B$27),"Outlier","Normal")</f>
        <v>Normal</v>
      </c>
      <c r="J61" s="8">
        <f t="shared" si="0"/>
        <v>2017</v>
      </c>
      <c r="K61">
        <f t="shared" si="1"/>
        <v>6</v>
      </c>
    </row>
    <row r="62" spans="1:11" x14ac:dyDescent="0.35">
      <c r="A62" s="13">
        <v>42905</v>
      </c>
      <c r="B62" s="8">
        <v>23.4</v>
      </c>
      <c r="C62" s="8">
        <v>20</v>
      </c>
      <c r="D62" s="8">
        <v>29</v>
      </c>
      <c r="E62" s="8">
        <v>3.6</v>
      </c>
      <c r="F62" s="8" t="str">
        <f>IF(OR(B62&lt;outliers!$B$7,B62&gt;outliers!$B$6),"Outlier","Normal")</f>
        <v>Normal</v>
      </c>
      <c r="G62" s="8" t="str">
        <f>IF(OR(C62&lt;outliers!$B$14,C62&gt;outliers!$B$13),"Outlier","Normal")</f>
        <v>Normal</v>
      </c>
      <c r="H62" s="8" t="str">
        <f>IF(OR(D62&lt;outliers!$B$21,D62&gt;outliers!$B$20),"Outlier","Normal")</f>
        <v>Normal</v>
      </c>
      <c r="I62" s="8" t="str">
        <f>IF(OR(E62&lt;outliers!$C$28,E62&gt;outliers!$B$27),"Outlier","Normal")</f>
        <v>Normal</v>
      </c>
      <c r="J62" s="8">
        <f t="shared" si="0"/>
        <v>2017</v>
      </c>
      <c r="K62">
        <f t="shared" si="1"/>
        <v>6</v>
      </c>
    </row>
    <row r="63" spans="1:11" x14ac:dyDescent="0.35">
      <c r="A63" s="13">
        <v>42906</v>
      </c>
      <c r="B63" s="8">
        <v>24.1</v>
      </c>
      <c r="C63" s="8">
        <v>21</v>
      </c>
      <c r="D63" s="8">
        <v>28</v>
      </c>
      <c r="E63" s="8">
        <v>0</v>
      </c>
      <c r="F63" s="8" t="str">
        <f>IF(OR(B63&lt;outliers!$B$7,B63&gt;outliers!$B$6),"Outlier","Normal")</f>
        <v>Normal</v>
      </c>
      <c r="G63" s="8" t="str">
        <f>IF(OR(C63&lt;outliers!$B$14,C63&gt;outliers!$B$13),"Outlier","Normal")</f>
        <v>Normal</v>
      </c>
      <c r="H63" s="8" t="str">
        <f>IF(OR(D63&lt;outliers!$B$21,D63&gt;outliers!$B$20),"Outlier","Normal")</f>
        <v>Normal</v>
      </c>
      <c r="I63" s="8" t="str">
        <f>IF(OR(E63&lt;outliers!$C$28,E63&gt;outliers!$B$27),"Outlier","Normal")</f>
        <v>Normal</v>
      </c>
      <c r="J63" s="8">
        <f t="shared" si="0"/>
        <v>2017</v>
      </c>
      <c r="K63">
        <f t="shared" si="1"/>
        <v>6</v>
      </c>
    </row>
    <row r="64" spans="1:11" x14ac:dyDescent="0.35">
      <c r="A64" s="13">
        <v>42907</v>
      </c>
      <c r="B64" s="8">
        <v>24.6</v>
      </c>
      <c r="C64" s="8">
        <v>20.8</v>
      </c>
      <c r="D64" s="8">
        <v>29.8</v>
      </c>
      <c r="E64" s="8">
        <v>0.3</v>
      </c>
      <c r="F64" s="8" t="str">
        <f>IF(OR(B64&lt;outliers!$B$7,B64&gt;outliers!$B$6),"Outlier","Normal")</f>
        <v>Normal</v>
      </c>
      <c r="G64" s="8" t="str">
        <f>IF(OR(C64&lt;outliers!$B$14,C64&gt;outliers!$B$13),"Outlier","Normal")</f>
        <v>Normal</v>
      </c>
      <c r="H64" s="8" t="str">
        <f>IF(OR(D64&lt;outliers!$B$21,D64&gt;outliers!$B$20),"Outlier","Normal")</f>
        <v>Normal</v>
      </c>
      <c r="I64" s="8" t="str">
        <f>IF(OR(E64&lt;outliers!$C$28,E64&gt;outliers!$B$27),"Outlier","Normal")</f>
        <v>Normal</v>
      </c>
      <c r="J64" s="8">
        <f t="shared" si="0"/>
        <v>2017</v>
      </c>
      <c r="K64">
        <f t="shared" si="1"/>
        <v>6</v>
      </c>
    </row>
    <row r="65" spans="1:11" x14ac:dyDescent="0.35">
      <c r="A65" s="13">
        <v>42908</v>
      </c>
      <c r="B65" s="8">
        <v>24.4</v>
      </c>
      <c r="C65" s="8">
        <v>20.5</v>
      </c>
      <c r="D65" s="8">
        <v>29.5</v>
      </c>
      <c r="E65" s="8">
        <v>0</v>
      </c>
      <c r="F65" s="8" t="str">
        <f>IF(OR(B65&lt;outliers!$B$7,B65&gt;outliers!$B$6),"Outlier","Normal")</f>
        <v>Normal</v>
      </c>
      <c r="G65" s="8" t="str">
        <f>IF(OR(C65&lt;outliers!$B$14,C65&gt;outliers!$B$13),"Outlier","Normal")</f>
        <v>Normal</v>
      </c>
      <c r="H65" s="8" t="str">
        <f>IF(OR(D65&lt;outliers!$B$21,D65&gt;outliers!$B$20),"Outlier","Normal")</f>
        <v>Normal</v>
      </c>
      <c r="I65" s="8" t="str">
        <f>IF(OR(E65&lt;outliers!$C$28,E65&gt;outliers!$B$27),"Outlier","Normal")</f>
        <v>Normal</v>
      </c>
      <c r="J65" s="8">
        <f t="shared" si="0"/>
        <v>2017</v>
      </c>
      <c r="K65">
        <f t="shared" si="1"/>
        <v>6</v>
      </c>
    </row>
    <row r="66" spans="1:11" x14ac:dyDescent="0.35">
      <c r="A66" s="13">
        <v>42909</v>
      </c>
      <c r="B66" s="8">
        <v>24.9</v>
      </c>
      <c r="C66" s="8">
        <v>19.399999999999999</v>
      </c>
      <c r="D66" s="8">
        <v>30.6</v>
      </c>
      <c r="E66" s="8">
        <v>0.8</v>
      </c>
      <c r="F66" s="8" t="str">
        <f>IF(OR(B66&lt;outliers!$B$7,B66&gt;outliers!$B$6),"Outlier","Normal")</f>
        <v>Normal</v>
      </c>
      <c r="G66" s="8" t="str">
        <f>IF(OR(C66&lt;outliers!$B$14,C66&gt;outliers!$B$13),"Outlier","Normal")</f>
        <v>Normal</v>
      </c>
      <c r="H66" s="8" t="str">
        <f>IF(OR(D66&lt;outliers!$B$21,D66&gt;outliers!$B$20),"Outlier","Normal")</f>
        <v>Normal</v>
      </c>
      <c r="I66" s="8" t="str">
        <f>IF(OR(E66&lt;outliers!$C$28,E66&gt;outliers!$B$27),"Outlier","Normal")</f>
        <v>Normal</v>
      </c>
      <c r="J66" s="8">
        <f t="shared" si="0"/>
        <v>2017</v>
      </c>
      <c r="K66">
        <f t="shared" si="1"/>
        <v>6</v>
      </c>
    </row>
    <row r="67" spans="1:11" x14ac:dyDescent="0.35">
      <c r="A67" s="13">
        <v>42910</v>
      </c>
      <c r="B67" s="8">
        <v>24.4</v>
      </c>
      <c r="C67" s="8">
        <v>21</v>
      </c>
      <c r="D67" s="8">
        <v>30.5</v>
      </c>
      <c r="E67" s="8">
        <v>0</v>
      </c>
      <c r="F67" s="8" t="str">
        <f>IF(OR(B67&lt;outliers!$B$7,B67&gt;outliers!$B$6),"Outlier","Normal")</f>
        <v>Normal</v>
      </c>
      <c r="G67" s="8" t="str">
        <f>IF(OR(C67&lt;outliers!$B$14,C67&gt;outliers!$B$13),"Outlier","Normal")</f>
        <v>Normal</v>
      </c>
      <c r="H67" s="8" t="str">
        <f>IF(OR(D67&lt;outliers!$B$21,D67&gt;outliers!$B$20),"Outlier","Normal")</f>
        <v>Normal</v>
      </c>
      <c r="I67" s="8" t="str">
        <f>IF(OR(E67&lt;outliers!$C$28,E67&gt;outliers!$B$27),"Outlier","Normal")</f>
        <v>Normal</v>
      </c>
      <c r="J67" s="8">
        <f t="shared" si="0"/>
        <v>2017</v>
      </c>
      <c r="K67">
        <f t="shared" si="1"/>
        <v>6</v>
      </c>
    </row>
    <row r="68" spans="1:11" x14ac:dyDescent="0.35">
      <c r="A68" s="13">
        <v>42911</v>
      </c>
      <c r="B68" s="8">
        <v>23.8</v>
      </c>
      <c r="C68" s="8">
        <v>20.6</v>
      </c>
      <c r="D68" s="8">
        <v>29.4</v>
      </c>
      <c r="E68" s="8">
        <v>0</v>
      </c>
      <c r="F68" s="8" t="str">
        <f>IF(OR(B68&lt;outliers!$B$7,B68&gt;outliers!$B$6),"Outlier","Normal")</f>
        <v>Normal</v>
      </c>
      <c r="G68" s="8" t="str">
        <f>IF(OR(C68&lt;outliers!$B$14,C68&gt;outliers!$B$13),"Outlier","Normal")</f>
        <v>Normal</v>
      </c>
      <c r="H68" s="8" t="str">
        <f>IF(OR(D68&lt;outliers!$B$21,D68&gt;outliers!$B$20),"Outlier","Normal")</f>
        <v>Normal</v>
      </c>
      <c r="I68" s="8" t="str">
        <f>IF(OR(E68&lt;outliers!$C$28,E68&gt;outliers!$B$27),"Outlier","Normal")</f>
        <v>Normal</v>
      </c>
      <c r="J68" s="8">
        <f t="shared" ref="J68:J131" si="2">YEAR(A68)</f>
        <v>2017</v>
      </c>
      <c r="K68">
        <f t="shared" ref="K68:K131" si="3">MONTH(A68)</f>
        <v>6</v>
      </c>
    </row>
    <row r="69" spans="1:11" x14ac:dyDescent="0.35">
      <c r="A69" s="13">
        <v>42912</v>
      </c>
      <c r="B69" s="8">
        <v>24</v>
      </c>
      <c r="C69" s="8">
        <v>20.399999999999999</v>
      </c>
      <c r="D69" s="8">
        <v>29</v>
      </c>
      <c r="E69" s="8">
        <v>0</v>
      </c>
      <c r="F69" s="8" t="str">
        <f>IF(OR(B69&lt;outliers!$B$7,B69&gt;outliers!$B$6),"Outlier","Normal")</f>
        <v>Normal</v>
      </c>
      <c r="G69" s="8" t="str">
        <f>IF(OR(C69&lt;outliers!$B$14,C69&gt;outliers!$B$13),"Outlier","Normal")</f>
        <v>Normal</v>
      </c>
      <c r="H69" s="8" t="str">
        <f>IF(OR(D69&lt;outliers!$B$21,D69&gt;outliers!$B$20),"Outlier","Normal")</f>
        <v>Normal</v>
      </c>
      <c r="I69" s="8" t="str">
        <f>IF(OR(E69&lt;outliers!$C$28,E69&gt;outliers!$B$27),"Outlier","Normal")</f>
        <v>Normal</v>
      </c>
      <c r="J69" s="8">
        <f t="shared" si="2"/>
        <v>2017</v>
      </c>
      <c r="K69">
        <f t="shared" si="3"/>
        <v>6</v>
      </c>
    </row>
    <row r="70" spans="1:11" x14ac:dyDescent="0.35">
      <c r="A70" s="13">
        <v>42913</v>
      </c>
      <c r="B70" s="8">
        <v>23.6</v>
      </c>
      <c r="C70" s="8">
        <v>20.399999999999999</v>
      </c>
      <c r="D70" s="8">
        <v>30.6</v>
      </c>
      <c r="E70" s="8">
        <v>0</v>
      </c>
      <c r="F70" s="8" t="str">
        <f>IF(OR(B70&lt;outliers!$B$7,B70&gt;outliers!$B$6),"Outlier","Normal")</f>
        <v>Normal</v>
      </c>
      <c r="G70" s="8" t="str">
        <f>IF(OR(C70&lt;outliers!$B$14,C70&gt;outliers!$B$13),"Outlier","Normal")</f>
        <v>Normal</v>
      </c>
      <c r="H70" s="8" t="str">
        <f>IF(OR(D70&lt;outliers!$B$21,D70&gt;outliers!$B$20),"Outlier","Normal")</f>
        <v>Normal</v>
      </c>
      <c r="I70" s="8" t="str">
        <f>IF(OR(E70&lt;outliers!$C$28,E70&gt;outliers!$B$27),"Outlier","Normal")</f>
        <v>Normal</v>
      </c>
      <c r="J70" s="8">
        <f t="shared" si="2"/>
        <v>2017</v>
      </c>
      <c r="K70">
        <f t="shared" si="3"/>
        <v>6</v>
      </c>
    </row>
    <row r="71" spans="1:11" x14ac:dyDescent="0.35">
      <c r="A71" s="13">
        <v>42914</v>
      </c>
      <c r="B71" s="8">
        <v>24.3</v>
      </c>
      <c r="C71" s="8">
        <v>20.3</v>
      </c>
      <c r="D71" s="8">
        <v>29.8</v>
      </c>
      <c r="E71" s="8">
        <v>0</v>
      </c>
      <c r="F71" s="8" t="str">
        <f>IF(OR(B71&lt;outliers!$B$7,B71&gt;outliers!$B$6),"Outlier","Normal")</f>
        <v>Normal</v>
      </c>
      <c r="G71" s="8" t="str">
        <f>IF(OR(C71&lt;outliers!$B$14,C71&gt;outliers!$B$13),"Outlier","Normal")</f>
        <v>Normal</v>
      </c>
      <c r="H71" s="8" t="str">
        <f>IF(OR(D71&lt;outliers!$B$21,D71&gt;outliers!$B$20),"Outlier","Normal")</f>
        <v>Normal</v>
      </c>
      <c r="I71" s="8" t="str">
        <f>IF(OR(E71&lt;outliers!$C$28,E71&gt;outliers!$B$27),"Outlier","Normal")</f>
        <v>Normal</v>
      </c>
      <c r="J71" s="8">
        <f t="shared" si="2"/>
        <v>2017</v>
      </c>
      <c r="K71">
        <f t="shared" si="3"/>
        <v>6</v>
      </c>
    </row>
    <row r="72" spans="1:11" x14ac:dyDescent="0.35">
      <c r="A72" s="13">
        <v>42915</v>
      </c>
      <c r="B72" s="8">
        <v>24.3</v>
      </c>
      <c r="C72" s="8">
        <v>20.399999999999999</v>
      </c>
      <c r="D72" s="8">
        <v>29.1</v>
      </c>
      <c r="E72" s="8">
        <v>0</v>
      </c>
      <c r="F72" s="8" t="str">
        <f>IF(OR(B72&lt;outliers!$B$7,B72&gt;outliers!$B$6),"Outlier","Normal")</f>
        <v>Normal</v>
      </c>
      <c r="G72" s="8" t="str">
        <f>IF(OR(C72&lt;outliers!$B$14,C72&gt;outliers!$B$13),"Outlier","Normal")</f>
        <v>Normal</v>
      </c>
      <c r="H72" s="8" t="str">
        <f>IF(OR(D72&lt;outliers!$B$21,D72&gt;outliers!$B$20),"Outlier","Normal")</f>
        <v>Normal</v>
      </c>
      <c r="I72" s="8" t="str">
        <f>IF(OR(E72&lt;outliers!$C$28,E72&gt;outliers!$B$27),"Outlier","Normal")</f>
        <v>Normal</v>
      </c>
      <c r="J72" s="8">
        <f t="shared" si="2"/>
        <v>2017</v>
      </c>
      <c r="K72">
        <f t="shared" si="3"/>
        <v>6</v>
      </c>
    </row>
    <row r="73" spans="1:11" x14ac:dyDescent="0.35">
      <c r="A73" s="13">
        <v>42917</v>
      </c>
      <c r="B73" s="8">
        <v>24.6</v>
      </c>
      <c r="C73" s="8">
        <v>19.3</v>
      </c>
      <c r="D73" s="8">
        <v>29.2</v>
      </c>
      <c r="E73" s="8">
        <v>0</v>
      </c>
      <c r="F73" s="8" t="str">
        <f>IF(OR(B73&lt;outliers!$B$7,B73&gt;outliers!$B$6),"Outlier","Normal")</f>
        <v>Normal</v>
      </c>
      <c r="G73" s="8" t="str">
        <f>IF(OR(C73&lt;outliers!$B$14,C73&gt;outliers!$B$13),"Outlier","Normal")</f>
        <v>Normal</v>
      </c>
      <c r="H73" s="8" t="str">
        <f>IF(OR(D73&lt;outliers!$B$21,D73&gt;outliers!$B$20),"Outlier","Normal")</f>
        <v>Normal</v>
      </c>
      <c r="I73" s="8" t="str">
        <f>IF(OR(E73&lt;outliers!$C$28,E73&gt;outliers!$B$27),"Outlier","Normal")</f>
        <v>Normal</v>
      </c>
      <c r="J73" s="8">
        <f t="shared" si="2"/>
        <v>2017</v>
      </c>
      <c r="K73">
        <f t="shared" si="3"/>
        <v>7</v>
      </c>
    </row>
    <row r="74" spans="1:11" x14ac:dyDescent="0.35">
      <c r="A74" s="13">
        <v>42918</v>
      </c>
      <c r="B74" s="8">
        <v>25.2</v>
      </c>
      <c r="C74" s="8">
        <v>20.5</v>
      </c>
      <c r="D74" s="8">
        <v>30.3</v>
      </c>
      <c r="E74" s="8">
        <v>0</v>
      </c>
      <c r="F74" s="8" t="str">
        <f>IF(OR(B74&lt;outliers!$B$7,B74&gt;outliers!$B$6),"Outlier","Normal")</f>
        <v>Normal</v>
      </c>
      <c r="G74" s="8" t="str">
        <f>IF(OR(C74&lt;outliers!$B$14,C74&gt;outliers!$B$13),"Outlier","Normal")</f>
        <v>Normal</v>
      </c>
      <c r="H74" s="8" t="str">
        <f>IF(OR(D74&lt;outliers!$B$21,D74&gt;outliers!$B$20),"Outlier","Normal")</f>
        <v>Normal</v>
      </c>
      <c r="I74" s="8" t="str">
        <f>IF(OR(E74&lt;outliers!$C$28,E74&gt;outliers!$B$27),"Outlier","Normal")</f>
        <v>Normal</v>
      </c>
      <c r="J74" s="8">
        <f t="shared" si="2"/>
        <v>2017</v>
      </c>
      <c r="K74">
        <f t="shared" si="3"/>
        <v>7</v>
      </c>
    </row>
    <row r="75" spans="1:11" x14ac:dyDescent="0.35">
      <c r="A75" s="13">
        <v>42920</v>
      </c>
      <c r="B75" s="8">
        <v>23.7</v>
      </c>
      <c r="C75" s="8">
        <v>20.399999999999999</v>
      </c>
      <c r="D75" s="8">
        <v>28.7</v>
      </c>
      <c r="E75" s="8">
        <v>3.8</v>
      </c>
      <c r="F75" s="8" t="str">
        <f>IF(OR(B75&lt;outliers!$B$7,B75&gt;outliers!$B$6),"Outlier","Normal")</f>
        <v>Normal</v>
      </c>
      <c r="G75" s="8" t="str">
        <f>IF(OR(C75&lt;outliers!$B$14,C75&gt;outliers!$B$13),"Outlier","Normal")</f>
        <v>Normal</v>
      </c>
      <c r="H75" s="8" t="str">
        <f>IF(OR(D75&lt;outliers!$B$21,D75&gt;outliers!$B$20),"Outlier","Normal")</f>
        <v>Normal</v>
      </c>
      <c r="I75" s="8" t="str">
        <f>IF(OR(E75&lt;outliers!$C$28,E75&gt;outliers!$B$27),"Outlier","Normal")</f>
        <v>Normal</v>
      </c>
      <c r="J75" s="8">
        <f t="shared" si="2"/>
        <v>2017</v>
      </c>
      <c r="K75">
        <f t="shared" si="3"/>
        <v>7</v>
      </c>
    </row>
    <row r="76" spans="1:11" x14ac:dyDescent="0.35">
      <c r="A76" s="13">
        <v>42921</v>
      </c>
      <c r="B76" s="8">
        <v>23.2</v>
      </c>
      <c r="C76" s="8">
        <v>20</v>
      </c>
      <c r="D76" s="8">
        <v>29.6</v>
      </c>
      <c r="E76" s="8">
        <v>2.2999999999999998</v>
      </c>
      <c r="F76" s="8" t="str">
        <f>IF(OR(B76&lt;outliers!$B$7,B76&gt;outliers!$B$6),"Outlier","Normal")</f>
        <v>Normal</v>
      </c>
      <c r="G76" s="8" t="str">
        <f>IF(OR(C76&lt;outliers!$B$14,C76&gt;outliers!$B$13),"Outlier","Normal")</f>
        <v>Normal</v>
      </c>
      <c r="H76" s="8" t="str">
        <f>IF(OR(D76&lt;outliers!$B$21,D76&gt;outliers!$B$20),"Outlier","Normal")</f>
        <v>Normal</v>
      </c>
      <c r="I76" s="8" t="str">
        <f>IF(OR(E76&lt;outliers!$C$28,E76&gt;outliers!$B$27),"Outlier","Normal")</f>
        <v>Normal</v>
      </c>
      <c r="J76" s="8">
        <f t="shared" si="2"/>
        <v>2017</v>
      </c>
      <c r="K76">
        <f t="shared" si="3"/>
        <v>7</v>
      </c>
    </row>
    <row r="77" spans="1:11" x14ac:dyDescent="0.35">
      <c r="A77" s="13">
        <v>42922</v>
      </c>
      <c r="B77" s="8">
        <v>23.7</v>
      </c>
      <c r="C77" s="8">
        <v>20.2</v>
      </c>
      <c r="D77" s="8">
        <v>29.2</v>
      </c>
      <c r="E77" s="8">
        <v>10.199999999999999</v>
      </c>
      <c r="F77" s="8" t="str">
        <f>IF(OR(B77&lt;outliers!$B$7,B77&gt;outliers!$B$6),"Outlier","Normal")</f>
        <v>Normal</v>
      </c>
      <c r="G77" s="8" t="str">
        <f>IF(OR(C77&lt;outliers!$B$14,C77&gt;outliers!$B$13),"Outlier","Normal")</f>
        <v>Normal</v>
      </c>
      <c r="H77" s="8" t="str">
        <f>IF(OR(D77&lt;outliers!$B$21,D77&gt;outliers!$B$20),"Outlier","Normal")</f>
        <v>Normal</v>
      </c>
      <c r="I77" s="8" t="str">
        <f>IF(OR(E77&lt;outliers!$C$28,E77&gt;outliers!$B$27),"Outlier","Normal")</f>
        <v>Normal</v>
      </c>
      <c r="J77" s="8">
        <f t="shared" si="2"/>
        <v>2017</v>
      </c>
      <c r="K77">
        <f t="shared" si="3"/>
        <v>7</v>
      </c>
    </row>
    <row r="78" spans="1:11" x14ac:dyDescent="0.35">
      <c r="A78" s="13">
        <v>42923</v>
      </c>
      <c r="B78" s="8">
        <v>23.2</v>
      </c>
      <c r="C78" s="8">
        <v>20.5</v>
      </c>
      <c r="D78" s="8">
        <v>29.3</v>
      </c>
      <c r="E78" s="8">
        <v>5.0999999999999996</v>
      </c>
      <c r="F78" s="8" t="str">
        <f>IF(OR(B78&lt;outliers!$B$7,B78&gt;outliers!$B$6),"Outlier","Normal")</f>
        <v>Normal</v>
      </c>
      <c r="G78" s="8" t="str">
        <f>IF(OR(C78&lt;outliers!$B$14,C78&gt;outliers!$B$13),"Outlier","Normal")</f>
        <v>Normal</v>
      </c>
      <c r="H78" s="8" t="str">
        <f>IF(OR(D78&lt;outliers!$B$21,D78&gt;outliers!$B$20),"Outlier","Normal")</f>
        <v>Normal</v>
      </c>
      <c r="I78" s="8" t="str">
        <f>IF(OR(E78&lt;outliers!$C$28,E78&gt;outliers!$B$27),"Outlier","Normal")</f>
        <v>Normal</v>
      </c>
      <c r="J78" s="8">
        <f t="shared" si="2"/>
        <v>2017</v>
      </c>
      <c r="K78">
        <f t="shared" si="3"/>
        <v>7</v>
      </c>
    </row>
    <row r="79" spans="1:11" x14ac:dyDescent="0.35">
      <c r="A79" s="13">
        <v>42924</v>
      </c>
      <c r="B79" s="8">
        <v>23.3</v>
      </c>
      <c r="C79" s="8">
        <v>20.399999999999999</v>
      </c>
      <c r="D79" s="8">
        <v>27.4</v>
      </c>
      <c r="E79" s="8">
        <v>0</v>
      </c>
      <c r="F79" s="8" t="str">
        <f>IF(OR(B79&lt;outliers!$B$7,B79&gt;outliers!$B$6),"Outlier","Normal")</f>
        <v>Normal</v>
      </c>
      <c r="G79" s="8" t="str">
        <f>IF(OR(C79&lt;outliers!$B$14,C79&gt;outliers!$B$13),"Outlier","Normal")</f>
        <v>Normal</v>
      </c>
      <c r="H79" s="8" t="str">
        <f>IF(OR(D79&lt;outliers!$B$21,D79&gt;outliers!$B$20),"Outlier","Normal")</f>
        <v>Normal</v>
      </c>
      <c r="I79" s="8" t="str">
        <f>IF(OR(E79&lt;outliers!$C$28,E79&gt;outliers!$B$27),"Outlier","Normal")</f>
        <v>Normal</v>
      </c>
      <c r="J79" s="8">
        <f t="shared" si="2"/>
        <v>2017</v>
      </c>
      <c r="K79">
        <f t="shared" si="3"/>
        <v>7</v>
      </c>
    </row>
    <row r="80" spans="1:11" x14ac:dyDescent="0.35">
      <c r="A80" s="13">
        <v>42925</v>
      </c>
      <c r="B80" s="8">
        <v>24.5</v>
      </c>
      <c r="C80" s="8">
        <v>20.2</v>
      </c>
      <c r="D80" s="8">
        <v>30.3</v>
      </c>
      <c r="E80" s="8">
        <v>0</v>
      </c>
      <c r="F80" s="8" t="str">
        <f>IF(OR(B80&lt;outliers!$B$7,B80&gt;outliers!$B$6),"Outlier","Normal")</f>
        <v>Normal</v>
      </c>
      <c r="G80" s="8" t="str">
        <f>IF(OR(C80&lt;outliers!$B$14,C80&gt;outliers!$B$13),"Outlier","Normal")</f>
        <v>Normal</v>
      </c>
      <c r="H80" s="8" t="str">
        <f>IF(OR(D80&lt;outliers!$B$21,D80&gt;outliers!$B$20),"Outlier","Normal")</f>
        <v>Normal</v>
      </c>
      <c r="I80" s="8" t="str">
        <f>IF(OR(E80&lt;outliers!$C$28,E80&gt;outliers!$B$27),"Outlier","Normal")</f>
        <v>Normal</v>
      </c>
      <c r="J80" s="8">
        <f t="shared" si="2"/>
        <v>2017</v>
      </c>
      <c r="K80">
        <f t="shared" si="3"/>
        <v>7</v>
      </c>
    </row>
    <row r="81" spans="1:11" x14ac:dyDescent="0.35">
      <c r="A81" s="13">
        <v>42928</v>
      </c>
      <c r="B81" s="8">
        <v>23.7</v>
      </c>
      <c r="C81" s="8">
        <v>21</v>
      </c>
      <c r="D81" s="8">
        <v>29.5</v>
      </c>
      <c r="E81" s="8">
        <v>0</v>
      </c>
      <c r="F81" s="8" t="str">
        <f>IF(OR(B81&lt;outliers!$B$7,B81&gt;outliers!$B$6),"Outlier","Normal")</f>
        <v>Normal</v>
      </c>
      <c r="G81" s="8" t="str">
        <f>IF(OR(C81&lt;outliers!$B$14,C81&gt;outliers!$B$13),"Outlier","Normal")</f>
        <v>Normal</v>
      </c>
      <c r="H81" s="8" t="str">
        <f>IF(OR(D81&lt;outliers!$B$21,D81&gt;outliers!$B$20),"Outlier","Normal")</f>
        <v>Normal</v>
      </c>
      <c r="I81" s="8" t="str">
        <f>IF(OR(E81&lt;outliers!$C$28,E81&gt;outliers!$B$27),"Outlier","Normal")</f>
        <v>Normal</v>
      </c>
      <c r="J81" s="8">
        <f t="shared" si="2"/>
        <v>2017</v>
      </c>
      <c r="K81">
        <f t="shared" si="3"/>
        <v>7</v>
      </c>
    </row>
    <row r="82" spans="1:11" x14ac:dyDescent="0.35">
      <c r="A82" s="13">
        <v>42929</v>
      </c>
      <c r="B82" s="8">
        <v>22.8</v>
      </c>
      <c r="C82" s="8">
        <v>20</v>
      </c>
      <c r="D82" s="8">
        <v>28.5</v>
      </c>
      <c r="E82" s="8">
        <v>1.5</v>
      </c>
      <c r="F82" s="8" t="str">
        <f>IF(OR(B82&lt;outliers!$B$7,B82&gt;outliers!$B$6),"Outlier","Normal")</f>
        <v>Normal</v>
      </c>
      <c r="G82" s="8" t="str">
        <f>IF(OR(C82&lt;outliers!$B$14,C82&gt;outliers!$B$13),"Outlier","Normal")</f>
        <v>Normal</v>
      </c>
      <c r="H82" s="8" t="str">
        <f>IF(OR(D82&lt;outliers!$B$21,D82&gt;outliers!$B$20),"Outlier","Normal")</f>
        <v>Normal</v>
      </c>
      <c r="I82" s="8" t="str">
        <f>IF(OR(E82&lt;outliers!$C$28,E82&gt;outliers!$B$27),"Outlier","Normal")</f>
        <v>Normal</v>
      </c>
      <c r="J82" s="8">
        <f t="shared" si="2"/>
        <v>2017</v>
      </c>
      <c r="K82">
        <f t="shared" si="3"/>
        <v>7</v>
      </c>
    </row>
    <row r="83" spans="1:11" x14ac:dyDescent="0.35">
      <c r="A83" s="13">
        <v>42930</v>
      </c>
      <c r="B83" s="8">
        <v>22.9</v>
      </c>
      <c r="C83" s="8">
        <v>20</v>
      </c>
      <c r="D83" s="8">
        <v>25.9</v>
      </c>
      <c r="E83" s="8">
        <v>0</v>
      </c>
      <c r="F83" s="8" t="str">
        <f>IF(OR(B83&lt;outliers!$B$7,B83&gt;outliers!$B$6),"Outlier","Normal")</f>
        <v>Normal</v>
      </c>
      <c r="G83" s="8" t="str">
        <f>IF(OR(C83&lt;outliers!$B$14,C83&gt;outliers!$B$13),"Outlier","Normal")</f>
        <v>Normal</v>
      </c>
      <c r="H83" s="8" t="str">
        <f>IF(OR(D83&lt;outliers!$B$21,D83&gt;outliers!$B$20),"Outlier","Normal")</f>
        <v>Normal</v>
      </c>
      <c r="I83" s="8" t="str">
        <f>IF(OR(E83&lt;outliers!$C$28,E83&gt;outliers!$B$27),"Outlier","Normal")</f>
        <v>Normal</v>
      </c>
      <c r="J83" s="8">
        <f t="shared" si="2"/>
        <v>2017</v>
      </c>
      <c r="K83">
        <f t="shared" si="3"/>
        <v>7</v>
      </c>
    </row>
    <row r="84" spans="1:11" x14ac:dyDescent="0.35">
      <c r="A84" s="13">
        <v>42931</v>
      </c>
      <c r="B84" s="8">
        <v>22.2</v>
      </c>
      <c r="C84" s="8">
        <v>20.2</v>
      </c>
      <c r="D84" s="8">
        <v>27.2</v>
      </c>
      <c r="E84" s="8">
        <v>0</v>
      </c>
      <c r="F84" s="8" t="str">
        <f>IF(OR(B84&lt;outliers!$B$7,B84&gt;outliers!$B$6),"Outlier","Normal")</f>
        <v>Normal</v>
      </c>
      <c r="G84" s="8" t="str">
        <f>IF(OR(C84&lt;outliers!$B$14,C84&gt;outliers!$B$13),"Outlier","Normal")</f>
        <v>Normal</v>
      </c>
      <c r="H84" s="8" t="str">
        <f>IF(OR(D84&lt;outliers!$B$21,D84&gt;outliers!$B$20),"Outlier","Normal")</f>
        <v>Normal</v>
      </c>
      <c r="I84" s="8" t="str">
        <f>IF(OR(E84&lt;outliers!$C$28,E84&gt;outliers!$B$27),"Outlier","Normal")</f>
        <v>Normal</v>
      </c>
      <c r="J84" s="8">
        <f t="shared" si="2"/>
        <v>2017</v>
      </c>
      <c r="K84">
        <f t="shared" si="3"/>
        <v>7</v>
      </c>
    </row>
    <row r="85" spans="1:11" x14ac:dyDescent="0.35">
      <c r="A85" s="13">
        <v>42932</v>
      </c>
      <c r="B85" s="8">
        <v>23.2</v>
      </c>
      <c r="C85" s="8">
        <v>19.7</v>
      </c>
      <c r="D85" s="8">
        <v>28.4</v>
      </c>
      <c r="E85" s="8">
        <v>0</v>
      </c>
      <c r="F85" s="8" t="str">
        <f>IF(OR(B85&lt;outliers!$B$7,B85&gt;outliers!$B$6),"Outlier","Normal")</f>
        <v>Normal</v>
      </c>
      <c r="G85" s="8" t="str">
        <f>IF(OR(C85&lt;outliers!$B$14,C85&gt;outliers!$B$13),"Outlier","Normal")</f>
        <v>Normal</v>
      </c>
      <c r="H85" s="8" t="str">
        <f>IF(OR(D85&lt;outliers!$B$21,D85&gt;outliers!$B$20),"Outlier","Normal")</f>
        <v>Normal</v>
      </c>
      <c r="I85" s="8" t="str">
        <f>IF(OR(E85&lt;outliers!$C$28,E85&gt;outliers!$B$27),"Outlier","Normal")</f>
        <v>Normal</v>
      </c>
      <c r="J85" s="8">
        <f t="shared" si="2"/>
        <v>2017</v>
      </c>
      <c r="K85">
        <f t="shared" si="3"/>
        <v>7</v>
      </c>
    </row>
    <row r="86" spans="1:11" x14ac:dyDescent="0.35">
      <c r="A86" s="13">
        <v>42933</v>
      </c>
      <c r="B86" s="8">
        <v>23.8</v>
      </c>
      <c r="C86" s="8">
        <v>20</v>
      </c>
      <c r="D86" s="8">
        <v>28.8</v>
      </c>
      <c r="E86" s="8">
        <v>0</v>
      </c>
      <c r="F86" s="8" t="str">
        <f>IF(OR(B86&lt;outliers!$B$7,B86&gt;outliers!$B$6),"Outlier","Normal")</f>
        <v>Normal</v>
      </c>
      <c r="G86" s="8" t="str">
        <f>IF(OR(C86&lt;outliers!$B$14,C86&gt;outliers!$B$13),"Outlier","Normal")</f>
        <v>Normal</v>
      </c>
      <c r="H86" s="8" t="str">
        <f>IF(OR(D86&lt;outliers!$B$21,D86&gt;outliers!$B$20),"Outlier","Normal")</f>
        <v>Normal</v>
      </c>
      <c r="I86" s="8" t="str">
        <f>IF(OR(E86&lt;outliers!$C$28,E86&gt;outliers!$B$27),"Outlier","Normal")</f>
        <v>Normal</v>
      </c>
      <c r="J86" s="8">
        <f t="shared" si="2"/>
        <v>2017</v>
      </c>
      <c r="K86">
        <f t="shared" si="3"/>
        <v>7</v>
      </c>
    </row>
    <row r="87" spans="1:11" x14ac:dyDescent="0.35">
      <c r="A87" s="13">
        <v>42934</v>
      </c>
      <c r="B87" s="8">
        <v>22.8</v>
      </c>
      <c r="C87" s="8">
        <v>20.7</v>
      </c>
      <c r="D87" s="8">
        <v>28.3</v>
      </c>
      <c r="E87" s="8">
        <v>0</v>
      </c>
      <c r="F87" s="8" t="str">
        <f>IF(OR(B87&lt;outliers!$B$7,B87&gt;outliers!$B$6),"Outlier","Normal")</f>
        <v>Normal</v>
      </c>
      <c r="G87" s="8" t="str">
        <f>IF(OR(C87&lt;outliers!$B$14,C87&gt;outliers!$B$13),"Outlier","Normal")</f>
        <v>Normal</v>
      </c>
      <c r="H87" s="8" t="str">
        <f>IF(OR(D87&lt;outliers!$B$21,D87&gt;outliers!$B$20),"Outlier","Normal")</f>
        <v>Normal</v>
      </c>
      <c r="I87" s="8" t="str">
        <f>IF(OR(E87&lt;outliers!$C$28,E87&gt;outliers!$B$27),"Outlier","Normal")</f>
        <v>Normal</v>
      </c>
      <c r="J87" s="8">
        <f t="shared" si="2"/>
        <v>2017</v>
      </c>
      <c r="K87">
        <f t="shared" si="3"/>
        <v>7</v>
      </c>
    </row>
    <row r="88" spans="1:11" x14ac:dyDescent="0.35">
      <c r="A88" s="13">
        <v>42935</v>
      </c>
      <c r="B88" s="8">
        <v>22.2</v>
      </c>
      <c r="C88" s="8">
        <v>20.6</v>
      </c>
      <c r="D88" s="8">
        <v>26.6</v>
      </c>
      <c r="E88" s="8">
        <v>0</v>
      </c>
      <c r="F88" s="8" t="str">
        <f>IF(OR(B88&lt;outliers!$B$7,B88&gt;outliers!$B$6),"Outlier","Normal")</f>
        <v>Normal</v>
      </c>
      <c r="G88" s="8" t="str">
        <f>IF(OR(C88&lt;outliers!$B$14,C88&gt;outliers!$B$13),"Outlier","Normal")</f>
        <v>Normal</v>
      </c>
      <c r="H88" s="8" t="str">
        <f>IF(OR(D88&lt;outliers!$B$21,D88&gt;outliers!$B$20),"Outlier","Normal")</f>
        <v>Normal</v>
      </c>
      <c r="I88" s="8" t="str">
        <f>IF(OR(E88&lt;outliers!$C$28,E88&gt;outliers!$B$27),"Outlier","Normal")</f>
        <v>Normal</v>
      </c>
      <c r="J88" s="8">
        <f t="shared" si="2"/>
        <v>2017</v>
      </c>
      <c r="K88">
        <f t="shared" si="3"/>
        <v>7</v>
      </c>
    </row>
    <row r="89" spans="1:11" x14ac:dyDescent="0.35">
      <c r="A89" s="13">
        <v>42936</v>
      </c>
      <c r="B89" s="8">
        <v>23.6</v>
      </c>
      <c r="C89" s="8">
        <v>20.6</v>
      </c>
      <c r="D89" s="8">
        <v>29.1</v>
      </c>
      <c r="E89" s="8">
        <v>9.4</v>
      </c>
      <c r="F89" s="8" t="str">
        <f>IF(OR(B89&lt;outliers!$B$7,B89&gt;outliers!$B$6),"Outlier","Normal")</f>
        <v>Normal</v>
      </c>
      <c r="G89" s="8" t="str">
        <f>IF(OR(C89&lt;outliers!$B$14,C89&gt;outliers!$B$13),"Outlier","Normal")</f>
        <v>Normal</v>
      </c>
      <c r="H89" s="8" t="str">
        <f>IF(OR(D89&lt;outliers!$B$21,D89&gt;outliers!$B$20),"Outlier","Normal")</f>
        <v>Normal</v>
      </c>
      <c r="I89" s="8" t="str">
        <f>IF(OR(E89&lt;outliers!$C$28,E89&gt;outliers!$B$27),"Outlier","Normal")</f>
        <v>Normal</v>
      </c>
      <c r="J89" s="8">
        <f t="shared" si="2"/>
        <v>2017</v>
      </c>
      <c r="K89">
        <f t="shared" si="3"/>
        <v>7</v>
      </c>
    </row>
    <row r="90" spans="1:11" x14ac:dyDescent="0.35">
      <c r="A90" s="13">
        <v>42937</v>
      </c>
      <c r="B90" s="8">
        <v>23.8</v>
      </c>
      <c r="C90" s="8">
        <v>19.7</v>
      </c>
      <c r="D90" s="8">
        <v>28.7</v>
      </c>
      <c r="E90" s="8">
        <v>0.8</v>
      </c>
      <c r="F90" s="8" t="str">
        <f>IF(OR(B90&lt;outliers!$B$7,B90&gt;outliers!$B$6),"Outlier","Normal")</f>
        <v>Normal</v>
      </c>
      <c r="G90" s="8" t="str">
        <f>IF(OR(C90&lt;outliers!$B$14,C90&gt;outliers!$B$13),"Outlier","Normal")</f>
        <v>Normal</v>
      </c>
      <c r="H90" s="8" t="str">
        <f>IF(OR(D90&lt;outliers!$B$21,D90&gt;outliers!$B$20),"Outlier","Normal")</f>
        <v>Normal</v>
      </c>
      <c r="I90" s="8" t="str">
        <f>IF(OR(E90&lt;outliers!$C$28,E90&gt;outliers!$B$27),"Outlier","Normal")</f>
        <v>Normal</v>
      </c>
      <c r="J90" s="8">
        <f t="shared" si="2"/>
        <v>2017</v>
      </c>
      <c r="K90">
        <f t="shared" si="3"/>
        <v>7</v>
      </c>
    </row>
    <row r="91" spans="1:11" x14ac:dyDescent="0.35">
      <c r="A91" s="13">
        <v>42938</v>
      </c>
      <c r="B91" s="8">
        <v>24.8</v>
      </c>
      <c r="C91" s="8">
        <v>20</v>
      </c>
      <c r="D91" s="8">
        <v>30.8</v>
      </c>
      <c r="E91" s="8">
        <v>0</v>
      </c>
      <c r="F91" s="8" t="str">
        <f>IF(OR(B91&lt;outliers!$B$7,B91&gt;outliers!$B$6),"Outlier","Normal")</f>
        <v>Normal</v>
      </c>
      <c r="G91" s="8" t="str">
        <f>IF(OR(C91&lt;outliers!$B$14,C91&gt;outliers!$B$13),"Outlier","Normal")</f>
        <v>Normal</v>
      </c>
      <c r="H91" s="8" t="str">
        <f>IF(OR(D91&lt;outliers!$B$21,D91&gt;outliers!$B$20),"Outlier","Normal")</f>
        <v>Normal</v>
      </c>
      <c r="I91" s="8" t="str">
        <f>IF(OR(E91&lt;outliers!$C$28,E91&gt;outliers!$B$27),"Outlier","Normal")</f>
        <v>Normal</v>
      </c>
      <c r="J91" s="8">
        <f t="shared" si="2"/>
        <v>2017</v>
      </c>
      <c r="K91">
        <f t="shared" si="3"/>
        <v>7</v>
      </c>
    </row>
    <row r="92" spans="1:11" x14ac:dyDescent="0.35">
      <c r="A92" s="13">
        <v>42941</v>
      </c>
      <c r="B92" s="8">
        <v>25.2</v>
      </c>
      <c r="C92" s="8">
        <v>20.5</v>
      </c>
      <c r="D92" s="8">
        <v>30.3</v>
      </c>
      <c r="E92" s="8">
        <v>0</v>
      </c>
      <c r="F92" s="8" t="str">
        <f>IF(OR(B92&lt;outliers!$B$7,B92&gt;outliers!$B$6),"Outlier","Normal")</f>
        <v>Normal</v>
      </c>
      <c r="G92" s="8" t="str">
        <f>IF(OR(C92&lt;outliers!$B$14,C92&gt;outliers!$B$13),"Outlier","Normal")</f>
        <v>Normal</v>
      </c>
      <c r="H92" s="8" t="str">
        <f>IF(OR(D92&lt;outliers!$B$21,D92&gt;outliers!$B$20),"Outlier","Normal")</f>
        <v>Normal</v>
      </c>
      <c r="I92" s="8" t="str">
        <f>IF(OR(E92&lt;outliers!$C$28,E92&gt;outliers!$B$27),"Outlier","Normal")</f>
        <v>Normal</v>
      </c>
      <c r="J92" s="8">
        <f t="shared" si="2"/>
        <v>2017</v>
      </c>
      <c r="K92">
        <f t="shared" si="3"/>
        <v>7</v>
      </c>
    </row>
    <row r="93" spans="1:11" x14ac:dyDescent="0.35">
      <c r="A93" s="13">
        <v>42942</v>
      </c>
      <c r="B93" s="8">
        <v>25.4</v>
      </c>
      <c r="C93" s="8">
        <v>20.5</v>
      </c>
      <c r="D93" s="8">
        <v>30.5</v>
      </c>
      <c r="E93" s="8">
        <v>0</v>
      </c>
      <c r="F93" s="8" t="str">
        <f>IF(OR(B93&lt;outliers!$B$7,B93&gt;outliers!$B$6),"Outlier","Normal")</f>
        <v>Normal</v>
      </c>
      <c r="G93" s="8" t="str">
        <f>IF(OR(C93&lt;outliers!$B$14,C93&gt;outliers!$B$13),"Outlier","Normal")</f>
        <v>Normal</v>
      </c>
      <c r="H93" s="8" t="str">
        <f>IF(OR(D93&lt;outliers!$B$21,D93&gt;outliers!$B$20),"Outlier","Normal")</f>
        <v>Normal</v>
      </c>
      <c r="I93" s="8" t="str">
        <f>IF(OR(E93&lt;outliers!$C$28,E93&gt;outliers!$B$27),"Outlier","Normal")</f>
        <v>Normal</v>
      </c>
      <c r="J93" s="8">
        <f t="shared" si="2"/>
        <v>2017</v>
      </c>
      <c r="K93">
        <f t="shared" si="3"/>
        <v>7</v>
      </c>
    </row>
    <row r="94" spans="1:11" hidden="1" x14ac:dyDescent="0.35">
      <c r="A94" s="13">
        <v>42944</v>
      </c>
      <c r="B94" s="8">
        <v>24.7</v>
      </c>
      <c r="C94" s="8">
        <v>21</v>
      </c>
      <c r="D94" s="8">
        <v>31.1</v>
      </c>
      <c r="E94" s="8">
        <v>11.9</v>
      </c>
      <c r="F94" s="8" t="str">
        <f>IF(OR(B94&lt;outliers!$B$7,B94&gt;outliers!$B$6),"Outlier","Normal")</f>
        <v>Normal</v>
      </c>
      <c r="G94" s="8" t="str">
        <f>IF(OR(C94&lt;outliers!$B$14,C94&gt;outliers!$B$13),"Outlier","Normal")</f>
        <v>Normal</v>
      </c>
      <c r="H94" s="8" t="str">
        <f>IF(OR(D94&lt;outliers!$B$21,D94&gt;outliers!$B$20),"Outlier","Normal")</f>
        <v>Normal</v>
      </c>
      <c r="I94" s="8" t="str">
        <f>IF(OR(E94&lt;outliers!$C$28,E94&gt;outliers!$B$27),"Outlier","Normal")</f>
        <v>Outlier</v>
      </c>
      <c r="J94" s="8">
        <f t="shared" si="2"/>
        <v>2017</v>
      </c>
      <c r="K94">
        <f t="shared" si="3"/>
        <v>7</v>
      </c>
    </row>
    <row r="95" spans="1:11" hidden="1" x14ac:dyDescent="0.35">
      <c r="A95" s="13">
        <v>42945</v>
      </c>
      <c r="B95" s="8">
        <v>24.7</v>
      </c>
      <c r="C95" s="8">
        <v>20.6</v>
      </c>
      <c r="D95" s="8">
        <v>31.3</v>
      </c>
      <c r="E95" s="8">
        <v>10.7</v>
      </c>
      <c r="F95" s="8" t="str">
        <f>IF(OR(B95&lt;outliers!$B$7,B95&gt;outliers!$B$6),"Outlier","Normal")</f>
        <v>Normal</v>
      </c>
      <c r="G95" s="8" t="str">
        <f>IF(OR(C95&lt;outliers!$B$14,C95&gt;outliers!$B$13),"Outlier","Normal")</f>
        <v>Normal</v>
      </c>
      <c r="H95" s="8" t="str">
        <f>IF(OR(D95&lt;outliers!$B$21,D95&gt;outliers!$B$20),"Outlier","Normal")</f>
        <v>Normal</v>
      </c>
      <c r="I95" s="8" t="str">
        <f>IF(OR(E95&lt;outliers!$C$28,E95&gt;outliers!$B$27),"Outlier","Normal")</f>
        <v>Outlier</v>
      </c>
      <c r="J95" s="8">
        <f t="shared" si="2"/>
        <v>2017</v>
      </c>
      <c r="K95">
        <f t="shared" si="3"/>
        <v>7</v>
      </c>
    </row>
    <row r="96" spans="1:11" x14ac:dyDescent="0.35">
      <c r="A96" s="13">
        <v>42946</v>
      </c>
      <c r="B96" s="8">
        <v>25.2</v>
      </c>
      <c r="C96" s="8">
        <v>21.3</v>
      </c>
      <c r="D96" s="8">
        <v>30.7</v>
      </c>
      <c r="E96" s="8">
        <v>0</v>
      </c>
      <c r="F96" s="8" t="str">
        <f>IF(OR(B96&lt;outliers!$B$7,B96&gt;outliers!$B$6),"Outlier","Normal")</f>
        <v>Normal</v>
      </c>
      <c r="G96" s="8" t="str">
        <f>IF(OR(C96&lt;outliers!$B$14,C96&gt;outliers!$B$13),"Outlier","Normal")</f>
        <v>Normal</v>
      </c>
      <c r="H96" s="8" t="str">
        <f>IF(OR(D96&lt;outliers!$B$21,D96&gt;outliers!$B$20),"Outlier","Normal")</f>
        <v>Normal</v>
      </c>
      <c r="I96" s="8" t="str">
        <f>IF(OR(E96&lt;outliers!$C$28,E96&gt;outliers!$B$27),"Outlier","Normal")</f>
        <v>Normal</v>
      </c>
      <c r="J96" s="8">
        <f t="shared" si="2"/>
        <v>2017</v>
      </c>
      <c r="K96">
        <f t="shared" si="3"/>
        <v>7</v>
      </c>
    </row>
    <row r="97" spans="1:11" x14ac:dyDescent="0.35">
      <c r="A97" s="13">
        <v>42947</v>
      </c>
      <c r="B97" s="8">
        <v>24.9</v>
      </c>
      <c r="C97" s="8">
        <v>22</v>
      </c>
      <c r="D97" s="8">
        <v>30.7</v>
      </c>
      <c r="E97" s="8">
        <v>1.3</v>
      </c>
      <c r="F97" s="8" t="str">
        <f>IF(OR(B97&lt;outliers!$B$7,B97&gt;outliers!$B$6),"Outlier","Normal")</f>
        <v>Normal</v>
      </c>
      <c r="G97" s="8" t="str">
        <f>IF(OR(C97&lt;outliers!$B$14,C97&gt;outliers!$B$13),"Outlier","Normal")</f>
        <v>Normal</v>
      </c>
      <c r="H97" s="8" t="str">
        <f>IF(OR(D97&lt;outliers!$B$21,D97&gt;outliers!$B$20),"Outlier","Normal")</f>
        <v>Normal</v>
      </c>
      <c r="I97" s="8" t="str">
        <f>IF(OR(E97&lt;outliers!$C$28,E97&gt;outliers!$B$27),"Outlier","Normal")</f>
        <v>Normal</v>
      </c>
      <c r="J97" s="8">
        <f t="shared" si="2"/>
        <v>2017</v>
      </c>
      <c r="K97">
        <f t="shared" si="3"/>
        <v>7</v>
      </c>
    </row>
    <row r="98" spans="1:11" x14ac:dyDescent="0.35">
      <c r="A98" s="13">
        <v>42948</v>
      </c>
      <c r="B98" s="8">
        <v>25.2</v>
      </c>
      <c r="C98" s="8">
        <v>21.4</v>
      </c>
      <c r="D98" s="8">
        <v>30.5</v>
      </c>
      <c r="E98" s="8">
        <v>8.4</v>
      </c>
      <c r="F98" s="8" t="str">
        <f>IF(OR(B98&lt;outliers!$B$7,B98&gt;outliers!$B$6),"Outlier","Normal")</f>
        <v>Normal</v>
      </c>
      <c r="G98" s="8" t="str">
        <f>IF(OR(C98&lt;outliers!$B$14,C98&gt;outliers!$B$13),"Outlier","Normal")</f>
        <v>Normal</v>
      </c>
      <c r="H98" s="8" t="str">
        <f>IF(OR(D98&lt;outliers!$B$21,D98&gt;outliers!$B$20),"Outlier","Normal")</f>
        <v>Normal</v>
      </c>
      <c r="I98" s="8" t="str">
        <f>IF(OR(E98&lt;outliers!$C$28,E98&gt;outliers!$B$27),"Outlier","Normal")</f>
        <v>Normal</v>
      </c>
      <c r="J98" s="8">
        <f t="shared" si="2"/>
        <v>2017</v>
      </c>
      <c r="K98">
        <f t="shared" si="3"/>
        <v>8</v>
      </c>
    </row>
    <row r="99" spans="1:11" x14ac:dyDescent="0.35">
      <c r="A99" s="13">
        <v>42949</v>
      </c>
      <c r="B99" s="8">
        <v>25.1</v>
      </c>
      <c r="C99" s="8">
        <v>21.6</v>
      </c>
      <c r="D99" s="8">
        <v>31.5</v>
      </c>
      <c r="E99" s="8">
        <v>1.8</v>
      </c>
      <c r="F99" s="8" t="str">
        <f>IF(OR(B99&lt;outliers!$B$7,B99&gt;outliers!$B$6),"Outlier","Normal")</f>
        <v>Normal</v>
      </c>
      <c r="G99" s="8" t="str">
        <f>IF(OR(C99&lt;outliers!$B$14,C99&gt;outliers!$B$13),"Outlier","Normal")</f>
        <v>Normal</v>
      </c>
      <c r="H99" s="8" t="str">
        <f>IF(OR(D99&lt;outliers!$B$21,D99&gt;outliers!$B$20),"Outlier","Normal")</f>
        <v>Normal</v>
      </c>
      <c r="I99" s="8" t="str">
        <f>IF(OR(E99&lt;outliers!$C$28,E99&gt;outliers!$B$27),"Outlier","Normal")</f>
        <v>Normal</v>
      </c>
      <c r="J99" s="8">
        <f t="shared" si="2"/>
        <v>2017</v>
      </c>
      <c r="K99">
        <f t="shared" si="3"/>
        <v>8</v>
      </c>
    </row>
    <row r="100" spans="1:11" x14ac:dyDescent="0.35">
      <c r="A100" s="13">
        <v>42950</v>
      </c>
      <c r="B100" s="8">
        <v>24.3</v>
      </c>
      <c r="C100" s="8">
        <v>20.3</v>
      </c>
      <c r="D100" s="8">
        <v>31.2</v>
      </c>
      <c r="E100" s="8">
        <v>0</v>
      </c>
      <c r="F100" s="8" t="str">
        <f>IF(OR(B100&lt;outliers!$B$7,B100&gt;outliers!$B$6),"Outlier","Normal")</f>
        <v>Normal</v>
      </c>
      <c r="G100" s="8" t="str">
        <f>IF(OR(C100&lt;outliers!$B$14,C100&gt;outliers!$B$13),"Outlier","Normal")</f>
        <v>Normal</v>
      </c>
      <c r="H100" s="8" t="str">
        <f>IF(OR(D100&lt;outliers!$B$21,D100&gt;outliers!$B$20),"Outlier","Normal")</f>
        <v>Normal</v>
      </c>
      <c r="I100" s="8" t="str">
        <f>IF(OR(E100&lt;outliers!$C$28,E100&gt;outliers!$B$27),"Outlier","Normal")</f>
        <v>Normal</v>
      </c>
      <c r="J100" s="8">
        <f t="shared" si="2"/>
        <v>2017</v>
      </c>
      <c r="K100">
        <f t="shared" si="3"/>
        <v>8</v>
      </c>
    </row>
    <row r="101" spans="1:11" x14ac:dyDescent="0.35">
      <c r="A101" s="13">
        <v>42951</v>
      </c>
      <c r="B101" s="8">
        <v>23.8</v>
      </c>
      <c r="C101" s="8">
        <v>20.3</v>
      </c>
      <c r="D101" s="8">
        <v>29.5</v>
      </c>
      <c r="E101" s="8">
        <v>0</v>
      </c>
      <c r="F101" s="8" t="str">
        <f>IF(OR(B101&lt;outliers!$B$7,B101&gt;outliers!$B$6),"Outlier","Normal")</f>
        <v>Normal</v>
      </c>
      <c r="G101" s="8" t="str">
        <f>IF(OR(C101&lt;outliers!$B$14,C101&gt;outliers!$B$13),"Outlier","Normal")</f>
        <v>Normal</v>
      </c>
      <c r="H101" s="8" t="str">
        <f>IF(OR(D101&lt;outliers!$B$21,D101&gt;outliers!$B$20),"Outlier","Normal")</f>
        <v>Normal</v>
      </c>
      <c r="I101" s="8" t="str">
        <f>IF(OR(E101&lt;outliers!$C$28,E101&gt;outliers!$B$27),"Outlier","Normal")</f>
        <v>Normal</v>
      </c>
      <c r="J101" s="8">
        <f t="shared" si="2"/>
        <v>2017</v>
      </c>
      <c r="K101">
        <f t="shared" si="3"/>
        <v>8</v>
      </c>
    </row>
    <row r="102" spans="1:11" x14ac:dyDescent="0.35">
      <c r="A102" s="13">
        <v>42952</v>
      </c>
      <c r="B102" s="8">
        <v>24.4</v>
      </c>
      <c r="C102" s="8">
        <v>21.3</v>
      </c>
      <c r="D102" s="8">
        <v>29.5</v>
      </c>
      <c r="E102" s="8">
        <v>0</v>
      </c>
      <c r="F102" s="8" t="str">
        <f>IF(OR(B102&lt;outliers!$B$7,B102&gt;outliers!$B$6),"Outlier","Normal")</f>
        <v>Normal</v>
      </c>
      <c r="G102" s="8" t="str">
        <f>IF(OR(C102&lt;outliers!$B$14,C102&gt;outliers!$B$13),"Outlier","Normal")</f>
        <v>Normal</v>
      </c>
      <c r="H102" s="8" t="str">
        <f>IF(OR(D102&lt;outliers!$B$21,D102&gt;outliers!$B$20),"Outlier","Normal")</f>
        <v>Normal</v>
      </c>
      <c r="I102" s="8" t="str">
        <f>IF(OR(E102&lt;outliers!$C$28,E102&gt;outliers!$B$27),"Outlier","Normal")</f>
        <v>Normal</v>
      </c>
      <c r="J102" s="8">
        <f t="shared" si="2"/>
        <v>2017</v>
      </c>
      <c r="K102">
        <f t="shared" si="3"/>
        <v>8</v>
      </c>
    </row>
    <row r="103" spans="1:11" x14ac:dyDescent="0.35">
      <c r="A103" s="13">
        <v>42953</v>
      </c>
      <c r="B103" s="8">
        <v>24.8</v>
      </c>
      <c r="C103" s="8">
        <v>21.3</v>
      </c>
      <c r="D103" s="8">
        <v>29.5</v>
      </c>
      <c r="E103" s="8">
        <v>0</v>
      </c>
      <c r="F103" s="8" t="str">
        <f>IF(OR(B103&lt;outliers!$B$7,B103&gt;outliers!$B$6),"Outlier","Normal")</f>
        <v>Normal</v>
      </c>
      <c r="G103" s="8" t="str">
        <f>IF(OR(C103&lt;outliers!$B$14,C103&gt;outliers!$B$13),"Outlier","Normal")</f>
        <v>Normal</v>
      </c>
      <c r="H103" s="8" t="str">
        <f>IF(OR(D103&lt;outliers!$B$21,D103&gt;outliers!$B$20),"Outlier","Normal")</f>
        <v>Normal</v>
      </c>
      <c r="I103" s="8" t="str">
        <f>IF(OR(E103&lt;outliers!$C$28,E103&gt;outliers!$B$27),"Outlier","Normal")</f>
        <v>Normal</v>
      </c>
      <c r="J103" s="8">
        <f t="shared" si="2"/>
        <v>2017</v>
      </c>
      <c r="K103">
        <f t="shared" si="3"/>
        <v>8</v>
      </c>
    </row>
    <row r="104" spans="1:11" x14ac:dyDescent="0.35">
      <c r="A104" s="13">
        <v>42954</v>
      </c>
      <c r="B104" s="8">
        <v>25.7</v>
      </c>
      <c r="C104" s="8">
        <v>21.2</v>
      </c>
      <c r="D104" s="8">
        <v>30.2</v>
      </c>
      <c r="E104" s="8">
        <v>0</v>
      </c>
      <c r="F104" s="8" t="str">
        <f>IF(OR(B104&lt;outliers!$B$7,B104&gt;outliers!$B$6),"Outlier","Normal")</f>
        <v>Normal</v>
      </c>
      <c r="G104" s="8" t="str">
        <f>IF(OR(C104&lt;outliers!$B$14,C104&gt;outliers!$B$13),"Outlier","Normal")</f>
        <v>Normal</v>
      </c>
      <c r="H104" s="8" t="str">
        <f>IF(OR(D104&lt;outliers!$B$21,D104&gt;outliers!$B$20),"Outlier","Normal")</f>
        <v>Normal</v>
      </c>
      <c r="I104" s="8" t="str">
        <f>IF(OR(E104&lt;outliers!$C$28,E104&gt;outliers!$B$27),"Outlier","Normal")</f>
        <v>Normal</v>
      </c>
      <c r="J104" s="8">
        <f t="shared" si="2"/>
        <v>2017</v>
      </c>
      <c r="K104">
        <f t="shared" si="3"/>
        <v>8</v>
      </c>
    </row>
    <row r="105" spans="1:11" x14ac:dyDescent="0.35">
      <c r="A105" s="13">
        <v>42956</v>
      </c>
      <c r="B105" s="8">
        <v>23.7</v>
      </c>
      <c r="C105" s="8">
        <v>21.9</v>
      </c>
      <c r="D105" s="8">
        <v>31.3</v>
      </c>
      <c r="E105" s="8">
        <v>1</v>
      </c>
      <c r="F105" s="8" t="str">
        <f>IF(OR(B105&lt;outliers!$B$7,B105&gt;outliers!$B$6),"Outlier","Normal")</f>
        <v>Normal</v>
      </c>
      <c r="G105" s="8" t="str">
        <f>IF(OR(C105&lt;outliers!$B$14,C105&gt;outliers!$B$13),"Outlier","Normal")</f>
        <v>Normal</v>
      </c>
      <c r="H105" s="8" t="str">
        <f>IF(OR(D105&lt;outliers!$B$21,D105&gt;outliers!$B$20),"Outlier","Normal")</f>
        <v>Normal</v>
      </c>
      <c r="I105" s="8" t="str">
        <f>IF(OR(E105&lt;outliers!$C$28,E105&gt;outliers!$B$27),"Outlier","Normal")</f>
        <v>Normal</v>
      </c>
      <c r="J105" s="8">
        <f t="shared" si="2"/>
        <v>2017</v>
      </c>
      <c r="K105">
        <f t="shared" si="3"/>
        <v>8</v>
      </c>
    </row>
    <row r="106" spans="1:11" hidden="1" x14ac:dyDescent="0.35">
      <c r="A106" s="13">
        <v>42957</v>
      </c>
      <c r="B106" s="8">
        <v>23.9</v>
      </c>
      <c r="C106" s="8">
        <v>20.7</v>
      </c>
      <c r="D106" s="8">
        <v>27.5</v>
      </c>
      <c r="E106" s="8">
        <v>13</v>
      </c>
      <c r="F106" s="8" t="str">
        <f>IF(OR(B106&lt;outliers!$B$7,B106&gt;outliers!$B$6),"Outlier","Normal")</f>
        <v>Normal</v>
      </c>
      <c r="G106" s="8" t="str">
        <f>IF(OR(C106&lt;outliers!$B$14,C106&gt;outliers!$B$13),"Outlier","Normal")</f>
        <v>Normal</v>
      </c>
      <c r="H106" s="8" t="str">
        <f>IF(OR(D106&lt;outliers!$B$21,D106&gt;outliers!$B$20),"Outlier","Normal")</f>
        <v>Normal</v>
      </c>
      <c r="I106" s="8" t="str">
        <f>IF(OR(E106&lt;outliers!$C$28,E106&gt;outliers!$B$27),"Outlier","Normal")</f>
        <v>Outlier</v>
      </c>
      <c r="J106" s="8">
        <f t="shared" si="2"/>
        <v>2017</v>
      </c>
      <c r="K106">
        <f t="shared" si="3"/>
        <v>8</v>
      </c>
    </row>
    <row r="107" spans="1:11" x14ac:dyDescent="0.35">
      <c r="A107" s="13">
        <v>42958</v>
      </c>
      <c r="B107" s="8">
        <v>23.5</v>
      </c>
      <c r="C107" s="8">
        <v>19.8</v>
      </c>
      <c r="D107" s="8">
        <v>28</v>
      </c>
      <c r="E107" s="8">
        <v>4.0999999999999996</v>
      </c>
      <c r="F107" s="8" t="str">
        <f>IF(OR(B107&lt;outliers!$B$7,B107&gt;outliers!$B$6),"Outlier","Normal")</f>
        <v>Normal</v>
      </c>
      <c r="G107" s="8" t="str">
        <f>IF(OR(C107&lt;outliers!$B$14,C107&gt;outliers!$B$13),"Outlier","Normal")</f>
        <v>Normal</v>
      </c>
      <c r="H107" s="8" t="str">
        <f>IF(OR(D107&lt;outliers!$B$21,D107&gt;outliers!$B$20),"Outlier","Normal")</f>
        <v>Normal</v>
      </c>
      <c r="I107" s="8" t="str">
        <f>IF(OR(E107&lt;outliers!$C$28,E107&gt;outliers!$B$27),"Outlier","Normal")</f>
        <v>Normal</v>
      </c>
      <c r="J107" s="8">
        <f t="shared" si="2"/>
        <v>2017</v>
      </c>
      <c r="K107">
        <f t="shared" si="3"/>
        <v>8</v>
      </c>
    </row>
    <row r="108" spans="1:11" hidden="1" x14ac:dyDescent="0.35">
      <c r="A108" s="13">
        <v>42959</v>
      </c>
      <c r="B108" s="8">
        <v>23.6</v>
      </c>
      <c r="C108" s="8">
        <v>20.5</v>
      </c>
      <c r="D108" s="8">
        <v>28.2</v>
      </c>
      <c r="E108" s="8">
        <v>16.5</v>
      </c>
      <c r="F108" s="8" t="str">
        <f>IF(OR(B108&lt;outliers!$B$7,B108&gt;outliers!$B$6),"Outlier","Normal")</f>
        <v>Normal</v>
      </c>
      <c r="G108" s="8" t="str">
        <f>IF(OR(C108&lt;outliers!$B$14,C108&gt;outliers!$B$13),"Outlier","Normal")</f>
        <v>Normal</v>
      </c>
      <c r="H108" s="8" t="str">
        <f>IF(OR(D108&lt;outliers!$B$21,D108&gt;outliers!$B$20),"Outlier","Normal")</f>
        <v>Normal</v>
      </c>
      <c r="I108" s="8" t="str">
        <f>IF(OR(E108&lt;outliers!$C$28,E108&gt;outliers!$B$27),"Outlier","Normal")</f>
        <v>Outlier</v>
      </c>
      <c r="J108" s="8">
        <f t="shared" si="2"/>
        <v>2017</v>
      </c>
      <c r="K108">
        <f t="shared" si="3"/>
        <v>8</v>
      </c>
    </row>
    <row r="109" spans="1:11" x14ac:dyDescent="0.35">
      <c r="A109" s="13">
        <v>42960</v>
      </c>
      <c r="B109" s="8">
        <v>23.3</v>
      </c>
      <c r="C109" s="8">
        <v>21.2</v>
      </c>
      <c r="D109" s="8">
        <v>27.6</v>
      </c>
      <c r="E109" s="8">
        <v>0</v>
      </c>
      <c r="F109" s="8" t="str">
        <f>IF(OR(B109&lt;outliers!$B$7,B109&gt;outliers!$B$6),"Outlier","Normal")</f>
        <v>Normal</v>
      </c>
      <c r="G109" s="8" t="str">
        <f>IF(OR(C109&lt;outliers!$B$14,C109&gt;outliers!$B$13),"Outlier","Normal")</f>
        <v>Normal</v>
      </c>
      <c r="H109" s="8" t="str">
        <f>IF(OR(D109&lt;outliers!$B$21,D109&gt;outliers!$B$20),"Outlier","Normal")</f>
        <v>Normal</v>
      </c>
      <c r="I109" s="8" t="str">
        <f>IF(OR(E109&lt;outliers!$C$28,E109&gt;outliers!$B$27),"Outlier","Normal")</f>
        <v>Normal</v>
      </c>
      <c r="J109" s="8">
        <f t="shared" si="2"/>
        <v>2017</v>
      </c>
      <c r="K109">
        <f t="shared" si="3"/>
        <v>8</v>
      </c>
    </row>
    <row r="110" spans="1:11" x14ac:dyDescent="0.35">
      <c r="A110" s="13">
        <v>42961</v>
      </c>
      <c r="B110" s="8">
        <v>24.7</v>
      </c>
      <c r="C110" s="8">
        <v>21.6</v>
      </c>
      <c r="D110" s="8">
        <v>28.8</v>
      </c>
      <c r="E110" s="8">
        <v>0</v>
      </c>
      <c r="F110" s="8" t="str">
        <f>IF(OR(B110&lt;outliers!$B$7,B110&gt;outliers!$B$6),"Outlier","Normal")</f>
        <v>Normal</v>
      </c>
      <c r="G110" s="8" t="str">
        <f>IF(OR(C110&lt;outliers!$B$14,C110&gt;outliers!$B$13),"Outlier","Normal")</f>
        <v>Normal</v>
      </c>
      <c r="H110" s="8" t="str">
        <f>IF(OR(D110&lt;outliers!$B$21,D110&gt;outliers!$B$20),"Outlier","Normal")</f>
        <v>Normal</v>
      </c>
      <c r="I110" s="8" t="str">
        <f>IF(OR(E110&lt;outliers!$C$28,E110&gt;outliers!$B$27),"Outlier","Normal")</f>
        <v>Normal</v>
      </c>
      <c r="J110" s="8">
        <f t="shared" si="2"/>
        <v>2017</v>
      </c>
      <c r="K110">
        <f t="shared" si="3"/>
        <v>8</v>
      </c>
    </row>
    <row r="111" spans="1:11" hidden="1" x14ac:dyDescent="0.35">
      <c r="A111" s="13">
        <v>42962</v>
      </c>
      <c r="B111" s="8">
        <v>22.6</v>
      </c>
      <c r="C111" s="8">
        <v>19.2</v>
      </c>
      <c r="D111" s="8">
        <v>28.3</v>
      </c>
      <c r="E111" s="8">
        <v>128.80000000000001</v>
      </c>
      <c r="F111" s="8" t="str">
        <f>IF(OR(B111&lt;outliers!$B$7,B111&gt;outliers!$B$6),"Outlier","Normal")</f>
        <v>Normal</v>
      </c>
      <c r="G111" s="8" t="str">
        <f>IF(OR(C111&lt;outliers!$B$14,C111&gt;outliers!$B$13),"Outlier","Normal")</f>
        <v>Normal</v>
      </c>
      <c r="H111" s="8" t="str">
        <f>IF(OR(D111&lt;outliers!$B$21,D111&gt;outliers!$B$20),"Outlier","Normal")</f>
        <v>Normal</v>
      </c>
      <c r="I111" s="8" t="str">
        <f>IF(OR(E111&lt;outliers!$C$28,E111&gt;outliers!$B$27),"Outlier","Normal")</f>
        <v>Outlier</v>
      </c>
      <c r="J111" s="8">
        <f t="shared" si="2"/>
        <v>2017</v>
      </c>
      <c r="K111">
        <f t="shared" si="3"/>
        <v>8</v>
      </c>
    </row>
    <row r="112" spans="1:11" hidden="1" x14ac:dyDescent="0.35">
      <c r="A112" s="13">
        <v>42963</v>
      </c>
      <c r="B112" s="8">
        <v>23</v>
      </c>
      <c r="C112" s="8">
        <v>20</v>
      </c>
      <c r="D112" s="8">
        <v>27.4</v>
      </c>
      <c r="E112" s="8">
        <v>30.5</v>
      </c>
      <c r="F112" s="8" t="str">
        <f>IF(OR(B112&lt;outliers!$B$7,B112&gt;outliers!$B$6),"Outlier","Normal")</f>
        <v>Normal</v>
      </c>
      <c r="G112" s="8" t="str">
        <f>IF(OR(C112&lt;outliers!$B$14,C112&gt;outliers!$B$13),"Outlier","Normal")</f>
        <v>Normal</v>
      </c>
      <c r="H112" s="8" t="str">
        <f>IF(OR(D112&lt;outliers!$B$21,D112&gt;outliers!$B$20),"Outlier","Normal")</f>
        <v>Normal</v>
      </c>
      <c r="I112" s="8" t="str">
        <f>IF(OR(E112&lt;outliers!$C$28,E112&gt;outliers!$B$27),"Outlier","Normal")</f>
        <v>Outlier</v>
      </c>
      <c r="J112" s="8">
        <f t="shared" si="2"/>
        <v>2017</v>
      </c>
      <c r="K112">
        <f t="shared" si="3"/>
        <v>8</v>
      </c>
    </row>
    <row r="113" spans="1:11" hidden="1" x14ac:dyDescent="0.35">
      <c r="A113" s="13">
        <v>42964</v>
      </c>
      <c r="B113" s="8">
        <v>23.2</v>
      </c>
      <c r="C113" s="8">
        <v>19.8</v>
      </c>
      <c r="D113" s="8">
        <v>28.5</v>
      </c>
      <c r="E113" s="8">
        <v>26.4</v>
      </c>
      <c r="F113" s="8" t="str">
        <f>IF(OR(B113&lt;outliers!$B$7,B113&gt;outliers!$B$6),"Outlier","Normal")</f>
        <v>Normal</v>
      </c>
      <c r="G113" s="8" t="str">
        <f>IF(OR(C113&lt;outliers!$B$14,C113&gt;outliers!$B$13),"Outlier","Normal")</f>
        <v>Normal</v>
      </c>
      <c r="H113" s="8" t="str">
        <f>IF(OR(D113&lt;outliers!$B$21,D113&gt;outliers!$B$20),"Outlier","Normal")</f>
        <v>Normal</v>
      </c>
      <c r="I113" s="8" t="str">
        <f>IF(OR(E113&lt;outliers!$C$28,E113&gt;outliers!$B$27),"Outlier","Normal")</f>
        <v>Outlier</v>
      </c>
      <c r="J113" s="8">
        <f t="shared" si="2"/>
        <v>2017</v>
      </c>
      <c r="K113">
        <f t="shared" si="3"/>
        <v>8</v>
      </c>
    </row>
    <row r="114" spans="1:11" x14ac:dyDescent="0.35">
      <c r="A114" s="13">
        <v>42965</v>
      </c>
      <c r="B114" s="8">
        <v>23.2</v>
      </c>
      <c r="C114" s="8">
        <v>20.399999999999999</v>
      </c>
      <c r="D114" s="8">
        <v>29.2</v>
      </c>
      <c r="E114" s="8">
        <v>7.9</v>
      </c>
      <c r="F114" s="8" t="str">
        <f>IF(OR(B114&lt;outliers!$B$7,B114&gt;outliers!$B$6),"Outlier","Normal")</f>
        <v>Normal</v>
      </c>
      <c r="G114" s="8" t="str">
        <f>IF(OR(C114&lt;outliers!$B$14,C114&gt;outliers!$B$13),"Outlier","Normal")</f>
        <v>Normal</v>
      </c>
      <c r="H114" s="8" t="str">
        <f>IF(OR(D114&lt;outliers!$B$21,D114&gt;outliers!$B$20),"Outlier","Normal")</f>
        <v>Normal</v>
      </c>
      <c r="I114" s="8" t="str">
        <f>IF(OR(E114&lt;outliers!$C$28,E114&gt;outliers!$B$27),"Outlier","Normal")</f>
        <v>Normal</v>
      </c>
      <c r="J114" s="8">
        <f t="shared" si="2"/>
        <v>2017</v>
      </c>
      <c r="K114">
        <f t="shared" si="3"/>
        <v>8</v>
      </c>
    </row>
    <row r="115" spans="1:11" x14ac:dyDescent="0.35">
      <c r="A115" s="13">
        <v>42966</v>
      </c>
      <c r="B115" s="8">
        <v>22.6</v>
      </c>
      <c r="C115" s="8">
        <v>20.3</v>
      </c>
      <c r="D115" s="8">
        <v>28.9</v>
      </c>
      <c r="E115" s="8">
        <v>5.3</v>
      </c>
      <c r="F115" s="8" t="str">
        <f>IF(OR(B115&lt;outliers!$B$7,B115&gt;outliers!$B$6),"Outlier","Normal")</f>
        <v>Normal</v>
      </c>
      <c r="G115" s="8" t="str">
        <f>IF(OR(C115&lt;outliers!$B$14,C115&gt;outliers!$B$13),"Outlier","Normal")</f>
        <v>Normal</v>
      </c>
      <c r="H115" s="8" t="str">
        <f>IF(OR(D115&lt;outliers!$B$21,D115&gt;outliers!$B$20),"Outlier","Normal")</f>
        <v>Normal</v>
      </c>
      <c r="I115" s="8" t="str">
        <f>IF(OR(E115&lt;outliers!$C$28,E115&gt;outliers!$B$27),"Outlier","Normal")</f>
        <v>Normal</v>
      </c>
      <c r="J115" s="8">
        <f t="shared" si="2"/>
        <v>2017</v>
      </c>
      <c r="K115">
        <f t="shared" si="3"/>
        <v>8</v>
      </c>
    </row>
    <row r="116" spans="1:11" hidden="1" x14ac:dyDescent="0.35">
      <c r="A116" s="13">
        <v>42967</v>
      </c>
      <c r="B116" s="8">
        <v>22.3</v>
      </c>
      <c r="C116" s="8">
        <v>20.3</v>
      </c>
      <c r="D116" s="8">
        <v>28.6</v>
      </c>
      <c r="E116" s="8">
        <v>13.2</v>
      </c>
      <c r="F116" s="8" t="str">
        <f>IF(OR(B116&lt;outliers!$B$7,B116&gt;outliers!$B$6),"Outlier","Normal")</f>
        <v>Normal</v>
      </c>
      <c r="G116" s="8" t="str">
        <f>IF(OR(C116&lt;outliers!$B$14,C116&gt;outliers!$B$13),"Outlier","Normal")</f>
        <v>Normal</v>
      </c>
      <c r="H116" s="8" t="str">
        <f>IF(OR(D116&lt;outliers!$B$21,D116&gt;outliers!$B$20),"Outlier","Normal")</f>
        <v>Normal</v>
      </c>
      <c r="I116" s="8" t="str">
        <f>IF(OR(E116&lt;outliers!$C$28,E116&gt;outliers!$B$27),"Outlier","Normal")</f>
        <v>Outlier</v>
      </c>
      <c r="J116" s="8">
        <f t="shared" si="2"/>
        <v>2017</v>
      </c>
      <c r="K116">
        <f t="shared" si="3"/>
        <v>8</v>
      </c>
    </row>
    <row r="117" spans="1:11" x14ac:dyDescent="0.35">
      <c r="A117" s="13">
        <v>42968</v>
      </c>
      <c r="B117" s="8">
        <v>23.6</v>
      </c>
      <c r="C117" s="8">
        <v>20.3</v>
      </c>
      <c r="D117" s="8">
        <v>28.8</v>
      </c>
      <c r="E117" s="8">
        <v>3.3</v>
      </c>
      <c r="F117" s="8" t="str">
        <f>IF(OR(B117&lt;outliers!$B$7,B117&gt;outliers!$B$6),"Outlier","Normal")</f>
        <v>Normal</v>
      </c>
      <c r="G117" s="8" t="str">
        <f>IF(OR(C117&lt;outliers!$B$14,C117&gt;outliers!$B$13),"Outlier","Normal")</f>
        <v>Normal</v>
      </c>
      <c r="H117" s="8" t="str">
        <f>IF(OR(D117&lt;outliers!$B$21,D117&gt;outliers!$B$20),"Outlier","Normal")</f>
        <v>Normal</v>
      </c>
      <c r="I117" s="8" t="str">
        <f>IF(OR(E117&lt;outliers!$C$28,E117&gt;outliers!$B$27),"Outlier","Normal")</f>
        <v>Normal</v>
      </c>
      <c r="J117" s="8">
        <f t="shared" si="2"/>
        <v>2017</v>
      </c>
      <c r="K117">
        <f t="shared" si="3"/>
        <v>8</v>
      </c>
    </row>
    <row r="118" spans="1:11" x14ac:dyDescent="0.35">
      <c r="A118" s="13">
        <v>42969</v>
      </c>
      <c r="B118" s="8">
        <v>23.4</v>
      </c>
      <c r="C118" s="8">
        <v>20.2</v>
      </c>
      <c r="D118" s="8">
        <v>28</v>
      </c>
      <c r="E118" s="8">
        <v>0</v>
      </c>
      <c r="F118" s="8" t="str">
        <f>IF(OR(B118&lt;outliers!$B$7,B118&gt;outliers!$B$6),"Outlier","Normal")</f>
        <v>Normal</v>
      </c>
      <c r="G118" s="8" t="str">
        <f>IF(OR(C118&lt;outliers!$B$14,C118&gt;outliers!$B$13),"Outlier","Normal")</f>
        <v>Normal</v>
      </c>
      <c r="H118" s="8" t="str">
        <f>IF(OR(D118&lt;outliers!$B$21,D118&gt;outliers!$B$20),"Outlier","Normal")</f>
        <v>Normal</v>
      </c>
      <c r="I118" s="8" t="str">
        <f>IF(OR(E118&lt;outliers!$C$28,E118&gt;outliers!$B$27),"Outlier","Normal")</f>
        <v>Normal</v>
      </c>
      <c r="J118" s="8">
        <f t="shared" si="2"/>
        <v>2017</v>
      </c>
      <c r="K118">
        <f t="shared" si="3"/>
        <v>8</v>
      </c>
    </row>
    <row r="119" spans="1:11" hidden="1" x14ac:dyDescent="0.35">
      <c r="A119" s="13">
        <v>42970</v>
      </c>
      <c r="B119" s="8">
        <v>24</v>
      </c>
      <c r="C119" s="8">
        <v>20.6</v>
      </c>
      <c r="D119" s="8">
        <v>28</v>
      </c>
      <c r="E119" s="8">
        <v>10.9</v>
      </c>
      <c r="F119" s="8" t="str">
        <f>IF(OR(B119&lt;outliers!$B$7,B119&gt;outliers!$B$6),"Outlier","Normal")</f>
        <v>Normal</v>
      </c>
      <c r="G119" s="8" t="str">
        <f>IF(OR(C119&lt;outliers!$B$14,C119&gt;outliers!$B$13),"Outlier","Normal")</f>
        <v>Normal</v>
      </c>
      <c r="H119" s="8" t="str">
        <f>IF(OR(D119&lt;outliers!$B$21,D119&gt;outliers!$B$20),"Outlier","Normal")</f>
        <v>Normal</v>
      </c>
      <c r="I119" s="8" t="str">
        <f>IF(OR(E119&lt;outliers!$C$28,E119&gt;outliers!$B$27),"Outlier","Normal")</f>
        <v>Outlier</v>
      </c>
      <c r="J119" s="8">
        <f t="shared" si="2"/>
        <v>2017</v>
      </c>
      <c r="K119">
        <f t="shared" si="3"/>
        <v>8</v>
      </c>
    </row>
    <row r="120" spans="1:11" hidden="1" x14ac:dyDescent="0.35">
      <c r="A120" s="13">
        <v>42971</v>
      </c>
      <c r="B120" s="8">
        <v>23</v>
      </c>
      <c r="C120" s="8">
        <v>20.6</v>
      </c>
      <c r="D120" s="8">
        <v>28.6</v>
      </c>
      <c r="E120" s="8">
        <v>42.4</v>
      </c>
      <c r="F120" s="8" t="str">
        <f>IF(OR(B120&lt;outliers!$B$7,B120&gt;outliers!$B$6),"Outlier","Normal")</f>
        <v>Normal</v>
      </c>
      <c r="G120" s="8" t="str">
        <f>IF(OR(C120&lt;outliers!$B$14,C120&gt;outliers!$B$13),"Outlier","Normal")</f>
        <v>Normal</v>
      </c>
      <c r="H120" s="8" t="str">
        <f>IF(OR(D120&lt;outliers!$B$21,D120&gt;outliers!$B$20),"Outlier","Normal")</f>
        <v>Normal</v>
      </c>
      <c r="I120" s="8" t="str">
        <f>IF(OR(E120&lt;outliers!$C$28,E120&gt;outliers!$B$27),"Outlier","Normal")</f>
        <v>Outlier</v>
      </c>
      <c r="J120" s="8">
        <f t="shared" si="2"/>
        <v>2017</v>
      </c>
      <c r="K120">
        <f t="shared" si="3"/>
        <v>8</v>
      </c>
    </row>
    <row r="121" spans="1:11" hidden="1" x14ac:dyDescent="0.35">
      <c r="A121" s="13">
        <v>42972</v>
      </c>
      <c r="B121" s="8">
        <v>22.8</v>
      </c>
      <c r="C121" s="8">
        <v>20.5</v>
      </c>
      <c r="D121" s="8">
        <v>26.8</v>
      </c>
      <c r="E121" s="8">
        <v>31.8</v>
      </c>
      <c r="F121" s="8" t="str">
        <f>IF(OR(B121&lt;outliers!$B$7,B121&gt;outliers!$B$6),"Outlier","Normal")</f>
        <v>Normal</v>
      </c>
      <c r="G121" s="8" t="str">
        <f>IF(OR(C121&lt;outliers!$B$14,C121&gt;outliers!$B$13),"Outlier","Normal")</f>
        <v>Normal</v>
      </c>
      <c r="H121" s="8" t="str">
        <f>IF(OR(D121&lt;outliers!$B$21,D121&gt;outliers!$B$20),"Outlier","Normal")</f>
        <v>Normal</v>
      </c>
      <c r="I121" s="8" t="str">
        <f>IF(OR(E121&lt;outliers!$C$28,E121&gt;outliers!$B$27),"Outlier","Normal")</f>
        <v>Outlier</v>
      </c>
      <c r="J121" s="8">
        <f t="shared" si="2"/>
        <v>2017</v>
      </c>
      <c r="K121">
        <f t="shared" si="3"/>
        <v>8</v>
      </c>
    </row>
    <row r="122" spans="1:11" x14ac:dyDescent="0.35">
      <c r="A122" s="13">
        <v>42973</v>
      </c>
      <c r="B122" s="8">
        <v>23.8</v>
      </c>
      <c r="C122" s="8">
        <v>20.8</v>
      </c>
      <c r="D122" s="8">
        <v>29.8</v>
      </c>
      <c r="E122" s="8">
        <v>0.3</v>
      </c>
      <c r="F122" s="8" t="str">
        <f>IF(OR(B122&lt;outliers!$B$7,B122&gt;outliers!$B$6),"Outlier","Normal")</f>
        <v>Normal</v>
      </c>
      <c r="G122" s="8" t="str">
        <f>IF(OR(C122&lt;outliers!$B$14,C122&gt;outliers!$B$13),"Outlier","Normal")</f>
        <v>Normal</v>
      </c>
      <c r="H122" s="8" t="str">
        <f>IF(OR(D122&lt;outliers!$B$21,D122&gt;outliers!$B$20),"Outlier","Normal")</f>
        <v>Normal</v>
      </c>
      <c r="I122" s="8" t="str">
        <f>IF(OR(E122&lt;outliers!$C$28,E122&gt;outliers!$B$27),"Outlier","Normal")</f>
        <v>Normal</v>
      </c>
      <c r="J122" s="8">
        <f t="shared" si="2"/>
        <v>2017</v>
      </c>
      <c r="K122">
        <f t="shared" si="3"/>
        <v>8</v>
      </c>
    </row>
    <row r="123" spans="1:11" x14ac:dyDescent="0.35">
      <c r="A123" s="13">
        <v>42974</v>
      </c>
      <c r="B123" s="8">
        <v>22.3</v>
      </c>
      <c r="C123" s="8">
        <v>21</v>
      </c>
      <c r="D123" s="8">
        <v>28.5</v>
      </c>
      <c r="E123" s="8">
        <v>0.3</v>
      </c>
      <c r="F123" s="8" t="str">
        <f>IF(OR(B123&lt;outliers!$B$7,B123&gt;outliers!$B$6),"Outlier","Normal")</f>
        <v>Normal</v>
      </c>
      <c r="G123" s="8" t="str">
        <f>IF(OR(C123&lt;outliers!$B$14,C123&gt;outliers!$B$13),"Outlier","Normal")</f>
        <v>Normal</v>
      </c>
      <c r="H123" s="8" t="str">
        <f>IF(OR(D123&lt;outliers!$B$21,D123&gt;outliers!$B$20),"Outlier","Normal")</f>
        <v>Normal</v>
      </c>
      <c r="I123" s="8" t="str">
        <f>IF(OR(E123&lt;outliers!$C$28,E123&gt;outliers!$B$27),"Outlier","Normal")</f>
        <v>Normal</v>
      </c>
      <c r="J123" s="8">
        <f t="shared" si="2"/>
        <v>2017</v>
      </c>
      <c r="K123">
        <f t="shared" si="3"/>
        <v>8</v>
      </c>
    </row>
    <row r="124" spans="1:11" x14ac:dyDescent="0.35">
      <c r="A124" s="13">
        <v>42975</v>
      </c>
      <c r="B124" s="8">
        <v>22.8</v>
      </c>
      <c r="C124" s="8">
        <v>20.5</v>
      </c>
      <c r="D124" s="8">
        <v>26.5</v>
      </c>
      <c r="E124" s="8">
        <v>6.1</v>
      </c>
      <c r="F124" s="8" t="str">
        <f>IF(OR(B124&lt;outliers!$B$7,B124&gt;outliers!$B$6),"Outlier","Normal")</f>
        <v>Normal</v>
      </c>
      <c r="G124" s="8" t="str">
        <f>IF(OR(C124&lt;outliers!$B$14,C124&gt;outliers!$B$13),"Outlier","Normal")</f>
        <v>Normal</v>
      </c>
      <c r="H124" s="8" t="str">
        <f>IF(OR(D124&lt;outliers!$B$21,D124&gt;outliers!$B$20),"Outlier","Normal")</f>
        <v>Normal</v>
      </c>
      <c r="I124" s="8" t="str">
        <f>IF(OR(E124&lt;outliers!$C$28,E124&gt;outliers!$B$27),"Outlier","Normal")</f>
        <v>Normal</v>
      </c>
      <c r="J124" s="8">
        <f t="shared" si="2"/>
        <v>2017</v>
      </c>
      <c r="K124">
        <f t="shared" si="3"/>
        <v>8</v>
      </c>
    </row>
    <row r="125" spans="1:11" x14ac:dyDescent="0.35">
      <c r="A125" s="13">
        <v>42976</v>
      </c>
      <c r="B125" s="8">
        <v>22.4</v>
      </c>
      <c r="C125" s="8">
        <v>20.5</v>
      </c>
      <c r="D125" s="8">
        <v>26.2</v>
      </c>
      <c r="E125" s="8">
        <v>0</v>
      </c>
      <c r="F125" s="8" t="str">
        <f>IF(OR(B125&lt;outliers!$B$7,B125&gt;outliers!$B$6),"Outlier","Normal")</f>
        <v>Normal</v>
      </c>
      <c r="G125" s="8" t="str">
        <f>IF(OR(C125&lt;outliers!$B$14,C125&gt;outliers!$B$13),"Outlier","Normal")</f>
        <v>Normal</v>
      </c>
      <c r="H125" s="8" t="str">
        <f>IF(OR(D125&lt;outliers!$B$21,D125&gt;outliers!$B$20),"Outlier","Normal")</f>
        <v>Normal</v>
      </c>
      <c r="I125" s="8" t="str">
        <f>IF(OR(E125&lt;outliers!$C$28,E125&gt;outliers!$B$27),"Outlier","Normal")</f>
        <v>Normal</v>
      </c>
      <c r="J125" s="8">
        <f t="shared" si="2"/>
        <v>2017</v>
      </c>
      <c r="K125">
        <f t="shared" si="3"/>
        <v>8</v>
      </c>
    </row>
    <row r="126" spans="1:11" x14ac:dyDescent="0.35">
      <c r="A126" s="13">
        <v>42977</v>
      </c>
      <c r="B126" s="8">
        <v>24.5</v>
      </c>
      <c r="C126" s="8">
        <v>21.1</v>
      </c>
      <c r="D126" s="8">
        <v>29.7</v>
      </c>
      <c r="E126" s="8">
        <v>0</v>
      </c>
      <c r="F126" s="8" t="str">
        <f>IF(OR(B126&lt;outliers!$B$7,B126&gt;outliers!$B$6),"Outlier","Normal")</f>
        <v>Normal</v>
      </c>
      <c r="G126" s="8" t="str">
        <f>IF(OR(C126&lt;outliers!$B$14,C126&gt;outliers!$B$13),"Outlier","Normal")</f>
        <v>Normal</v>
      </c>
      <c r="H126" s="8" t="str">
        <f>IF(OR(D126&lt;outliers!$B$21,D126&gt;outliers!$B$20),"Outlier","Normal")</f>
        <v>Normal</v>
      </c>
      <c r="I126" s="8" t="str">
        <f>IF(OR(E126&lt;outliers!$C$28,E126&gt;outliers!$B$27),"Outlier","Normal")</f>
        <v>Normal</v>
      </c>
      <c r="J126" s="8">
        <f t="shared" si="2"/>
        <v>2017</v>
      </c>
      <c r="K126">
        <f t="shared" si="3"/>
        <v>8</v>
      </c>
    </row>
    <row r="127" spans="1:11" x14ac:dyDescent="0.35">
      <c r="A127" s="13">
        <v>42978</v>
      </c>
      <c r="B127" s="8">
        <v>24.8</v>
      </c>
      <c r="C127" s="8">
        <v>21</v>
      </c>
      <c r="D127" s="8">
        <v>29.9</v>
      </c>
      <c r="E127" s="8">
        <v>0</v>
      </c>
      <c r="F127" s="8" t="str">
        <f>IF(OR(B127&lt;outliers!$B$7,B127&gt;outliers!$B$6),"Outlier","Normal")</f>
        <v>Normal</v>
      </c>
      <c r="G127" s="8" t="str">
        <f>IF(OR(C127&lt;outliers!$B$14,C127&gt;outliers!$B$13),"Outlier","Normal")</f>
        <v>Normal</v>
      </c>
      <c r="H127" s="8" t="str">
        <f>IF(OR(D127&lt;outliers!$B$21,D127&gt;outliers!$B$20),"Outlier","Normal")</f>
        <v>Normal</v>
      </c>
      <c r="I127" s="8" t="str">
        <f>IF(OR(E127&lt;outliers!$C$28,E127&gt;outliers!$B$27),"Outlier","Normal")</f>
        <v>Normal</v>
      </c>
      <c r="J127" s="8">
        <f t="shared" si="2"/>
        <v>2017</v>
      </c>
      <c r="K127">
        <f t="shared" si="3"/>
        <v>8</v>
      </c>
    </row>
    <row r="128" spans="1:11" hidden="1" x14ac:dyDescent="0.35">
      <c r="A128" s="13">
        <v>42979</v>
      </c>
      <c r="B128" s="8">
        <v>23.7</v>
      </c>
      <c r="C128" s="8">
        <v>19.8</v>
      </c>
      <c r="D128" s="8">
        <v>30.6</v>
      </c>
      <c r="E128" s="8">
        <v>71.900000000000006</v>
      </c>
      <c r="F128" s="8" t="str">
        <f>IF(OR(B128&lt;outliers!$B$7,B128&gt;outliers!$B$6),"Outlier","Normal")</f>
        <v>Normal</v>
      </c>
      <c r="G128" s="8" t="str">
        <f>IF(OR(C128&lt;outliers!$B$14,C128&gt;outliers!$B$13),"Outlier","Normal")</f>
        <v>Normal</v>
      </c>
      <c r="H128" s="8" t="str">
        <f>IF(OR(D128&lt;outliers!$B$21,D128&gt;outliers!$B$20),"Outlier","Normal")</f>
        <v>Normal</v>
      </c>
      <c r="I128" s="8" t="str">
        <f>IF(OR(E128&lt;outliers!$C$28,E128&gt;outliers!$B$27),"Outlier","Normal")</f>
        <v>Outlier</v>
      </c>
      <c r="J128" s="8">
        <f t="shared" si="2"/>
        <v>2017</v>
      </c>
      <c r="K128">
        <f t="shared" si="3"/>
        <v>9</v>
      </c>
    </row>
    <row r="129" spans="1:11" hidden="1" x14ac:dyDescent="0.35">
      <c r="A129" s="13">
        <v>42980</v>
      </c>
      <c r="B129" s="8">
        <v>22.5</v>
      </c>
      <c r="C129" s="8">
        <v>20.8</v>
      </c>
      <c r="D129" s="8">
        <v>27.8</v>
      </c>
      <c r="E129" s="8">
        <v>33</v>
      </c>
      <c r="F129" s="8" t="str">
        <f>IF(OR(B129&lt;outliers!$B$7,B129&gt;outliers!$B$6),"Outlier","Normal")</f>
        <v>Normal</v>
      </c>
      <c r="G129" s="8" t="str">
        <f>IF(OR(C129&lt;outliers!$B$14,C129&gt;outliers!$B$13),"Outlier","Normal")</f>
        <v>Normal</v>
      </c>
      <c r="H129" s="8" t="str">
        <f>IF(OR(D129&lt;outliers!$B$21,D129&gt;outliers!$B$20),"Outlier","Normal")</f>
        <v>Normal</v>
      </c>
      <c r="I129" s="8" t="str">
        <f>IF(OR(E129&lt;outliers!$C$28,E129&gt;outliers!$B$27),"Outlier","Normal")</f>
        <v>Outlier</v>
      </c>
      <c r="J129" s="8">
        <f t="shared" si="2"/>
        <v>2017</v>
      </c>
      <c r="K129">
        <f t="shared" si="3"/>
        <v>9</v>
      </c>
    </row>
    <row r="130" spans="1:11" hidden="1" x14ac:dyDescent="0.35">
      <c r="A130" s="13">
        <v>42981</v>
      </c>
      <c r="B130" s="8">
        <v>23.2</v>
      </c>
      <c r="C130" s="8">
        <v>19.899999999999999</v>
      </c>
      <c r="D130" s="8">
        <v>27.3</v>
      </c>
      <c r="E130" s="8">
        <v>21.8</v>
      </c>
      <c r="F130" s="8" t="str">
        <f>IF(OR(B130&lt;outliers!$B$7,B130&gt;outliers!$B$6),"Outlier","Normal")</f>
        <v>Normal</v>
      </c>
      <c r="G130" s="8" t="str">
        <f>IF(OR(C130&lt;outliers!$B$14,C130&gt;outliers!$B$13),"Outlier","Normal")</f>
        <v>Normal</v>
      </c>
      <c r="H130" s="8" t="str">
        <f>IF(OR(D130&lt;outliers!$B$21,D130&gt;outliers!$B$20),"Outlier","Normal")</f>
        <v>Normal</v>
      </c>
      <c r="I130" s="8" t="str">
        <f>IF(OR(E130&lt;outliers!$C$28,E130&gt;outliers!$B$27),"Outlier","Normal")</f>
        <v>Outlier</v>
      </c>
      <c r="J130" s="8">
        <f t="shared" si="2"/>
        <v>2017</v>
      </c>
      <c r="K130">
        <f t="shared" si="3"/>
        <v>9</v>
      </c>
    </row>
    <row r="131" spans="1:11" hidden="1" x14ac:dyDescent="0.35">
      <c r="A131" s="13">
        <v>42982</v>
      </c>
      <c r="B131" s="8">
        <v>24.7</v>
      </c>
      <c r="C131" s="8">
        <v>18.7</v>
      </c>
      <c r="D131" s="8">
        <v>29.8</v>
      </c>
      <c r="E131" s="8">
        <v>56.9</v>
      </c>
      <c r="F131" s="8" t="str">
        <f>IF(OR(B131&lt;outliers!$B$7,B131&gt;outliers!$B$6),"Outlier","Normal")</f>
        <v>Normal</v>
      </c>
      <c r="G131" s="8" t="str">
        <f>IF(OR(C131&lt;outliers!$B$14,C131&gt;outliers!$B$13),"Outlier","Normal")</f>
        <v>Normal</v>
      </c>
      <c r="H131" s="8" t="str">
        <f>IF(OR(D131&lt;outliers!$B$21,D131&gt;outliers!$B$20),"Outlier","Normal")</f>
        <v>Normal</v>
      </c>
      <c r="I131" s="8" t="str">
        <f>IF(OR(E131&lt;outliers!$C$28,E131&gt;outliers!$B$27),"Outlier","Normal")</f>
        <v>Outlier</v>
      </c>
      <c r="J131" s="8">
        <f t="shared" si="2"/>
        <v>2017</v>
      </c>
      <c r="K131">
        <f t="shared" si="3"/>
        <v>9</v>
      </c>
    </row>
    <row r="132" spans="1:11" x14ac:dyDescent="0.35">
      <c r="A132" s="13">
        <v>42983</v>
      </c>
      <c r="B132" s="8">
        <v>24.8</v>
      </c>
      <c r="C132" s="8">
        <v>19.899999999999999</v>
      </c>
      <c r="D132" s="8">
        <v>30.2</v>
      </c>
      <c r="E132" s="8">
        <v>2.5</v>
      </c>
      <c r="F132" s="8" t="str">
        <f>IF(OR(B132&lt;outliers!$B$7,B132&gt;outliers!$B$6),"Outlier","Normal")</f>
        <v>Normal</v>
      </c>
      <c r="G132" s="8" t="str">
        <f>IF(OR(C132&lt;outliers!$B$14,C132&gt;outliers!$B$13),"Outlier","Normal")</f>
        <v>Normal</v>
      </c>
      <c r="H132" s="8" t="str">
        <f>IF(OR(D132&lt;outliers!$B$21,D132&gt;outliers!$B$20),"Outlier","Normal")</f>
        <v>Normal</v>
      </c>
      <c r="I132" s="8" t="str">
        <f>IF(OR(E132&lt;outliers!$C$28,E132&gt;outliers!$B$27),"Outlier","Normal")</f>
        <v>Normal</v>
      </c>
      <c r="J132" s="8">
        <f t="shared" ref="J132:J195" si="4">YEAR(A132)</f>
        <v>2017</v>
      </c>
      <c r="K132">
        <f t="shared" ref="K132:K195" si="5">MONTH(A132)</f>
        <v>9</v>
      </c>
    </row>
    <row r="133" spans="1:11" hidden="1" x14ac:dyDescent="0.35">
      <c r="A133" s="13">
        <v>42984</v>
      </c>
      <c r="B133" s="8">
        <v>23</v>
      </c>
      <c r="C133" s="8">
        <v>19.8</v>
      </c>
      <c r="D133" s="8">
        <v>29.8</v>
      </c>
      <c r="E133" s="8">
        <v>15.5</v>
      </c>
      <c r="F133" s="8" t="str">
        <f>IF(OR(B133&lt;outliers!$B$7,B133&gt;outliers!$B$6),"Outlier","Normal")</f>
        <v>Normal</v>
      </c>
      <c r="G133" s="8" t="str">
        <f>IF(OR(C133&lt;outliers!$B$14,C133&gt;outliers!$B$13),"Outlier","Normal")</f>
        <v>Normal</v>
      </c>
      <c r="H133" s="8" t="str">
        <f>IF(OR(D133&lt;outliers!$B$21,D133&gt;outliers!$B$20),"Outlier","Normal")</f>
        <v>Normal</v>
      </c>
      <c r="I133" s="8" t="str">
        <f>IF(OR(E133&lt;outliers!$C$28,E133&gt;outliers!$B$27),"Outlier","Normal")</f>
        <v>Outlier</v>
      </c>
      <c r="J133" s="8">
        <f t="shared" si="4"/>
        <v>2017</v>
      </c>
      <c r="K133">
        <f t="shared" si="5"/>
        <v>9</v>
      </c>
    </row>
    <row r="134" spans="1:11" x14ac:dyDescent="0.35">
      <c r="A134" s="13">
        <v>42985</v>
      </c>
      <c r="B134" s="8">
        <v>24.1</v>
      </c>
      <c r="C134" s="8">
        <v>21.3</v>
      </c>
      <c r="D134" s="8">
        <v>28.5</v>
      </c>
      <c r="E134" s="8">
        <v>6.6</v>
      </c>
      <c r="F134" s="8" t="str">
        <f>IF(OR(B134&lt;outliers!$B$7,B134&gt;outliers!$B$6),"Outlier","Normal")</f>
        <v>Normal</v>
      </c>
      <c r="G134" s="8" t="str">
        <f>IF(OR(C134&lt;outliers!$B$14,C134&gt;outliers!$B$13),"Outlier","Normal")</f>
        <v>Normal</v>
      </c>
      <c r="H134" s="8" t="str">
        <f>IF(OR(D134&lt;outliers!$B$21,D134&gt;outliers!$B$20),"Outlier","Normal")</f>
        <v>Normal</v>
      </c>
      <c r="I134" s="8" t="str">
        <f>IF(OR(E134&lt;outliers!$C$28,E134&gt;outliers!$B$27),"Outlier","Normal")</f>
        <v>Normal</v>
      </c>
      <c r="J134" s="8">
        <f t="shared" si="4"/>
        <v>2017</v>
      </c>
      <c r="K134">
        <f t="shared" si="5"/>
        <v>9</v>
      </c>
    </row>
    <row r="135" spans="1:11" x14ac:dyDescent="0.35">
      <c r="A135" s="13">
        <v>42986</v>
      </c>
      <c r="B135" s="8">
        <v>23.2</v>
      </c>
      <c r="C135" s="8">
        <v>19.8</v>
      </c>
      <c r="D135" s="8">
        <v>29.3</v>
      </c>
      <c r="E135" s="8">
        <v>1.3</v>
      </c>
      <c r="F135" s="8" t="str">
        <f>IF(OR(B135&lt;outliers!$B$7,B135&gt;outliers!$B$6),"Outlier","Normal")</f>
        <v>Normal</v>
      </c>
      <c r="G135" s="8" t="str">
        <f>IF(OR(C135&lt;outliers!$B$14,C135&gt;outliers!$B$13),"Outlier","Normal")</f>
        <v>Normal</v>
      </c>
      <c r="H135" s="8" t="str">
        <f>IF(OR(D135&lt;outliers!$B$21,D135&gt;outliers!$B$20),"Outlier","Normal")</f>
        <v>Normal</v>
      </c>
      <c r="I135" s="8" t="str">
        <f>IF(OR(E135&lt;outliers!$C$28,E135&gt;outliers!$B$27),"Outlier","Normal")</f>
        <v>Normal</v>
      </c>
      <c r="J135" s="8">
        <f t="shared" si="4"/>
        <v>2017</v>
      </c>
      <c r="K135">
        <f t="shared" si="5"/>
        <v>9</v>
      </c>
    </row>
    <row r="136" spans="1:11" hidden="1" x14ac:dyDescent="0.35">
      <c r="A136" s="13">
        <v>42987</v>
      </c>
      <c r="B136" s="8">
        <v>23.6</v>
      </c>
      <c r="C136" s="8">
        <v>20</v>
      </c>
      <c r="D136" s="8">
        <v>28.2</v>
      </c>
      <c r="E136" s="8">
        <v>68.3</v>
      </c>
      <c r="F136" s="8" t="str">
        <f>IF(OR(B136&lt;outliers!$B$7,B136&gt;outliers!$B$6),"Outlier","Normal")</f>
        <v>Normal</v>
      </c>
      <c r="G136" s="8" t="str">
        <f>IF(OR(C136&lt;outliers!$B$14,C136&gt;outliers!$B$13),"Outlier","Normal")</f>
        <v>Normal</v>
      </c>
      <c r="H136" s="8" t="str">
        <f>IF(OR(D136&lt;outliers!$B$21,D136&gt;outliers!$B$20),"Outlier","Normal")</f>
        <v>Normal</v>
      </c>
      <c r="I136" s="8" t="str">
        <f>IF(OR(E136&lt;outliers!$C$28,E136&gt;outliers!$B$27),"Outlier","Normal")</f>
        <v>Outlier</v>
      </c>
      <c r="J136" s="8">
        <f t="shared" si="4"/>
        <v>2017</v>
      </c>
      <c r="K136">
        <f t="shared" si="5"/>
        <v>9</v>
      </c>
    </row>
    <row r="137" spans="1:11" hidden="1" x14ac:dyDescent="0.35">
      <c r="A137" s="13">
        <v>42988</v>
      </c>
      <c r="B137" s="8">
        <v>24.1</v>
      </c>
      <c r="C137" s="8">
        <v>20.3</v>
      </c>
      <c r="D137" s="8">
        <v>28</v>
      </c>
      <c r="E137" s="8">
        <v>66</v>
      </c>
      <c r="F137" s="8" t="str">
        <f>IF(OR(B137&lt;outliers!$B$7,B137&gt;outliers!$B$6),"Outlier","Normal")</f>
        <v>Normal</v>
      </c>
      <c r="G137" s="8" t="str">
        <f>IF(OR(C137&lt;outliers!$B$14,C137&gt;outliers!$B$13),"Outlier","Normal")</f>
        <v>Normal</v>
      </c>
      <c r="H137" s="8" t="str">
        <f>IF(OR(D137&lt;outliers!$B$21,D137&gt;outliers!$B$20),"Outlier","Normal")</f>
        <v>Normal</v>
      </c>
      <c r="I137" s="8" t="str">
        <f>IF(OR(E137&lt;outliers!$C$28,E137&gt;outliers!$B$27),"Outlier","Normal")</f>
        <v>Outlier</v>
      </c>
      <c r="J137" s="8">
        <f t="shared" si="4"/>
        <v>2017</v>
      </c>
      <c r="K137">
        <f t="shared" si="5"/>
        <v>9</v>
      </c>
    </row>
    <row r="138" spans="1:11" x14ac:dyDescent="0.35">
      <c r="A138" s="13">
        <v>42989</v>
      </c>
      <c r="B138" s="8">
        <v>24.8</v>
      </c>
      <c r="C138" s="8">
        <v>21.9</v>
      </c>
      <c r="D138" s="8">
        <v>27.8</v>
      </c>
      <c r="E138" s="8">
        <v>0</v>
      </c>
      <c r="F138" s="8" t="str">
        <f>IF(OR(B138&lt;outliers!$B$7,B138&gt;outliers!$B$6),"Outlier","Normal")</f>
        <v>Normal</v>
      </c>
      <c r="G138" s="8" t="str">
        <f>IF(OR(C138&lt;outliers!$B$14,C138&gt;outliers!$B$13),"Outlier","Normal")</f>
        <v>Normal</v>
      </c>
      <c r="H138" s="8" t="str">
        <f>IF(OR(D138&lt;outliers!$B$21,D138&gt;outliers!$B$20),"Outlier","Normal")</f>
        <v>Normal</v>
      </c>
      <c r="I138" s="8" t="str">
        <f>IF(OR(E138&lt;outliers!$C$28,E138&gt;outliers!$B$27),"Outlier","Normal")</f>
        <v>Normal</v>
      </c>
      <c r="J138" s="8">
        <f t="shared" si="4"/>
        <v>2017</v>
      </c>
      <c r="K138">
        <f t="shared" si="5"/>
        <v>9</v>
      </c>
    </row>
    <row r="139" spans="1:11" x14ac:dyDescent="0.35">
      <c r="A139" s="13">
        <v>42993</v>
      </c>
      <c r="B139" s="8">
        <v>23.7</v>
      </c>
      <c r="C139" s="8">
        <v>21</v>
      </c>
      <c r="D139" s="8">
        <v>31.1</v>
      </c>
      <c r="E139" s="8">
        <v>2.2999999999999998</v>
      </c>
      <c r="F139" s="8" t="str">
        <f>IF(OR(B139&lt;outliers!$B$7,B139&gt;outliers!$B$6),"Outlier","Normal")</f>
        <v>Normal</v>
      </c>
      <c r="G139" s="8" t="str">
        <f>IF(OR(C139&lt;outliers!$B$14,C139&gt;outliers!$B$13),"Outlier","Normal")</f>
        <v>Normal</v>
      </c>
      <c r="H139" s="8" t="str">
        <f>IF(OR(D139&lt;outliers!$B$21,D139&gt;outliers!$B$20),"Outlier","Normal")</f>
        <v>Normal</v>
      </c>
      <c r="I139" s="8" t="str">
        <f>IF(OR(E139&lt;outliers!$C$28,E139&gt;outliers!$B$27),"Outlier","Normal")</f>
        <v>Normal</v>
      </c>
      <c r="J139" s="8">
        <f t="shared" si="4"/>
        <v>2017</v>
      </c>
      <c r="K139">
        <f t="shared" si="5"/>
        <v>9</v>
      </c>
    </row>
    <row r="140" spans="1:11" x14ac:dyDescent="0.35">
      <c r="A140" s="13">
        <v>42994</v>
      </c>
      <c r="B140" s="8">
        <v>23.7</v>
      </c>
      <c r="C140" s="8">
        <v>20.8</v>
      </c>
      <c r="D140" s="8">
        <v>29.4</v>
      </c>
      <c r="E140" s="8">
        <v>0</v>
      </c>
      <c r="F140" s="8" t="str">
        <f>IF(OR(B140&lt;outliers!$B$7,B140&gt;outliers!$B$6),"Outlier","Normal")</f>
        <v>Normal</v>
      </c>
      <c r="G140" s="8" t="str">
        <f>IF(OR(C140&lt;outliers!$B$14,C140&gt;outliers!$B$13),"Outlier","Normal")</f>
        <v>Normal</v>
      </c>
      <c r="H140" s="8" t="str">
        <f>IF(OR(D140&lt;outliers!$B$21,D140&gt;outliers!$B$20),"Outlier","Normal")</f>
        <v>Normal</v>
      </c>
      <c r="I140" s="8" t="str">
        <f>IF(OR(E140&lt;outliers!$C$28,E140&gt;outliers!$B$27),"Outlier","Normal")</f>
        <v>Normal</v>
      </c>
      <c r="J140" s="8">
        <f t="shared" si="4"/>
        <v>2017</v>
      </c>
      <c r="K140">
        <f t="shared" si="5"/>
        <v>9</v>
      </c>
    </row>
    <row r="141" spans="1:11" hidden="1" x14ac:dyDescent="0.35">
      <c r="A141" s="13">
        <v>42995</v>
      </c>
      <c r="B141" s="8">
        <v>21.3</v>
      </c>
      <c r="C141" s="8">
        <v>19.8</v>
      </c>
      <c r="D141" s="8">
        <v>29.4</v>
      </c>
      <c r="E141" s="8">
        <v>17.3</v>
      </c>
      <c r="F141" s="8" t="str">
        <f>IF(OR(B141&lt;outliers!$B$7,B141&gt;outliers!$B$6),"Outlier","Normal")</f>
        <v>Normal</v>
      </c>
      <c r="G141" s="8" t="str">
        <f>IF(OR(C141&lt;outliers!$B$14,C141&gt;outliers!$B$13),"Outlier","Normal")</f>
        <v>Normal</v>
      </c>
      <c r="H141" s="8" t="str">
        <f>IF(OR(D141&lt;outliers!$B$21,D141&gt;outliers!$B$20),"Outlier","Normal")</f>
        <v>Normal</v>
      </c>
      <c r="I141" s="8" t="str">
        <f>IF(OR(E141&lt;outliers!$C$28,E141&gt;outliers!$B$27),"Outlier","Normal")</f>
        <v>Outlier</v>
      </c>
      <c r="J141" s="8">
        <f t="shared" si="4"/>
        <v>2017</v>
      </c>
      <c r="K141">
        <f t="shared" si="5"/>
        <v>9</v>
      </c>
    </row>
    <row r="142" spans="1:11" x14ac:dyDescent="0.35">
      <c r="A142" s="13">
        <v>42996</v>
      </c>
      <c r="B142" s="8">
        <v>22.6</v>
      </c>
      <c r="C142" s="8">
        <v>19.3</v>
      </c>
      <c r="D142" s="8">
        <v>27.3</v>
      </c>
      <c r="E142" s="8">
        <v>0.5</v>
      </c>
      <c r="F142" s="8" t="str">
        <f>IF(OR(B142&lt;outliers!$B$7,B142&gt;outliers!$B$6),"Outlier","Normal")</f>
        <v>Normal</v>
      </c>
      <c r="G142" s="8" t="str">
        <f>IF(OR(C142&lt;outliers!$B$14,C142&gt;outliers!$B$13),"Outlier","Normal")</f>
        <v>Normal</v>
      </c>
      <c r="H142" s="8" t="str">
        <f>IF(OR(D142&lt;outliers!$B$21,D142&gt;outliers!$B$20),"Outlier","Normal")</f>
        <v>Normal</v>
      </c>
      <c r="I142" s="8" t="str">
        <f>IF(OR(E142&lt;outliers!$C$28,E142&gt;outliers!$B$27),"Outlier","Normal")</f>
        <v>Normal</v>
      </c>
      <c r="J142" s="8">
        <f t="shared" si="4"/>
        <v>2017</v>
      </c>
      <c r="K142">
        <f t="shared" si="5"/>
        <v>9</v>
      </c>
    </row>
    <row r="143" spans="1:11" x14ac:dyDescent="0.35">
      <c r="A143" s="13">
        <v>42997</v>
      </c>
      <c r="B143" s="8">
        <v>23.1</v>
      </c>
      <c r="C143" s="8">
        <v>20.399999999999999</v>
      </c>
      <c r="D143" s="8">
        <v>28.3</v>
      </c>
      <c r="E143" s="8">
        <v>0</v>
      </c>
      <c r="F143" s="8" t="str">
        <f>IF(OR(B143&lt;outliers!$B$7,B143&gt;outliers!$B$6),"Outlier","Normal")</f>
        <v>Normal</v>
      </c>
      <c r="G143" s="8" t="str">
        <f>IF(OR(C143&lt;outliers!$B$14,C143&gt;outliers!$B$13),"Outlier","Normal")</f>
        <v>Normal</v>
      </c>
      <c r="H143" s="8" t="str">
        <f>IF(OR(D143&lt;outliers!$B$21,D143&gt;outliers!$B$20),"Outlier","Normal")</f>
        <v>Normal</v>
      </c>
      <c r="I143" s="8" t="str">
        <f>IF(OR(E143&lt;outliers!$C$28,E143&gt;outliers!$B$27),"Outlier","Normal")</f>
        <v>Normal</v>
      </c>
      <c r="J143" s="8">
        <f t="shared" si="4"/>
        <v>2017</v>
      </c>
      <c r="K143">
        <f t="shared" si="5"/>
        <v>9</v>
      </c>
    </row>
    <row r="144" spans="1:11" x14ac:dyDescent="0.35">
      <c r="A144" s="13">
        <v>42998</v>
      </c>
      <c r="B144" s="8">
        <v>23.2</v>
      </c>
      <c r="C144" s="8">
        <v>19.399999999999999</v>
      </c>
      <c r="D144" s="8">
        <v>28.8</v>
      </c>
      <c r="E144" s="8">
        <v>0</v>
      </c>
      <c r="F144" s="8" t="str">
        <f>IF(OR(B144&lt;outliers!$B$7,B144&gt;outliers!$B$6),"Outlier","Normal")</f>
        <v>Normal</v>
      </c>
      <c r="G144" s="8" t="str">
        <f>IF(OR(C144&lt;outliers!$B$14,C144&gt;outliers!$B$13),"Outlier","Normal")</f>
        <v>Normal</v>
      </c>
      <c r="H144" s="8" t="str">
        <f>IF(OR(D144&lt;outliers!$B$21,D144&gt;outliers!$B$20),"Outlier","Normal")</f>
        <v>Normal</v>
      </c>
      <c r="I144" s="8" t="str">
        <f>IF(OR(E144&lt;outliers!$C$28,E144&gt;outliers!$B$27),"Outlier","Normal")</f>
        <v>Normal</v>
      </c>
      <c r="J144" s="8">
        <f t="shared" si="4"/>
        <v>2017</v>
      </c>
      <c r="K144">
        <f t="shared" si="5"/>
        <v>9</v>
      </c>
    </row>
    <row r="145" spans="1:11" x14ac:dyDescent="0.35">
      <c r="A145" s="13">
        <v>43000</v>
      </c>
      <c r="B145" s="8">
        <v>24.3</v>
      </c>
      <c r="C145" s="8">
        <v>20.5</v>
      </c>
      <c r="D145" s="8">
        <v>28.4</v>
      </c>
      <c r="E145" s="8">
        <v>0</v>
      </c>
      <c r="F145" s="8" t="str">
        <f>IF(OR(B145&lt;outliers!$B$7,B145&gt;outliers!$B$6),"Outlier","Normal")</f>
        <v>Normal</v>
      </c>
      <c r="G145" s="8" t="str">
        <f>IF(OR(C145&lt;outliers!$B$14,C145&gt;outliers!$B$13),"Outlier","Normal")</f>
        <v>Normal</v>
      </c>
      <c r="H145" s="8" t="str">
        <f>IF(OR(D145&lt;outliers!$B$21,D145&gt;outliers!$B$20),"Outlier","Normal")</f>
        <v>Normal</v>
      </c>
      <c r="I145" s="8" t="str">
        <f>IF(OR(E145&lt;outliers!$C$28,E145&gt;outliers!$B$27),"Outlier","Normal")</f>
        <v>Normal</v>
      </c>
      <c r="J145" s="8">
        <f t="shared" si="4"/>
        <v>2017</v>
      </c>
      <c r="K145">
        <f t="shared" si="5"/>
        <v>9</v>
      </c>
    </row>
    <row r="146" spans="1:11" x14ac:dyDescent="0.35">
      <c r="A146" s="13">
        <v>43001</v>
      </c>
      <c r="B146" s="8">
        <v>25.6</v>
      </c>
      <c r="C146" s="8">
        <v>20.6</v>
      </c>
      <c r="D146" s="8">
        <v>29.4</v>
      </c>
      <c r="E146" s="8">
        <v>0</v>
      </c>
      <c r="F146" s="8" t="str">
        <f>IF(OR(B146&lt;outliers!$B$7,B146&gt;outliers!$B$6),"Outlier","Normal")</f>
        <v>Normal</v>
      </c>
      <c r="G146" s="8" t="str">
        <f>IF(OR(C146&lt;outliers!$B$14,C146&gt;outliers!$B$13),"Outlier","Normal")</f>
        <v>Normal</v>
      </c>
      <c r="H146" s="8" t="str">
        <f>IF(OR(D146&lt;outliers!$B$21,D146&gt;outliers!$B$20),"Outlier","Normal")</f>
        <v>Normal</v>
      </c>
      <c r="I146" s="8" t="str">
        <f>IF(OR(E146&lt;outliers!$C$28,E146&gt;outliers!$B$27),"Outlier","Normal")</f>
        <v>Normal</v>
      </c>
      <c r="J146" s="8">
        <f t="shared" si="4"/>
        <v>2017</v>
      </c>
      <c r="K146">
        <f t="shared" si="5"/>
        <v>9</v>
      </c>
    </row>
    <row r="147" spans="1:11" x14ac:dyDescent="0.35">
      <c r="A147" s="13">
        <v>43002</v>
      </c>
      <c r="B147" s="8">
        <v>24.2</v>
      </c>
      <c r="C147" s="8">
        <v>20.9</v>
      </c>
      <c r="D147" s="8">
        <v>30.5</v>
      </c>
      <c r="E147" s="8">
        <v>0</v>
      </c>
      <c r="F147" s="8" t="str">
        <f>IF(OR(B147&lt;outliers!$B$7,B147&gt;outliers!$B$6),"Outlier","Normal")</f>
        <v>Normal</v>
      </c>
      <c r="G147" s="8" t="str">
        <f>IF(OR(C147&lt;outliers!$B$14,C147&gt;outliers!$B$13),"Outlier","Normal")</f>
        <v>Normal</v>
      </c>
      <c r="H147" s="8" t="str">
        <f>IF(OR(D147&lt;outliers!$B$21,D147&gt;outliers!$B$20),"Outlier","Normal")</f>
        <v>Normal</v>
      </c>
      <c r="I147" s="8" t="str">
        <f>IF(OR(E147&lt;outliers!$C$28,E147&gt;outliers!$B$27),"Outlier","Normal")</f>
        <v>Normal</v>
      </c>
      <c r="J147" s="8">
        <f t="shared" si="4"/>
        <v>2017</v>
      </c>
      <c r="K147">
        <f t="shared" si="5"/>
        <v>9</v>
      </c>
    </row>
    <row r="148" spans="1:11" hidden="1" x14ac:dyDescent="0.35">
      <c r="A148" s="13">
        <v>43003</v>
      </c>
      <c r="B148" s="8">
        <v>22.8</v>
      </c>
      <c r="C148" s="8">
        <v>19.399999999999999</v>
      </c>
      <c r="D148" s="8">
        <v>29</v>
      </c>
      <c r="E148" s="8">
        <v>54.4</v>
      </c>
      <c r="F148" s="8" t="str">
        <f>IF(OR(B148&lt;outliers!$B$7,B148&gt;outliers!$B$6),"Outlier","Normal")</f>
        <v>Normal</v>
      </c>
      <c r="G148" s="8" t="str">
        <f>IF(OR(C148&lt;outliers!$B$14,C148&gt;outliers!$B$13),"Outlier","Normal")</f>
        <v>Normal</v>
      </c>
      <c r="H148" s="8" t="str">
        <f>IF(OR(D148&lt;outliers!$B$21,D148&gt;outliers!$B$20),"Outlier","Normal")</f>
        <v>Normal</v>
      </c>
      <c r="I148" s="8" t="str">
        <f>IF(OR(E148&lt;outliers!$C$28,E148&gt;outliers!$B$27),"Outlier","Normal")</f>
        <v>Outlier</v>
      </c>
      <c r="J148" s="8">
        <f t="shared" si="4"/>
        <v>2017</v>
      </c>
      <c r="K148">
        <f t="shared" si="5"/>
        <v>9</v>
      </c>
    </row>
    <row r="149" spans="1:11" x14ac:dyDescent="0.35">
      <c r="A149" s="13">
        <v>43004</v>
      </c>
      <c r="B149" s="8">
        <v>23.8</v>
      </c>
      <c r="C149" s="8">
        <v>19.8</v>
      </c>
      <c r="D149" s="8">
        <v>27.6</v>
      </c>
      <c r="E149" s="8">
        <v>9.1</v>
      </c>
      <c r="F149" s="8" t="str">
        <f>IF(OR(B149&lt;outliers!$B$7,B149&gt;outliers!$B$6),"Outlier","Normal")</f>
        <v>Normal</v>
      </c>
      <c r="G149" s="8" t="str">
        <f>IF(OR(C149&lt;outliers!$B$14,C149&gt;outliers!$B$13),"Outlier","Normal")</f>
        <v>Normal</v>
      </c>
      <c r="H149" s="8" t="str">
        <f>IF(OR(D149&lt;outliers!$B$21,D149&gt;outliers!$B$20),"Outlier","Normal")</f>
        <v>Normal</v>
      </c>
      <c r="I149" s="8" t="str">
        <f>IF(OR(E149&lt;outliers!$C$28,E149&gt;outliers!$B$27),"Outlier","Normal")</f>
        <v>Normal</v>
      </c>
      <c r="J149" s="8">
        <f t="shared" si="4"/>
        <v>2017</v>
      </c>
      <c r="K149">
        <f t="shared" si="5"/>
        <v>9</v>
      </c>
    </row>
    <row r="150" spans="1:11" hidden="1" x14ac:dyDescent="0.35">
      <c r="A150" s="13">
        <v>43005</v>
      </c>
      <c r="B150" s="8">
        <v>21.9</v>
      </c>
      <c r="C150" s="8">
        <v>20</v>
      </c>
      <c r="D150" s="8">
        <v>28.1</v>
      </c>
      <c r="E150" s="8">
        <v>55.9</v>
      </c>
      <c r="F150" s="8" t="str">
        <f>IF(OR(B150&lt;outliers!$B$7,B150&gt;outliers!$B$6),"Outlier","Normal")</f>
        <v>Normal</v>
      </c>
      <c r="G150" s="8" t="str">
        <f>IF(OR(C150&lt;outliers!$B$14,C150&gt;outliers!$B$13),"Outlier","Normal")</f>
        <v>Normal</v>
      </c>
      <c r="H150" s="8" t="str">
        <f>IF(OR(D150&lt;outliers!$B$21,D150&gt;outliers!$B$20),"Outlier","Normal")</f>
        <v>Normal</v>
      </c>
      <c r="I150" s="8" t="str">
        <f>IF(OR(E150&lt;outliers!$C$28,E150&gt;outliers!$B$27),"Outlier","Normal")</f>
        <v>Outlier</v>
      </c>
      <c r="J150" s="8">
        <f t="shared" si="4"/>
        <v>2017</v>
      </c>
      <c r="K150">
        <f t="shared" si="5"/>
        <v>9</v>
      </c>
    </row>
    <row r="151" spans="1:11" x14ac:dyDescent="0.35">
      <c r="A151" s="13">
        <v>43006</v>
      </c>
      <c r="B151" s="8">
        <v>22.5</v>
      </c>
      <c r="C151" s="8">
        <v>19.399999999999999</v>
      </c>
      <c r="D151" s="8">
        <v>26.8</v>
      </c>
      <c r="E151" s="8">
        <v>1.8</v>
      </c>
      <c r="F151" s="8" t="str">
        <f>IF(OR(B151&lt;outliers!$B$7,B151&gt;outliers!$B$6),"Outlier","Normal")</f>
        <v>Normal</v>
      </c>
      <c r="G151" s="8" t="str">
        <f>IF(OR(C151&lt;outliers!$B$14,C151&gt;outliers!$B$13),"Outlier","Normal")</f>
        <v>Normal</v>
      </c>
      <c r="H151" s="8" t="str">
        <f>IF(OR(D151&lt;outliers!$B$21,D151&gt;outliers!$B$20),"Outlier","Normal")</f>
        <v>Normal</v>
      </c>
      <c r="I151" s="8" t="str">
        <f>IF(OR(E151&lt;outliers!$C$28,E151&gt;outliers!$B$27),"Outlier","Normal")</f>
        <v>Normal</v>
      </c>
      <c r="J151" s="8">
        <f t="shared" si="4"/>
        <v>2017</v>
      </c>
      <c r="K151">
        <f t="shared" si="5"/>
        <v>9</v>
      </c>
    </row>
    <row r="152" spans="1:11" x14ac:dyDescent="0.35">
      <c r="A152" s="13">
        <v>43007</v>
      </c>
      <c r="B152" s="8">
        <v>22.7</v>
      </c>
      <c r="C152" s="8">
        <v>20.3</v>
      </c>
      <c r="D152" s="8">
        <v>26.2</v>
      </c>
      <c r="E152" s="8">
        <v>0.5</v>
      </c>
      <c r="F152" s="8" t="str">
        <f>IF(OR(B152&lt;outliers!$B$7,B152&gt;outliers!$B$6),"Outlier","Normal")</f>
        <v>Normal</v>
      </c>
      <c r="G152" s="8" t="str">
        <f>IF(OR(C152&lt;outliers!$B$14,C152&gt;outliers!$B$13),"Outlier","Normal")</f>
        <v>Normal</v>
      </c>
      <c r="H152" s="8" t="str">
        <f>IF(OR(D152&lt;outliers!$B$21,D152&gt;outliers!$B$20),"Outlier","Normal")</f>
        <v>Normal</v>
      </c>
      <c r="I152" s="8" t="str">
        <f>IF(OR(E152&lt;outliers!$C$28,E152&gt;outliers!$B$27),"Outlier","Normal")</f>
        <v>Normal</v>
      </c>
      <c r="J152" s="8">
        <f t="shared" si="4"/>
        <v>2017</v>
      </c>
      <c r="K152">
        <f t="shared" si="5"/>
        <v>9</v>
      </c>
    </row>
    <row r="153" spans="1:11" hidden="1" x14ac:dyDescent="0.35">
      <c r="A153" s="13">
        <v>43008</v>
      </c>
      <c r="B153" s="8">
        <v>22.7</v>
      </c>
      <c r="C153" s="8">
        <v>20.399999999999999</v>
      </c>
      <c r="D153" s="8">
        <v>27</v>
      </c>
      <c r="E153" s="8">
        <v>15.2</v>
      </c>
      <c r="F153" s="8" t="str">
        <f>IF(OR(B153&lt;outliers!$B$7,B153&gt;outliers!$B$6),"Outlier","Normal")</f>
        <v>Normal</v>
      </c>
      <c r="G153" s="8" t="str">
        <f>IF(OR(C153&lt;outliers!$B$14,C153&gt;outliers!$B$13),"Outlier","Normal")</f>
        <v>Normal</v>
      </c>
      <c r="H153" s="8" t="str">
        <f>IF(OR(D153&lt;outliers!$B$21,D153&gt;outliers!$B$20),"Outlier","Normal")</f>
        <v>Normal</v>
      </c>
      <c r="I153" s="8" t="str">
        <f>IF(OR(E153&lt;outliers!$C$28,E153&gt;outliers!$B$27),"Outlier","Normal")</f>
        <v>Outlier</v>
      </c>
      <c r="J153" s="8">
        <f t="shared" si="4"/>
        <v>2017</v>
      </c>
      <c r="K153">
        <f t="shared" si="5"/>
        <v>9</v>
      </c>
    </row>
    <row r="154" spans="1:11" x14ac:dyDescent="0.35">
      <c r="A154" s="13">
        <v>43009</v>
      </c>
      <c r="B154" s="8">
        <v>23.1</v>
      </c>
      <c r="C154" s="8">
        <v>20.3</v>
      </c>
      <c r="D154" s="8">
        <v>28.6</v>
      </c>
      <c r="E154" s="8">
        <v>0.5</v>
      </c>
      <c r="F154" s="8" t="str">
        <f>IF(OR(B154&lt;outliers!$B$7,B154&gt;outliers!$B$6),"Outlier","Normal")</f>
        <v>Normal</v>
      </c>
      <c r="G154" s="8" t="str">
        <f>IF(OR(C154&lt;outliers!$B$14,C154&gt;outliers!$B$13),"Outlier","Normal")</f>
        <v>Normal</v>
      </c>
      <c r="H154" s="8" t="str">
        <f>IF(OR(D154&lt;outliers!$B$21,D154&gt;outliers!$B$20),"Outlier","Normal")</f>
        <v>Normal</v>
      </c>
      <c r="I154" s="8" t="str">
        <f>IF(OR(E154&lt;outliers!$C$28,E154&gt;outliers!$B$27),"Outlier","Normal")</f>
        <v>Normal</v>
      </c>
      <c r="J154" s="8">
        <f t="shared" si="4"/>
        <v>2017</v>
      </c>
      <c r="K154">
        <f t="shared" si="5"/>
        <v>10</v>
      </c>
    </row>
    <row r="155" spans="1:11" hidden="1" x14ac:dyDescent="0.35">
      <c r="A155" s="13">
        <v>43010</v>
      </c>
      <c r="B155" s="8">
        <v>23.3</v>
      </c>
      <c r="C155" s="8">
        <v>19.399999999999999</v>
      </c>
      <c r="D155" s="8">
        <v>28.4</v>
      </c>
      <c r="E155" s="8">
        <v>46</v>
      </c>
      <c r="F155" s="8" t="str">
        <f>IF(OR(B155&lt;outliers!$B$7,B155&gt;outliers!$B$6),"Outlier","Normal")</f>
        <v>Normal</v>
      </c>
      <c r="G155" s="8" t="str">
        <f>IF(OR(C155&lt;outliers!$B$14,C155&gt;outliers!$B$13),"Outlier","Normal")</f>
        <v>Normal</v>
      </c>
      <c r="H155" s="8" t="str">
        <f>IF(OR(D155&lt;outliers!$B$21,D155&gt;outliers!$B$20),"Outlier","Normal")</f>
        <v>Normal</v>
      </c>
      <c r="I155" s="8" t="str">
        <f>IF(OR(E155&lt;outliers!$C$28,E155&gt;outliers!$B$27),"Outlier","Normal")</f>
        <v>Outlier</v>
      </c>
      <c r="J155" s="8">
        <f t="shared" si="4"/>
        <v>2017</v>
      </c>
      <c r="K155">
        <f t="shared" si="5"/>
        <v>10</v>
      </c>
    </row>
    <row r="156" spans="1:11" x14ac:dyDescent="0.35">
      <c r="A156" s="13">
        <v>43011</v>
      </c>
      <c r="B156" s="8">
        <v>24.9</v>
      </c>
      <c r="C156" s="8">
        <v>20.6</v>
      </c>
      <c r="D156" s="8">
        <v>28.8</v>
      </c>
      <c r="E156" s="8">
        <v>0</v>
      </c>
      <c r="F156" s="8" t="str">
        <f>IF(OR(B156&lt;outliers!$B$7,B156&gt;outliers!$B$6),"Outlier","Normal")</f>
        <v>Normal</v>
      </c>
      <c r="G156" s="8" t="str">
        <f>IF(OR(C156&lt;outliers!$B$14,C156&gt;outliers!$B$13),"Outlier","Normal")</f>
        <v>Normal</v>
      </c>
      <c r="H156" s="8" t="str">
        <f>IF(OR(D156&lt;outliers!$B$21,D156&gt;outliers!$B$20),"Outlier","Normal")</f>
        <v>Normal</v>
      </c>
      <c r="I156" s="8" t="str">
        <f>IF(OR(E156&lt;outliers!$C$28,E156&gt;outliers!$B$27),"Outlier","Normal")</f>
        <v>Normal</v>
      </c>
      <c r="J156" s="8">
        <f t="shared" si="4"/>
        <v>2017</v>
      </c>
      <c r="K156">
        <f t="shared" si="5"/>
        <v>10</v>
      </c>
    </row>
    <row r="157" spans="1:11" x14ac:dyDescent="0.35">
      <c r="A157" s="13">
        <v>43012</v>
      </c>
      <c r="B157" s="8">
        <v>24.3</v>
      </c>
      <c r="C157" s="8">
        <v>20.5</v>
      </c>
      <c r="D157" s="8">
        <v>29.3</v>
      </c>
      <c r="E157" s="8">
        <v>0</v>
      </c>
      <c r="F157" s="8" t="str">
        <f>IF(OR(B157&lt;outliers!$B$7,B157&gt;outliers!$B$6),"Outlier","Normal")</f>
        <v>Normal</v>
      </c>
      <c r="G157" s="8" t="str">
        <f>IF(OR(C157&lt;outliers!$B$14,C157&gt;outliers!$B$13),"Outlier","Normal")</f>
        <v>Normal</v>
      </c>
      <c r="H157" s="8" t="str">
        <f>IF(OR(D157&lt;outliers!$B$21,D157&gt;outliers!$B$20),"Outlier","Normal")</f>
        <v>Normal</v>
      </c>
      <c r="I157" s="8" t="str">
        <f>IF(OR(E157&lt;outliers!$C$28,E157&gt;outliers!$B$27),"Outlier","Normal")</f>
        <v>Normal</v>
      </c>
      <c r="J157" s="8">
        <f t="shared" si="4"/>
        <v>2017</v>
      </c>
      <c r="K157">
        <f t="shared" si="5"/>
        <v>10</v>
      </c>
    </row>
    <row r="158" spans="1:11" hidden="1" x14ac:dyDescent="0.35">
      <c r="A158" s="13">
        <v>43013</v>
      </c>
      <c r="B158" s="8">
        <v>22</v>
      </c>
      <c r="C158" s="8">
        <v>20.100000000000001</v>
      </c>
      <c r="D158" s="8">
        <v>29.6</v>
      </c>
      <c r="E158" s="8">
        <v>18.5</v>
      </c>
      <c r="F158" s="8" t="str">
        <f>IF(OR(B158&lt;outliers!$B$7,B158&gt;outliers!$B$6),"Outlier","Normal")</f>
        <v>Normal</v>
      </c>
      <c r="G158" s="8" t="str">
        <f>IF(OR(C158&lt;outliers!$B$14,C158&gt;outliers!$B$13),"Outlier","Normal")</f>
        <v>Normal</v>
      </c>
      <c r="H158" s="8" t="str">
        <f>IF(OR(D158&lt;outliers!$B$21,D158&gt;outliers!$B$20),"Outlier","Normal")</f>
        <v>Normal</v>
      </c>
      <c r="I158" s="8" t="str">
        <f>IF(OR(E158&lt;outliers!$C$28,E158&gt;outliers!$B$27),"Outlier","Normal")</f>
        <v>Outlier</v>
      </c>
      <c r="J158" s="8">
        <f t="shared" si="4"/>
        <v>2017</v>
      </c>
      <c r="K158">
        <f t="shared" si="5"/>
        <v>10</v>
      </c>
    </row>
    <row r="159" spans="1:11" hidden="1" x14ac:dyDescent="0.35">
      <c r="A159" s="13">
        <v>43014</v>
      </c>
      <c r="B159" s="8">
        <v>23.1</v>
      </c>
      <c r="C159" s="8">
        <v>20.7</v>
      </c>
      <c r="D159" s="8">
        <v>28.8</v>
      </c>
      <c r="E159" s="8">
        <v>76.7</v>
      </c>
      <c r="F159" s="8" t="str">
        <f>IF(OR(B159&lt;outliers!$B$7,B159&gt;outliers!$B$6),"Outlier","Normal")</f>
        <v>Normal</v>
      </c>
      <c r="G159" s="8" t="str">
        <f>IF(OR(C159&lt;outliers!$B$14,C159&gt;outliers!$B$13),"Outlier","Normal")</f>
        <v>Normal</v>
      </c>
      <c r="H159" s="8" t="str">
        <f>IF(OR(D159&lt;outliers!$B$21,D159&gt;outliers!$B$20),"Outlier","Normal")</f>
        <v>Normal</v>
      </c>
      <c r="I159" s="8" t="str">
        <f>IF(OR(E159&lt;outliers!$C$28,E159&gt;outliers!$B$27),"Outlier","Normal")</f>
        <v>Outlier</v>
      </c>
      <c r="J159" s="8">
        <f t="shared" si="4"/>
        <v>2017</v>
      </c>
      <c r="K159">
        <f t="shared" si="5"/>
        <v>10</v>
      </c>
    </row>
    <row r="160" spans="1:11" hidden="1" x14ac:dyDescent="0.35">
      <c r="A160" s="13">
        <v>43015</v>
      </c>
      <c r="B160" s="8">
        <v>23.7</v>
      </c>
      <c r="C160" s="8">
        <v>21.2</v>
      </c>
      <c r="D160" s="8">
        <v>29</v>
      </c>
      <c r="E160" s="8">
        <v>14.5</v>
      </c>
      <c r="F160" s="8" t="str">
        <f>IF(OR(B160&lt;outliers!$B$7,B160&gt;outliers!$B$6),"Outlier","Normal")</f>
        <v>Normal</v>
      </c>
      <c r="G160" s="8" t="str">
        <f>IF(OR(C160&lt;outliers!$B$14,C160&gt;outliers!$B$13),"Outlier","Normal")</f>
        <v>Normal</v>
      </c>
      <c r="H160" s="8" t="str">
        <f>IF(OR(D160&lt;outliers!$B$21,D160&gt;outliers!$B$20),"Outlier","Normal")</f>
        <v>Normal</v>
      </c>
      <c r="I160" s="8" t="str">
        <f>IF(OR(E160&lt;outliers!$C$28,E160&gt;outliers!$B$27),"Outlier","Normal")</f>
        <v>Outlier</v>
      </c>
      <c r="J160" s="8">
        <f t="shared" si="4"/>
        <v>2017</v>
      </c>
      <c r="K160">
        <f t="shared" si="5"/>
        <v>10</v>
      </c>
    </row>
    <row r="161" spans="1:11" hidden="1" x14ac:dyDescent="0.35">
      <c r="A161" s="13">
        <v>43016</v>
      </c>
      <c r="B161" s="8">
        <v>24.6</v>
      </c>
      <c r="C161" s="8">
        <v>21.3</v>
      </c>
      <c r="D161" s="8">
        <v>28.8</v>
      </c>
      <c r="E161" s="8">
        <v>48</v>
      </c>
      <c r="F161" s="8" t="str">
        <f>IF(OR(B161&lt;outliers!$B$7,B161&gt;outliers!$B$6),"Outlier","Normal")</f>
        <v>Normal</v>
      </c>
      <c r="G161" s="8" t="str">
        <f>IF(OR(C161&lt;outliers!$B$14,C161&gt;outliers!$B$13),"Outlier","Normal")</f>
        <v>Normal</v>
      </c>
      <c r="H161" s="8" t="str">
        <f>IF(OR(D161&lt;outliers!$B$21,D161&gt;outliers!$B$20),"Outlier","Normal")</f>
        <v>Normal</v>
      </c>
      <c r="I161" s="8" t="str">
        <f>IF(OR(E161&lt;outliers!$C$28,E161&gt;outliers!$B$27),"Outlier","Normal")</f>
        <v>Outlier</v>
      </c>
      <c r="J161" s="8">
        <f t="shared" si="4"/>
        <v>2017</v>
      </c>
      <c r="K161">
        <f t="shared" si="5"/>
        <v>10</v>
      </c>
    </row>
    <row r="162" spans="1:11" x14ac:dyDescent="0.35">
      <c r="A162" s="13">
        <v>43017</v>
      </c>
      <c r="B162" s="8">
        <v>24.8</v>
      </c>
      <c r="C162" s="8">
        <v>21.5</v>
      </c>
      <c r="D162" s="8">
        <v>29</v>
      </c>
      <c r="E162" s="8">
        <v>2</v>
      </c>
      <c r="F162" s="8" t="str">
        <f>IF(OR(B162&lt;outliers!$B$7,B162&gt;outliers!$B$6),"Outlier","Normal")</f>
        <v>Normal</v>
      </c>
      <c r="G162" s="8" t="str">
        <f>IF(OR(C162&lt;outliers!$B$14,C162&gt;outliers!$B$13),"Outlier","Normal")</f>
        <v>Normal</v>
      </c>
      <c r="H162" s="8" t="str">
        <f>IF(OR(D162&lt;outliers!$B$21,D162&gt;outliers!$B$20),"Outlier","Normal")</f>
        <v>Normal</v>
      </c>
      <c r="I162" s="8" t="str">
        <f>IF(OR(E162&lt;outliers!$C$28,E162&gt;outliers!$B$27),"Outlier","Normal")</f>
        <v>Normal</v>
      </c>
      <c r="J162" s="8">
        <f t="shared" si="4"/>
        <v>2017</v>
      </c>
      <c r="K162">
        <f t="shared" si="5"/>
        <v>10</v>
      </c>
    </row>
    <row r="163" spans="1:11" x14ac:dyDescent="0.35">
      <c r="A163" s="13">
        <v>43018</v>
      </c>
      <c r="B163" s="8">
        <v>24.5</v>
      </c>
      <c r="C163" s="8">
        <v>19.600000000000001</v>
      </c>
      <c r="D163" s="8">
        <v>29.3</v>
      </c>
      <c r="E163" s="8">
        <v>9.1</v>
      </c>
      <c r="F163" s="8" t="str">
        <f>IF(OR(B163&lt;outliers!$B$7,B163&gt;outliers!$B$6),"Outlier","Normal")</f>
        <v>Normal</v>
      </c>
      <c r="G163" s="8" t="str">
        <f>IF(OR(C163&lt;outliers!$B$14,C163&gt;outliers!$B$13),"Outlier","Normal")</f>
        <v>Normal</v>
      </c>
      <c r="H163" s="8" t="str">
        <f>IF(OR(D163&lt;outliers!$B$21,D163&gt;outliers!$B$20),"Outlier","Normal")</f>
        <v>Normal</v>
      </c>
      <c r="I163" s="8" t="str">
        <f>IF(OR(E163&lt;outliers!$C$28,E163&gt;outliers!$B$27),"Outlier","Normal")</f>
        <v>Normal</v>
      </c>
      <c r="J163" s="8">
        <f t="shared" si="4"/>
        <v>2017</v>
      </c>
      <c r="K163">
        <f t="shared" si="5"/>
        <v>10</v>
      </c>
    </row>
    <row r="164" spans="1:11" x14ac:dyDescent="0.35">
      <c r="A164" s="13">
        <v>43019</v>
      </c>
      <c r="B164" s="8">
        <v>23.8</v>
      </c>
      <c r="C164" s="8">
        <v>20.2</v>
      </c>
      <c r="D164" s="8">
        <v>29.9</v>
      </c>
      <c r="E164" s="8">
        <v>5.3</v>
      </c>
      <c r="F164" s="8" t="str">
        <f>IF(OR(B164&lt;outliers!$B$7,B164&gt;outliers!$B$6),"Outlier","Normal")</f>
        <v>Normal</v>
      </c>
      <c r="G164" s="8" t="str">
        <f>IF(OR(C164&lt;outliers!$B$14,C164&gt;outliers!$B$13),"Outlier","Normal")</f>
        <v>Normal</v>
      </c>
      <c r="H164" s="8" t="str">
        <f>IF(OR(D164&lt;outliers!$B$21,D164&gt;outliers!$B$20),"Outlier","Normal")</f>
        <v>Normal</v>
      </c>
      <c r="I164" s="8" t="str">
        <f>IF(OR(E164&lt;outliers!$C$28,E164&gt;outliers!$B$27),"Outlier","Normal")</f>
        <v>Normal</v>
      </c>
      <c r="J164" s="8">
        <f t="shared" si="4"/>
        <v>2017</v>
      </c>
      <c r="K164">
        <f t="shared" si="5"/>
        <v>10</v>
      </c>
    </row>
    <row r="165" spans="1:11" hidden="1" x14ac:dyDescent="0.35">
      <c r="A165" s="13">
        <v>43020</v>
      </c>
      <c r="B165" s="8">
        <v>23.2</v>
      </c>
      <c r="C165" s="8">
        <v>20.5</v>
      </c>
      <c r="D165" s="8">
        <v>30.7</v>
      </c>
      <c r="E165" s="8">
        <v>22.4</v>
      </c>
      <c r="F165" s="8" t="str">
        <f>IF(OR(B165&lt;outliers!$B$7,B165&gt;outliers!$B$6),"Outlier","Normal")</f>
        <v>Normal</v>
      </c>
      <c r="G165" s="8" t="str">
        <f>IF(OR(C165&lt;outliers!$B$14,C165&gt;outliers!$B$13),"Outlier","Normal")</f>
        <v>Normal</v>
      </c>
      <c r="H165" s="8" t="str">
        <f>IF(OR(D165&lt;outliers!$B$21,D165&gt;outliers!$B$20),"Outlier","Normal")</f>
        <v>Normal</v>
      </c>
      <c r="I165" s="8" t="str">
        <f>IF(OR(E165&lt;outliers!$C$28,E165&gt;outliers!$B$27),"Outlier","Normal")</f>
        <v>Outlier</v>
      </c>
      <c r="J165" s="8">
        <f t="shared" si="4"/>
        <v>2017</v>
      </c>
      <c r="K165">
        <f t="shared" si="5"/>
        <v>10</v>
      </c>
    </row>
    <row r="166" spans="1:11" hidden="1" x14ac:dyDescent="0.35">
      <c r="A166" s="13">
        <v>43021</v>
      </c>
      <c r="B166" s="8">
        <v>22.9</v>
      </c>
      <c r="C166" s="8">
        <v>20.5</v>
      </c>
      <c r="D166" s="8">
        <v>27.5</v>
      </c>
      <c r="E166" s="8">
        <v>68.099999999999994</v>
      </c>
      <c r="F166" s="8" t="str">
        <f>IF(OR(B166&lt;outliers!$B$7,B166&gt;outliers!$B$6),"Outlier","Normal")</f>
        <v>Normal</v>
      </c>
      <c r="G166" s="8" t="str">
        <f>IF(OR(C166&lt;outliers!$B$14,C166&gt;outliers!$B$13),"Outlier","Normal")</f>
        <v>Normal</v>
      </c>
      <c r="H166" s="8" t="str">
        <f>IF(OR(D166&lt;outliers!$B$21,D166&gt;outliers!$B$20),"Outlier","Normal")</f>
        <v>Normal</v>
      </c>
      <c r="I166" s="8" t="str">
        <f>IF(OR(E166&lt;outliers!$C$28,E166&gt;outliers!$B$27),"Outlier","Normal")</f>
        <v>Outlier</v>
      </c>
      <c r="J166" s="8">
        <f t="shared" si="4"/>
        <v>2017</v>
      </c>
      <c r="K166">
        <f t="shared" si="5"/>
        <v>10</v>
      </c>
    </row>
    <row r="167" spans="1:11" hidden="1" x14ac:dyDescent="0.35">
      <c r="A167" s="13">
        <v>43022</v>
      </c>
      <c r="B167" s="8">
        <v>22.1</v>
      </c>
      <c r="C167" s="8">
        <v>20.399999999999999</v>
      </c>
      <c r="D167" s="8">
        <v>27.6</v>
      </c>
      <c r="E167" s="8">
        <v>34</v>
      </c>
      <c r="F167" s="8" t="str">
        <f>IF(OR(B167&lt;outliers!$B$7,B167&gt;outliers!$B$6),"Outlier","Normal")</f>
        <v>Normal</v>
      </c>
      <c r="G167" s="8" t="str">
        <f>IF(OR(C167&lt;outliers!$B$14,C167&gt;outliers!$B$13),"Outlier","Normal")</f>
        <v>Normal</v>
      </c>
      <c r="H167" s="8" t="str">
        <f>IF(OR(D167&lt;outliers!$B$21,D167&gt;outliers!$B$20),"Outlier","Normal")</f>
        <v>Normal</v>
      </c>
      <c r="I167" s="8" t="str">
        <f>IF(OR(E167&lt;outliers!$C$28,E167&gt;outliers!$B$27),"Outlier","Normal")</f>
        <v>Outlier</v>
      </c>
      <c r="J167" s="8">
        <f t="shared" si="4"/>
        <v>2017</v>
      </c>
      <c r="K167">
        <f t="shared" si="5"/>
        <v>10</v>
      </c>
    </row>
    <row r="168" spans="1:11" hidden="1" x14ac:dyDescent="0.35">
      <c r="A168" s="13">
        <v>43023</v>
      </c>
      <c r="B168" s="8">
        <v>22.3</v>
      </c>
      <c r="C168" s="8">
        <v>19.600000000000001</v>
      </c>
      <c r="D168" s="8">
        <v>26.8</v>
      </c>
      <c r="E168" s="8">
        <v>40.4</v>
      </c>
      <c r="F168" s="8" t="str">
        <f>IF(OR(B168&lt;outliers!$B$7,B168&gt;outliers!$B$6),"Outlier","Normal")</f>
        <v>Normal</v>
      </c>
      <c r="G168" s="8" t="str">
        <f>IF(OR(C168&lt;outliers!$B$14,C168&gt;outliers!$B$13),"Outlier","Normal")</f>
        <v>Normal</v>
      </c>
      <c r="H168" s="8" t="str">
        <f>IF(OR(D168&lt;outliers!$B$21,D168&gt;outliers!$B$20),"Outlier","Normal")</f>
        <v>Normal</v>
      </c>
      <c r="I168" s="8" t="str">
        <f>IF(OR(E168&lt;outliers!$C$28,E168&gt;outliers!$B$27),"Outlier","Normal")</f>
        <v>Outlier</v>
      </c>
      <c r="J168" s="8">
        <f t="shared" si="4"/>
        <v>2017</v>
      </c>
      <c r="K168">
        <f t="shared" si="5"/>
        <v>10</v>
      </c>
    </row>
    <row r="169" spans="1:11" x14ac:dyDescent="0.35">
      <c r="A169" s="13">
        <v>43024</v>
      </c>
      <c r="B169" s="8">
        <v>22.4</v>
      </c>
      <c r="C169" s="8">
        <v>19.8</v>
      </c>
      <c r="D169" s="8">
        <v>26</v>
      </c>
      <c r="E169" s="8">
        <v>0</v>
      </c>
      <c r="F169" s="8" t="str">
        <f>IF(OR(B169&lt;outliers!$B$7,B169&gt;outliers!$B$6),"Outlier","Normal")</f>
        <v>Normal</v>
      </c>
      <c r="G169" s="8" t="str">
        <f>IF(OR(C169&lt;outliers!$B$14,C169&gt;outliers!$B$13),"Outlier","Normal")</f>
        <v>Normal</v>
      </c>
      <c r="H169" s="8" t="str">
        <f>IF(OR(D169&lt;outliers!$B$21,D169&gt;outliers!$B$20),"Outlier","Normal")</f>
        <v>Normal</v>
      </c>
      <c r="I169" s="8" t="str">
        <f>IF(OR(E169&lt;outliers!$C$28,E169&gt;outliers!$B$27),"Outlier","Normal")</f>
        <v>Normal</v>
      </c>
      <c r="J169" s="8">
        <f t="shared" si="4"/>
        <v>2017</v>
      </c>
      <c r="K169">
        <f t="shared" si="5"/>
        <v>10</v>
      </c>
    </row>
    <row r="170" spans="1:11" x14ac:dyDescent="0.35">
      <c r="A170" s="13">
        <v>43025</v>
      </c>
      <c r="B170" s="8">
        <v>23.1</v>
      </c>
      <c r="C170" s="8">
        <v>20.9</v>
      </c>
      <c r="D170" s="8">
        <v>26.8</v>
      </c>
      <c r="E170" s="8">
        <v>0</v>
      </c>
      <c r="F170" s="8" t="str">
        <f>IF(OR(B170&lt;outliers!$B$7,B170&gt;outliers!$B$6),"Outlier","Normal")</f>
        <v>Normal</v>
      </c>
      <c r="G170" s="8" t="str">
        <f>IF(OR(C170&lt;outliers!$B$14,C170&gt;outliers!$B$13),"Outlier","Normal")</f>
        <v>Normal</v>
      </c>
      <c r="H170" s="8" t="str">
        <f>IF(OR(D170&lt;outliers!$B$21,D170&gt;outliers!$B$20),"Outlier","Normal")</f>
        <v>Normal</v>
      </c>
      <c r="I170" s="8" t="str">
        <f>IF(OR(E170&lt;outliers!$C$28,E170&gt;outliers!$B$27),"Outlier","Normal")</f>
        <v>Normal</v>
      </c>
      <c r="J170" s="8">
        <f t="shared" si="4"/>
        <v>2017</v>
      </c>
      <c r="K170">
        <f t="shared" si="5"/>
        <v>10</v>
      </c>
    </row>
    <row r="171" spans="1:11" x14ac:dyDescent="0.35">
      <c r="A171" s="13">
        <v>43027</v>
      </c>
      <c r="B171" s="8">
        <v>23.7</v>
      </c>
      <c r="C171" s="8">
        <v>20.100000000000001</v>
      </c>
      <c r="D171" s="8">
        <v>29.8</v>
      </c>
      <c r="E171" s="8">
        <v>0</v>
      </c>
      <c r="F171" s="8" t="str">
        <f>IF(OR(B171&lt;outliers!$B$7,B171&gt;outliers!$B$6),"Outlier","Normal")</f>
        <v>Normal</v>
      </c>
      <c r="G171" s="8" t="str">
        <f>IF(OR(C171&lt;outliers!$B$14,C171&gt;outliers!$B$13),"Outlier","Normal")</f>
        <v>Normal</v>
      </c>
      <c r="H171" s="8" t="str">
        <f>IF(OR(D171&lt;outliers!$B$21,D171&gt;outliers!$B$20),"Outlier","Normal")</f>
        <v>Normal</v>
      </c>
      <c r="I171" s="8" t="str">
        <f>IF(OR(E171&lt;outliers!$C$28,E171&gt;outliers!$B$27),"Outlier","Normal")</f>
        <v>Normal</v>
      </c>
      <c r="J171" s="8">
        <f t="shared" si="4"/>
        <v>2017</v>
      </c>
      <c r="K171">
        <f t="shared" si="5"/>
        <v>10</v>
      </c>
    </row>
    <row r="172" spans="1:11" x14ac:dyDescent="0.35">
      <c r="A172" s="13">
        <v>43035</v>
      </c>
      <c r="B172" s="8">
        <v>23.9</v>
      </c>
      <c r="C172" s="8">
        <v>20.2</v>
      </c>
      <c r="D172" s="8">
        <v>28.1</v>
      </c>
      <c r="E172" s="8">
        <v>0</v>
      </c>
      <c r="F172" s="8" t="str">
        <f>IF(OR(B172&lt;outliers!$B$7,B172&gt;outliers!$B$6),"Outlier","Normal")</f>
        <v>Normal</v>
      </c>
      <c r="G172" s="8" t="str">
        <f>IF(OR(C172&lt;outliers!$B$14,C172&gt;outliers!$B$13),"Outlier","Normal")</f>
        <v>Normal</v>
      </c>
      <c r="H172" s="8" t="str">
        <f>IF(OR(D172&lt;outliers!$B$21,D172&gt;outliers!$B$20),"Outlier","Normal")</f>
        <v>Normal</v>
      </c>
      <c r="I172" s="8" t="str">
        <f>IF(OR(E172&lt;outliers!$C$28,E172&gt;outliers!$B$27),"Outlier","Normal")</f>
        <v>Normal</v>
      </c>
      <c r="J172" s="8">
        <f t="shared" si="4"/>
        <v>2017</v>
      </c>
      <c r="K172">
        <f t="shared" si="5"/>
        <v>10</v>
      </c>
    </row>
    <row r="173" spans="1:11" x14ac:dyDescent="0.35">
      <c r="A173" s="13">
        <v>43036</v>
      </c>
      <c r="B173" s="8">
        <v>23.9</v>
      </c>
      <c r="C173" s="8">
        <v>19.8</v>
      </c>
      <c r="D173" s="8">
        <v>30</v>
      </c>
      <c r="E173" s="8">
        <v>0</v>
      </c>
      <c r="F173" s="8" t="str">
        <f>IF(OR(B173&lt;outliers!$B$7,B173&gt;outliers!$B$6),"Outlier","Normal")</f>
        <v>Normal</v>
      </c>
      <c r="G173" s="8" t="str">
        <f>IF(OR(C173&lt;outliers!$B$14,C173&gt;outliers!$B$13),"Outlier","Normal")</f>
        <v>Normal</v>
      </c>
      <c r="H173" s="8" t="str">
        <f>IF(OR(D173&lt;outliers!$B$21,D173&gt;outliers!$B$20),"Outlier","Normal")</f>
        <v>Normal</v>
      </c>
      <c r="I173" s="8" t="str">
        <f>IF(OR(E173&lt;outliers!$C$28,E173&gt;outliers!$B$27),"Outlier","Normal")</f>
        <v>Normal</v>
      </c>
      <c r="J173" s="8">
        <f t="shared" si="4"/>
        <v>2017</v>
      </c>
      <c r="K173">
        <f t="shared" si="5"/>
        <v>10</v>
      </c>
    </row>
    <row r="174" spans="1:11" x14ac:dyDescent="0.35">
      <c r="A174" s="13">
        <v>43039</v>
      </c>
      <c r="B174" s="8">
        <v>22.2</v>
      </c>
      <c r="C174" s="8">
        <v>19.399999999999999</v>
      </c>
      <c r="D174" s="8">
        <v>26.7</v>
      </c>
      <c r="E174" s="8">
        <v>0</v>
      </c>
      <c r="F174" s="8" t="str">
        <f>IF(OR(B174&lt;outliers!$B$7,B174&gt;outliers!$B$6),"Outlier","Normal")</f>
        <v>Normal</v>
      </c>
      <c r="G174" s="8" t="str">
        <f>IF(OR(C174&lt;outliers!$B$14,C174&gt;outliers!$B$13),"Outlier","Normal")</f>
        <v>Normal</v>
      </c>
      <c r="H174" s="8" t="str">
        <f>IF(OR(D174&lt;outliers!$B$21,D174&gt;outliers!$B$20),"Outlier","Normal")</f>
        <v>Normal</v>
      </c>
      <c r="I174" s="8" t="str">
        <f>IF(OR(E174&lt;outliers!$C$28,E174&gt;outliers!$B$27),"Outlier","Normal")</f>
        <v>Normal</v>
      </c>
      <c r="J174" s="8">
        <f t="shared" si="4"/>
        <v>2017</v>
      </c>
      <c r="K174">
        <f t="shared" si="5"/>
        <v>10</v>
      </c>
    </row>
    <row r="175" spans="1:11" x14ac:dyDescent="0.35">
      <c r="A175" s="13">
        <v>43040</v>
      </c>
      <c r="B175" s="8">
        <v>21.7</v>
      </c>
      <c r="C175" s="8">
        <v>19.899999999999999</v>
      </c>
      <c r="D175" s="8">
        <v>25</v>
      </c>
      <c r="E175" s="8">
        <v>0</v>
      </c>
      <c r="F175" s="8" t="str">
        <f>IF(OR(B175&lt;outliers!$B$7,B175&gt;outliers!$B$6),"Outlier","Normal")</f>
        <v>Normal</v>
      </c>
      <c r="G175" s="8" t="str">
        <f>IF(OR(C175&lt;outliers!$B$14,C175&gt;outliers!$B$13),"Outlier","Normal")</f>
        <v>Normal</v>
      </c>
      <c r="H175" s="8" t="str">
        <f>IF(OR(D175&lt;outliers!$B$21,D175&gt;outliers!$B$20),"Outlier","Normal")</f>
        <v>Normal</v>
      </c>
      <c r="I175" s="8" t="str">
        <f>IF(OR(E175&lt;outliers!$C$28,E175&gt;outliers!$B$27),"Outlier","Normal")</f>
        <v>Normal</v>
      </c>
      <c r="J175" s="8">
        <f t="shared" si="4"/>
        <v>2017</v>
      </c>
      <c r="K175">
        <f t="shared" si="5"/>
        <v>11</v>
      </c>
    </row>
    <row r="176" spans="1:11" x14ac:dyDescent="0.35">
      <c r="A176" s="13">
        <v>43041</v>
      </c>
      <c r="B176" s="8">
        <v>22.9</v>
      </c>
      <c r="C176" s="8">
        <v>18.8</v>
      </c>
      <c r="D176" s="8">
        <v>26.8</v>
      </c>
      <c r="E176" s="8">
        <v>0.3</v>
      </c>
      <c r="F176" s="8" t="str">
        <f>IF(OR(B176&lt;outliers!$B$7,B176&gt;outliers!$B$6),"Outlier","Normal")</f>
        <v>Normal</v>
      </c>
      <c r="G176" s="8" t="str">
        <f>IF(OR(C176&lt;outliers!$B$14,C176&gt;outliers!$B$13),"Outlier","Normal")</f>
        <v>Normal</v>
      </c>
      <c r="H176" s="8" t="str">
        <f>IF(OR(D176&lt;outliers!$B$21,D176&gt;outliers!$B$20),"Outlier","Normal")</f>
        <v>Normal</v>
      </c>
      <c r="I176" s="8" t="str">
        <f>IF(OR(E176&lt;outliers!$C$28,E176&gt;outliers!$B$27),"Outlier","Normal")</f>
        <v>Normal</v>
      </c>
      <c r="J176" s="8">
        <f t="shared" si="4"/>
        <v>2017</v>
      </c>
      <c r="K176">
        <f t="shared" si="5"/>
        <v>11</v>
      </c>
    </row>
    <row r="177" spans="1:11" x14ac:dyDescent="0.35">
      <c r="A177" s="13">
        <v>43042</v>
      </c>
      <c r="B177" s="8">
        <v>23.2</v>
      </c>
      <c r="C177" s="8">
        <v>19.3</v>
      </c>
      <c r="D177" s="8">
        <v>27.8</v>
      </c>
      <c r="E177" s="8">
        <v>0</v>
      </c>
      <c r="F177" s="8" t="str">
        <f>IF(OR(B177&lt;outliers!$B$7,B177&gt;outliers!$B$6),"Outlier","Normal")</f>
        <v>Normal</v>
      </c>
      <c r="G177" s="8" t="str">
        <f>IF(OR(C177&lt;outliers!$B$14,C177&gt;outliers!$B$13),"Outlier","Normal")</f>
        <v>Normal</v>
      </c>
      <c r="H177" s="8" t="str">
        <f>IF(OR(D177&lt;outliers!$B$21,D177&gt;outliers!$B$20),"Outlier","Normal")</f>
        <v>Normal</v>
      </c>
      <c r="I177" s="8" t="str">
        <f>IF(OR(E177&lt;outliers!$C$28,E177&gt;outliers!$B$27),"Outlier","Normal")</f>
        <v>Normal</v>
      </c>
      <c r="J177" s="8">
        <f t="shared" si="4"/>
        <v>2017</v>
      </c>
      <c r="K177">
        <f t="shared" si="5"/>
        <v>11</v>
      </c>
    </row>
    <row r="178" spans="1:11" x14ac:dyDescent="0.35">
      <c r="A178" s="13">
        <v>43044</v>
      </c>
      <c r="B178" s="8">
        <v>21.5</v>
      </c>
      <c r="C178" s="8">
        <v>19.3</v>
      </c>
      <c r="D178" s="8">
        <v>25.6</v>
      </c>
      <c r="E178" s="8">
        <v>2</v>
      </c>
      <c r="F178" s="8" t="str">
        <f>IF(OR(B178&lt;outliers!$B$7,B178&gt;outliers!$B$6),"Outlier","Normal")</f>
        <v>Normal</v>
      </c>
      <c r="G178" s="8" t="str">
        <f>IF(OR(C178&lt;outliers!$B$14,C178&gt;outliers!$B$13),"Outlier","Normal")</f>
        <v>Normal</v>
      </c>
      <c r="H178" s="8" t="str">
        <f>IF(OR(D178&lt;outliers!$B$21,D178&gt;outliers!$B$20),"Outlier","Normal")</f>
        <v>Normal</v>
      </c>
      <c r="I178" s="8" t="str">
        <f>IF(OR(E178&lt;outliers!$C$28,E178&gt;outliers!$B$27),"Outlier","Normal")</f>
        <v>Normal</v>
      </c>
      <c r="J178" s="8">
        <f t="shared" si="4"/>
        <v>2017</v>
      </c>
      <c r="K178">
        <f t="shared" si="5"/>
        <v>11</v>
      </c>
    </row>
    <row r="179" spans="1:11" x14ac:dyDescent="0.35">
      <c r="A179" s="13">
        <v>43045</v>
      </c>
      <c r="B179" s="8">
        <v>21.7</v>
      </c>
      <c r="C179" s="8">
        <v>19.7</v>
      </c>
      <c r="D179" s="8">
        <v>25.4</v>
      </c>
      <c r="E179" s="8">
        <v>3.3</v>
      </c>
      <c r="F179" s="8" t="str">
        <f>IF(OR(B179&lt;outliers!$B$7,B179&gt;outliers!$B$6),"Outlier","Normal")</f>
        <v>Normal</v>
      </c>
      <c r="G179" s="8" t="str">
        <f>IF(OR(C179&lt;outliers!$B$14,C179&gt;outliers!$B$13),"Outlier","Normal")</f>
        <v>Normal</v>
      </c>
      <c r="H179" s="8" t="str">
        <f>IF(OR(D179&lt;outliers!$B$21,D179&gt;outliers!$B$20),"Outlier","Normal")</f>
        <v>Normal</v>
      </c>
      <c r="I179" s="8" t="str">
        <f>IF(OR(E179&lt;outliers!$C$28,E179&gt;outliers!$B$27),"Outlier","Normal")</f>
        <v>Normal</v>
      </c>
      <c r="J179" s="8">
        <f t="shared" si="4"/>
        <v>2017</v>
      </c>
      <c r="K179">
        <f t="shared" si="5"/>
        <v>11</v>
      </c>
    </row>
    <row r="180" spans="1:11" x14ac:dyDescent="0.35">
      <c r="A180" s="13">
        <v>43046</v>
      </c>
      <c r="B180" s="8">
        <v>21.5</v>
      </c>
      <c r="C180" s="8">
        <v>18.899999999999999</v>
      </c>
      <c r="D180" s="8">
        <v>25.6</v>
      </c>
      <c r="E180" s="8">
        <v>1.5</v>
      </c>
      <c r="F180" s="8" t="str">
        <f>IF(OR(B180&lt;outliers!$B$7,B180&gt;outliers!$B$6),"Outlier","Normal")</f>
        <v>Normal</v>
      </c>
      <c r="G180" s="8" t="str">
        <f>IF(OR(C180&lt;outliers!$B$14,C180&gt;outliers!$B$13),"Outlier","Normal")</f>
        <v>Normal</v>
      </c>
      <c r="H180" s="8" t="str">
        <f>IF(OR(D180&lt;outliers!$B$21,D180&gt;outliers!$B$20),"Outlier","Normal")</f>
        <v>Normal</v>
      </c>
      <c r="I180" s="8" t="str">
        <f>IF(OR(E180&lt;outliers!$C$28,E180&gt;outliers!$B$27),"Outlier","Normal")</f>
        <v>Normal</v>
      </c>
      <c r="J180" s="8">
        <f t="shared" si="4"/>
        <v>2017</v>
      </c>
      <c r="K180">
        <f t="shared" si="5"/>
        <v>11</v>
      </c>
    </row>
    <row r="181" spans="1:11" hidden="1" x14ac:dyDescent="0.35">
      <c r="A181" s="13">
        <v>43047</v>
      </c>
      <c r="B181" s="8">
        <v>22</v>
      </c>
      <c r="C181" s="8">
        <v>18.3</v>
      </c>
      <c r="D181" s="8">
        <v>26</v>
      </c>
      <c r="E181" s="8">
        <v>13.5</v>
      </c>
      <c r="F181" s="8" t="str">
        <f>IF(OR(B181&lt;outliers!$B$7,B181&gt;outliers!$B$6),"Outlier","Normal")</f>
        <v>Normal</v>
      </c>
      <c r="G181" s="8" t="str">
        <f>IF(OR(C181&lt;outliers!$B$14,C181&gt;outliers!$B$13),"Outlier","Normal")</f>
        <v>Normal</v>
      </c>
      <c r="H181" s="8" t="str">
        <f>IF(OR(D181&lt;outliers!$B$21,D181&gt;outliers!$B$20),"Outlier","Normal")</f>
        <v>Normal</v>
      </c>
      <c r="I181" s="8" t="str">
        <f>IF(OR(E181&lt;outliers!$C$28,E181&gt;outliers!$B$27),"Outlier","Normal")</f>
        <v>Outlier</v>
      </c>
      <c r="J181" s="8">
        <f t="shared" si="4"/>
        <v>2017</v>
      </c>
      <c r="K181">
        <f t="shared" si="5"/>
        <v>11</v>
      </c>
    </row>
    <row r="182" spans="1:11" x14ac:dyDescent="0.35">
      <c r="A182" s="13">
        <v>43048</v>
      </c>
      <c r="B182" s="8">
        <v>22.5</v>
      </c>
      <c r="C182" s="8">
        <v>18.600000000000001</v>
      </c>
      <c r="D182" s="8">
        <v>27</v>
      </c>
      <c r="E182" s="8">
        <v>0</v>
      </c>
      <c r="F182" s="8" t="str">
        <f>IF(OR(B182&lt;outliers!$B$7,B182&gt;outliers!$B$6),"Outlier","Normal")</f>
        <v>Normal</v>
      </c>
      <c r="G182" s="8" t="str">
        <f>IF(OR(C182&lt;outliers!$B$14,C182&gt;outliers!$B$13),"Outlier","Normal")</f>
        <v>Normal</v>
      </c>
      <c r="H182" s="8" t="str">
        <f>IF(OR(D182&lt;outliers!$B$21,D182&gt;outliers!$B$20),"Outlier","Normal")</f>
        <v>Normal</v>
      </c>
      <c r="I182" s="8" t="str">
        <f>IF(OR(E182&lt;outliers!$C$28,E182&gt;outliers!$B$27),"Outlier","Normal")</f>
        <v>Normal</v>
      </c>
      <c r="J182" s="8">
        <f t="shared" si="4"/>
        <v>2017</v>
      </c>
      <c r="K182">
        <f t="shared" si="5"/>
        <v>11</v>
      </c>
    </row>
    <row r="183" spans="1:11" x14ac:dyDescent="0.35">
      <c r="A183" s="13">
        <v>43056</v>
      </c>
      <c r="B183" s="8">
        <v>23.8</v>
      </c>
      <c r="C183" s="8">
        <v>21.3</v>
      </c>
      <c r="D183" s="8">
        <v>29.2</v>
      </c>
      <c r="E183" s="8">
        <v>0</v>
      </c>
      <c r="F183" s="8" t="str">
        <f>IF(OR(B183&lt;outliers!$B$7,B183&gt;outliers!$B$6),"Outlier","Normal")</f>
        <v>Normal</v>
      </c>
      <c r="G183" s="8" t="str">
        <f>IF(OR(C183&lt;outliers!$B$14,C183&gt;outliers!$B$13),"Outlier","Normal")</f>
        <v>Normal</v>
      </c>
      <c r="H183" s="8" t="str">
        <f>IF(OR(D183&lt;outliers!$B$21,D183&gt;outliers!$B$20),"Outlier","Normal")</f>
        <v>Normal</v>
      </c>
      <c r="I183" s="8" t="str">
        <f>IF(OR(E183&lt;outliers!$C$28,E183&gt;outliers!$B$27),"Outlier","Normal")</f>
        <v>Normal</v>
      </c>
      <c r="J183" s="8">
        <f t="shared" si="4"/>
        <v>2017</v>
      </c>
      <c r="K183">
        <f t="shared" si="5"/>
        <v>11</v>
      </c>
    </row>
    <row r="184" spans="1:11" x14ac:dyDescent="0.35">
      <c r="A184" s="13">
        <v>43069</v>
      </c>
      <c r="B184" s="8">
        <v>21.3</v>
      </c>
      <c r="C184" s="8">
        <v>19.3</v>
      </c>
      <c r="D184" s="8">
        <v>27.6</v>
      </c>
      <c r="E184" s="8">
        <v>0</v>
      </c>
      <c r="F184" s="8" t="str">
        <f>IF(OR(B184&lt;outliers!$B$7,B184&gt;outliers!$B$6),"Outlier","Normal")</f>
        <v>Normal</v>
      </c>
      <c r="G184" s="8" t="str">
        <f>IF(OR(C184&lt;outliers!$B$14,C184&gt;outliers!$B$13),"Outlier","Normal")</f>
        <v>Normal</v>
      </c>
      <c r="H184" s="8" t="str">
        <f>IF(OR(D184&lt;outliers!$B$21,D184&gt;outliers!$B$20),"Outlier","Normal")</f>
        <v>Normal</v>
      </c>
      <c r="I184" s="8" t="str">
        <f>IF(OR(E184&lt;outliers!$C$28,E184&gt;outliers!$B$27),"Outlier","Normal")</f>
        <v>Normal</v>
      </c>
      <c r="J184" s="8">
        <f t="shared" si="4"/>
        <v>2017</v>
      </c>
      <c r="K184">
        <f t="shared" si="5"/>
        <v>11</v>
      </c>
    </row>
    <row r="185" spans="1:11" hidden="1" x14ac:dyDescent="0.35">
      <c r="A185" s="13">
        <v>43070</v>
      </c>
      <c r="B185" s="8">
        <v>19.8</v>
      </c>
      <c r="C185" s="8">
        <v>18.399999999999999</v>
      </c>
      <c r="D185" s="8">
        <v>24.7</v>
      </c>
      <c r="E185" s="8">
        <v>10.7</v>
      </c>
      <c r="F185" s="8" t="str">
        <f>IF(OR(B185&lt;outliers!$B$7,B185&gt;outliers!$B$6),"Outlier","Normal")</f>
        <v>Normal</v>
      </c>
      <c r="G185" s="8" t="str">
        <f>IF(OR(C185&lt;outliers!$B$14,C185&gt;outliers!$B$13),"Outlier","Normal")</f>
        <v>Normal</v>
      </c>
      <c r="H185" s="8" t="str">
        <f>IF(OR(D185&lt;outliers!$B$21,D185&gt;outliers!$B$20),"Outlier","Normal")</f>
        <v>Normal</v>
      </c>
      <c r="I185" s="8" t="str">
        <f>IF(OR(E185&lt;outliers!$C$28,E185&gt;outliers!$B$27),"Outlier","Normal")</f>
        <v>Outlier</v>
      </c>
      <c r="J185" s="8">
        <f t="shared" si="4"/>
        <v>2017</v>
      </c>
      <c r="K185">
        <f t="shared" si="5"/>
        <v>12</v>
      </c>
    </row>
    <row r="186" spans="1:11" hidden="1" x14ac:dyDescent="0.35">
      <c r="A186" s="13">
        <v>43071</v>
      </c>
      <c r="B186" s="8">
        <v>19.8</v>
      </c>
      <c r="C186" s="8">
        <v>18.2</v>
      </c>
      <c r="D186" s="8">
        <v>22.2</v>
      </c>
      <c r="E186" s="8">
        <v>8.9</v>
      </c>
      <c r="F186" s="8" t="str">
        <f>IF(OR(B186&lt;outliers!$B$7,B186&gt;outliers!$B$6),"Outlier","Normal")</f>
        <v>Normal</v>
      </c>
      <c r="G186" s="8" t="str">
        <f>IF(OR(C186&lt;outliers!$B$14,C186&gt;outliers!$B$13),"Outlier","Normal")</f>
        <v>Normal</v>
      </c>
      <c r="H186" s="8" t="str">
        <f>IF(OR(D186&lt;outliers!$B$21,D186&gt;outliers!$B$20),"Outlier","Normal")</f>
        <v>Outlier</v>
      </c>
      <c r="I186" s="8" t="str">
        <f>IF(OR(E186&lt;outliers!$C$28,E186&gt;outliers!$B$27),"Outlier","Normal")</f>
        <v>Normal</v>
      </c>
      <c r="J186" s="8">
        <f t="shared" si="4"/>
        <v>2017</v>
      </c>
      <c r="K186">
        <f t="shared" si="5"/>
        <v>12</v>
      </c>
    </row>
    <row r="187" spans="1:11" x14ac:dyDescent="0.35">
      <c r="A187" s="13">
        <v>43072</v>
      </c>
      <c r="B187" s="8">
        <v>20.8</v>
      </c>
      <c r="C187" s="8">
        <v>18.3</v>
      </c>
      <c r="D187" s="8">
        <v>24.2</v>
      </c>
      <c r="E187" s="8">
        <v>0</v>
      </c>
      <c r="F187" s="8" t="str">
        <f>IF(OR(B187&lt;outliers!$B$7,B187&gt;outliers!$B$6),"Outlier","Normal")</f>
        <v>Normal</v>
      </c>
      <c r="G187" s="8" t="str">
        <f>IF(OR(C187&lt;outliers!$B$14,C187&gt;outliers!$B$13),"Outlier","Normal")</f>
        <v>Normal</v>
      </c>
      <c r="H187" s="8" t="str">
        <f>IF(OR(D187&lt;outliers!$B$21,D187&gt;outliers!$B$20),"Outlier","Normal")</f>
        <v>Normal</v>
      </c>
      <c r="I187" s="8" t="str">
        <f>IF(OR(E187&lt;outliers!$C$28,E187&gt;outliers!$B$27),"Outlier","Normal")</f>
        <v>Normal</v>
      </c>
      <c r="J187" s="8">
        <f t="shared" si="4"/>
        <v>2017</v>
      </c>
      <c r="K187">
        <f t="shared" si="5"/>
        <v>12</v>
      </c>
    </row>
    <row r="188" spans="1:11" x14ac:dyDescent="0.35">
      <c r="A188" s="13">
        <v>43082</v>
      </c>
      <c r="B188" s="8">
        <v>22.7</v>
      </c>
      <c r="C188" s="8">
        <v>18.100000000000001</v>
      </c>
      <c r="D188" s="8">
        <v>28.1</v>
      </c>
      <c r="E188" s="8">
        <v>0</v>
      </c>
      <c r="F188" s="8" t="str">
        <f>IF(OR(B188&lt;outliers!$B$7,B188&gt;outliers!$B$6),"Outlier","Normal")</f>
        <v>Normal</v>
      </c>
      <c r="G188" s="8" t="str">
        <f>IF(OR(C188&lt;outliers!$B$14,C188&gt;outliers!$B$13),"Outlier","Normal")</f>
        <v>Normal</v>
      </c>
      <c r="H188" s="8" t="str">
        <f>IF(OR(D188&lt;outliers!$B$21,D188&gt;outliers!$B$20),"Outlier","Normal")</f>
        <v>Normal</v>
      </c>
      <c r="I188" s="8" t="str">
        <f>IF(OR(E188&lt;outliers!$C$28,E188&gt;outliers!$B$27),"Outlier","Normal")</f>
        <v>Normal</v>
      </c>
      <c r="J188" s="8">
        <f t="shared" si="4"/>
        <v>2017</v>
      </c>
      <c r="K188">
        <f t="shared" si="5"/>
        <v>12</v>
      </c>
    </row>
    <row r="189" spans="1:11" x14ac:dyDescent="0.35">
      <c r="A189" s="13">
        <v>43139</v>
      </c>
      <c r="B189" s="8">
        <v>23.3</v>
      </c>
      <c r="C189" s="8">
        <v>19.2</v>
      </c>
      <c r="D189" s="8">
        <v>30</v>
      </c>
      <c r="E189" s="8">
        <v>1.5</v>
      </c>
      <c r="F189" s="8" t="str">
        <f>IF(OR(B189&lt;outliers!$B$7,B189&gt;outliers!$B$6),"Outlier","Normal")</f>
        <v>Normal</v>
      </c>
      <c r="G189" s="8" t="str">
        <f>IF(OR(C189&lt;outliers!$B$14,C189&gt;outliers!$B$13),"Outlier","Normal")</f>
        <v>Normal</v>
      </c>
      <c r="H189" s="8" t="str">
        <f>IF(OR(D189&lt;outliers!$B$21,D189&gt;outliers!$B$20),"Outlier","Normal")</f>
        <v>Normal</v>
      </c>
      <c r="I189" s="8" t="str">
        <f>IF(OR(E189&lt;outliers!$C$28,E189&gt;outliers!$B$27),"Outlier","Normal")</f>
        <v>Normal</v>
      </c>
      <c r="J189" s="8">
        <f t="shared" si="4"/>
        <v>2018</v>
      </c>
      <c r="K189">
        <f t="shared" si="5"/>
        <v>2</v>
      </c>
    </row>
    <row r="190" spans="1:11" x14ac:dyDescent="0.35">
      <c r="A190" s="13">
        <v>43140</v>
      </c>
      <c r="B190" s="8">
        <v>24.4</v>
      </c>
      <c r="C190" s="8">
        <v>19.7</v>
      </c>
      <c r="D190" s="8">
        <v>30.6</v>
      </c>
      <c r="E190" s="8">
        <v>0</v>
      </c>
      <c r="F190" s="8" t="str">
        <f>IF(OR(B190&lt;outliers!$B$7,B190&gt;outliers!$B$6),"Outlier","Normal")</f>
        <v>Normal</v>
      </c>
      <c r="G190" s="8" t="str">
        <f>IF(OR(C190&lt;outliers!$B$14,C190&gt;outliers!$B$13),"Outlier","Normal")</f>
        <v>Normal</v>
      </c>
      <c r="H190" s="8" t="str">
        <f>IF(OR(D190&lt;outliers!$B$21,D190&gt;outliers!$B$20),"Outlier","Normal")</f>
        <v>Normal</v>
      </c>
      <c r="I190" s="8" t="str">
        <f>IF(OR(E190&lt;outliers!$C$28,E190&gt;outliers!$B$27),"Outlier","Normal")</f>
        <v>Normal</v>
      </c>
      <c r="J190" s="8">
        <f t="shared" si="4"/>
        <v>2018</v>
      </c>
      <c r="K190">
        <f t="shared" si="5"/>
        <v>2</v>
      </c>
    </row>
    <row r="191" spans="1:11" x14ac:dyDescent="0.35">
      <c r="A191" s="13">
        <v>43141</v>
      </c>
      <c r="B191" s="8">
        <v>24.2</v>
      </c>
      <c r="C191" s="8">
        <v>19.7</v>
      </c>
      <c r="D191" s="8">
        <v>31.6</v>
      </c>
      <c r="E191" s="8">
        <v>1.5</v>
      </c>
      <c r="F191" s="8" t="str">
        <f>IF(OR(B191&lt;outliers!$B$7,B191&gt;outliers!$B$6),"Outlier","Normal")</f>
        <v>Normal</v>
      </c>
      <c r="G191" s="8" t="str">
        <f>IF(OR(C191&lt;outliers!$B$14,C191&gt;outliers!$B$13),"Outlier","Normal")</f>
        <v>Normal</v>
      </c>
      <c r="H191" s="8" t="str">
        <f>IF(OR(D191&lt;outliers!$B$21,D191&gt;outliers!$B$20),"Outlier","Normal")</f>
        <v>Normal</v>
      </c>
      <c r="I191" s="8" t="str">
        <f>IF(OR(E191&lt;outliers!$C$28,E191&gt;outliers!$B$27),"Outlier","Normal")</f>
        <v>Normal</v>
      </c>
      <c r="J191" s="8">
        <f t="shared" si="4"/>
        <v>2018</v>
      </c>
      <c r="K191">
        <f t="shared" si="5"/>
        <v>2</v>
      </c>
    </row>
    <row r="192" spans="1:11" x14ac:dyDescent="0.35">
      <c r="A192" s="13">
        <v>43142</v>
      </c>
      <c r="B192" s="8">
        <v>24</v>
      </c>
      <c r="C192" s="8">
        <v>17.7</v>
      </c>
      <c r="D192" s="8">
        <v>30.7</v>
      </c>
      <c r="E192" s="8">
        <v>0</v>
      </c>
      <c r="F192" s="8" t="str">
        <f>IF(OR(B192&lt;outliers!$B$7,B192&gt;outliers!$B$6),"Outlier","Normal")</f>
        <v>Normal</v>
      </c>
      <c r="G192" s="8" t="str">
        <f>IF(OR(C192&lt;outliers!$B$14,C192&gt;outliers!$B$13),"Outlier","Normal")</f>
        <v>Normal</v>
      </c>
      <c r="H192" s="8" t="str">
        <f>IF(OR(D192&lt;outliers!$B$21,D192&gt;outliers!$B$20),"Outlier","Normal")</f>
        <v>Normal</v>
      </c>
      <c r="I192" s="8" t="str">
        <f>IF(OR(E192&lt;outliers!$C$28,E192&gt;outliers!$B$27),"Outlier","Normal")</f>
        <v>Normal</v>
      </c>
      <c r="J192" s="8">
        <f t="shared" si="4"/>
        <v>2018</v>
      </c>
      <c r="K192">
        <f t="shared" si="5"/>
        <v>2</v>
      </c>
    </row>
    <row r="193" spans="1:11" x14ac:dyDescent="0.35">
      <c r="A193" s="13">
        <v>43173</v>
      </c>
      <c r="B193" s="8">
        <v>26.5</v>
      </c>
      <c r="C193" s="8">
        <v>22.4</v>
      </c>
      <c r="D193" s="8">
        <v>31.6</v>
      </c>
      <c r="E193" s="8">
        <v>0</v>
      </c>
      <c r="F193" s="8" t="str">
        <f>IF(OR(B193&lt;outliers!$B$7,B193&gt;outliers!$B$6),"Outlier","Normal")</f>
        <v>Normal</v>
      </c>
      <c r="G193" s="8" t="str">
        <f>IF(OR(C193&lt;outliers!$B$14,C193&gt;outliers!$B$13),"Outlier","Normal")</f>
        <v>Normal</v>
      </c>
      <c r="H193" s="8" t="str">
        <f>IF(OR(D193&lt;outliers!$B$21,D193&gt;outliers!$B$20),"Outlier","Normal")</f>
        <v>Normal</v>
      </c>
      <c r="I193" s="8" t="str">
        <f>IF(OR(E193&lt;outliers!$C$28,E193&gt;outliers!$B$27),"Outlier","Normal")</f>
        <v>Normal</v>
      </c>
      <c r="J193" s="8">
        <f t="shared" si="4"/>
        <v>2018</v>
      </c>
      <c r="K193">
        <f t="shared" si="5"/>
        <v>3</v>
      </c>
    </row>
    <row r="194" spans="1:11" x14ac:dyDescent="0.35">
      <c r="A194" s="13">
        <v>43174</v>
      </c>
      <c r="B194" s="8">
        <v>25.8</v>
      </c>
      <c r="C194" s="8">
        <v>21.9</v>
      </c>
      <c r="D194" s="8">
        <v>32.1</v>
      </c>
      <c r="E194" s="8">
        <v>0</v>
      </c>
      <c r="F194" s="8" t="str">
        <f>IF(OR(B194&lt;outliers!$B$7,B194&gt;outliers!$B$6),"Outlier","Normal")</f>
        <v>Normal</v>
      </c>
      <c r="G194" s="8" t="str">
        <f>IF(OR(C194&lt;outliers!$B$14,C194&gt;outliers!$B$13),"Outlier","Normal")</f>
        <v>Normal</v>
      </c>
      <c r="H194" s="8" t="str">
        <f>IF(OR(D194&lt;outliers!$B$21,D194&gt;outliers!$B$20),"Outlier","Normal")</f>
        <v>Normal</v>
      </c>
      <c r="I194" s="8" t="str">
        <f>IF(OR(E194&lt;outliers!$C$28,E194&gt;outliers!$B$27),"Outlier","Normal")</f>
        <v>Normal</v>
      </c>
      <c r="J194" s="8">
        <f t="shared" si="4"/>
        <v>2018</v>
      </c>
      <c r="K194">
        <f t="shared" si="5"/>
        <v>3</v>
      </c>
    </row>
    <row r="195" spans="1:11" hidden="1" x14ac:dyDescent="0.35">
      <c r="A195" s="13">
        <v>43175</v>
      </c>
      <c r="B195" s="8">
        <v>24.1</v>
      </c>
      <c r="C195" s="8">
        <v>19.8</v>
      </c>
      <c r="D195" s="8">
        <v>32.5</v>
      </c>
      <c r="E195" s="8">
        <v>31</v>
      </c>
      <c r="F195" s="8" t="str">
        <f>IF(OR(B195&lt;outliers!$B$7,B195&gt;outliers!$B$6),"Outlier","Normal")</f>
        <v>Normal</v>
      </c>
      <c r="G195" s="8" t="str">
        <f>IF(OR(C195&lt;outliers!$B$14,C195&gt;outliers!$B$13),"Outlier","Normal")</f>
        <v>Normal</v>
      </c>
      <c r="H195" s="8" t="str">
        <f>IF(OR(D195&lt;outliers!$B$21,D195&gt;outliers!$B$20),"Outlier","Normal")</f>
        <v>Normal</v>
      </c>
      <c r="I195" s="8" t="str">
        <f>IF(OR(E195&lt;outliers!$C$28,E195&gt;outliers!$B$27),"Outlier","Normal")</f>
        <v>Outlier</v>
      </c>
      <c r="J195" s="8">
        <f t="shared" si="4"/>
        <v>2018</v>
      </c>
      <c r="K195">
        <f t="shared" si="5"/>
        <v>3</v>
      </c>
    </row>
    <row r="196" spans="1:11" x14ac:dyDescent="0.35">
      <c r="A196" s="13">
        <v>43176</v>
      </c>
      <c r="B196" s="8">
        <v>23.7</v>
      </c>
      <c r="C196" s="8">
        <v>18.899999999999999</v>
      </c>
      <c r="D196" s="8">
        <v>32</v>
      </c>
      <c r="E196" s="8">
        <v>0</v>
      </c>
      <c r="F196" s="8" t="str">
        <f>IF(OR(B196&lt;outliers!$B$7,B196&gt;outliers!$B$6),"Outlier","Normal")</f>
        <v>Normal</v>
      </c>
      <c r="G196" s="8" t="str">
        <f>IF(OR(C196&lt;outliers!$B$14,C196&gt;outliers!$B$13),"Outlier","Normal")</f>
        <v>Normal</v>
      </c>
      <c r="H196" s="8" t="str">
        <f>IF(OR(D196&lt;outliers!$B$21,D196&gt;outliers!$B$20),"Outlier","Normal")</f>
        <v>Normal</v>
      </c>
      <c r="I196" s="8" t="str">
        <f>IF(OR(E196&lt;outliers!$C$28,E196&gt;outliers!$B$27),"Outlier","Normal")</f>
        <v>Normal</v>
      </c>
      <c r="J196" s="8">
        <f t="shared" ref="J196:J259" si="6">YEAR(A196)</f>
        <v>2018</v>
      </c>
      <c r="K196">
        <f t="shared" ref="K196:K259" si="7">MONTH(A196)</f>
        <v>3</v>
      </c>
    </row>
    <row r="197" spans="1:11" x14ac:dyDescent="0.35">
      <c r="A197" s="13">
        <v>43177</v>
      </c>
      <c r="B197" s="8">
        <v>24.7</v>
      </c>
      <c r="C197" s="8">
        <v>20.3</v>
      </c>
      <c r="D197" s="8">
        <v>29.1</v>
      </c>
      <c r="E197" s="8">
        <v>0</v>
      </c>
      <c r="F197" s="8" t="str">
        <f>IF(OR(B197&lt;outliers!$B$7,B197&gt;outliers!$B$6),"Outlier","Normal")</f>
        <v>Normal</v>
      </c>
      <c r="G197" s="8" t="str">
        <f>IF(OR(C197&lt;outliers!$B$14,C197&gt;outliers!$B$13),"Outlier","Normal")</f>
        <v>Normal</v>
      </c>
      <c r="H197" s="8" t="str">
        <f>IF(OR(D197&lt;outliers!$B$21,D197&gt;outliers!$B$20),"Outlier","Normal")</f>
        <v>Normal</v>
      </c>
      <c r="I197" s="8" t="str">
        <f>IF(OR(E197&lt;outliers!$C$28,E197&gt;outliers!$B$27),"Outlier","Normal")</f>
        <v>Normal</v>
      </c>
      <c r="J197" s="8">
        <f t="shared" si="6"/>
        <v>2018</v>
      </c>
      <c r="K197">
        <f t="shared" si="7"/>
        <v>3</v>
      </c>
    </row>
    <row r="198" spans="1:11" x14ac:dyDescent="0.35">
      <c r="A198" s="13">
        <v>43189</v>
      </c>
      <c r="B198" s="8">
        <v>25.7</v>
      </c>
      <c r="C198" s="8">
        <v>21.4</v>
      </c>
      <c r="D198" s="8">
        <v>34</v>
      </c>
      <c r="E198" s="8">
        <v>0</v>
      </c>
      <c r="F198" s="8" t="str">
        <f>IF(OR(B198&lt;outliers!$B$7,B198&gt;outliers!$B$6),"Outlier","Normal")</f>
        <v>Normal</v>
      </c>
      <c r="G198" s="8" t="str">
        <f>IF(OR(C198&lt;outliers!$B$14,C198&gt;outliers!$B$13),"Outlier","Normal")</f>
        <v>Normal</v>
      </c>
      <c r="H198" s="8" t="str">
        <f>IF(OR(D198&lt;outliers!$B$21,D198&gt;outliers!$B$20),"Outlier","Normal")</f>
        <v>Normal</v>
      </c>
      <c r="I198" s="8" t="str">
        <f>IF(OR(E198&lt;outliers!$C$28,E198&gt;outliers!$B$27),"Outlier","Normal")</f>
        <v>Normal</v>
      </c>
      <c r="J198" s="8">
        <f t="shared" si="6"/>
        <v>2018</v>
      </c>
      <c r="K198">
        <f t="shared" si="7"/>
        <v>3</v>
      </c>
    </row>
    <row r="199" spans="1:11" x14ac:dyDescent="0.35">
      <c r="A199" s="13">
        <v>43190</v>
      </c>
      <c r="B199" s="8">
        <v>25.9</v>
      </c>
      <c r="C199" s="8">
        <v>21.1</v>
      </c>
      <c r="D199" s="8">
        <v>34.799999999999997</v>
      </c>
      <c r="E199" s="8">
        <v>3.3</v>
      </c>
      <c r="F199" s="8" t="str">
        <f>IF(OR(B199&lt;outliers!$B$7,B199&gt;outliers!$B$6),"Outlier","Normal")</f>
        <v>Normal</v>
      </c>
      <c r="G199" s="8" t="str">
        <f>IF(OR(C199&lt;outliers!$B$14,C199&gt;outliers!$B$13),"Outlier","Normal")</f>
        <v>Normal</v>
      </c>
      <c r="H199" s="8" t="str">
        <f>IF(OR(D199&lt;outliers!$B$21,D199&gt;outliers!$B$20),"Outlier","Normal")</f>
        <v>Normal</v>
      </c>
      <c r="I199" s="8" t="str">
        <f>IF(OR(E199&lt;outliers!$C$28,E199&gt;outliers!$B$27),"Outlier","Normal")</f>
        <v>Normal</v>
      </c>
      <c r="J199" s="8">
        <f t="shared" si="6"/>
        <v>2018</v>
      </c>
      <c r="K199">
        <f t="shared" si="7"/>
        <v>3</v>
      </c>
    </row>
    <row r="200" spans="1:11" x14ac:dyDescent="0.35">
      <c r="A200" s="13">
        <v>43191</v>
      </c>
      <c r="B200" s="8">
        <v>27.6</v>
      </c>
      <c r="C200" s="8">
        <v>21.2</v>
      </c>
      <c r="D200" s="8">
        <v>33.200000000000003</v>
      </c>
      <c r="E200" s="8">
        <v>0</v>
      </c>
      <c r="F200" s="8" t="str">
        <f>IF(OR(B200&lt;outliers!$B$7,B200&gt;outliers!$B$6),"Outlier","Normal")</f>
        <v>Normal</v>
      </c>
      <c r="G200" s="8" t="str">
        <f>IF(OR(C200&lt;outliers!$B$14,C200&gt;outliers!$B$13),"Outlier","Normal")</f>
        <v>Normal</v>
      </c>
      <c r="H200" s="8" t="str">
        <f>IF(OR(D200&lt;outliers!$B$21,D200&gt;outliers!$B$20),"Outlier","Normal")</f>
        <v>Normal</v>
      </c>
      <c r="I200" s="8" t="str">
        <f>IF(OR(E200&lt;outliers!$C$28,E200&gt;outliers!$B$27),"Outlier","Normal")</f>
        <v>Normal</v>
      </c>
      <c r="J200" s="8">
        <f t="shared" si="6"/>
        <v>2018</v>
      </c>
      <c r="K200">
        <f t="shared" si="7"/>
        <v>4</v>
      </c>
    </row>
    <row r="201" spans="1:11" hidden="1" x14ac:dyDescent="0.35">
      <c r="A201" s="13">
        <v>43193</v>
      </c>
      <c r="B201" s="8">
        <v>26.1</v>
      </c>
      <c r="C201" s="8">
        <v>19.8</v>
      </c>
      <c r="D201" s="8">
        <v>33.1</v>
      </c>
      <c r="E201" s="8">
        <v>13.7</v>
      </c>
      <c r="F201" s="8" t="str">
        <f>IF(OR(B201&lt;outliers!$B$7,B201&gt;outliers!$B$6),"Outlier","Normal")</f>
        <v>Normal</v>
      </c>
      <c r="G201" s="8" t="str">
        <f>IF(OR(C201&lt;outliers!$B$14,C201&gt;outliers!$B$13),"Outlier","Normal")</f>
        <v>Normal</v>
      </c>
      <c r="H201" s="8" t="str">
        <f>IF(OR(D201&lt;outliers!$B$21,D201&gt;outliers!$B$20),"Outlier","Normal")</f>
        <v>Normal</v>
      </c>
      <c r="I201" s="8" t="str">
        <f>IF(OR(E201&lt;outliers!$C$28,E201&gt;outliers!$B$27),"Outlier","Normal")</f>
        <v>Outlier</v>
      </c>
      <c r="J201" s="8">
        <f t="shared" si="6"/>
        <v>2018</v>
      </c>
      <c r="K201">
        <f t="shared" si="7"/>
        <v>4</v>
      </c>
    </row>
    <row r="202" spans="1:11" x14ac:dyDescent="0.35">
      <c r="A202" s="13">
        <v>43194</v>
      </c>
      <c r="B202" s="8">
        <v>26.2</v>
      </c>
      <c r="C202" s="8">
        <v>21.4</v>
      </c>
      <c r="D202" s="8">
        <v>31.5</v>
      </c>
      <c r="E202" s="8">
        <v>0</v>
      </c>
      <c r="F202" s="8" t="str">
        <f>IF(OR(B202&lt;outliers!$B$7,B202&gt;outliers!$B$6),"Outlier","Normal")</f>
        <v>Normal</v>
      </c>
      <c r="G202" s="8" t="str">
        <f>IF(OR(C202&lt;outliers!$B$14,C202&gt;outliers!$B$13),"Outlier","Normal")</f>
        <v>Normal</v>
      </c>
      <c r="H202" s="8" t="str">
        <f>IF(OR(D202&lt;outliers!$B$21,D202&gt;outliers!$B$20),"Outlier","Normal")</f>
        <v>Normal</v>
      </c>
      <c r="I202" s="8" t="str">
        <f>IF(OR(E202&lt;outliers!$C$28,E202&gt;outliers!$B$27),"Outlier","Normal")</f>
        <v>Normal</v>
      </c>
      <c r="J202" s="8">
        <f t="shared" si="6"/>
        <v>2018</v>
      </c>
      <c r="K202">
        <f t="shared" si="7"/>
        <v>4</v>
      </c>
    </row>
    <row r="203" spans="1:11" hidden="1" x14ac:dyDescent="0.35">
      <c r="A203" s="13">
        <v>43207</v>
      </c>
      <c r="B203" s="8">
        <v>28.2</v>
      </c>
      <c r="C203" s="8">
        <v>22.3</v>
      </c>
      <c r="D203" s="8">
        <v>34.6</v>
      </c>
      <c r="E203" s="8">
        <v>11.7</v>
      </c>
      <c r="F203" s="8" t="str">
        <f>IF(OR(B203&lt;outliers!$B$7,B203&gt;outliers!$B$6),"Outlier","Normal")</f>
        <v>Normal</v>
      </c>
      <c r="G203" s="8" t="str">
        <f>IF(OR(C203&lt;outliers!$B$14,C203&gt;outliers!$B$13),"Outlier","Normal")</f>
        <v>Normal</v>
      </c>
      <c r="H203" s="8" t="str">
        <f>IF(OR(D203&lt;outliers!$B$21,D203&gt;outliers!$B$20),"Outlier","Normal")</f>
        <v>Normal</v>
      </c>
      <c r="I203" s="8" t="str">
        <f>IF(OR(E203&lt;outliers!$C$28,E203&gt;outliers!$B$27),"Outlier","Normal")</f>
        <v>Outlier</v>
      </c>
      <c r="J203" s="8">
        <f t="shared" si="6"/>
        <v>2018</v>
      </c>
      <c r="K203">
        <f t="shared" si="7"/>
        <v>4</v>
      </c>
    </row>
    <row r="204" spans="1:11" hidden="1" x14ac:dyDescent="0.35">
      <c r="A204" s="13">
        <v>43211</v>
      </c>
      <c r="B204" s="8">
        <v>28.2</v>
      </c>
      <c r="C204" s="8">
        <v>22.2</v>
      </c>
      <c r="D204" s="8">
        <v>34.799999999999997</v>
      </c>
      <c r="E204" s="8">
        <v>19.100000000000001</v>
      </c>
      <c r="F204" s="8" t="str">
        <f>IF(OR(B204&lt;outliers!$B$7,B204&gt;outliers!$B$6),"Outlier","Normal")</f>
        <v>Normal</v>
      </c>
      <c r="G204" s="8" t="str">
        <f>IF(OR(C204&lt;outliers!$B$14,C204&gt;outliers!$B$13),"Outlier","Normal")</f>
        <v>Normal</v>
      </c>
      <c r="H204" s="8" t="str">
        <f>IF(OR(D204&lt;outliers!$B$21,D204&gt;outliers!$B$20),"Outlier","Normal")</f>
        <v>Normal</v>
      </c>
      <c r="I204" s="8" t="str">
        <f>IF(OR(E204&lt;outliers!$C$28,E204&gt;outliers!$B$27),"Outlier","Normal")</f>
        <v>Outlier</v>
      </c>
      <c r="J204" s="8">
        <f t="shared" si="6"/>
        <v>2018</v>
      </c>
      <c r="K204">
        <f t="shared" si="7"/>
        <v>4</v>
      </c>
    </row>
    <row r="205" spans="1:11" hidden="1" x14ac:dyDescent="0.35">
      <c r="A205" s="13">
        <v>43212</v>
      </c>
      <c r="B205" s="8">
        <v>26.1</v>
      </c>
      <c r="C205" s="8">
        <v>23.4</v>
      </c>
      <c r="D205" s="8">
        <v>34.799999999999997</v>
      </c>
      <c r="E205" s="8">
        <v>0</v>
      </c>
      <c r="F205" s="8" t="str">
        <f>IF(OR(B205&lt;outliers!$B$7,B205&gt;outliers!$B$6),"Outlier","Normal")</f>
        <v>Normal</v>
      </c>
      <c r="G205" s="8" t="str">
        <f>IF(OR(C205&lt;outliers!$B$14,C205&gt;outliers!$B$13),"Outlier","Normal")</f>
        <v>Outlier</v>
      </c>
      <c r="H205" s="8" t="str">
        <f>IF(OR(D205&lt;outliers!$B$21,D205&gt;outliers!$B$20),"Outlier","Normal")</f>
        <v>Normal</v>
      </c>
      <c r="I205" s="8" t="str">
        <f>IF(OR(E205&lt;outliers!$C$28,E205&gt;outliers!$B$27),"Outlier","Normal")</f>
        <v>Normal</v>
      </c>
      <c r="J205" s="8">
        <f t="shared" si="6"/>
        <v>2018</v>
      </c>
      <c r="K205">
        <f t="shared" si="7"/>
        <v>4</v>
      </c>
    </row>
    <row r="206" spans="1:11" x14ac:dyDescent="0.35">
      <c r="A206" s="13">
        <v>43213</v>
      </c>
      <c r="B206" s="8">
        <v>27.2</v>
      </c>
      <c r="C206" s="8">
        <v>22</v>
      </c>
      <c r="D206" s="8">
        <v>33.799999999999997</v>
      </c>
      <c r="E206" s="8">
        <v>4.8</v>
      </c>
      <c r="F206" s="8" t="str">
        <f>IF(OR(B206&lt;outliers!$B$7,B206&gt;outliers!$B$6),"Outlier","Normal")</f>
        <v>Normal</v>
      </c>
      <c r="G206" s="8" t="str">
        <f>IF(OR(C206&lt;outliers!$B$14,C206&gt;outliers!$B$13),"Outlier","Normal")</f>
        <v>Normal</v>
      </c>
      <c r="H206" s="8" t="str">
        <f>IF(OR(D206&lt;outliers!$B$21,D206&gt;outliers!$B$20),"Outlier","Normal")</f>
        <v>Normal</v>
      </c>
      <c r="I206" s="8" t="str">
        <f>IF(OR(E206&lt;outliers!$C$28,E206&gt;outliers!$B$27),"Outlier","Normal")</f>
        <v>Normal</v>
      </c>
      <c r="J206" s="8">
        <f t="shared" si="6"/>
        <v>2018</v>
      </c>
      <c r="K206">
        <f t="shared" si="7"/>
        <v>4</v>
      </c>
    </row>
    <row r="207" spans="1:11" x14ac:dyDescent="0.35">
      <c r="A207" s="13">
        <v>43214</v>
      </c>
      <c r="B207" s="8">
        <v>25.1</v>
      </c>
      <c r="C207" s="8">
        <v>22.4</v>
      </c>
      <c r="D207" s="8">
        <v>34.200000000000003</v>
      </c>
      <c r="E207" s="8">
        <v>0</v>
      </c>
      <c r="F207" s="8" t="str">
        <f>IF(OR(B207&lt;outliers!$B$7,B207&gt;outliers!$B$6),"Outlier","Normal")</f>
        <v>Normal</v>
      </c>
      <c r="G207" s="8" t="str">
        <f>IF(OR(C207&lt;outliers!$B$14,C207&gt;outliers!$B$13),"Outlier","Normal")</f>
        <v>Normal</v>
      </c>
      <c r="H207" s="8" t="str">
        <f>IF(OR(D207&lt;outliers!$B$21,D207&gt;outliers!$B$20),"Outlier","Normal")</f>
        <v>Normal</v>
      </c>
      <c r="I207" s="8" t="str">
        <f>IF(OR(E207&lt;outliers!$C$28,E207&gt;outliers!$B$27),"Outlier","Normal")</f>
        <v>Normal</v>
      </c>
      <c r="J207" s="8">
        <f t="shared" si="6"/>
        <v>2018</v>
      </c>
      <c r="K207">
        <f t="shared" si="7"/>
        <v>4</v>
      </c>
    </row>
    <row r="208" spans="1:11" x14ac:dyDescent="0.35">
      <c r="A208" s="13">
        <v>43215</v>
      </c>
      <c r="B208" s="8">
        <v>26.6</v>
      </c>
      <c r="C208" s="8">
        <v>22.2</v>
      </c>
      <c r="D208" s="8">
        <v>34</v>
      </c>
      <c r="E208" s="8">
        <v>3.8</v>
      </c>
      <c r="F208" s="8" t="str">
        <f>IF(OR(B208&lt;outliers!$B$7,B208&gt;outliers!$B$6),"Outlier","Normal")</f>
        <v>Normal</v>
      </c>
      <c r="G208" s="8" t="str">
        <f>IF(OR(C208&lt;outliers!$B$14,C208&gt;outliers!$B$13),"Outlier","Normal")</f>
        <v>Normal</v>
      </c>
      <c r="H208" s="8" t="str">
        <f>IF(OR(D208&lt;outliers!$B$21,D208&gt;outliers!$B$20),"Outlier","Normal")</f>
        <v>Normal</v>
      </c>
      <c r="I208" s="8" t="str">
        <f>IF(OR(E208&lt;outliers!$C$28,E208&gt;outliers!$B$27),"Outlier","Normal")</f>
        <v>Normal</v>
      </c>
      <c r="J208" s="8">
        <f t="shared" si="6"/>
        <v>2018</v>
      </c>
      <c r="K208">
        <f t="shared" si="7"/>
        <v>4</v>
      </c>
    </row>
    <row r="209" spans="1:11" x14ac:dyDescent="0.35">
      <c r="A209" s="13">
        <v>43216</v>
      </c>
      <c r="B209" s="8">
        <v>27.2</v>
      </c>
      <c r="C209" s="8">
        <v>22.8</v>
      </c>
      <c r="D209" s="8">
        <v>34.4</v>
      </c>
      <c r="E209" s="8">
        <v>0.5</v>
      </c>
      <c r="F209" s="8" t="str">
        <f>IF(OR(B209&lt;outliers!$B$7,B209&gt;outliers!$B$6),"Outlier","Normal")</f>
        <v>Normal</v>
      </c>
      <c r="G209" s="8" t="str">
        <f>IF(OR(C209&lt;outliers!$B$14,C209&gt;outliers!$B$13),"Outlier","Normal")</f>
        <v>Normal</v>
      </c>
      <c r="H209" s="8" t="str">
        <f>IF(OR(D209&lt;outliers!$B$21,D209&gt;outliers!$B$20),"Outlier","Normal")</f>
        <v>Normal</v>
      </c>
      <c r="I209" s="8" t="str">
        <f>IF(OR(E209&lt;outliers!$C$28,E209&gt;outliers!$B$27),"Outlier","Normal")</f>
        <v>Normal</v>
      </c>
      <c r="J209" s="8">
        <f t="shared" si="6"/>
        <v>2018</v>
      </c>
      <c r="K209">
        <f t="shared" si="7"/>
        <v>4</v>
      </c>
    </row>
    <row r="210" spans="1:11" x14ac:dyDescent="0.35">
      <c r="A210" s="13">
        <v>43217</v>
      </c>
      <c r="B210" s="8">
        <v>28.3</v>
      </c>
      <c r="C210" s="8">
        <v>22</v>
      </c>
      <c r="D210" s="8">
        <v>34.700000000000003</v>
      </c>
      <c r="E210" s="8">
        <v>0.5</v>
      </c>
      <c r="F210" s="8" t="str">
        <f>IF(OR(B210&lt;outliers!$B$7,B210&gt;outliers!$B$6),"Outlier","Normal")</f>
        <v>Normal</v>
      </c>
      <c r="G210" s="8" t="str">
        <f>IF(OR(C210&lt;outliers!$B$14,C210&gt;outliers!$B$13),"Outlier","Normal")</f>
        <v>Normal</v>
      </c>
      <c r="H210" s="8" t="str">
        <f>IF(OR(D210&lt;outliers!$B$21,D210&gt;outliers!$B$20),"Outlier","Normal")</f>
        <v>Normal</v>
      </c>
      <c r="I210" s="8" t="str">
        <f>IF(OR(E210&lt;outliers!$C$28,E210&gt;outliers!$B$27),"Outlier","Normal")</f>
        <v>Normal</v>
      </c>
      <c r="J210" s="8">
        <f t="shared" si="6"/>
        <v>2018</v>
      </c>
      <c r="K210">
        <f t="shared" si="7"/>
        <v>4</v>
      </c>
    </row>
    <row r="211" spans="1:11" x14ac:dyDescent="0.35">
      <c r="A211" s="13">
        <v>43218</v>
      </c>
      <c r="B211" s="8">
        <v>27.7</v>
      </c>
      <c r="C211" s="8">
        <v>22.5</v>
      </c>
      <c r="D211" s="8">
        <v>34.200000000000003</v>
      </c>
      <c r="E211" s="8">
        <v>0</v>
      </c>
      <c r="F211" s="8" t="str">
        <f>IF(OR(B211&lt;outliers!$B$7,B211&gt;outliers!$B$6),"Outlier","Normal")</f>
        <v>Normal</v>
      </c>
      <c r="G211" s="8" t="str">
        <f>IF(OR(C211&lt;outliers!$B$14,C211&gt;outliers!$B$13),"Outlier","Normal")</f>
        <v>Normal</v>
      </c>
      <c r="H211" s="8" t="str">
        <f>IF(OR(D211&lt;outliers!$B$21,D211&gt;outliers!$B$20),"Outlier","Normal")</f>
        <v>Normal</v>
      </c>
      <c r="I211" s="8" t="str">
        <f>IF(OR(E211&lt;outliers!$C$28,E211&gt;outliers!$B$27),"Outlier","Normal")</f>
        <v>Normal</v>
      </c>
      <c r="J211" s="8">
        <f t="shared" si="6"/>
        <v>2018</v>
      </c>
      <c r="K211">
        <f t="shared" si="7"/>
        <v>4</v>
      </c>
    </row>
    <row r="212" spans="1:11" x14ac:dyDescent="0.35">
      <c r="A212" s="13">
        <v>43220</v>
      </c>
      <c r="B212" s="8">
        <v>27</v>
      </c>
      <c r="C212" s="8">
        <v>23.2</v>
      </c>
      <c r="D212" s="8">
        <v>34.9</v>
      </c>
      <c r="E212" s="8">
        <v>0.3</v>
      </c>
      <c r="F212" s="8" t="str">
        <f>IF(OR(B212&lt;outliers!$B$7,B212&gt;outliers!$B$6),"Outlier","Normal")</f>
        <v>Normal</v>
      </c>
      <c r="G212" s="8" t="str">
        <f>IF(OR(C212&lt;outliers!$B$14,C212&gt;outliers!$B$13),"Outlier","Normal")</f>
        <v>Normal</v>
      </c>
      <c r="H212" s="8" t="str">
        <f>IF(OR(D212&lt;outliers!$B$21,D212&gt;outliers!$B$20),"Outlier","Normal")</f>
        <v>Normal</v>
      </c>
      <c r="I212" s="8" t="str">
        <f>IF(OR(E212&lt;outliers!$C$28,E212&gt;outliers!$B$27),"Outlier","Normal")</f>
        <v>Normal</v>
      </c>
      <c r="J212" s="8">
        <f t="shared" si="6"/>
        <v>2018</v>
      </c>
      <c r="K212">
        <f t="shared" si="7"/>
        <v>4</v>
      </c>
    </row>
    <row r="213" spans="1:11" x14ac:dyDescent="0.35">
      <c r="A213" s="13">
        <v>43221</v>
      </c>
      <c r="B213" s="8">
        <v>26.9</v>
      </c>
      <c r="C213" s="8">
        <v>21.4</v>
      </c>
      <c r="D213" s="8">
        <v>35.200000000000003</v>
      </c>
      <c r="E213" s="8">
        <v>5.6</v>
      </c>
      <c r="F213" s="8" t="str">
        <f>IF(OR(B213&lt;outliers!$B$7,B213&gt;outliers!$B$6),"Outlier","Normal")</f>
        <v>Normal</v>
      </c>
      <c r="G213" s="8" t="str">
        <f>IF(OR(C213&lt;outliers!$B$14,C213&gt;outliers!$B$13),"Outlier","Normal")</f>
        <v>Normal</v>
      </c>
      <c r="H213" s="8" t="str">
        <f>IF(OR(D213&lt;outliers!$B$21,D213&gt;outliers!$B$20),"Outlier","Normal")</f>
        <v>Normal</v>
      </c>
      <c r="I213" s="8" t="str">
        <f>IF(OR(E213&lt;outliers!$C$28,E213&gt;outliers!$B$27),"Outlier","Normal")</f>
        <v>Normal</v>
      </c>
      <c r="J213" s="8">
        <f t="shared" si="6"/>
        <v>2018</v>
      </c>
      <c r="K213">
        <f t="shared" si="7"/>
        <v>5</v>
      </c>
    </row>
    <row r="214" spans="1:11" x14ac:dyDescent="0.35">
      <c r="A214" s="13">
        <v>43222</v>
      </c>
      <c r="B214" s="8">
        <v>26.5</v>
      </c>
      <c r="C214" s="8">
        <v>23.3</v>
      </c>
      <c r="D214" s="8">
        <v>33</v>
      </c>
      <c r="E214" s="8">
        <v>0</v>
      </c>
      <c r="F214" s="8" t="str">
        <f>IF(OR(B214&lt;outliers!$B$7,B214&gt;outliers!$B$6),"Outlier","Normal")</f>
        <v>Normal</v>
      </c>
      <c r="G214" s="8" t="str">
        <f>IF(OR(C214&lt;outliers!$B$14,C214&gt;outliers!$B$13),"Outlier","Normal")</f>
        <v>Normal</v>
      </c>
      <c r="H214" s="8" t="str">
        <f>IF(OR(D214&lt;outliers!$B$21,D214&gt;outliers!$B$20),"Outlier","Normal")</f>
        <v>Normal</v>
      </c>
      <c r="I214" s="8" t="str">
        <f>IF(OR(E214&lt;outliers!$C$28,E214&gt;outliers!$B$27),"Outlier","Normal")</f>
        <v>Normal</v>
      </c>
      <c r="J214" s="8">
        <f t="shared" si="6"/>
        <v>2018</v>
      </c>
      <c r="K214">
        <f t="shared" si="7"/>
        <v>5</v>
      </c>
    </row>
    <row r="215" spans="1:11" x14ac:dyDescent="0.35">
      <c r="A215" s="13">
        <v>43223</v>
      </c>
      <c r="B215" s="8">
        <v>25.9</v>
      </c>
      <c r="C215" s="8">
        <v>18.899999999999999</v>
      </c>
      <c r="D215" s="8">
        <v>34</v>
      </c>
      <c r="E215" s="8">
        <v>0.8</v>
      </c>
      <c r="F215" s="8" t="str">
        <f>IF(OR(B215&lt;outliers!$B$7,B215&gt;outliers!$B$6),"Outlier","Normal")</f>
        <v>Normal</v>
      </c>
      <c r="G215" s="8" t="str">
        <f>IF(OR(C215&lt;outliers!$B$14,C215&gt;outliers!$B$13),"Outlier","Normal")</f>
        <v>Normal</v>
      </c>
      <c r="H215" s="8" t="str">
        <f>IF(OR(D215&lt;outliers!$B$21,D215&gt;outliers!$B$20),"Outlier","Normal")</f>
        <v>Normal</v>
      </c>
      <c r="I215" s="8" t="str">
        <f>IF(OR(E215&lt;outliers!$C$28,E215&gt;outliers!$B$27),"Outlier","Normal")</f>
        <v>Normal</v>
      </c>
      <c r="J215" s="8">
        <f t="shared" si="6"/>
        <v>2018</v>
      </c>
      <c r="K215">
        <f t="shared" si="7"/>
        <v>5</v>
      </c>
    </row>
    <row r="216" spans="1:11" hidden="1" x14ac:dyDescent="0.35">
      <c r="A216" s="13">
        <v>43224</v>
      </c>
      <c r="B216" s="8">
        <v>26.1</v>
      </c>
      <c r="C216" s="8">
        <v>19.2</v>
      </c>
      <c r="D216" s="8">
        <v>33.200000000000003</v>
      </c>
      <c r="E216" s="8">
        <v>39.4</v>
      </c>
      <c r="F216" s="8" t="str">
        <f>IF(OR(B216&lt;outliers!$B$7,B216&gt;outliers!$B$6),"Outlier","Normal")</f>
        <v>Normal</v>
      </c>
      <c r="G216" s="8" t="str">
        <f>IF(OR(C216&lt;outliers!$B$14,C216&gt;outliers!$B$13),"Outlier","Normal")</f>
        <v>Normal</v>
      </c>
      <c r="H216" s="8" t="str">
        <f>IF(OR(D216&lt;outliers!$B$21,D216&gt;outliers!$B$20),"Outlier","Normal")</f>
        <v>Normal</v>
      </c>
      <c r="I216" s="8" t="str">
        <f>IF(OR(E216&lt;outliers!$C$28,E216&gt;outliers!$B$27),"Outlier","Normal")</f>
        <v>Outlier</v>
      </c>
      <c r="J216" s="8">
        <f t="shared" si="6"/>
        <v>2018</v>
      </c>
      <c r="K216">
        <f t="shared" si="7"/>
        <v>5</v>
      </c>
    </row>
    <row r="217" spans="1:11" x14ac:dyDescent="0.35">
      <c r="A217" s="13">
        <v>43225</v>
      </c>
      <c r="B217" s="8">
        <v>27</v>
      </c>
      <c r="C217" s="8">
        <v>23.1</v>
      </c>
      <c r="D217" s="8">
        <v>32</v>
      </c>
      <c r="E217" s="8">
        <v>0</v>
      </c>
      <c r="F217" s="8" t="str">
        <f>IF(OR(B217&lt;outliers!$B$7,B217&gt;outliers!$B$6),"Outlier","Normal")</f>
        <v>Normal</v>
      </c>
      <c r="G217" s="8" t="str">
        <f>IF(OR(C217&lt;outliers!$B$14,C217&gt;outliers!$B$13),"Outlier","Normal")</f>
        <v>Normal</v>
      </c>
      <c r="H217" s="8" t="str">
        <f>IF(OR(D217&lt;outliers!$B$21,D217&gt;outliers!$B$20),"Outlier","Normal")</f>
        <v>Normal</v>
      </c>
      <c r="I217" s="8" t="str">
        <f>IF(OR(E217&lt;outliers!$C$28,E217&gt;outliers!$B$27),"Outlier","Normal")</f>
        <v>Normal</v>
      </c>
      <c r="J217" s="8">
        <f t="shared" si="6"/>
        <v>2018</v>
      </c>
      <c r="K217">
        <f t="shared" si="7"/>
        <v>5</v>
      </c>
    </row>
    <row r="218" spans="1:11" x14ac:dyDescent="0.35">
      <c r="A218" s="13">
        <v>43229</v>
      </c>
      <c r="B218" s="8">
        <v>27.2</v>
      </c>
      <c r="C218" s="8">
        <v>21.8</v>
      </c>
      <c r="D218" s="8">
        <v>32.799999999999997</v>
      </c>
      <c r="E218" s="8">
        <v>0</v>
      </c>
      <c r="F218" s="8" t="str">
        <f>IF(OR(B218&lt;outliers!$B$7,B218&gt;outliers!$B$6),"Outlier","Normal")</f>
        <v>Normal</v>
      </c>
      <c r="G218" s="8" t="str">
        <f>IF(OR(C218&lt;outliers!$B$14,C218&gt;outliers!$B$13),"Outlier","Normal")</f>
        <v>Normal</v>
      </c>
      <c r="H218" s="8" t="str">
        <f>IF(OR(D218&lt;outliers!$B$21,D218&gt;outliers!$B$20),"Outlier","Normal")</f>
        <v>Normal</v>
      </c>
      <c r="I218" s="8" t="str">
        <f>IF(OR(E218&lt;outliers!$C$28,E218&gt;outliers!$B$27),"Outlier","Normal")</f>
        <v>Normal</v>
      </c>
      <c r="J218" s="8">
        <f t="shared" si="6"/>
        <v>2018</v>
      </c>
      <c r="K218">
        <f t="shared" si="7"/>
        <v>5</v>
      </c>
    </row>
    <row r="219" spans="1:11" hidden="1" x14ac:dyDescent="0.35">
      <c r="A219" s="13">
        <v>43232</v>
      </c>
      <c r="B219" s="8">
        <v>25.7</v>
      </c>
      <c r="C219" s="8">
        <v>19.8</v>
      </c>
      <c r="D219" s="8">
        <v>32.200000000000003</v>
      </c>
      <c r="E219" s="8">
        <v>34.299999999999997</v>
      </c>
      <c r="F219" s="8" t="str">
        <f>IF(OR(B219&lt;outliers!$B$7,B219&gt;outliers!$B$6),"Outlier","Normal")</f>
        <v>Normal</v>
      </c>
      <c r="G219" s="8" t="str">
        <f>IF(OR(C219&lt;outliers!$B$14,C219&gt;outliers!$B$13),"Outlier","Normal")</f>
        <v>Normal</v>
      </c>
      <c r="H219" s="8" t="str">
        <f>IF(OR(D219&lt;outliers!$B$21,D219&gt;outliers!$B$20),"Outlier","Normal")</f>
        <v>Normal</v>
      </c>
      <c r="I219" s="8" t="str">
        <f>IF(OR(E219&lt;outliers!$C$28,E219&gt;outliers!$B$27),"Outlier","Normal")</f>
        <v>Outlier</v>
      </c>
      <c r="J219" s="8">
        <f t="shared" si="6"/>
        <v>2018</v>
      </c>
      <c r="K219">
        <f t="shared" si="7"/>
        <v>5</v>
      </c>
    </row>
    <row r="220" spans="1:11" x14ac:dyDescent="0.35">
      <c r="A220" s="13">
        <v>43233</v>
      </c>
      <c r="B220" s="8">
        <v>24.9</v>
      </c>
      <c r="C220" s="8">
        <v>20.8</v>
      </c>
      <c r="D220" s="8">
        <v>32</v>
      </c>
      <c r="E220" s="8">
        <v>0</v>
      </c>
      <c r="F220" s="8" t="str">
        <f>IF(OR(B220&lt;outliers!$B$7,B220&gt;outliers!$B$6),"Outlier","Normal")</f>
        <v>Normal</v>
      </c>
      <c r="G220" s="8" t="str">
        <f>IF(OR(C220&lt;outliers!$B$14,C220&gt;outliers!$B$13),"Outlier","Normal")</f>
        <v>Normal</v>
      </c>
      <c r="H220" s="8" t="str">
        <f>IF(OR(D220&lt;outliers!$B$21,D220&gt;outliers!$B$20),"Outlier","Normal")</f>
        <v>Normal</v>
      </c>
      <c r="I220" s="8" t="str">
        <f>IF(OR(E220&lt;outliers!$C$28,E220&gt;outliers!$B$27),"Outlier","Normal")</f>
        <v>Normal</v>
      </c>
      <c r="J220" s="8">
        <f t="shared" si="6"/>
        <v>2018</v>
      </c>
      <c r="K220">
        <f t="shared" si="7"/>
        <v>5</v>
      </c>
    </row>
    <row r="221" spans="1:11" hidden="1" x14ac:dyDescent="0.35">
      <c r="A221" s="13">
        <v>43234</v>
      </c>
      <c r="B221" s="8">
        <v>23.8</v>
      </c>
      <c r="C221" s="8">
        <v>21</v>
      </c>
      <c r="D221" s="8">
        <v>32</v>
      </c>
      <c r="E221" s="8">
        <v>17.8</v>
      </c>
      <c r="F221" s="8" t="str">
        <f>IF(OR(B221&lt;outliers!$B$7,B221&gt;outliers!$B$6),"Outlier","Normal")</f>
        <v>Normal</v>
      </c>
      <c r="G221" s="8" t="str">
        <f>IF(OR(C221&lt;outliers!$B$14,C221&gt;outliers!$B$13),"Outlier","Normal")</f>
        <v>Normal</v>
      </c>
      <c r="H221" s="8" t="str">
        <f>IF(OR(D221&lt;outliers!$B$21,D221&gt;outliers!$B$20),"Outlier","Normal")</f>
        <v>Normal</v>
      </c>
      <c r="I221" s="8" t="str">
        <f>IF(OR(E221&lt;outliers!$C$28,E221&gt;outliers!$B$27),"Outlier","Normal")</f>
        <v>Outlier</v>
      </c>
      <c r="J221" s="8">
        <f t="shared" si="6"/>
        <v>2018</v>
      </c>
      <c r="K221">
        <f t="shared" si="7"/>
        <v>5</v>
      </c>
    </row>
    <row r="222" spans="1:11" hidden="1" x14ac:dyDescent="0.35">
      <c r="A222" s="13">
        <v>43235</v>
      </c>
      <c r="B222" s="8">
        <v>24.8</v>
      </c>
      <c r="C222" s="8">
        <v>20.6</v>
      </c>
      <c r="D222" s="8">
        <v>31.4</v>
      </c>
      <c r="E222" s="8">
        <v>16.5</v>
      </c>
      <c r="F222" s="8" t="str">
        <f>IF(OR(B222&lt;outliers!$B$7,B222&gt;outliers!$B$6),"Outlier","Normal")</f>
        <v>Normal</v>
      </c>
      <c r="G222" s="8" t="str">
        <f>IF(OR(C222&lt;outliers!$B$14,C222&gt;outliers!$B$13),"Outlier","Normal")</f>
        <v>Normal</v>
      </c>
      <c r="H222" s="8" t="str">
        <f>IF(OR(D222&lt;outliers!$B$21,D222&gt;outliers!$B$20),"Outlier","Normal")</f>
        <v>Normal</v>
      </c>
      <c r="I222" s="8" t="str">
        <f>IF(OR(E222&lt;outliers!$C$28,E222&gt;outliers!$B$27),"Outlier","Normal")</f>
        <v>Outlier</v>
      </c>
      <c r="J222" s="8">
        <f t="shared" si="6"/>
        <v>2018</v>
      </c>
      <c r="K222">
        <f t="shared" si="7"/>
        <v>5</v>
      </c>
    </row>
    <row r="223" spans="1:11" x14ac:dyDescent="0.35">
      <c r="A223" s="13">
        <v>43236</v>
      </c>
      <c r="B223" s="8">
        <v>26.2</v>
      </c>
      <c r="C223" s="8">
        <v>20.7</v>
      </c>
      <c r="D223" s="8">
        <v>32.4</v>
      </c>
      <c r="E223" s="8">
        <v>4.3</v>
      </c>
      <c r="F223" s="8" t="str">
        <f>IF(OR(B223&lt;outliers!$B$7,B223&gt;outliers!$B$6),"Outlier","Normal")</f>
        <v>Normal</v>
      </c>
      <c r="G223" s="8" t="str">
        <f>IF(OR(C223&lt;outliers!$B$14,C223&gt;outliers!$B$13),"Outlier","Normal")</f>
        <v>Normal</v>
      </c>
      <c r="H223" s="8" t="str">
        <f>IF(OR(D223&lt;outliers!$B$21,D223&gt;outliers!$B$20),"Outlier","Normal")</f>
        <v>Normal</v>
      </c>
      <c r="I223" s="8" t="str">
        <f>IF(OR(E223&lt;outliers!$C$28,E223&gt;outliers!$B$27),"Outlier","Normal")</f>
        <v>Normal</v>
      </c>
      <c r="J223" s="8">
        <f t="shared" si="6"/>
        <v>2018</v>
      </c>
      <c r="K223">
        <f t="shared" si="7"/>
        <v>5</v>
      </c>
    </row>
    <row r="224" spans="1:11" x14ac:dyDescent="0.35">
      <c r="A224" s="13">
        <v>43237</v>
      </c>
      <c r="B224" s="8">
        <v>26.7</v>
      </c>
      <c r="C224" s="8">
        <v>21.9</v>
      </c>
      <c r="D224" s="8">
        <v>31</v>
      </c>
      <c r="E224" s="8">
        <v>0</v>
      </c>
      <c r="F224" s="8" t="str">
        <f>IF(OR(B224&lt;outliers!$B$7,B224&gt;outliers!$B$6),"Outlier","Normal")</f>
        <v>Normal</v>
      </c>
      <c r="G224" s="8" t="str">
        <f>IF(OR(C224&lt;outliers!$B$14,C224&gt;outliers!$B$13),"Outlier","Normal")</f>
        <v>Normal</v>
      </c>
      <c r="H224" s="8" t="str">
        <f>IF(OR(D224&lt;outliers!$B$21,D224&gt;outliers!$B$20),"Outlier","Normal")</f>
        <v>Normal</v>
      </c>
      <c r="I224" s="8" t="str">
        <f>IF(OR(E224&lt;outliers!$C$28,E224&gt;outliers!$B$27),"Outlier","Normal")</f>
        <v>Normal</v>
      </c>
      <c r="J224" s="8">
        <f t="shared" si="6"/>
        <v>2018</v>
      </c>
      <c r="K224">
        <f t="shared" si="7"/>
        <v>5</v>
      </c>
    </row>
    <row r="225" spans="1:11" hidden="1" x14ac:dyDescent="0.35">
      <c r="A225" s="13">
        <v>43239</v>
      </c>
      <c r="B225" s="8">
        <v>25.9</v>
      </c>
      <c r="C225" s="8">
        <v>21.4</v>
      </c>
      <c r="D225" s="8">
        <v>32.799999999999997</v>
      </c>
      <c r="E225" s="8">
        <v>19.100000000000001</v>
      </c>
      <c r="F225" s="8" t="str">
        <f>IF(OR(B225&lt;outliers!$B$7,B225&gt;outliers!$B$6),"Outlier","Normal")</f>
        <v>Normal</v>
      </c>
      <c r="G225" s="8" t="str">
        <f>IF(OR(C225&lt;outliers!$B$14,C225&gt;outliers!$B$13),"Outlier","Normal")</f>
        <v>Normal</v>
      </c>
      <c r="H225" s="8" t="str">
        <f>IF(OR(D225&lt;outliers!$B$21,D225&gt;outliers!$B$20),"Outlier","Normal")</f>
        <v>Normal</v>
      </c>
      <c r="I225" s="8" t="str">
        <f>IF(OR(E225&lt;outliers!$C$28,E225&gt;outliers!$B$27),"Outlier","Normal")</f>
        <v>Outlier</v>
      </c>
      <c r="J225" s="8">
        <f t="shared" si="6"/>
        <v>2018</v>
      </c>
      <c r="K225">
        <f t="shared" si="7"/>
        <v>5</v>
      </c>
    </row>
    <row r="226" spans="1:11" x14ac:dyDescent="0.35">
      <c r="A226" s="13">
        <v>43240</v>
      </c>
      <c r="B226" s="8">
        <v>25.2</v>
      </c>
      <c r="C226" s="8">
        <v>20.5</v>
      </c>
      <c r="D226" s="8">
        <v>32.4</v>
      </c>
      <c r="E226" s="8">
        <v>8.6</v>
      </c>
      <c r="F226" s="8" t="str">
        <f>IF(OR(B226&lt;outliers!$B$7,B226&gt;outliers!$B$6),"Outlier","Normal")</f>
        <v>Normal</v>
      </c>
      <c r="G226" s="8" t="str">
        <f>IF(OR(C226&lt;outliers!$B$14,C226&gt;outliers!$B$13),"Outlier","Normal")</f>
        <v>Normal</v>
      </c>
      <c r="H226" s="8" t="str">
        <f>IF(OR(D226&lt;outliers!$B$21,D226&gt;outliers!$B$20),"Outlier","Normal")</f>
        <v>Normal</v>
      </c>
      <c r="I226" s="8" t="str">
        <f>IF(OR(E226&lt;outliers!$C$28,E226&gt;outliers!$B$27),"Outlier","Normal")</f>
        <v>Normal</v>
      </c>
      <c r="J226" s="8">
        <f t="shared" si="6"/>
        <v>2018</v>
      </c>
      <c r="K226">
        <f t="shared" si="7"/>
        <v>5</v>
      </c>
    </row>
    <row r="227" spans="1:11" x14ac:dyDescent="0.35">
      <c r="A227" s="13">
        <v>43241</v>
      </c>
      <c r="B227" s="8">
        <v>24</v>
      </c>
      <c r="C227" s="8">
        <v>21.6</v>
      </c>
      <c r="D227" s="8">
        <v>32.4</v>
      </c>
      <c r="E227" s="8">
        <v>0</v>
      </c>
      <c r="F227" s="8" t="str">
        <f>IF(OR(B227&lt;outliers!$B$7,B227&gt;outliers!$B$6),"Outlier","Normal")</f>
        <v>Normal</v>
      </c>
      <c r="G227" s="8" t="str">
        <f>IF(OR(C227&lt;outliers!$B$14,C227&gt;outliers!$B$13),"Outlier","Normal")</f>
        <v>Normal</v>
      </c>
      <c r="H227" s="8" t="str">
        <f>IF(OR(D227&lt;outliers!$B$21,D227&gt;outliers!$B$20),"Outlier","Normal")</f>
        <v>Normal</v>
      </c>
      <c r="I227" s="8" t="str">
        <f>IF(OR(E227&lt;outliers!$C$28,E227&gt;outliers!$B$27),"Outlier","Normal")</f>
        <v>Normal</v>
      </c>
      <c r="J227" s="8">
        <f t="shared" si="6"/>
        <v>2018</v>
      </c>
      <c r="K227">
        <f t="shared" si="7"/>
        <v>5</v>
      </c>
    </row>
    <row r="228" spans="1:11" x14ac:dyDescent="0.35">
      <c r="A228" s="13">
        <v>43242</v>
      </c>
      <c r="B228" s="8">
        <v>26.3</v>
      </c>
      <c r="C228" s="8">
        <v>20.5</v>
      </c>
      <c r="D228" s="8">
        <v>31.8</v>
      </c>
      <c r="E228" s="8">
        <v>9.4</v>
      </c>
      <c r="F228" s="8" t="str">
        <f>IF(OR(B228&lt;outliers!$B$7,B228&gt;outliers!$B$6),"Outlier","Normal")</f>
        <v>Normal</v>
      </c>
      <c r="G228" s="8" t="str">
        <f>IF(OR(C228&lt;outliers!$B$14,C228&gt;outliers!$B$13),"Outlier","Normal")</f>
        <v>Normal</v>
      </c>
      <c r="H228" s="8" t="str">
        <f>IF(OR(D228&lt;outliers!$B$21,D228&gt;outliers!$B$20),"Outlier","Normal")</f>
        <v>Normal</v>
      </c>
      <c r="I228" s="8" t="str">
        <f>IF(OR(E228&lt;outliers!$C$28,E228&gt;outliers!$B$27),"Outlier","Normal")</f>
        <v>Normal</v>
      </c>
      <c r="J228" s="8">
        <f t="shared" si="6"/>
        <v>2018</v>
      </c>
      <c r="K228">
        <f t="shared" si="7"/>
        <v>5</v>
      </c>
    </row>
    <row r="229" spans="1:11" hidden="1" x14ac:dyDescent="0.35">
      <c r="A229" s="13">
        <v>43244</v>
      </c>
      <c r="B229" s="8">
        <v>26.3</v>
      </c>
      <c r="C229" s="8">
        <v>20.399999999999999</v>
      </c>
      <c r="D229" s="8">
        <v>31.9</v>
      </c>
      <c r="E229" s="8">
        <v>24.9</v>
      </c>
      <c r="F229" s="8" t="str">
        <f>IF(OR(B229&lt;outliers!$B$7,B229&gt;outliers!$B$6),"Outlier","Normal")</f>
        <v>Normal</v>
      </c>
      <c r="G229" s="8" t="str">
        <f>IF(OR(C229&lt;outliers!$B$14,C229&gt;outliers!$B$13),"Outlier","Normal")</f>
        <v>Normal</v>
      </c>
      <c r="H229" s="8" t="str">
        <f>IF(OR(D229&lt;outliers!$B$21,D229&gt;outliers!$B$20),"Outlier","Normal")</f>
        <v>Normal</v>
      </c>
      <c r="I229" s="8" t="str">
        <f>IF(OR(E229&lt;outliers!$C$28,E229&gt;outliers!$B$27),"Outlier","Normal")</f>
        <v>Outlier</v>
      </c>
      <c r="J229" s="8">
        <f t="shared" si="6"/>
        <v>2018</v>
      </c>
      <c r="K229">
        <f t="shared" si="7"/>
        <v>5</v>
      </c>
    </row>
    <row r="230" spans="1:11" hidden="1" x14ac:dyDescent="0.35">
      <c r="A230" s="13">
        <v>43245</v>
      </c>
      <c r="B230" s="8">
        <v>23.5</v>
      </c>
      <c r="C230" s="8">
        <v>21.9</v>
      </c>
      <c r="D230" s="8">
        <v>32</v>
      </c>
      <c r="E230" s="8">
        <v>33</v>
      </c>
      <c r="F230" s="8" t="str">
        <f>IF(OR(B230&lt;outliers!$B$7,B230&gt;outliers!$B$6),"Outlier","Normal")</f>
        <v>Normal</v>
      </c>
      <c r="G230" s="8" t="str">
        <f>IF(OR(C230&lt;outliers!$B$14,C230&gt;outliers!$B$13),"Outlier","Normal")</f>
        <v>Normal</v>
      </c>
      <c r="H230" s="8" t="str">
        <f>IF(OR(D230&lt;outliers!$B$21,D230&gt;outliers!$B$20),"Outlier","Normal")</f>
        <v>Normal</v>
      </c>
      <c r="I230" s="8" t="str">
        <f>IF(OR(E230&lt;outliers!$C$28,E230&gt;outliers!$B$27),"Outlier","Normal")</f>
        <v>Outlier</v>
      </c>
      <c r="J230" s="8">
        <f t="shared" si="6"/>
        <v>2018</v>
      </c>
      <c r="K230">
        <f t="shared" si="7"/>
        <v>5</v>
      </c>
    </row>
    <row r="231" spans="1:11" hidden="1" x14ac:dyDescent="0.35">
      <c r="A231" s="13">
        <v>43246</v>
      </c>
      <c r="B231" s="8">
        <v>25</v>
      </c>
      <c r="C231" s="8">
        <v>21.1</v>
      </c>
      <c r="D231" s="8">
        <v>29.8</v>
      </c>
      <c r="E231" s="8">
        <v>14</v>
      </c>
      <c r="F231" s="8" t="str">
        <f>IF(OR(B231&lt;outliers!$B$7,B231&gt;outliers!$B$6),"Outlier","Normal")</f>
        <v>Normal</v>
      </c>
      <c r="G231" s="8" t="str">
        <f>IF(OR(C231&lt;outliers!$B$14,C231&gt;outliers!$B$13),"Outlier","Normal")</f>
        <v>Normal</v>
      </c>
      <c r="H231" s="8" t="str">
        <f>IF(OR(D231&lt;outliers!$B$21,D231&gt;outliers!$B$20),"Outlier","Normal")</f>
        <v>Normal</v>
      </c>
      <c r="I231" s="8" t="str">
        <f>IF(OR(E231&lt;outliers!$C$28,E231&gt;outliers!$B$27),"Outlier","Normal")</f>
        <v>Outlier</v>
      </c>
      <c r="J231" s="8">
        <f t="shared" si="6"/>
        <v>2018</v>
      </c>
      <c r="K231">
        <f t="shared" si="7"/>
        <v>5</v>
      </c>
    </row>
    <row r="232" spans="1:11" x14ac:dyDescent="0.35">
      <c r="A232" s="13">
        <v>43247</v>
      </c>
      <c r="B232" s="8">
        <v>26</v>
      </c>
      <c r="C232" s="8">
        <v>22.2</v>
      </c>
      <c r="D232" s="8">
        <v>30.8</v>
      </c>
      <c r="E232" s="8">
        <v>0</v>
      </c>
      <c r="F232" s="8" t="str">
        <f>IF(OR(B232&lt;outliers!$B$7,B232&gt;outliers!$B$6),"Outlier","Normal")</f>
        <v>Normal</v>
      </c>
      <c r="G232" s="8" t="str">
        <f>IF(OR(C232&lt;outliers!$B$14,C232&gt;outliers!$B$13),"Outlier","Normal")</f>
        <v>Normal</v>
      </c>
      <c r="H232" s="8" t="str">
        <f>IF(OR(D232&lt;outliers!$B$21,D232&gt;outliers!$B$20),"Outlier","Normal")</f>
        <v>Normal</v>
      </c>
      <c r="I232" s="8" t="str">
        <f>IF(OR(E232&lt;outliers!$C$28,E232&gt;outliers!$B$27),"Outlier","Normal")</f>
        <v>Normal</v>
      </c>
      <c r="J232" s="8">
        <f t="shared" si="6"/>
        <v>2018</v>
      </c>
      <c r="K232">
        <f t="shared" si="7"/>
        <v>5</v>
      </c>
    </row>
    <row r="233" spans="1:11" x14ac:dyDescent="0.35">
      <c r="A233" s="13">
        <v>43248</v>
      </c>
      <c r="B233" s="8">
        <v>26.3</v>
      </c>
      <c r="C233" s="8">
        <v>22.3</v>
      </c>
      <c r="D233" s="8">
        <v>32</v>
      </c>
      <c r="E233" s="8">
        <v>0</v>
      </c>
      <c r="F233" s="8" t="str">
        <f>IF(OR(B233&lt;outliers!$B$7,B233&gt;outliers!$B$6),"Outlier","Normal")</f>
        <v>Normal</v>
      </c>
      <c r="G233" s="8" t="str">
        <f>IF(OR(C233&lt;outliers!$B$14,C233&gt;outliers!$B$13),"Outlier","Normal")</f>
        <v>Normal</v>
      </c>
      <c r="H233" s="8" t="str">
        <f>IF(OR(D233&lt;outliers!$B$21,D233&gt;outliers!$B$20),"Outlier","Normal")</f>
        <v>Normal</v>
      </c>
      <c r="I233" s="8" t="str">
        <f>IF(OR(E233&lt;outliers!$C$28,E233&gt;outliers!$B$27),"Outlier","Normal")</f>
        <v>Normal</v>
      </c>
      <c r="J233" s="8">
        <f t="shared" si="6"/>
        <v>2018</v>
      </c>
      <c r="K233">
        <f t="shared" si="7"/>
        <v>5</v>
      </c>
    </row>
    <row r="234" spans="1:11" x14ac:dyDescent="0.35">
      <c r="A234" s="13">
        <v>43250</v>
      </c>
      <c r="B234" s="8">
        <v>24.5</v>
      </c>
      <c r="C234" s="8">
        <v>20.9</v>
      </c>
      <c r="D234" s="8">
        <v>30.5</v>
      </c>
      <c r="E234" s="8">
        <v>0</v>
      </c>
      <c r="F234" s="8" t="str">
        <f>IF(OR(B234&lt;outliers!$B$7,B234&gt;outliers!$B$6),"Outlier","Normal")</f>
        <v>Normal</v>
      </c>
      <c r="G234" s="8" t="str">
        <f>IF(OR(C234&lt;outliers!$B$14,C234&gt;outliers!$B$13),"Outlier","Normal")</f>
        <v>Normal</v>
      </c>
      <c r="H234" s="8" t="str">
        <f>IF(OR(D234&lt;outliers!$B$21,D234&gt;outliers!$B$20),"Outlier","Normal")</f>
        <v>Normal</v>
      </c>
      <c r="I234" s="8" t="str">
        <f>IF(OR(E234&lt;outliers!$C$28,E234&gt;outliers!$B$27),"Outlier","Normal")</f>
        <v>Normal</v>
      </c>
      <c r="J234" s="8">
        <f t="shared" si="6"/>
        <v>2018</v>
      </c>
      <c r="K234">
        <f t="shared" si="7"/>
        <v>5</v>
      </c>
    </row>
    <row r="235" spans="1:11" hidden="1" x14ac:dyDescent="0.35">
      <c r="A235" s="13">
        <v>43251</v>
      </c>
      <c r="B235" s="8">
        <v>25.6</v>
      </c>
      <c r="C235" s="8">
        <v>20.9</v>
      </c>
      <c r="D235" s="8">
        <v>29.7</v>
      </c>
      <c r="E235" s="8">
        <v>10.4</v>
      </c>
      <c r="F235" s="8" t="str">
        <f>IF(OR(B235&lt;outliers!$B$7,B235&gt;outliers!$B$6),"Outlier","Normal")</f>
        <v>Normal</v>
      </c>
      <c r="G235" s="8" t="str">
        <f>IF(OR(C235&lt;outliers!$B$14,C235&gt;outliers!$B$13),"Outlier","Normal")</f>
        <v>Normal</v>
      </c>
      <c r="H235" s="8" t="str">
        <f>IF(OR(D235&lt;outliers!$B$21,D235&gt;outliers!$B$20),"Outlier","Normal")</f>
        <v>Normal</v>
      </c>
      <c r="I235" s="8" t="str">
        <f>IF(OR(E235&lt;outliers!$C$28,E235&gt;outliers!$B$27),"Outlier","Normal")</f>
        <v>Outlier</v>
      </c>
      <c r="J235" s="8">
        <f t="shared" si="6"/>
        <v>2018</v>
      </c>
      <c r="K235">
        <f t="shared" si="7"/>
        <v>5</v>
      </c>
    </row>
    <row r="236" spans="1:11" x14ac:dyDescent="0.35">
      <c r="A236" s="13">
        <v>43252</v>
      </c>
      <c r="B236" s="8">
        <v>24.4</v>
      </c>
      <c r="C236" s="8">
        <v>21.9</v>
      </c>
      <c r="D236" s="8">
        <v>30.3</v>
      </c>
      <c r="E236" s="8">
        <v>0</v>
      </c>
      <c r="F236" s="8" t="str">
        <f>IF(OR(B236&lt;outliers!$B$7,B236&gt;outliers!$B$6),"Outlier","Normal")</f>
        <v>Normal</v>
      </c>
      <c r="G236" s="8" t="str">
        <f>IF(OR(C236&lt;outliers!$B$14,C236&gt;outliers!$B$13),"Outlier","Normal")</f>
        <v>Normal</v>
      </c>
      <c r="H236" s="8" t="str">
        <f>IF(OR(D236&lt;outliers!$B$21,D236&gt;outliers!$B$20),"Outlier","Normal")</f>
        <v>Normal</v>
      </c>
      <c r="I236" s="8" t="str">
        <f>IF(OR(E236&lt;outliers!$C$28,E236&gt;outliers!$B$27),"Outlier","Normal")</f>
        <v>Normal</v>
      </c>
      <c r="J236" s="8">
        <f t="shared" si="6"/>
        <v>2018</v>
      </c>
      <c r="K236">
        <f t="shared" si="7"/>
        <v>6</v>
      </c>
    </row>
    <row r="237" spans="1:11" x14ac:dyDescent="0.35">
      <c r="A237" s="13">
        <v>43253</v>
      </c>
      <c r="B237" s="8">
        <v>23.8</v>
      </c>
      <c r="C237" s="8">
        <v>20.9</v>
      </c>
      <c r="D237" s="8">
        <v>31</v>
      </c>
      <c r="E237" s="8">
        <v>1.5</v>
      </c>
      <c r="F237" s="8" t="str">
        <f>IF(OR(B237&lt;outliers!$B$7,B237&gt;outliers!$B$6),"Outlier","Normal")</f>
        <v>Normal</v>
      </c>
      <c r="G237" s="8" t="str">
        <f>IF(OR(C237&lt;outliers!$B$14,C237&gt;outliers!$B$13),"Outlier","Normal")</f>
        <v>Normal</v>
      </c>
      <c r="H237" s="8" t="str">
        <f>IF(OR(D237&lt;outliers!$B$21,D237&gt;outliers!$B$20),"Outlier","Normal")</f>
        <v>Normal</v>
      </c>
      <c r="I237" s="8" t="str">
        <f>IF(OR(E237&lt;outliers!$C$28,E237&gt;outliers!$B$27),"Outlier","Normal")</f>
        <v>Normal</v>
      </c>
      <c r="J237" s="8">
        <f t="shared" si="6"/>
        <v>2018</v>
      </c>
      <c r="K237">
        <f t="shared" si="7"/>
        <v>6</v>
      </c>
    </row>
    <row r="238" spans="1:11" x14ac:dyDescent="0.35">
      <c r="A238" s="13">
        <v>43254</v>
      </c>
      <c r="B238" s="8">
        <v>23.7</v>
      </c>
      <c r="C238" s="8">
        <v>20.8</v>
      </c>
      <c r="D238" s="8">
        <v>30.3</v>
      </c>
      <c r="E238" s="8">
        <v>1.8</v>
      </c>
      <c r="F238" s="8" t="str">
        <f>IF(OR(B238&lt;outliers!$B$7,B238&gt;outliers!$B$6),"Outlier","Normal")</f>
        <v>Normal</v>
      </c>
      <c r="G238" s="8" t="str">
        <f>IF(OR(C238&lt;outliers!$B$14,C238&gt;outliers!$B$13),"Outlier","Normal")</f>
        <v>Normal</v>
      </c>
      <c r="H238" s="8" t="str">
        <f>IF(OR(D238&lt;outliers!$B$21,D238&gt;outliers!$B$20),"Outlier","Normal")</f>
        <v>Normal</v>
      </c>
      <c r="I238" s="8" t="str">
        <f>IF(OR(E238&lt;outliers!$C$28,E238&gt;outliers!$B$27),"Outlier","Normal")</f>
        <v>Normal</v>
      </c>
      <c r="J238" s="8">
        <f t="shared" si="6"/>
        <v>2018</v>
      </c>
      <c r="K238">
        <f t="shared" si="7"/>
        <v>6</v>
      </c>
    </row>
    <row r="239" spans="1:11" x14ac:dyDescent="0.35">
      <c r="A239" s="13">
        <v>43255</v>
      </c>
      <c r="B239" s="8">
        <v>23.8</v>
      </c>
      <c r="C239" s="8">
        <v>21</v>
      </c>
      <c r="D239" s="8">
        <v>30.4</v>
      </c>
      <c r="E239" s="8">
        <v>6.1</v>
      </c>
      <c r="F239" s="8" t="str">
        <f>IF(OR(B239&lt;outliers!$B$7,B239&gt;outliers!$B$6),"Outlier","Normal")</f>
        <v>Normal</v>
      </c>
      <c r="G239" s="8" t="str">
        <f>IF(OR(C239&lt;outliers!$B$14,C239&gt;outliers!$B$13),"Outlier","Normal")</f>
        <v>Normal</v>
      </c>
      <c r="H239" s="8" t="str">
        <f>IF(OR(D239&lt;outliers!$B$21,D239&gt;outliers!$B$20),"Outlier","Normal")</f>
        <v>Normal</v>
      </c>
      <c r="I239" s="8" t="str">
        <f>IF(OR(E239&lt;outliers!$C$28,E239&gt;outliers!$B$27),"Outlier","Normal")</f>
        <v>Normal</v>
      </c>
      <c r="J239" s="8">
        <f t="shared" si="6"/>
        <v>2018</v>
      </c>
      <c r="K239">
        <f t="shared" si="7"/>
        <v>6</v>
      </c>
    </row>
    <row r="240" spans="1:11" x14ac:dyDescent="0.35">
      <c r="A240" s="13">
        <v>43256</v>
      </c>
      <c r="B240" s="8">
        <v>24.8</v>
      </c>
      <c r="C240" s="8">
        <v>21.2</v>
      </c>
      <c r="D240" s="8">
        <v>30</v>
      </c>
      <c r="E240" s="8">
        <v>0</v>
      </c>
      <c r="F240" s="8" t="str">
        <f>IF(OR(B240&lt;outliers!$B$7,B240&gt;outliers!$B$6),"Outlier","Normal")</f>
        <v>Normal</v>
      </c>
      <c r="G240" s="8" t="str">
        <f>IF(OR(C240&lt;outliers!$B$14,C240&gt;outliers!$B$13),"Outlier","Normal")</f>
        <v>Normal</v>
      </c>
      <c r="H240" s="8" t="str">
        <f>IF(OR(D240&lt;outliers!$B$21,D240&gt;outliers!$B$20),"Outlier","Normal")</f>
        <v>Normal</v>
      </c>
      <c r="I240" s="8" t="str">
        <f>IF(OR(E240&lt;outliers!$C$28,E240&gt;outliers!$B$27),"Outlier","Normal")</f>
        <v>Normal</v>
      </c>
      <c r="J240" s="8">
        <f t="shared" si="6"/>
        <v>2018</v>
      </c>
      <c r="K240">
        <f t="shared" si="7"/>
        <v>6</v>
      </c>
    </row>
    <row r="241" spans="1:11" x14ac:dyDescent="0.35">
      <c r="A241" s="13">
        <v>43257</v>
      </c>
      <c r="B241" s="8">
        <v>25.6</v>
      </c>
      <c r="C241" s="8">
        <v>21.9</v>
      </c>
      <c r="D241" s="8">
        <v>29.7</v>
      </c>
      <c r="E241" s="8">
        <v>0</v>
      </c>
      <c r="F241" s="8" t="str">
        <f>IF(OR(B241&lt;outliers!$B$7,B241&gt;outliers!$B$6),"Outlier","Normal")</f>
        <v>Normal</v>
      </c>
      <c r="G241" s="8" t="str">
        <f>IF(OR(C241&lt;outliers!$B$14,C241&gt;outliers!$B$13),"Outlier","Normal")</f>
        <v>Normal</v>
      </c>
      <c r="H241" s="8" t="str">
        <f>IF(OR(D241&lt;outliers!$B$21,D241&gt;outliers!$B$20),"Outlier","Normal")</f>
        <v>Normal</v>
      </c>
      <c r="I241" s="8" t="str">
        <f>IF(OR(E241&lt;outliers!$C$28,E241&gt;outliers!$B$27),"Outlier","Normal")</f>
        <v>Normal</v>
      </c>
      <c r="J241" s="8">
        <f t="shared" si="6"/>
        <v>2018</v>
      </c>
      <c r="K241">
        <f t="shared" si="7"/>
        <v>6</v>
      </c>
    </row>
    <row r="242" spans="1:11" x14ac:dyDescent="0.35">
      <c r="A242" s="13">
        <v>43258</v>
      </c>
      <c r="B242" s="8">
        <v>23.9</v>
      </c>
      <c r="C242" s="8">
        <v>21.7</v>
      </c>
      <c r="D242" s="8">
        <v>30.1</v>
      </c>
      <c r="E242" s="8">
        <v>0</v>
      </c>
      <c r="F242" s="8" t="str">
        <f>IF(OR(B242&lt;outliers!$B$7,B242&gt;outliers!$B$6),"Outlier","Normal")</f>
        <v>Normal</v>
      </c>
      <c r="G242" s="8" t="str">
        <f>IF(OR(C242&lt;outliers!$B$14,C242&gt;outliers!$B$13),"Outlier","Normal")</f>
        <v>Normal</v>
      </c>
      <c r="H242" s="8" t="str">
        <f>IF(OR(D242&lt;outliers!$B$21,D242&gt;outliers!$B$20),"Outlier","Normal")</f>
        <v>Normal</v>
      </c>
      <c r="I242" s="8" t="str">
        <f>IF(OR(E242&lt;outliers!$C$28,E242&gt;outliers!$B$27),"Outlier","Normal")</f>
        <v>Normal</v>
      </c>
      <c r="J242" s="8">
        <f t="shared" si="6"/>
        <v>2018</v>
      </c>
      <c r="K242">
        <f t="shared" si="7"/>
        <v>6</v>
      </c>
    </row>
    <row r="243" spans="1:11" x14ac:dyDescent="0.35">
      <c r="A243" s="13">
        <v>43259</v>
      </c>
      <c r="B243" s="8">
        <v>23.3</v>
      </c>
      <c r="C243" s="8">
        <v>21</v>
      </c>
      <c r="D243" s="8">
        <v>29</v>
      </c>
      <c r="E243" s="8">
        <v>0</v>
      </c>
      <c r="F243" s="8" t="str">
        <f>IF(OR(B243&lt;outliers!$B$7,B243&gt;outliers!$B$6),"Outlier","Normal")</f>
        <v>Normal</v>
      </c>
      <c r="G243" s="8" t="str">
        <f>IF(OR(C243&lt;outliers!$B$14,C243&gt;outliers!$B$13),"Outlier","Normal")</f>
        <v>Normal</v>
      </c>
      <c r="H243" s="8" t="str">
        <f>IF(OR(D243&lt;outliers!$B$21,D243&gt;outliers!$B$20),"Outlier","Normal")</f>
        <v>Normal</v>
      </c>
      <c r="I243" s="8" t="str">
        <f>IF(OR(E243&lt;outliers!$C$28,E243&gt;outliers!$B$27),"Outlier","Normal")</f>
        <v>Normal</v>
      </c>
      <c r="J243" s="8">
        <f t="shared" si="6"/>
        <v>2018</v>
      </c>
      <c r="K243">
        <f t="shared" si="7"/>
        <v>6</v>
      </c>
    </row>
    <row r="244" spans="1:11" x14ac:dyDescent="0.35">
      <c r="A244" s="13">
        <v>43260</v>
      </c>
      <c r="B244" s="8">
        <v>22</v>
      </c>
      <c r="C244" s="8">
        <v>20.7</v>
      </c>
      <c r="D244" s="8">
        <v>25.8</v>
      </c>
      <c r="E244" s="8">
        <v>3.8</v>
      </c>
      <c r="F244" s="8" t="str">
        <f>IF(OR(B244&lt;outliers!$B$7,B244&gt;outliers!$B$6),"Outlier","Normal")</f>
        <v>Normal</v>
      </c>
      <c r="G244" s="8" t="str">
        <f>IF(OR(C244&lt;outliers!$B$14,C244&gt;outliers!$B$13),"Outlier","Normal")</f>
        <v>Normal</v>
      </c>
      <c r="H244" s="8" t="str">
        <f>IF(OR(D244&lt;outliers!$B$21,D244&gt;outliers!$B$20),"Outlier","Normal")</f>
        <v>Normal</v>
      </c>
      <c r="I244" s="8" t="str">
        <f>IF(OR(E244&lt;outliers!$C$28,E244&gt;outliers!$B$27),"Outlier","Normal")</f>
        <v>Normal</v>
      </c>
      <c r="J244" s="8">
        <f t="shared" si="6"/>
        <v>2018</v>
      </c>
      <c r="K244">
        <f t="shared" si="7"/>
        <v>6</v>
      </c>
    </row>
    <row r="245" spans="1:11" x14ac:dyDescent="0.35">
      <c r="A245" s="13">
        <v>43261</v>
      </c>
      <c r="B245" s="8">
        <v>22.7</v>
      </c>
      <c r="C245" s="8">
        <v>20.5</v>
      </c>
      <c r="D245" s="8">
        <v>27</v>
      </c>
      <c r="E245" s="8">
        <v>1.3</v>
      </c>
      <c r="F245" s="8" t="str">
        <f>IF(OR(B245&lt;outliers!$B$7,B245&gt;outliers!$B$6),"Outlier","Normal")</f>
        <v>Normal</v>
      </c>
      <c r="G245" s="8" t="str">
        <f>IF(OR(C245&lt;outliers!$B$14,C245&gt;outliers!$B$13),"Outlier","Normal")</f>
        <v>Normal</v>
      </c>
      <c r="H245" s="8" t="str">
        <f>IF(OR(D245&lt;outliers!$B$21,D245&gt;outliers!$B$20),"Outlier","Normal")</f>
        <v>Normal</v>
      </c>
      <c r="I245" s="8" t="str">
        <f>IF(OR(E245&lt;outliers!$C$28,E245&gt;outliers!$B$27),"Outlier","Normal")</f>
        <v>Normal</v>
      </c>
      <c r="J245" s="8">
        <f t="shared" si="6"/>
        <v>2018</v>
      </c>
      <c r="K245">
        <f t="shared" si="7"/>
        <v>6</v>
      </c>
    </row>
    <row r="246" spans="1:11" x14ac:dyDescent="0.35">
      <c r="A246" s="13">
        <v>43262</v>
      </c>
      <c r="B246" s="8">
        <v>23.7</v>
      </c>
      <c r="C246" s="8">
        <v>21</v>
      </c>
      <c r="D246" s="8">
        <v>26.9</v>
      </c>
      <c r="E246" s="8">
        <v>2</v>
      </c>
      <c r="F246" s="8" t="str">
        <f>IF(OR(B246&lt;outliers!$B$7,B246&gt;outliers!$B$6),"Outlier","Normal")</f>
        <v>Normal</v>
      </c>
      <c r="G246" s="8" t="str">
        <f>IF(OR(C246&lt;outliers!$B$14,C246&gt;outliers!$B$13),"Outlier","Normal")</f>
        <v>Normal</v>
      </c>
      <c r="H246" s="8" t="str">
        <f>IF(OR(D246&lt;outliers!$B$21,D246&gt;outliers!$B$20),"Outlier","Normal")</f>
        <v>Normal</v>
      </c>
      <c r="I246" s="8" t="str">
        <f>IF(OR(E246&lt;outliers!$C$28,E246&gt;outliers!$B$27),"Outlier","Normal")</f>
        <v>Normal</v>
      </c>
      <c r="J246" s="8">
        <f t="shared" si="6"/>
        <v>2018</v>
      </c>
      <c r="K246">
        <f t="shared" si="7"/>
        <v>6</v>
      </c>
    </row>
    <row r="247" spans="1:11" x14ac:dyDescent="0.35">
      <c r="A247" s="13">
        <v>43265</v>
      </c>
      <c r="B247" s="8">
        <v>23.2</v>
      </c>
      <c r="C247" s="8">
        <v>21</v>
      </c>
      <c r="D247" s="8">
        <v>27.9</v>
      </c>
      <c r="E247" s="8">
        <v>0</v>
      </c>
      <c r="F247" s="8" t="str">
        <f>IF(OR(B247&lt;outliers!$B$7,B247&gt;outliers!$B$6),"Outlier","Normal")</f>
        <v>Normal</v>
      </c>
      <c r="G247" s="8" t="str">
        <f>IF(OR(C247&lt;outliers!$B$14,C247&gt;outliers!$B$13),"Outlier","Normal")</f>
        <v>Normal</v>
      </c>
      <c r="H247" s="8" t="str">
        <f>IF(OR(D247&lt;outliers!$B$21,D247&gt;outliers!$B$20),"Outlier","Normal")</f>
        <v>Normal</v>
      </c>
      <c r="I247" s="8" t="str">
        <f>IF(OR(E247&lt;outliers!$C$28,E247&gt;outliers!$B$27),"Outlier","Normal")</f>
        <v>Normal</v>
      </c>
      <c r="J247" s="8">
        <f t="shared" si="6"/>
        <v>2018</v>
      </c>
      <c r="K247">
        <f t="shared" si="7"/>
        <v>6</v>
      </c>
    </row>
    <row r="248" spans="1:11" x14ac:dyDescent="0.35">
      <c r="A248" s="13">
        <v>43266</v>
      </c>
      <c r="B248" s="8">
        <v>23.8</v>
      </c>
      <c r="C248" s="8">
        <v>20.5</v>
      </c>
      <c r="D248" s="8">
        <v>31.2</v>
      </c>
      <c r="E248" s="8">
        <v>3</v>
      </c>
      <c r="F248" s="8" t="str">
        <f>IF(OR(B248&lt;outliers!$B$7,B248&gt;outliers!$B$6),"Outlier","Normal")</f>
        <v>Normal</v>
      </c>
      <c r="G248" s="8" t="str">
        <f>IF(OR(C248&lt;outliers!$B$14,C248&gt;outliers!$B$13),"Outlier","Normal")</f>
        <v>Normal</v>
      </c>
      <c r="H248" s="8" t="str">
        <f>IF(OR(D248&lt;outliers!$B$21,D248&gt;outliers!$B$20),"Outlier","Normal")</f>
        <v>Normal</v>
      </c>
      <c r="I248" s="8" t="str">
        <f>IF(OR(E248&lt;outliers!$C$28,E248&gt;outliers!$B$27),"Outlier","Normal")</f>
        <v>Normal</v>
      </c>
      <c r="J248" s="8">
        <f t="shared" si="6"/>
        <v>2018</v>
      </c>
      <c r="K248">
        <f t="shared" si="7"/>
        <v>6</v>
      </c>
    </row>
    <row r="249" spans="1:11" x14ac:dyDescent="0.35">
      <c r="A249" s="13">
        <v>43267</v>
      </c>
      <c r="B249" s="8">
        <v>24.1</v>
      </c>
      <c r="C249" s="8">
        <v>20.100000000000001</v>
      </c>
      <c r="D249" s="8">
        <v>31</v>
      </c>
      <c r="E249" s="8">
        <v>5.6</v>
      </c>
      <c r="F249" s="8" t="str">
        <f>IF(OR(B249&lt;outliers!$B$7,B249&gt;outliers!$B$6),"Outlier","Normal")</f>
        <v>Normal</v>
      </c>
      <c r="G249" s="8" t="str">
        <f>IF(OR(C249&lt;outliers!$B$14,C249&gt;outliers!$B$13),"Outlier","Normal")</f>
        <v>Normal</v>
      </c>
      <c r="H249" s="8" t="str">
        <f>IF(OR(D249&lt;outliers!$B$21,D249&gt;outliers!$B$20),"Outlier","Normal")</f>
        <v>Normal</v>
      </c>
      <c r="I249" s="8" t="str">
        <f>IF(OR(E249&lt;outliers!$C$28,E249&gt;outliers!$B$27),"Outlier","Normal")</f>
        <v>Normal</v>
      </c>
      <c r="J249" s="8">
        <f t="shared" si="6"/>
        <v>2018</v>
      </c>
      <c r="K249">
        <f t="shared" si="7"/>
        <v>6</v>
      </c>
    </row>
    <row r="250" spans="1:11" x14ac:dyDescent="0.35">
      <c r="A250" s="13">
        <v>43268</v>
      </c>
      <c r="B250" s="8">
        <v>23.6</v>
      </c>
      <c r="C250" s="8">
        <v>20.9</v>
      </c>
      <c r="D250" s="8">
        <v>30</v>
      </c>
      <c r="E250" s="8">
        <v>0</v>
      </c>
      <c r="F250" s="8" t="str">
        <f>IF(OR(B250&lt;outliers!$B$7,B250&gt;outliers!$B$6),"Outlier","Normal")</f>
        <v>Normal</v>
      </c>
      <c r="G250" s="8" t="str">
        <f>IF(OR(C250&lt;outliers!$B$14,C250&gt;outliers!$B$13),"Outlier","Normal")</f>
        <v>Normal</v>
      </c>
      <c r="H250" s="8" t="str">
        <f>IF(OR(D250&lt;outliers!$B$21,D250&gt;outliers!$B$20),"Outlier","Normal")</f>
        <v>Normal</v>
      </c>
      <c r="I250" s="8" t="str">
        <f>IF(OR(E250&lt;outliers!$C$28,E250&gt;outliers!$B$27),"Outlier","Normal")</f>
        <v>Normal</v>
      </c>
      <c r="J250" s="8">
        <f t="shared" si="6"/>
        <v>2018</v>
      </c>
      <c r="K250">
        <f t="shared" si="7"/>
        <v>6</v>
      </c>
    </row>
    <row r="251" spans="1:11" x14ac:dyDescent="0.35">
      <c r="A251" s="13">
        <v>43270</v>
      </c>
      <c r="B251" s="8">
        <v>23.8</v>
      </c>
      <c r="C251" s="8">
        <v>20.100000000000001</v>
      </c>
      <c r="D251" s="8">
        <v>28.9</v>
      </c>
      <c r="E251" s="8">
        <v>7.1</v>
      </c>
      <c r="F251" s="8" t="str">
        <f>IF(OR(B251&lt;outliers!$B$7,B251&gt;outliers!$B$6),"Outlier","Normal")</f>
        <v>Normal</v>
      </c>
      <c r="G251" s="8" t="str">
        <f>IF(OR(C251&lt;outliers!$B$14,C251&gt;outliers!$B$13),"Outlier","Normal")</f>
        <v>Normal</v>
      </c>
      <c r="H251" s="8" t="str">
        <f>IF(OR(D251&lt;outliers!$B$21,D251&gt;outliers!$B$20),"Outlier","Normal")</f>
        <v>Normal</v>
      </c>
      <c r="I251" s="8" t="str">
        <f>IF(OR(E251&lt;outliers!$C$28,E251&gt;outliers!$B$27),"Outlier","Normal")</f>
        <v>Normal</v>
      </c>
      <c r="J251" s="8">
        <f t="shared" si="6"/>
        <v>2018</v>
      </c>
      <c r="K251">
        <f t="shared" si="7"/>
        <v>6</v>
      </c>
    </row>
    <row r="252" spans="1:11" x14ac:dyDescent="0.35">
      <c r="A252" s="13">
        <v>43271</v>
      </c>
      <c r="B252" s="8">
        <v>23.4</v>
      </c>
      <c r="C252" s="8">
        <v>20.7</v>
      </c>
      <c r="D252" s="8">
        <v>29.1</v>
      </c>
      <c r="E252" s="8">
        <v>0</v>
      </c>
      <c r="F252" s="8" t="str">
        <f>IF(OR(B252&lt;outliers!$B$7,B252&gt;outliers!$B$6),"Outlier","Normal")</f>
        <v>Normal</v>
      </c>
      <c r="G252" s="8" t="str">
        <f>IF(OR(C252&lt;outliers!$B$14,C252&gt;outliers!$B$13),"Outlier","Normal")</f>
        <v>Normal</v>
      </c>
      <c r="H252" s="8" t="str">
        <f>IF(OR(D252&lt;outliers!$B$21,D252&gt;outliers!$B$20),"Outlier","Normal")</f>
        <v>Normal</v>
      </c>
      <c r="I252" s="8" t="str">
        <f>IF(OR(E252&lt;outliers!$C$28,E252&gt;outliers!$B$27),"Outlier","Normal")</f>
        <v>Normal</v>
      </c>
      <c r="J252" s="8">
        <f t="shared" si="6"/>
        <v>2018</v>
      </c>
      <c r="K252">
        <f t="shared" si="7"/>
        <v>6</v>
      </c>
    </row>
    <row r="253" spans="1:11" x14ac:dyDescent="0.35">
      <c r="A253" s="13">
        <v>43273</v>
      </c>
      <c r="B253" s="8">
        <v>23.2</v>
      </c>
      <c r="C253" s="8">
        <v>19.7</v>
      </c>
      <c r="D253" s="8">
        <v>28</v>
      </c>
      <c r="E253" s="8">
        <v>0</v>
      </c>
      <c r="F253" s="8" t="str">
        <f>IF(OR(B253&lt;outliers!$B$7,B253&gt;outliers!$B$6),"Outlier","Normal")</f>
        <v>Normal</v>
      </c>
      <c r="G253" s="8" t="str">
        <f>IF(OR(C253&lt;outliers!$B$14,C253&gt;outliers!$B$13),"Outlier","Normal")</f>
        <v>Normal</v>
      </c>
      <c r="H253" s="8" t="str">
        <f>IF(OR(D253&lt;outliers!$B$21,D253&gt;outliers!$B$20),"Outlier","Normal")</f>
        <v>Normal</v>
      </c>
      <c r="I253" s="8" t="str">
        <f>IF(OR(E253&lt;outliers!$C$28,E253&gt;outliers!$B$27),"Outlier","Normal")</f>
        <v>Normal</v>
      </c>
      <c r="J253" s="8">
        <f t="shared" si="6"/>
        <v>2018</v>
      </c>
      <c r="K253">
        <f t="shared" si="7"/>
        <v>6</v>
      </c>
    </row>
    <row r="254" spans="1:11" x14ac:dyDescent="0.35">
      <c r="A254" s="13">
        <v>43274</v>
      </c>
      <c r="B254" s="8">
        <v>22.5</v>
      </c>
      <c r="C254" s="8">
        <v>20.3</v>
      </c>
      <c r="D254" s="8">
        <v>28</v>
      </c>
      <c r="E254" s="8">
        <v>1</v>
      </c>
      <c r="F254" s="8" t="str">
        <f>IF(OR(B254&lt;outliers!$B$7,B254&gt;outliers!$B$6),"Outlier","Normal")</f>
        <v>Normal</v>
      </c>
      <c r="G254" s="8" t="str">
        <f>IF(OR(C254&lt;outliers!$B$14,C254&gt;outliers!$B$13),"Outlier","Normal")</f>
        <v>Normal</v>
      </c>
      <c r="H254" s="8" t="str">
        <f>IF(OR(D254&lt;outliers!$B$21,D254&gt;outliers!$B$20),"Outlier","Normal")</f>
        <v>Normal</v>
      </c>
      <c r="I254" s="8" t="str">
        <f>IF(OR(E254&lt;outliers!$C$28,E254&gt;outliers!$B$27),"Outlier","Normal")</f>
        <v>Normal</v>
      </c>
      <c r="J254" s="8">
        <f t="shared" si="6"/>
        <v>2018</v>
      </c>
      <c r="K254">
        <f t="shared" si="7"/>
        <v>6</v>
      </c>
    </row>
    <row r="255" spans="1:11" hidden="1" x14ac:dyDescent="0.35">
      <c r="A255" s="13">
        <v>43275</v>
      </c>
      <c r="B255" s="8">
        <v>23.2</v>
      </c>
      <c r="C255" s="8">
        <v>19.7</v>
      </c>
      <c r="D255" s="8">
        <v>27.8</v>
      </c>
      <c r="E255" s="8">
        <v>12.2</v>
      </c>
      <c r="F255" s="8" t="str">
        <f>IF(OR(B255&lt;outliers!$B$7,B255&gt;outliers!$B$6),"Outlier","Normal")</f>
        <v>Normal</v>
      </c>
      <c r="G255" s="8" t="str">
        <f>IF(OR(C255&lt;outliers!$B$14,C255&gt;outliers!$B$13),"Outlier","Normal")</f>
        <v>Normal</v>
      </c>
      <c r="H255" s="8" t="str">
        <f>IF(OR(D255&lt;outliers!$B$21,D255&gt;outliers!$B$20),"Outlier","Normal")</f>
        <v>Normal</v>
      </c>
      <c r="I255" s="8" t="str">
        <f>IF(OR(E255&lt;outliers!$C$28,E255&gt;outliers!$B$27),"Outlier","Normal")</f>
        <v>Outlier</v>
      </c>
      <c r="J255" s="8">
        <f t="shared" si="6"/>
        <v>2018</v>
      </c>
      <c r="K255">
        <f t="shared" si="7"/>
        <v>6</v>
      </c>
    </row>
    <row r="256" spans="1:11" x14ac:dyDescent="0.35">
      <c r="A256" s="13">
        <v>43276</v>
      </c>
      <c r="B256" s="8">
        <v>23.5</v>
      </c>
      <c r="C256" s="8">
        <v>20.100000000000001</v>
      </c>
      <c r="D256" s="8">
        <v>27.8</v>
      </c>
      <c r="E256" s="8">
        <v>0</v>
      </c>
      <c r="F256" s="8" t="str">
        <f>IF(OR(B256&lt;outliers!$B$7,B256&gt;outliers!$B$6),"Outlier","Normal")</f>
        <v>Normal</v>
      </c>
      <c r="G256" s="8" t="str">
        <f>IF(OR(C256&lt;outliers!$B$14,C256&gt;outliers!$B$13),"Outlier","Normal")</f>
        <v>Normal</v>
      </c>
      <c r="H256" s="8" t="str">
        <f>IF(OR(D256&lt;outliers!$B$21,D256&gt;outliers!$B$20),"Outlier","Normal")</f>
        <v>Normal</v>
      </c>
      <c r="I256" s="8" t="str">
        <f>IF(OR(E256&lt;outliers!$C$28,E256&gt;outliers!$B$27),"Outlier","Normal")</f>
        <v>Normal</v>
      </c>
      <c r="J256" s="8">
        <f t="shared" si="6"/>
        <v>2018</v>
      </c>
      <c r="K256">
        <f t="shared" si="7"/>
        <v>6</v>
      </c>
    </row>
    <row r="257" spans="1:11" x14ac:dyDescent="0.35">
      <c r="A257" s="13">
        <v>43277</v>
      </c>
      <c r="B257" s="8">
        <v>23.1</v>
      </c>
      <c r="C257" s="8">
        <v>20.2</v>
      </c>
      <c r="D257" s="8">
        <v>28.1</v>
      </c>
      <c r="E257" s="8">
        <v>0</v>
      </c>
      <c r="F257" s="8" t="str">
        <f>IF(OR(B257&lt;outliers!$B$7,B257&gt;outliers!$B$6),"Outlier","Normal")</f>
        <v>Normal</v>
      </c>
      <c r="G257" s="8" t="str">
        <f>IF(OR(C257&lt;outliers!$B$14,C257&gt;outliers!$B$13),"Outlier","Normal")</f>
        <v>Normal</v>
      </c>
      <c r="H257" s="8" t="str">
        <f>IF(OR(D257&lt;outliers!$B$21,D257&gt;outliers!$B$20),"Outlier","Normal")</f>
        <v>Normal</v>
      </c>
      <c r="I257" s="8" t="str">
        <f>IF(OR(E257&lt;outliers!$C$28,E257&gt;outliers!$B$27),"Outlier","Normal")</f>
        <v>Normal</v>
      </c>
      <c r="J257" s="8">
        <f t="shared" si="6"/>
        <v>2018</v>
      </c>
      <c r="K257">
        <f t="shared" si="7"/>
        <v>6</v>
      </c>
    </row>
    <row r="258" spans="1:11" x14ac:dyDescent="0.35">
      <c r="A258" s="13">
        <v>43279</v>
      </c>
      <c r="B258" s="8">
        <v>22.4</v>
      </c>
      <c r="C258" s="8">
        <v>20</v>
      </c>
      <c r="D258" s="8">
        <v>26.2</v>
      </c>
      <c r="E258" s="8">
        <v>4.5999999999999996</v>
      </c>
      <c r="F258" s="8" t="str">
        <f>IF(OR(B258&lt;outliers!$B$7,B258&gt;outliers!$B$6),"Outlier","Normal")</f>
        <v>Normal</v>
      </c>
      <c r="G258" s="8" t="str">
        <f>IF(OR(C258&lt;outliers!$B$14,C258&gt;outliers!$B$13),"Outlier","Normal")</f>
        <v>Normal</v>
      </c>
      <c r="H258" s="8" t="str">
        <f>IF(OR(D258&lt;outliers!$B$21,D258&gt;outliers!$B$20),"Outlier","Normal")</f>
        <v>Normal</v>
      </c>
      <c r="I258" s="8" t="str">
        <f>IF(OR(E258&lt;outliers!$C$28,E258&gt;outliers!$B$27),"Outlier","Normal")</f>
        <v>Normal</v>
      </c>
      <c r="J258" s="8">
        <f t="shared" si="6"/>
        <v>2018</v>
      </c>
      <c r="K258">
        <f t="shared" si="7"/>
        <v>6</v>
      </c>
    </row>
    <row r="259" spans="1:11" x14ac:dyDescent="0.35">
      <c r="A259" s="13">
        <v>43280</v>
      </c>
      <c r="B259" s="8">
        <v>23.1</v>
      </c>
      <c r="C259" s="8">
        <v>20.100000000000001</v>
      </c>
      <c r="D259" s="8">
        <v>28.2</v>
      </c>
      <c r="E259" s="8">
        <v>0</v>
      </c>
      <c r="F259" s="8" t="str">
        <f>IF(OR(B259&lt;outliers!$B$7,B259&gt;outliers!$B$6),"Outlier","Normal")</f>
        <v>Normal</v>
      </c>
      <c r="G259" s="8" t="str">
        <f>IF(OR(C259&lt;outliers!$B$14,C259&gt;outliers!$B$13),"Outlier","Normal")</f>
        <v>Normal</v>
      </c>
      <c r="H259" s="8" t="str">
        <f>IF(OR(D259&lt;outliers!$B$21,D259&gt;outliers!$B$20),"Outlier","Normal")</f>
        <v>Normal</v>
      </c>
      <c r="I259" s="8" t="str">
        <f>IF(OR(E259&lt;outliers!$C$28,E259&gt;outliers!$B$27),"Outlier","Normal")</f>
        <v>Normal</v>
      </c>
      <c r="J259" s="8">
        <f t="shared" si="6"/>
        <v>2018</v>
      </c>
      <c r="K259">
        <f t="shared" si="7"/>
        <v>6</v>
      </c>
    </row>
    <row r="260" spans="1:11" x14ac:dyDescent="0.35">
      <c r="A260" s="13">
        <v>43281</v>
      </c>
      <c r="B260" s="8">
        <v>23.8</v>
      </c>
      <c r="C260" s="8">
        <v>19.5</v>
      </c>
      <c r="D260" s="8">
        <v>29.3</v>
      </c>
      <c r="E260" s="8">
        <v>0</v>
      </c>
      <c r="F260" s="8" t="str">
        <f>IF(OR(B260&lt;outliers!$B$7,B260&gt;outliers!$B$6),"Outlier","Normal")</f>
        <v>Normal</v>
      </c>
      <c r="G260" s="8" t="str">
        <f>IF(OR(C260&lt;outliers!$B$14,C260&gt;outliers!$B$13),"Outlier","Normal")</f>
        <v>Normal</v>
      </c>
      <c r="H260" s="8" t="str">
        <f>IF(OR(D260&lt;outliers!$B$21,D260&gt;outliers!$B$20),"Outlier","Normal")</f>
        <v>Normal</v>
      </c>
      <c r="I260" s="8" t="str">
        <f>IF(OR(E260&lt;outliers!$C$28,E260&gt;outliers!$B$27),"Outlier","Normal")</f>
        <v>Normal</v>
      </c>
      <c r="J260" s="8">
        <f t="shared" ref="J260:J323" si="8">YEAR(A260)</f>
        <v>2018</v>
      </c>
      <c r="K260">
        <f t="shared" ref="K260:K323" si="9">MONTH(A260)</f>
        <v>6</v>
      </c>
    </row>
    <row r="261" spans="1:11" x14ac:dyDescent="0.35">
      <c r="A261" s="13">
        <v>43282</v>
      </c>
      <c r="B261" s="8">
        <v>24.2</v>
      </c>
      <c r="C261" s="8">
        <v>20.6</v>
      </c>
      <c r="D261" s="8">
        <v>29.5</v>
      </c>
      <c r="E261" s="8">
        <v>0.5</v>
      </c>
      <c r="F261" s="8" t="str">
        <f>IF(OR(B261&lt;outliers!$B$7,B261&gt;outliers!$B$6),"Outlier","Normal")</f>
        <v>Normal</v>
      </c>
      <c r="G261" s="8" t="str">
        <f>IF(OR(C261&lt;outliers!$B$14,C261&gt;outliers!$B$13),"Outlier","Normal")</f>
        <v>Normal</v>
      </c>
      <c r="H261" s="8" t="str">
        <f>IF(OR(D261&lt;outliers!$B$21,D261&gt;outliers!$B$20),"Outlier","Normal")</f>
        <v>Normal</v>
      </c>
      <c r="I261" s="8" t="str">
        <f>IF(OR(E261&lt;outliers!$C$28,E261&gt;outliers!$B$27),"Outlier","Normal")</f>
        <v>Normal</v>
      </c>
      <c r="J261" s="8">
        <f t="shared" si="8"/>
        <v>2018</v>
      </c>
      <c r="K261">
        <f t="shared" si="9"/>
        <v>7</v>
      </c>
    </row>
    <row r="262" spans="1:11" x14ac:dyDescent="0.35">
      <c r="A262" s="13">
        <v>43283</v>
      </c>
      <c r="B262" s="8">
        <v>24.8</v>
      </c>
      <c r="C262" s="8">
        <v>20.9</v>
      </c>
      <c r="D262" s="8">
        <v>30.7</v>
      </c>
      <c r="E262" s="8">
        <v>0</v>
      </c>
      <c r="F262" s="8" t="str">
        <f>IF(OR(B262&lt;outliers!$B$7,B262&gt;outliers!$B$6),"Outlier","Normal")</f>
        <v>Normal</v>
      </c>
      <c r="G262" s="8" t="str">
        <f>IF(OR(C262&lt;outliers!$B$14,C262&gt;outliers!$B$13),"Outlier","Normal")</f>
        <v>Normal</v>
      </c>
      <c r="H262" s="8" t="str">
        <f>IF(OR(D262&lt;outliers!$B$21,D262&gt;outliers!$B$20),"Outlier","Normal")</f>
        <v>Normal</v>
      </c>
      <c r="I262" s="8" t="str">
        <f>IF(OR(E262&lt;outliers!$C$28,E262&gt;outliers!$B$27),"Outlier","Normal")</f>
        <v>Normal</v>
      </c>
      <c r="J262" s="8">
        <f t="shared" si="8"/>
        <v>2018</v>
      </c>
      <c r="K262">
        <f t="shared" si="9"/>
        <v>7</v>
      </c>
    </row>
    <row r="263" spans="1:11" x14ac:dyDescent="0.35">
      <c r="A263" s="13">
        <v>43284</v>
      </c>
      <c r="B263" s="8">
        <v>24.4</v>
      </c>
      <c r="C263" s="8">
        <v>20.7</v>
      </c>
      <c r="D263" s="8">
        <v>30.2</v>
      </c>
      <c r="E263" s="8">
        <v>0.5</v>
      </c>
      <c r="F263" s="8" t="str">
        <f>IF(OR(B263&lt;outliers!$B$7,B263&gt;outliers!$B$6),"Outlier","Normal")</f>
        <v>Normal</v>
      </c>
      <c r="G263" s="8" t="str">
        <f>IF(OR(C263&lt;outliers!$B$14,C263&gt;outliers!$B$13),"Outlier","Normal")</f>
        <v>Normal</v>
      </c>
      <c r="H263" s="8" t="str">
        <f>IF(OR(D263&lt;outliers!$B$21,D263&gt;outliers!$B$20),"Outlier","Normal")</f>
        <v>Normal</v>
      </c>
      <c r="I263" s="8" t="str">
        <f>IF(OR(E263&lt;outliers!$C$28,E263&gt;outliers!$B$27),"Outlier","Normal")</f>
        <v>Normal</v>
      </c>
      <c r="J263" s="8">
        <f t="shared" si="8"/>
        <v>2018</v>
      </c>
      <c r="K263">
        <f t="shared" si="9"/>
        <v>7</v>
      </c>
    </row>
    <row r="264" spans="1:11" x14ac:dyDescent="0.35">
      <c r="A264" s="13">
        <v>43285</v>
      </c>
      <c r="B264" s="8">
        <v>24.1</v>
      </c>
      <c r="C264" s="8">
        <v>20.5</v>
      </c>
      <c r="D264" s="8">
        <v>29</v>
      </c>
      <c r="E264" s="8">
        <v>0</v>
      </c>
      <c r="F264" s="8" t="str">
        <f>IF(OR(B264&lt;outliers!$B$7,B264&gt;outliers!$B$6),"Outlier","Normal")</f>
        <v>Normal</v>
      </c>
      <c r="G264" s="8" t="str">
        <f>IF(OR(C264&lt;outliers!$B$14,C264&gt;outliers!$B$13),"Outlier","Normal")</f>
        <v>Normal</v>
      </c>
      <c r="H264" s="8" t="str">
        <f>IF(OR(D264&lt;outliers!$B$21,D264&gt;outliers!$B$20),"Outlier","Normal")</f>
        <v>Normal</v>
      </c>
      <c r="I264" s="8" t="str">
        <f>IF(OR(E264&lt;outliers!$C$28,E264&gt;outliers!$B$27),"Outlier","Normal")</f>
        <v>Normal</v>
      </c>
      <c r="J264" s="8">
        <f t="shared" si="8"/>
        <v>2018</v>
      </c>
      <c r="K264">
        <f t="shared" si="9"/>
        <v>7</v>
      </c>
    </row>
    <row r="265" spans="1:11" x14ac:dyDescent="0.35">
      <c r="A265" s="13">
        <v>43288</v>
      </c>
      <c r="B265" s="8">
        <v>22.9</v>
      </c>
      <c r="C265" s="8">
        <v>20.5</v>
      </c>
      <c r="D265" s="8">
        <v>26.3</v>
      </c>
      <c r="E265" s="8">
        <v>0.3</v>
      </c>
      <c r="F265" s="8" t="str">
        <f>IF(OR(B265&lt;outliers!$B$7,B265&gt;outliers!$B$6),"Outlier","Normal")</f>
        <v>Normal</v>
      </c>
      <c r="G265" s="8" t="str">
        <f>IF(OR(C265&lt;outliers!$B$14,C265&gt;outliers!$B$13),"Outlier","Normal")</f>
        <v>Normal</v>
      </c>
      <c r="H265" s="8" t="str">
        <f>IF(OR(D265&lt;outliers!$B$21,D265&gt;outliers!$B$20),"Outlier","Normal")</f>
        <v>Normal</v>
      </c>
      <c r="I265" s="8" t="str">
        <f>IF(OR(E265&lt;outliers!$C$28,E265&gt;outliers!$B$27),"Outlier","Normal")</f>
        <v>Normal</v>
      </c>
      <c r="J265" s="8">
        <f t="shared" si="8"/>
        <v>2018</v>
      </c>
      <c r="K265">
        <f t="shared" si="9"/>
        <v>7</v>
      </c>
    </row>
    <row r="266" spans="1:11" x14ac:dyDescent="0.35">
      <c r="A266" s="13">
        <v>43289</v>
      </c>
      <c r="B266" s="8">
        <v>22.4</v>
      </c>
      <c r="C266" s="8">
        <v>20.3</v>
      </c>
      <c r="D266" s="8">
        <v>26.4</v>
      </c>
      <c r="E266" s="8">
        <v>0</v>
      </c>
      <c r="F266" s="8" t="str">
        <f>IF(OR(B266&lt;outliers!$B$7,B266&gt;outliers!$B$6),"Outlier","Normal")</f>
        <v>Normal</v>
      </c>
      <c r="G266" s="8" t="str">
        <f>IF(OR(C266&lt;outliers!$B$14,C266&gt;outliers!$B$13),"Outlier","Normal")</f>
        <v>Normal</v>
      </c>
      <c r="H266" s="8" t="str">
        <f>IF(OR(D266&lt;outliers!$B$21,D266&gt;outliers!$B$20),"Outlier","Normal")</f>
        <v>Normal</v>
      </c>
      <c r="I266" s="8" t="str">
        <f>IF(OR(E266&lt;outliers!$C$28,E266&gt;outliers!$B$27),"Outlier","Normal")</f>
        <v>Normal</v>
      </c>
      <c r="J266" s="8">
        <f t="shared" si="8"/>
        <v>2018</v>
      </c>
      <c r="K266">
        <f t="shared" si="9"/>
        <v>7</v>
      </c>
    </row>
    <row r="267" spans="1:11" x14ac:dyDescent="0.35">
      <c r="A267" s="13">
        <v>43290</v>
      </c>
      <c r="B267" s="8">
        <v>22.8</v>
      </c>
      <c r="C267" s="8">
        <v>20.7</v>
      </c>
      <c r="D267" s="8">
        <v>26.4</v>
      </c>
      <c r="E267" s="8">
        <v>1</v>
      </c>
      <c r="F267" s="8" t="str">
        <f>IF(OR(B267&lt;outliers!$B$7,B267&gt;outliers!$B$6),"Outlier","Normal")</f>
        <v>Normal</v>
      </c>
      <c r="G267" s="8" t="str">
        <f>IF(OR(C267&lt;outliers!$B$14,C267&gt;outliers!$B$13),"Outlier","Normal")</f>
        <v>Normal</v>
      </c>
      <c r="H267" s="8" t="str">
        <f>IF(OR(D267&lt;outliers!$B$21,D267&gt;outliers!$B$20),"Outlier","Normal")</f>
        <v>Normal</v>
      </c>
      <c r="I267" s="8" t="str">
        <f>IF(OR(E267&lt;outliers!$C$28,E267&gt;outliers!$B$27),"Outlier","Normal")</f>
        <v>Normal</v>
      </c>
      <c r="J267" s="8">
        <f t="shared" si="8"/>
        <v>2018</v>
      </c>
      <c r="K267">
        <f t="shared" si="9"/>
        <v>7</v>
      </c>
    </row>
    <row r="268" spans="1:11" x14ac:dyDescent="0.35">
      <c r="A268" s="13">
        <v>43291</v>
      </c>
      <c r="B268" s="8">
        <v>22.7</v>
      </c>
      <c r="C268" s="8">
        <v>20.6</v>
      </c>
      <c r="D268" s="8">
        <v>26.9</v>
      </c>
      <c r="E268" s="8">
        <v>2</v>
      </c>
      <c r="F268" s="8" t="str">
        <f>IF(OR(B268&lt;outliers!$B$7,B268&gt;outliers!$B$6),"Outlier","Normal")</f>
        <v>Normal</v>
      </c>
      <c r="G268" s="8" t="str">
        <f>IF(OR(C268&lt;outliers!$B$14,C268&gt;outliers!$B$13),"Outlier","Normal")</f>
        <v>Normal</v>
      </c>
      <c r="H268" s="8" t="str">
        <f>IF(OR(D268&lt;outliers!$B$21,D268&gt;outliers!$B$20),"Outlier","Normal")</f>
        <v>Normal</v>
      </c>
      <c r="I268" s="8" t="str">
        <f>IF(OR(E268&lt;outliers!$C$28,E268&gt;outliers!$B$27),"Outlier","Normal")</f>
        <v>Normal</v>
      </c>
      <c r="J268" s="8">
        <f t="shared" si="8"/>
        <v>2018</v>
      </c>
      <c r="K268">
        <f t="shared" si="9"/>
        <v>7</v>
      </c>
    </row>
    <row r="269" spans="1:11" hidden="1" x14ac:dyDescent="0.35">
      <c r="A269" s="13">
        <v>43292</v>
      </c>
      <c r="B269" s="8">
        <v>22.5</v>
      </c>
      <c r="C269" s="8">
        <v>20.3</v>
      </c>
      <c r="D269" s="8">
        <v>27</v>
      </c>
      <c r="E269" s="8">
        <v>32.299999999999997</v>
      </c>
      <c r="F269" s="8" t="str">
        <f>IF(OR(B269&lt;outliers!$B$7,B269&gt;outliers!$B$6),"Outlier","Normal")</f>
        <v>Normal</v>
      </c>
      <c r="G269" s="8" t="str">
        <f>IF(OR(C269&lt;outliers!$B$14,C269&gt;outliers!$B$13),"Outlier","Normal")</f>
        <v>Normal</v>
      </c>
      <c r="H269" s="8" t="str">
        <f>IF(OR(D269&lt;outliers!$B$21,D269&gt;outliers!$B$20),"Outlier","Normal")</f>
        <v>Normal</v>
      </c>
      <c r="I269" s="8" t="str">
        <f>IF(OR(E269&lt;outliers!$C$28,E269&gt;outliers!$B$27),"Outlier","Normal")</f>
        <v>Outlier</v>
      </c>
      <c r="J269" s="8">
        <f t="shared" si="8"/>
        <v>2018</v>
      </c>
      <c r="K269">
        <f t="shared" si="9"/>
        <v>7</v>
      </c>
    </row>
    <row r="270" spans="1:11" x14ac:dyDescent="0.35">
      <c r="A270" s="13">
        <v>43293</v>
      </c>
      <c r="B270" s="8">
        <v>22.8</v>
      </c>
      <c r="C270" s="8">
        <v>20.100000000000001</v>
      </c>
      <c r="D270" s="8">
        <v>27.3</v>
      </c>
      <c r="E270" s="8">
        <v>4.3</v>
      </c>
      <c r="F270" s="8" t="str">
        <f>IF(OR(B270&lt;outliers!$B$7,B270&gt;outliers!$B$6),"Outlier","Normal")</f>
        <v>Normal</v>
      </c>
      <c r="G270" s="8" t="str">
        <f>IF(OR(C270&lt;outliers!$B$14,C270&gt;outliers!$B$13),"Outlier","Normal")</f>
        <v>Normal</v>
      </c>
      <c r="H270" s="8" t="str">
        <f>IF(OR(D270&lt;outliers!$B$21,D270&gt;outliers!$B$20),"Outlier","Normal")</f>
        <v>Normal</v>
      </c>
      <c r="I270" s="8" t="str">
        <f>IF(OR(E270&lt;outliers!$C$28,E270&gt;outliers!$B$27),"Outlier","Normal")</f>
        <v>Normal</v>
      </c>
      <c r="J270" s="8">
        <f t="shared" si="8"/>
        <v>2018</v>
      </c>
      <c r="K270">
        <f t="shared" si="9"/>
        <v>7</v>
      </c>
    </row>
    <row r="271" spans="1:11" x14ac:dyDescent="0.35">
      <c r="A271" s="13">
        <v>43294</v>
      </c>
      <c r="B271" s="8">
        <v>22.2</v>
      </c>
      <c r="C271" s="8">
        <v>20.5</v>
      </c>
      <c r="D271" s="8">
        <v>27.4</v>
      </c>
      <c r="E271" s="8">
        <v>0</v>
      </c>
      <c r="F271" s="8" t="str">
        <f>IF(OR(B271&lt;outliers!$B$7,B271&gt;outliers!$B$6),"Outlier","Normal")</f>
        <v>Normal</v>
      </c>
      <c r="G271" s="8" t="str">
        <f>IF(OR(C271&lt;outliers!$B$14,C271&gt;outliers!$B$13),"Outlier","Normal")</f>
        <v>Normal</v>
      </c>
      <c r="H271" s="8" t="str">
        <f>IF(OR(D271&lt;outliers!$B$21,D271&gt;outliers!$B$20),"Outlier","Normal")</f>
        <v>Normal</v>
      </c>
      <c r="I271" s="8" t="str">
        <f>IF(OR(E271&lt;outliers!$C$28,E271&gt;outliers!$B$27),"Outlier","Normal")</f>
        <v>Normal</v>
      </c>
      <c r="J271" s="8">
        <f t="shared" si="8"/>
        <v>2018</v>
      </c>
      <c r="K271">
        <f t="shared" si="9"/>
        <v>7</v>
      </c>
    </row>
    <row r="272" spans="1:11" x14ac:dyDescent="0.35">
      <c r="A272" s="13">
        <v>43295</v>
      </c>
      <c r="B272" s="8">
        <v>22.4</v>
      </c>
      <c r="C272" s="8">
        <v>20.3</v>
      </c>
      <c r="D272" s="8">
        <v>26.5</v>
      </c>
      <c r="E272" s="8">
        <v>4.5999999999999996</v>
      </c>
      <c r="F272" s="8" t="str">
        <f>IF(OR(B272&lt;outliers!$B$7,B272&gt;outliers!$B$6),"Outlier","Normal")</f>
        <v>Normal</v>
      </c>
      <c r="G272" s="8" t="str">
        <f>IF(OR(C272&lt;outliers!$B$14,C272&gt;outliers!$B$13),"Outlier","Normal")</f>
        <v>Normal</v>
      </c>
      <c r="H272" s="8" t="str">
        <f>IF(OR(D272&lt;outliers!$B$21,D272&gt;outliers!$B$20),"Outlier","Normal")</f>
        <v>Normal</v>
      </c>
      <c r="I272" s="8" t="str">
        <f>IF(OR(E272&lt;outliers!$C$28,E272&gt;outliers!$B$27),"Outlier","Normal")</f>
        <v>Normal</v>
      </c>
      <c r="J272" s="8">
        <f t="shared" si="8"/>
        <v>2018</v>
      </c>
      <c r="K272">
        <f t="shared" si="9"/>
        <v>7</v>
      </c>
    </row>
    <row r="273" spans="1:11" x14ac:dyDescent="0.35">
      <c r="A273" s="13">
        <v>43296</v>
      </c>
      <c r="B273" s="8">
        <v>23.6</v>
      </c>
      <c r="C273" s="8">
        <v>20.399999999999999</v>
      </c>
      <c r="D273" s="8">
        <v>28.2</v>
      </c>
      <c r="E273" s="8">
        <v>1.8</v>
      </c>
      <c r="F273" s="8" t="str">
        <f>IF(OR(B273&lt;outliers!$B$7,B273&gt;outliers!$B$6),"Outlier","Normal")</f>
        <v>Normal</v>
      </c>
      <c r="G273" s="8" t="str">
        <f>IF(OR(C273&lt;outliers!$B$14,C273&gt;outliers!$B$13),"Outlier","Normal")</f>
        <v>Normal</v>
      </c>
      <c r="H273" s="8" t="str">
        <f>IF(OR(D273&lt;outliers!$B$21,D273&gt;outliers!$B$20),"Outlier","Normal")</f>
        <v>Normal</v>
      </c>
      <c r="I273" s="8" t="str">
        <f>IF(OR(E273&lt;outliers!$C$28,E273&gt;outliers!$B$27),"Outlier","Normal")</f>
        <v>Normal</v>
      </c>
      <c r="J273" s="8">
        <f t="shared" si="8"/>
        <v>2018</v>
      </c>
      <c r="K273">
        <f t="shared" si="9"/>
        <v>7</v>
      </c>
    </row>
    <row r="274" spans="1:11" x14ac:dyDescent="0.35">
      <c r="A274" s="13">
        <v>43297</v>
      </c>
      <c r="B274" s="8">
        <v>22.2</v>
      </c>
      <c r="C274" s="8">
        <v>20.2</v>
      </c>
      <c r="D274" s="8">
        <v>28.4</v>
      </c>
      <c r="E274" s="8">
        <v>0</v>
      </c>
      <c r="F274" s="8" t="str">
        <f>IF(OR(B274&lt;outliers!$B$7,B274&gt;outliers!$B$6),"Outlier","Normal")</f>
        <v>Normal</v>
      </c>
      <c r="G274" s="8" t="str">
        <f>IF(OR(C274&lt;outliers!$B$14,C274&gt;outliers!$B$13),"Outlier","Normal")</f>
        <v>Normal</v>
      </c>
      <c r="H274" s="8" t="str">
        <f>IF(OR(D274&lt;outliers!$B$21,D274&gt;outliers!$B$20),"Outlier","Normal")</f>
        <v>Normal</v>
      </c>
      <c r="I274" s="8" t="str">
        <f>IF(OR(E274&lt;outliers!$C$28,E274&gt;outliers!$B$27),"Outlier","Normal")</f>
        <v>Normal</v>
      </c>
      <c r="J274" s="8">
        <f t="shared" si="8"/>
        <v>2018</v>
      </c>
      <c r="K274">
        <f t="shared" si="9"/>
        <v>7</v>
      </c>
    </row>
    <row r="275" spans="1:11" x14ac:dyDescent="0.35">
      <c r="A275" s="13">
        <v>43298</v>
      </c>
      <c r="B275" s="8">
        <v>22.5</v>
      </c>
      <c r="C275" s="8">
        <v>19.2</v>
      </c>
      <c r="D275" s="8">
        <v>26.2</v>
      </c>
      <c r="E275" s="8">
        <v>1.5</v>
      </c>
      <c r="F275" s="8" t="str">
        <f>IF(OR(B275&lt;outliers!$B$7,B275&gt;outliers!$B$6),"Outlier","Normal")</f>
        <v>Normal</v>
      </c>
      <c r="G275" s="8" t="str">
        <f>IF(OR(C275&lt;outliers!$B$14,C275&gt;outliers!$B$13),"Outlier","Normal")</f>
        <v>Normal</v>
      </c>
      <c r="H275" s="8" t="str">
        <f>IF(OR(D275&lt;outliers!$B$21,D275&gt;outliers!$B$20),"Outlier","Normal")</f>
        <v>Normal</v>
      </c>
      <c r="I275" s="8" t="str">
        <f>IF(OR(E275&lt;outliers!$C$28,E275&gt;outliers!$B$27),"Outlier","Normal")</f>
        <v>Normal</v>
      </c>
      <c r="J275" s="8">
        <f t="shared" si="8"/>
        <v>2018</v>
      </c>
      <c r="K275">
        <f t="shared" si="9"/>
        <v>7</v>
      </c>
    </row>
    <row r="276" spans="1:11" x14ac:dyDescent="0.35">
      <c r="A276" s="13">
        <v>43299</v>
      </c>
      <c r="B276" s="8">
        <v>23.8</v>
      </c>
      <c r="C276" s="8">
        <v>19.7</v>
      </c>
      <c r="D276" s="8">
        <v>29.2</v>
      </c>
      <c r="E276" s="8">
        <v>0</v>
      </c>
      <c r="F276" s="8" t="str">
        <f>IF(OR(B276&lt;outliers!$B$7,B276&gt;outliers!$B$6),"Outlier","Normal")</f>
        <v>Normal</v>
      </c>
      <c r="G276" s="8" t="str">
        <f>IF(OR(C276&lt;outliers!$B$14,C276&gt;outliers!$B$13),"Outlier","Normal")</f>
        <v>Normal</v>
      </c>
      <c r="H276" s="8" t="str">
        <f>IF(OR(D276&lt;outliers!$B$21,D276&gt;outliers!$B$20),"Outlier","Normal")</f>
        <v>Normal</v>
      </c>
      <c r="I276" s="8" t="str">
        <f>IF(OR(E276&lt;outliers!$C$28,E276&gt;outliers!$B$27),"Outlier","Normal")</f>
        <v>Normal</v>
      </c>
      <c r="J276" s="8">
        <f t="shared" si="8"/>
        <v>2018</v>
      </c>
      <c r="K276">
        <f t="shared" si="9"/>
        <v>7</v>
      </c>
    </row>
    <row r="277" spans="1:11" x14ac:dyDescent="0.35">
      <c r="A277" s="13">
        <v>43301</v>
      </c>
      <c r="B277" s="8">
        <v>23</v>
      </c>
      <c r="C277" s="8">
        <v>20.399999999999999</v>
      </c>
      <c r="D277" s="8">
        <v>27</v>
      </c>
      <c r="E277" s="8">
        <v>0</v>
      </c>
      <c r="F277" s="8" t="str">
        <f>IF(OR(B277&lt;outliers!$B$7,B277&gt;outliers!$B$6),"Outlier","Normal")</f>
        <v>Normal</v>
      </c>
      <c r="G277" s="8" t="str">
        <f>IF(OR(C277&lt;outliers!$B$14,C277&gt;outliers!$B$13),"Outlier","Normal")</f>
        <v>Normal</v>
      </c>
      <c r="H277" s="8" t="str">
        <f>IF(OR(D277&lt;outliers!$B$21,D277&gt;outliers!$B$20),"Outlier","Normal")</f>
        <v>Normal</v>
      </c>
      <c r="I277" s="8" t="str">
        <f>IF(OR(E277&lt;outliers!$C$28,E277&gt;outliers!$B$27),"Outlier","Normal")</f>
        <v>Normal</v>
      </c>
      <c r="J277" s="8">
        <f t="shared" si="8"/>
        <v>2018</v>
      </c>
      <c r="K277">
        <f t="shared" si="9"/>
        <v>7</v>
      </c>
    </row>
    <row r="278" spans="1:11" x14ac:dyDescent="0.35">
      <c r="A278" s="13">
        <v>43302</v>
      </c>
      <c r="B278" s="8">
        <v>22.7</v>
      </c>
      <c r="C278" s="8">
        <v>20.3</v>
      </c>
      <c r="D278" s="8">
        <v>26.9</v>
      </c>
      <c r="E278" s="8">
        <v>0</v>
      </c>
      <c r="F278" s="8" t="str">
        <f>IF(OR(B278&lt;outliers!$B$7,B278&gt;outliers!$B$6),"Outlier","Normal")</f>
        <v>Normal</v>
      </c>
      <c r="G278" s="8" t="str">
        <f>IF(OR(C278&lt;outliers!$B$14,C278&gt;outliers!$B$13),"Outlier","Normal")</f>
        <v>Normal</v>
      </c>
      <c r="H278" s="8" t="str">
        <f>IF(OR(D278&lt;outliers!$B$21,D278&gt;outliers!$B$20),"Outlier","Normal")</f>
        <v>Normal</v>
      </c>
      <c r="I278" s="8" t="str">
        <f>IF(OR(E278&lt;outliers!$C$28,E278&gt;outliers!$B$27),"Outlier","Normal")</f>
        <v>Normal</v>
      </c>
      <c r="J278" s="8">
        <f t="shared" si="8"/>
        <v>2018</v>
      </c>
      <c r="K278">
        <f t="shared" si="9"/>
        <v>7</v>
      </c>
    </row>
    <row r="279" spans="1:11" x14ac:dyDescent="0.35">
      <c r="A279" s="13">
        <v>43303</v>
      </c>
      <c r="B279" s="8">
        <v>23.6</v>
      </c>
      <c r="C279" s="8">
        <v>20.3</v>
      </c>
      <c r="D279" s="8">
        <v>28.9</v>
      </c>
      <c r="E279" s="8">
        <v>0.3</v>
      </c>
      <c r="F279" s="8" t="str">
        <f>IF(OR(B279&lt;outliers!$B$7,B279&gt;outliers!$B$6),"Outlier","Normal")</f>
        <v>Normal</v>
      </c>
      <c r="G279" s="8" t="str">
        <f>IF(OR(C279&lt;outliers!$B$14,C279&gt;outliers!$B$13),"Outlier","Normal")</f>
        <v>Normal</v>
      </c>
      <c r="H279" s="8" t="str">
        <f>IF(OR(D279&lt;outliers!$B$21,D279&gt;outliers!$B$20),"Outlier","Normal")</f>
        <v>Normal</v>
      </c>
      <c r="I279" s="8" t="str">
        <f>IF(OR(E279&lt;outliers!$C$28,E279&gt;outliers!$B$27),"Outlier","Normal")</f>
        <v>Normal</v>
      </c>
      <c r="J279" s="8">
        <f t="shared" si="8"/>
        <v>2018</v>
      </c>
      <c r="K279">
        <f t="shared" si="9"/>
        <v>7</v>
      </c>
    </row>
    <row r="280" spans="1:11" x14ac:dyDescent="0.35">
      <c r="A280" s="13">
        <v>43304</v>
      </c>
      <c r="B280" s="8">
        <v>22.7</v>
      </c>
      <c r="C280" s="8">
        <v>20.2</v>
      </c>
      <c r="D280" s="8">
        <v>28.3</v>
      </c>
      <c r="E280" s="8">
        <v>0</v>
      </c>
      <c r="F280" s="8" t="str">
        <f>IF(OR(B280&lt;outliers!$B$7,B280&gt;outliers!$B$6),"Outlier","Normal")</f>
        <v>Normal</v>
      </c>
      <c r="G280" s="8" t="str">
        <f>IF(OR(C280&lt;outliers!$B$14,C280&gt;outliers!$B$13),"Outlier","Normal")</f>
        <v>Normal</v>
      </c>
      <c r="H280" s="8" t="str">
        <f>IF(OR(D280&lt;outliers!$B$21,D280&gt;outliers!$B$20),"Outlier","Normal")</f>
        <v>Normal</v>
      </c>
      <c r="I280" s="8" t="str">
        <f>IF(OR(E280&lt;outliers!$C$28,E280&gt;outliers!$B$27),"Outlier","Normal")</f>
        <v>Normal</v>
      </c>
      <c r="J280" s="8">
        <f t="shared" si="8"/>
        <v>2018</v>
      </c>
      <c r="K280">
        <f t="shared" si="9"/>
        <v>7</v>
      </c>
    </row>
    <row r="281" spans="1:11" hidden="1" x14ac:dyDescent="0.35">
      <c r="A281" s="13">
        <v>43305</v>
      </c>
      <c r="B281" s="8">
        <v>23.1</v>
      </c>
      <c r="C281" s="8">
        <v>20.3</v>
      </c>
      <c r="D281" s="8">
        <v>28.6</v>
      </c>
      <c r="E281" s="8">
        <v>14.2</v>
      </c>
      <c r="F281" s="8" t="str">
        <f>IF(OR(B281&lt;outliers!$B$7,B281&gt;outliers!$B$6),"Outlier","Normal")</f>
        <v>Normal</v>
      </c>
      <c r="G281" s="8" t="str">
        <f>IF(OR(C281&lt;outliers!$B$14,C281&gt;outliers!$B$13),"Outlier","Normal")</f>
        <v>Normal</v>
      </c>
      <c r="H281" s="8" t="str">
        <f>IF(OR(D281&lt;outliers!$B$21,D281&gt;outliers!$B$20),"Outlier","Normal")</f>
        <v>Normal</v>
      </c>
      <c r="I281" s="8" t="str">
        <f>IF(OR(E281&lt;outliers!$C$28,E281&gt;outliers!$B$27),"Outlier","Normal")</f>
        <v>Outlier</v>
      </c>
      <c r="J281" s="8">
        <f t="shared" si="8"/>
        <v>2018</v>
      </c>
      <c r="K281">
        <f t="shared" si="9"/>
        <v>7</v>
      </c>
    </row>
    <row r="282" spans="1:11" x14ac:dyDescent="0.35">
      <c r="A282" s="13">
        <v>43306</v>
      </c>
      <c r="B282" s="8">
        <v>23.3</v>
      </c>
      <c r="C282" s="8">
        <v>20.2</v>
      </c>
      <c r="D282" s="8">
        <v>28.2</v>
      </c>
      <c r="E282" s="8">
        <v>2</v>
      </c>
      <c r="F282" s="8" t="str">
        <f>IF(OR(B282&lt;outliers!$B$7,B282&gt;outliers!$B$6),"Outlier","Normal")</f>
        <v>Normal</v>
      </c>
      <c r="G282" s="8" t="str">
        <f>IF(OR(C282&lt;outliers!$B$14,C282&gt;outliers!$B$13),"Outlier","Normal")</f>
        <v>Normal</v>
      </c>
      <c r="H282" s="8" t="str">
        <f>IF(OR(D282&lt;outliers!$B$21,D282&gt;outliers!$B$20),"Outlier","Normal")</f>
        <v>Normal</v>
      </c>
      <c r="I282" s="8" t="str">
        <f>IF(OR(E282&lt;outliers!$C$28,E282&gt;outliers!$B$27),"Outlier","Normal")</f>
        <v>Normal</v>
      </c>
      <c r="J282" s="8">
        <f t="shared" si="8"/>
        <v>2018</v>
      </c>
      <c r="K282">
        <f t="shared" si="9"/>
        <v>7</v>
      </c>
    </row>
    <row r="283" spans="1:11" x14ac:dyDescent="0.35">
      <c r="A283" s="13">
        <v>43307</v>
      </c>
      <c r="B283" s="8">
        <v>23.7</v>
      </c>
      <c r="C283" s="8">
        <v>20.6</v>
      </c>
      <c r="D283" s="8">
        <v>28.8</v>
      </c>
      <c r="E283" s="8">
        <v>0.8</v>
      </c>
      <c r="F283" s="8" t="str">
        <f>IF(OR(B283&lt;outliers!$B$7,B283&gt;outliers!$B$6),"Outlier","Normal")</f>
        <v>Normal</v>
      </c>
      <c r="G283" s="8" t="str">
        <f>IF(OR(C283&lt;outliers!$B$14,C283&gt;outliers!$B$13),"Outlier","Normal")</f>
        <v>Normal</v>
      </c>
      <c r="H283" s="8" t="str">
        <f>IF(OR(D283&lt;outliers!$B$21,D283&gt;outliers!$B$20),"Outlier","Normal")</f>
        <v>Normal</v>
      </c>
      <c r="I283" s="8" t="str">
        <f>IF(OR(E283&lt;outliers!$C$28,E283&gt;outliers!$B$27),"Outlier","Normal")</f>
        <v>Normal</v>
      </c>
      <c r="J283" s="8">
        <f t="shared" si="8"/>
        <v>2018</v>
      </c>
      <c r="K283">
        <f t="shared" si="9"/>
        <v>7</v>
      </c>
    </row>
    <row r="284" spans="1:11" x14ac:dyDescent="0.35">
      <c r="A284" s="13">
        <v>43308</v>
      </c>
      <c r="B284" s="8">
        <v>23.3</v>
      </c>
      <c r="C284" s="8">
        <v>20.5</v>
      </c>
      <c r="D284" s="8">
        <v>27.3</v>
      </c>
      <c r="E284" s="8">
        <v>0</v>
      </c>
      <c r="F284" s="8" t="str">
        <f>IF(OR(B284&lt;outliers!$B$7,B284&gt;outliers!$B$6),"Outlier","Normal")</f>
        <v>Normal</v>
      </c>
      <c r="G284" s="8" t="str">
        <f>IF(OR(C284&lt;outliers!$B$14,C284&gt;outliers!$B$13),"Outlier","Normal")</f>
        <v>Normal</v>
      </c>
      <c r="H284" s="8" t="str">
        <f>IF(OR(D284&lt;outliers!$B$21,D284&gt;outliers!$B$20),"Outlier","Normal")</f>
        <v>Normal</v>
      </c>
      <c r="I284" s="8" t="str">
        <f>IF(OR(E284&lt;outliers!$C$28,E284&gt;outliers!$B$27),"Outlier","Normal")</f>
        <v>Normal</v>
      </c>
      <c r="J284" s="8">
        <f t="shared" si="8"/>
        <v>2018</v>
      </c>
      <c r="K284">
        <f t="shared" si="9"/>
        <v>7</v>
      </c>
    </row>
    <row r="285" spans="1:11" x14ac:dyDescent="0.35">
      <c r="A285" s="13">
        <v>43309</v>
      </c>
      <c r="B285" s="8">
        <v>23.5</v>
      </c>
      <c r="C285" s="8">
        <v>20</v>
      </c>
      <c r="D285" s="8">
        <v>27.3</v>
      </c>
      <c r="E285" s="8">
        <v>0.3</v>
      </c>
      <c r="F285" s="8" t="str">
        <f>IF(OR(B285&lt;outliers!$B$7,B285&gt;outliers!$B$6),"Outlier","Normal")</f>
        <v>Normal</v>
      </c>
      <c r="G285" s="8" t="str">
        <f>IF(OR(C285&lt;outliers!$B$14,C285&gt;outliers!$B$13),"Outlier","Normal")</f>
        <v>Normal</v>
      </c>
      <c r="H285" s="8" t="str">
        <f>IF(OR(D285&lt;outliers!$B$21,D285&gt;outliers!$B$20),"Outlier","Normal")</f>
        <v>Normal</v>
      </c>
      <c r="I285" s="8" t="str">
        <f>IF(OR(E285&lt;outliers!$C$28,E285&gt;outliers!$B$27),"Outlier","Normal")</f>
        <v>Normal</v>
      </c>
      <c r="J285" s="8">
        <f t="shared" si="8"/>
        <v>2018</v>
      </c>
      <c r="K285">
        <f t="shared" si="9"/>
        <v>7</v>
      </c>
    </row>
    <row r="286" spans="1:11" hidden="1" x14ac:dyDescent="0.35">
      <c r="A286" s="13">
        <v>43310</v>
      </c>
      <c r="B286" s="8">
        <v>23.8</v>
      </c>
      <c r="C286" s="8">
        <v>20.7</v>
      </c>
      <c r="D286" s="8">
        <v>27.4</v>
      </c>
      <c r="E286" s="8">
        <v>11.9</v>
      </c>
      <c r="F286" s="8" t="str">
        <f>IF(OR(B286&lt;outliers!$B$7,B286&gt;outliers!$B$6),"Outlier","Normal")</f>
        <v>Normal</v>
      </c>
      <c r="G286" s="8" t="str">
        <f>IF(OR(C286&lt;outliers!$B$14,C286&gt;outliers!$B$13),"Outlier","Normal")</f>
        <v>Normal</v>
      </c>
      <c r="H286" s="8" t="str">
        <f>IF(OR(D286&lt;outliers!$B$21,D286&gt;outliers!$B$20),"Outlier","Normal")</f>
        <v>Normal</v>
      </c>
      <c r="I286" s="8" t="str">
        <f>IF(OR(E286&lt;outliers!$C$28,E286&gt;outliers!$B$27),"Outlier","Normal")</f>
        <v>Outlier</v>
      </c>
      <c r="J286" s="8">
        <f t="shared" si="8"/>
        <v>2018</v>
      </c>
      <c r="K286">
        <f t="shared" si="9"/>
        <v>7</v>
      </c>
    </row>
    <row r="287" spans="1:11" x14ac:dyDescent="0.35">
      <c r="A287" s="13">
        <v>43311</v>
      </c>
      <c r="B287" s="8">
        <v>23.8</v>
      </c>
      <c r="C287" s="8">
        <v>20.5</v>
      </c>
      <c r="D287" s="8">
        <v>27.8</v>
      </c>
      <c r="E287" s="8">
        <v>0.5</v>
      </c>
      <c r="F287" s="8" t="str">
        <f>IF(OR(B287&lt;outliers!$B$7,B287&gt;outliers!$B$6),"Outlier","Normal")</f>
        <v>Normal</v>
      </c>
      <c r="G287" s="8" t="str">
        <f>IF(OR(C287&lt;outliers!$B$14,C287&gt;outliers!$B$13),"Outlier","Normal")</f>
        <v>Normal</v>
      </c>
      <c r="H287" s="8" t="str">
        <f>IF(OR(D287&lt;outliers!$B$21,D287&gt;outliers!$B$20),"Outlier","Normal")</f>
        <v>Normal</v>
      </c>
      <c r="I287" s="8" t="str">
        <f>IF(OR(E287&lt;outliers!$C$28,E287&gt;outliers!$B$27),"Outlier","Normal")</f>
        <v>Normal</v>
      </c>
      <c r="J287" s="8">
        <f t="shared" si="8"/>
        <v>2018</v>
      </c>
      <c r="K287">
        <f t="shared" si="9"/>
        <v>7</v>
      </c>
    </row>
    <row r="288" spans="1:11" x14ac:dyDescent="0.35">
      <c r="A288" s="13">
        <v>43312</v>
      </c>
      <c r="B288" s="8">
        <v>23.1</v>
      </c>
      <c r="C288" s="8">
        <v>20.3</v>
      </c>
      <c r="D288" s="8">
        <v>28.3</v>
      </c>
      <c r="E288" s="8">
        <v>4.8</v>
      </c>
      <c r="F288" s="8" t="str">
        <f>IF(OR(B288&lt;outliers!$B$7,B288&gt;outliers!$B$6),"Outlier","Normal")</f>
        <v>Normal</v>
      </c>
      <c r="G288" s="8" t="str">
        <f>IF(OR(C288&lt;outliers!$B$14,C288&gt;outliers!$B$13),"Outlier","Normal")</f>
        <v>Normal</v>
      </c>
      <c r="H288" s="8" t="str">
        <f>IF(OR(D288&lt;outliers!$B$21,D288&gt;outliers!$B$20),"Outlier","Normal")</f>
        <v>Normal</v>
      </c>
      <c r="I288" s="8" t="str">
        <f>IF(OR(E288&lt;outliers!$C$28,E288&gt;outliers!$B$27),"Outlier","Normal")</f>
        <v>Normal</v>
      </c>
      <c r="J288" s="8">
        <f t="shared" si="8"/>
        <v>2018</v>
      </c>
      <c r="K288">
        <f t="shared" si="9"/>
        <v>7</v>
      </c>
    </row>
    <row r="289" spans="1:11" x14ac:dyDescent="0.35">
      <c r="A289" s="13">
        <v>43313</v>
      </c>
      <c r="B289" s="8">
        <v>21.9</v>
      </c>
      <c r="C289" s="8">
        <v>19.399999999999999</v>
      </c>
      <c r="D289" s="8">
        <v>27.2</v>
      </c>
      <c r="E289" s="8">
        <v>5.3</v>
      </c>
      <c r="F289" s="8" t="str">
        <f>IF(OR(B289&lt;outliers!$B$7,B289&gt;outliers!$B$6),"Outlier","Normal")</f>
        <v>Normal</v>
      </c>
      <c r="G289" s="8" t="str">
        <f>IF(OR(C289&lt;outliers!$B$14,C289&gt;outliers!$B$13),"Outlier","Normal")</f>
        <v>Normal</v>
      </c>
      <c r="H289" s="8" t="str">
        <f>IF(OR(D289&lt;outliers!$B$21,D289&gt;outliers!$B$20),"Outlier","Normal")</f>
        <v>Normal</v>
      </c>
      <c r="I289" s="8" t="str">
        <f>IF(OR(E289&lt;outliers!$C$28,E289&gt;outliers!$B$27),"Outlier","Normal")</f>
        <v>Normal</v>
      </c>
      <c r="J289" s="8">
        <f t="shared" si="8"/>
        <v>2018</v>
      </c>
      <c r="K289">
        <f t="shared" si="9"/>
        <v>8</v>
      </c>
    </row>
    <row r="290" spans="1:11" hidden="1" x14ac:dyDescent="0.35">
      <c r="A290" s="13">
        <v>43314</v>
      </c>
      <c r="B290" s="8">
        <v>23.6</v>
      </c>
      <c r="C290" s="8">
        <v>18.7</v>
      </c>
      <c r="D290" s="8">
        <v>29.4</v>
      </c>
      <c r="E290" s="8">
        <v>15</v>
      </c>
      <c r="F290" s="8" t="str">
        <f>IF(OR(B290&lt;outliers!$B$7,B290&gt;outliers!$B$6),"Outlier","Normal")</f>
        <v>Normal</v>
      </c>
      <c r="G290" s="8" t="str">
        <f>IF(OR(C290&lt;outliers!$B$14,C290&gt;outliers!$B$13),"Outlier","Normal")</f>
        <v>Normal</v>
      </c>
      <c r="H290" s="8" t="str">
        <f>IF(OR(D290&lt;outliers!$B$21,D290&gt;outliers!$B$20),"Outlier","Normal")</f>
        <v>Normal</v>
      </c>
      <c r="I290" s="8" t="str">
        <f>IF(OR(E290&lt;outliers!$C$28,E290&gt;outliers!$B$27),"Outlier","Normal")</f>
        <v>Outlier</v>
      </c>
      <c r="J290" s="8">
        <f t="shared" si="8"/>
        <v>2018</v>
      </c>
      <c r="K290">
        <f t="shared" si="9"/>
        <v>8</v>
      </c>
    </row>
    <row r="291" spans="1:11" x14ac:dyDescent="0.35">
      <c r="A291" s="13">
        <v>43315</v>
      </c>
      <c r="B291" s="8">
        <v>23.3</v>
      </c>
      <c r="C291" s="8">
        <v>20.8</v>
      </c>
      <c r="D291" s="8">
        <v>28.6</v>
      </c>
      <c r="E291" s="8">
        <v>0</v>
      </c>
      <c r="F291" s="8" t="str">
        <f>IF(OR(B291&lt;outliers!$B$7,B291&gt;outliers!$B$6),"Outlier","Normal")</f>
        <v>Normal</v>
      </c>
      <c r="G291" s="8" t="str">
        <f>IF(OR(C291&lt;outliers!$B$14,C291&gt;outliers!$B$13),"Outlier","Normal")</f>
        <v>Normal</v>
      </c>
      <c r="H291" s="8" t="str">
        <f>IF(OR(D291&lt;outliers!$B$21,D291&gt;outliers!$B$20),"Outlier","Normal")</f>
        <v>Normal</v>
      </c>
      <c r="I291" s="8" t="str">
        <f>IF(OR(E291&lt;outliers!$C$28,E291&gt;outliers!$B$27),"Outlier","Normal")</f>
        <v>Normal</v>
      </c>
      <c r="J291" s="8">
        <f t="shared" si="8"/>
        <v>2018</v>
      </c>
      <c r="K291">
        <f t="shared" si="9"/>
        <v>8</v>
      </c>
    </row>
    <row r="292" spans="1:11" x14ac:dyDescent="0.35">
      <c r="A292" s="13">
        <v>43316</v>
      </c>
      <c r="B292" s="8">
        <v>22.8</v>
      </c>
      <c r="C292" s="8">
        <v>20.100000000000001</v>
      </c>
      <c r="D292" s="8">
        <v>28.8</v>
      </c>
      <c r="E292" s="8">
        <v>2.5</v>
      </c>
      <c r="F292" s="8" t="str">
        <f>IF(OR(B292&lt;outliers!$B$7,B292&gt;outliers!$B$6),"Outlier","Normal")</f>
        <v>Normal</v>
      </c>
      <c r="G292" s="8" t="str">
        <f>IF(OR(C292&lt;outliers!$B$14,C292&gt;outliers!$B$13),"Outlier","Normal")</f>
        <v>Normal</v>
      </c>
      <c r="H292" s="8" t="str">
        <f>IF(OR(D292&lt;outliers!$B$21,D292&gt;outliers!$B$20),"Outlier","Normal")</f>
        <v>Normal</v>
      </c>
      <c r="I292" s="8" t="str">
        <f>IF(OR(E292&lt;outliers!$C$28,E292&gt;outliers!$B$27),"Outlier","Normal")</f>
        <v>Normal</v>
      </c>
      <c r="J292" s="8">
        <f t="shared" si="8"/>
        <v>2018</v>
      </c>
      <c r="K292">
        <f t="shared" si="9"/>
        <v>8</v>
      </c>
    </row>
    <row r="293" spans="1:11" x14ac:dyDescent="0.35">
      <c r="A293" s="13">
        <v>43317</v>
      </c>
      <c r="B293" s="8">
        <v>23.8</v>
      </c>
      <c r="C293" s="8">
        <v>20.3</v>
      </c>
      <c r="D293" s="8">
        <v>27.8</v>
      </c>
      <c r="E293" s="8">
        <v>0</v>
      </c>
      <c r="F293" s="8" t="str">
        <f>IF(OR(B293&lt;outliers!$B$7,B293&gt;outliers!$B$6),"Outlier","Normal")</f>
        <v>Normal</v>
      </c>
      <c r="G293" s="8" t="str">
        <f>IF(OR(C293&lt;outliers!$B$14,C293&gt;outliers!$B$13),"Outlier","Normal")</f>
        <v>Normal</v>
      </c>
      <c r="H293" s="8" t="str">
        <f>IF(OR(D293&lt;outliers!$B$21,D293&gt;outliers!$B$20),"Outlier","Normal")</f>
        <v>Normal</v>
      </c>
      <c r="I293" s="8" t="str">
        <f>IF(OR(E293&lt;outliers!$C$28,E293&gt;outliers!$B$27),"Outlier","Normal")</f>
        <v>Normal</v>
      </c>
      <c r="J293" s="8">
        <f t="shared" si="8"/>
        <v>2018</v>
      </c>
      <c r="K293">
        <f t="shared" si="9"/>
        <v>8</v>
      </c>
    </row>
    <row r="294" spans="1:11" x14ac:dyDescent="0.35">
      <c r="A294" s="13">
        <v>43318</v>
      </c>
      <c r="B294" s="8">
        <v>22.7</v>
      </c>
      <c r="C294" s="8">
        <v>20.2</v>
      </c>
      <c r="D294" s="8">
        <v>28.1</v>
      </c>
      <c r="E294" s="8">
        <v>0.5</v>
      </c>
      <c r="F294" s="8" t="str">
        <f>IF(OR(B294&lt;outliers!$B$7,B294&gt;outliers!$B$6),"Outlier","Normal")</f>
        <v>Normal</v>
      </c>
      <c r="G294" s="8" t="str">
        <f>IF(OR(C294&lt;outliers!$B$14,C294&gt;outliers!$B$13),"Outlier","Normal")</f>
        <v>Normal</v>
      </c>
      <c r="H294" s="8" t="str">
        <f>IF(OR(D294&lt;outliers!$B$21,D294&gt;outliers!$B$20),"Outlier","Normal")</f>
        <v>Normal</v>
      </c>
      <c r="I294" s="8" t="str">
        <f>IF(OR(E294&lt;outliers!$C$28,E294&gt;outliers!$B$27),"Outlier","Normal")</f>
        <v>Normal</v>
      </c>
      <c r="J294" s="8">
        <f t="shared" si="8"/>
        <v>2018</v>
      </c>
      <c r="K294">
        <f t="shared" si="9"/>
        <v>8</v>
      </c>
    </row>
    <row r="295" spans="1:11" hidden="1" x14ac:dyDescent="0.35">
      <c r="A295" s="13">
        <v>43319</v>
      </c>
      <c r="B295" s="8">
        <v>21.9</v>
      </c>
      <c r="C295" s="8">
        <v>19.7</v>
      </c>
      <c r="D295" s="8">
        <v>27.7</v>
      </c>
      <c r="E295" s="8">
        <v>11.4</v>
      </c>
      <c r="F295" s="8" t="str">
        <f>IF(OR(B295&lt;outliers!$B$7,B295&gt;outliers!$B$6),"Outlier","Normal")</f>
        <v>Normal</v>
      </c>
      <c r="G295" s="8" t="str">
        <f>IF(OR(C295&lt;outliers!$B$14,C295&gt;outliers!$B$13),"Outlier","Normal")</f>
        <v>Normal</v>
      </c>
      <c r="H295" s="8" t="str">
        <f>IF(OR(D295&lt;outliers!$B$21,D295&gt;outliers!$B$20),"Outlier","Normal")</f>
        <v>Normal</v>
      </c>
      <c r="I295" s="8" t="str">
        <f>IF(OR(E295&lt;outliers!$C$28,E295&gt;outliers!$B$27),"Outlier","Normal")</f>
        <v>Outlier</v>
      </c>
      <c r="J295" s="8">
        <f t="shared" si="8"/>
        <v>2018</v>
      </c>
      <c r="K295">
        <f t="shared" si="9"/>
        <v>8</v>
      </c>
    </row>
    <row r="296" spans="1:11" x14ac:dyDescent="0.35">
      <c r="A296" s="13">
        <v>43320</v>
      </c>
      <c r="B296" s="8">
        <v>22</v>
      </c>
      <c r="C296" s="8">
        <v>20</v>
      </c>
      <c r="D296" s="8">
        <v>25.4</v>
      </c>
      <c r="E296" s="8">
        <v>3.6</v>
      </c>
      <c r="F296" s="8" t="str">
        <f>IF(OR(B296&lt;outliers!$B$7,B296&gt;outliers!$B$6),"Outlier","Normal")</f>
        <v>Normal</v>
      </c>
      <c r="G296" s="8" t="str">
        <f>IF(OR(C296&lt;outliers!$B$14,C296&gt;outliers!$B$13),"Outlier","Normal")</f>
        <v>Normal</v>
      </c>
      <c r="H296" s="8" t="str">
        <f>IF(OR(D296&lt;outliers!$B$21,D296&gt;outliers!$B$20),"Outlier","Normal")</f>
        <v>Normal</v>
      </c>
      <c r="I296" s="8" t="str">
        <f>IF(OR(E296&lt;outliers!$C$28,E296&gt;outliers!$B$27),"Outlier","Normal")</f>
        <v>Normal</v>
      </c>
      <c r="J296" s="8">
        <f t="shared" si="8"/>
        <v>2018</v>
      </c>
      <c r="K296">
        <f t="shared" si="9"/>
        <v>8</v>
      </c>
    </row>
    <row r="297" spans="1:11" x14ac:dyDescent="0.35">
      <c r="A297" s="13">
        <v>43321</v>
      </c>
      <c r="B297" s="8">
        <v>23.4</v>
      </c>
      <c r="C297" s="8">
        <v>20.2</v>
      </c>
      <c r="D297" s="8">
        <v>28.7</v>
      </c>
      <c r="E297" s="8">
        <v>8.9</v>
      </c>
      <c r="F297" s="8" t="str">
        <f>IF(OR(B297&lt;outliers!$B$7,B297&gt;outliers!$B$6),"Outlier","Normal")</f>
        <v>Normal</v>
      </c>
      <c r="G297" s="8" t="str">
        <f>IF(OR(C297&lt;outliers!$B$14,C297&gt;outliers!$B$13),"Outlier","Normal")</f>
        <v>Normal</v>
      </c>
      <c r="H297" s="8" t="str">
        <f>IF(OR(D297&lt;outliers!$B$21,D297&gt;outliers!$B$20),"Outlier","Normal")</f>
        <v>Normal</v>
      </c>
      <c r="I297" s="8" t="str">
        <f>IF(OR(E297&lt;outliers!$C$28,E297&gt;outliers!$B$27),"Outlier","Normal")</f>
        <v>Normal</v>
      </c>
      <c r="J297" s="8">
        <f t="shared" si="8"/>
        <v>2018</v>
      </c>
      <c r="K297">
        <f t="shared" si="9"/>
        <v>8</v>
      </c>
    </row>
    <row r="298" spans="1:11" x14ac:dyDescent="0.35">
      <c r="A298" s="13">
        <v>43322</v>
      </c>
      <c r="B298" s="8">
        <v>22.7</v>
      </c>
      <c r="C298" s="8">
        <v>20.5</v>
      </c>
      <c r="D298" s="8">
        <v>28.2</v>
      </c>
      <c r="E298" s="8">
        <v>0</v>
      </c>
      <c r="F298" s="8" t="str">
        <f>IF(OR(B298&lt;outliers!$B$7,B298&gt;outliers!$B$6),"Outlier","Normal")</f>
        <v>Normal</v>
      </c>
      <c r="G298" s="8" t="str">
        <f>IF(OR(C298&lt;outliers!$B$14,C298&gt;outliers!$B$13),"Outlier","Normal")</f>
        <v>Normal</v>
      </c>
      <c r="H298" s="8" t="str">
        <f>IF(OR(D298&lt;outliers!$B$21,D298&gt;outliers!$B$20),"Outlier","Normal")</f>
        <v>Normal</v>
      </c>
      <c r="I298" s="8" t="str">
        <f>IF(OR(E298&lt;outliers!$C$28,E298&gt;outliers!$B$27),"Outlier","Normal")</f>
        <v>Normal</v>
      </c>
      <c r="J298" s="8">
        <f t="shared" si="8"/>
        <v>2018</v>
      </c>
      <c r="K298">
        <f t="shared" si="9"/>
        <v>8</v>
      </c>
    </row>
    <row r="299" spans="1:11" x14ac:dyDescent="0.35">
      <c r="A299" s="13">
        <v>43323</v>
      </c>
      <c r="B299" s="8">
        <v>21.9</v>
      </c>
      <c r="C299" s="8">
        <v>20</v>
      </c>
      <c r="D299" s="8">
        <v>26.5</v>
      </c>
      <c r="E299" s="8">
        <v>1.8</v>
      </c>
      <c r="F299" s="8" t="str">
        <f>IF(OR(B299&lt;outliers!$B$7,B299&gt;outliers!$B$6),"Outlier","Normal")</f>
        <v>Normal</v>
      </c>
      <c r="G299" s="8" t="str">
        <f>IF(OR(C299&lt;outliers!$B$14,C299&gt;outliers!$B$13),"Outlier","Normal")</f>
        <v>Normal</v>
      </c>
      <c r="H299" s="8" t="str">
        <f>IF(OR(D299&lt;outliers!$B$21,D299&gt;outliers!$B$20),"Outlier","Normal")</f>
        <v>Normal</v>
      </c>
      <c r="I299" s="8" t="str">
        <f>IF(OR(E299&lt;outliers!$C$28,E299&gt;outliers!$B$27),"Outlier","Normal")</f>
        <v>Normal</v>
      </c>
      <c r="J299" s="8">
        <f t="shared" si="8"/>
        <v>2018</v>
      </c>
      <c r="K299">
        <f t="shared" si="9"/>
        <v>8</v>
      </c>
    </row>
    <row r="300" spans="1:11" x14ac:dyDescent="0.35">
      <c r="A300" s="13">
        <v>43324</v>
      </c>
      <c r="B300" s="8">
        <v>21.5</v>
      </c>
      <c r="C300" s="8">
        <v>19.899999999999999</v>
      </c>
      <c r="D300" s="8">
        <v>25.6</v>
      </c>
      <c r="E300" s="8">
        <v>2.2999999999999998</v>
      </c>
      <c r="F300" s="8" t="str">
        <f>IF(OR(B300&lt;outliers!$B$7,B300&gt;outliers!$B$6),"Outlier","Normal")</f>
        <v>Normal</v>
      </c>
      <c r="G300" s="8" t="str">
        <f>IF(OR(C300&lt;outliers!$B$14,C300&gt;outliers!$B$13),"Outlier","Normal")</f>
        <v>Normal</v>
      </c>
      <c r="H300" s="8" t="str">
        <f>IF(OR(D300&lt;outliers!$B$21,D300&gt;outliers!$B$20),"Outlier","Normal")</f>
        <v>Normal</v>
      </c>
      <c r="I300" s="8" t="str">
        <f>IF(OR(E300&lt;outliers!$C$28,E300&gt;outliers!$B$27),"Outlier","Normal")</f>
        <v>Normal</v>
      </c>
      <c r="J300" s="8">
        <f t="shared" si="8"/>
        <v>2018</v>
      </c>
      <c r="K300">
        <f t="shared" si="9"/>
        <v>8</v>
      </c>
    </row>
    <row r="301" spans="1:11" x14ac:dyDescent="0.35">
      <c r="A301" s="13">
        <v>43325</v>
      </c>
      <c r="B301" s="8">
        <v>21.7</v>
      </c>
      <c r="C301" s="8">
        <v>19.399999999999999</v>
      </c>
      <c r="D301" s="8">
        <v>24.6</v>
      </c>
      <c r="E301" s="8">
        <v>3.3</v>
      </c>
      <c r="F301" s="8" t="str">
        <f>IF(OR(B301&lt;outliers!$B$7,B301&gt;outliers!$B$6),"Outlier","Normal")</f>
        <v>Normal</v>
      </c>
      <c r="G301" s="8" t="str">
        <f>IF(OR(C301&lt;outliers!$B$14,C301&gt;outliers!$B$13),"Outlier","Normal")</f>
        <v>Normal</v>
      </c>
      <c r="H301" s="8" t="str">
        <f>IF(OR(D301&lt;outliers!$B$21,D301&gt;outliers!$B$20),"Outlier","Normal")</f>
        <v>Normal</v>
      </c>
      <c r="I301" s="8" t="str">
        <f>IF(OR(E301&lt;outliers!$C$28,E301&gt;outliers!$B$27),"Outlier","Normal")</f>
        <v>Normal</v>
      </c>
      <c r="J301" s="8">
        <f t="shared" si="8"/>
        <v>2018</v>
      </c>
      <c r="K301">
        <f t="shared" si="9"/>
        <v>8</v>
      </c>
    </row>
    <row r="302" spans="1:11" x14ac:dyDescent="0.35">
      <c r="A302" s="13">
        <v>43326</v>
      </c>
      <c r="B302" s="8">
        <v>21.9</v>
      </c>
      <c r="C302" s="8">
        <v>19.600000000000001</v>
      </c>
      <c r="D302" s="8">
        <v>26.9</v>
      </c>
      <c r="E302" s="8">
        <v>1</v>
      </c>
      <c r="F302" s="8" t="str">
        <f>IF(OR(B302&lt;outliers!$B$7,B302&gt;outliers!$B$6),"Outlier","Normal")</f>
        <v>Normal</v>
      </c>
      <c r="G302" s="8" t="str">
        <f>IF(OR(C302&lt;outliers!$B$14,C302&gt;outliers!$B$13),"Outlier","Normal")</f>
        <v>Normal</v>
      </c>
      <c r="H302" s="8" t="str">
        <f>IF(OR(D302&lt;outliers!$B$21,D302&gt;outliers!$B$20),"Outlier","Normal")</f>
        <v>Normal</v>
      </c>
      <c r="I302" s="8" t="str">
        <f>IF(OR(E302&lt;outliers!$C$28,E302&gt;outliers!$B$27),"Outlier","Normal")</f>
        <v>Normal</v>
      </c>
      <c r="J302" s="8">
        <f t="shared" si="8"/>
        <v>2018</v>
      </c>
      <c r="K302">
        <f t="shared" si="9"/>
        <v>8</v>
      </c>
    </row>
    <row r="303" spans="1:11" x14ac:dyDescent="0.35">
      <c r="A303" s="13">
        <v>43327</v>
      </c>
      <c r="B303" s="8">
        <v>22.2</v>
      </c>
      <c r="C303" s="8">
        <v>20.100000000000001</v>
      </c>
      <c r="D303" s="8">
        <v>25.7</v>
      </c>
      <c r="E303" s="8">
        <v>6.4</v>
      </c>
      <c r="F303" s="8" t="str">
        <f>IF(OR(B303&lt;outliers!$B$7,B303&gt;outliers!$B$6),"Outlier","Normal")</f>
        <v>Normal</v>
      </c>
      <c r="G303" s="8" t="str">
        <f>IF(OR(C303&lt;outliers!$B$14,C303&gt;outliers!$B$13),"Outlier","Normal")</f>
        <v>Normal</v>
      </c>
      <c r="H303" s="8" t="str">
        <f>IF(OR(D303&lt;outliers!$B$21,D303&gt;outliers!$B$20),"Outlier","Normal")</f>
        <v>Normal</v>
      </c>
      <c r="I303" s="8" t="str">
        <f>IF(OR(E303&lt;outliers!$C$28,E303&gt;outliers!$B$27),"Outlier","Normal")</f>
        <v>Normal</v>
      </c>
      <c r="J303" s="8">
        <f t="shared" si="8"/>
        <v>2018</v>
      </c>
      <c r="K303">
        <f t="shared" si="9"/>
        <v>8</v>
      </c>
    </row>
    <row r="304" spans="1:11" hidden="1" x14ac:dyDescent="0.35">
      <c r="A304" s="13">
        <v>43328</v>
      </c>
      <c r="B304" s="8">
        <v>22.4</v>
      </c>
      <c r="C304" s="8">
        <v>20.2</v>
      </c>
      <c r="D304" s="8">
        <v>25.7</v>
      </c>
      <c r="E304" s="8">
        <v>10.7</v>
      </c>
      <c r="F304" s="8" t="str">
        <f>IF(OR(B304&lt;outliers!$B$7,B304&gt;outliers!$B$6),"Outlier","Normal")</f>
        <v>Normal</v>
      </c>
      <c r="G304" s="8" t="str">
        <f>IF(OR(C304&lt;outliers!$B$14,C304&gt;outliers!$B$13),"Outlier","Normal")</f>
        <v>Normal</v>
      </c>
      <c r="H304" s="8" t="str">
        <f>IF(OR(D304&lt;outliers!$B$21,D304&gt;outliers!$B$20),"Outlier","Normal")</f>
        <v>Normal</v>
      </c>
      <c r="I304" s="8" t="str">
        <f>IF(OR(E304&lt;outliers!$C$28,E304&gt;outliers!$B$27),"Outlier","Normal")</f>
        <v>Outlier</v>
      </c>
      <c r="J304" s="8">
        <f t="shared" si="8"/>
        <v>2018</v>
      </c>
      <c r="K304">
        <f t="shared" si="9"/>
        <v>8</v>
      </c>
    </row>
    <row r="305" spans="1:11" x14ac:dyDescent="0.35">
      <c r="A305" s="13">
        <v>43329</v>
      </c>
      <c r="B305" s="8">
        <v>23.2</v>
      </c>
      <c r="C305" s="8">
        <v>20.3</v>
      </c>
      <c r="D305" s="8">
        <v>28.3</v>
      </c>
      <c r="E305" s="8">
        <v>0.5</v>
      </c>
      <c r="F305" s="8" t="str">
        <f>IF(OR(B305&lt;outliers!$B$7,B305&gt;outliers!$B$6),"Outlier","Normal")</f>
        <v>Normal</v>
      </c>
      <c r="G305" s="8" t="str">
        <f>IF(OR(C305&lt;outliers!$B$14,C305&gt;outliers!$B$13),"Outlier","Normal")</f>
        <v>Normal</v>
      </c>
      <c r="H305" s="8" t="str">
        <f>IF(OR(D305&lt;outliers!$B$21,D305&gt;outliers!$B$20),"Outlier","Normal")</f>
        <v>Normal</v>
      </c>
      <c r="I305" s="8" t="str">
        <f>IF(OR(E305&lt;outliers!$C$28,E305&gt;outliers!$B$27),"Outlier","Normal")</f>
        <v>Normal</v>
      </c>
      <c r="J305" s="8">
        <f t="shared" si="8"/>
        <v>2018</v>
      </c>
      <c r="K305">
        <f t="shared" si="9"/>
        <v>8</v>
      </c>
    </row>
    <row r="306" spans="1:11" x14ac:dyDescent="0.35">
      <c r="A306" s="13">
        <v>43330</v>
      </c>
      <c r="B306" s="8">
        <v>23.4</v>
      </c>
      <c r="C306" s="8">
        <v>20</v>
      </c>
      <c r="D306" s="8">
        <v>27.5</v>
      </c>
      <c r="E306" s="8">
        <v>0</v>
      </c>
      <c r="F306" s="8" t="str">
        <f>IF(OR(B306&lt;outliers!$B$7,B306&gt;outliers!$B$6),"Outlier","Normal")</f>
        <v>Normal</v>
      </c>
      <c r="G306" s="8" t="str">
        <f>IF(OR(C306&lt;outliers!$B$14,C306&gt;outliers!$B$13),"Outlier","Normal")</f>
        <v>Normal</v>
      </c>
      <c r="H306" s="8" t="str">
        <f>IF(OR(D306&lt;outliers!$B$21,D306&gt;outliers!$B$20),"Outlier","Normal")</f>
        <v>Normal</v>
      </c>
      <c r="I306" s="8" t="str">
        <f>IF(OR(E306&lt;outliers!$C$28,E306&gt;outliers!$B$27),"Outlier","Normal")</f>
        <v>Normal</v>
      </c>
      <c r="J306" s="8">
        <f t="shared" si="8"/>
        <v>2018</v>
      </c>
      <c r="K306">
        <f t="shared" si="9"/>
        <v>8</v>
      </c>
    </row>
    <row r="307" spans="1:11" x14ac:dyDescent="0.35">
      <c r="A307" s="13">
        <v>43331</v>
      </c>
      <c r="B307" s="8">
        <v>23.3</v>
      </c>
      <c r="C307" s="8">
        <v>20.7</v>
      </c>
      <c r="D307" s="8">
        <v>27.4</v>
      </c>
      <c r="E307" s="8">
        <v>0</v>
      </c>
      <c r="F307" s="8" t="str">
        <f>IF(OR(B307&lt;outliers!$B$7,B307&gt;outliers!$B$6),"Outlier","Normal")</f>
        <v>Normal</v>
      </c>
      <c r="G307" s="8" t="str">
        <f>IF(OR(C307&lt;outliers!$B$14,C307&gt;outliers!$B$13),"Outlier","Normal")</f>
        <v>Normal</v>
      </c>
      <c r="H307" s="8" t="str">
        <f>IF(OR(D307&lt;outliers!$B$21,D307&gt;outliers!$B$20),"Outlier","Normal")</f>
        <v>Normal</v>
      </c>
      <c r="I307" s="8" t="str">
        <f>IF(OR(E307&lt;outliers!$C$28,E307&gt;outliers!$B$27),"Outlier","Normal")</f>
        <v>Normal</v>
      </c>
      <c r="J307" s="8">
        <f t="shared" si="8"/>
        <v>2018</v>
      </c>
      <c r="K307">
        <f t="shared" si="9"/>
        <v>8</v>
      </c>
    </row>
    <row r="308" spans="1:11" x14ac:dyDescent="0.35">
      <c r="A308" s="13">
        <v>43332</v>
      </c>
      <c r="B308" s="8">
        <v>22.8</v>
      </c>
      <c r="C308" s="8">
        <v>20.2</v>
      </c>
      <c r="D308" s="8">
        <v>27.3</v>
      </c>
      <c r="E308" s="8">
        <v>0</v>
      </c>
      <c r="F308" s="8" t="str">
        <f>IF(OR(B308&lt;outliers!$B$7,B308&gt;outliers!$B$6),"Outlier","Normal")</f>
        <v>Normal</v>
      </c>
      <c r="G308" s="8" t="str">
        <f>IF(OR(C308&lt;outliers!$B$14,C308&gt;outliers!$B$13),"Outlier","Normal")</f>
        <v>Normal</v>
      </c>
      <c r="H308" s="8" t="str">
        <f>IF(OR(D308&lt;outliers!$B$21,D308&gt;outliers!$B$20),"Outlier","Normal")</f>
        <v>Normal</v>
      </c>
      <c r="I308" s="8" t="str">
        <f>IF(OR(E308&lt;outliers!$C$28,E308&gt;outliers!$B$27),"Outlier","Normal")</f>
        <v>Normal</v>
      </c>
      <c r="J308" s="8">
        <f t="shared" si="8"/>
        <v>2018</v>
      </c>
      <c r="K308">
        <f t="shared" si="9"/>
        <v>8</v>
      </c>
    </row>
    <row r="309" spans="1:11" x14ac:dyDescent="0.35">
      <c r="A309" s="13">
        <v>43333</v>
      </c>
      <c r="B309" s="8">
        <v>23.3</v>
      </c>
      <c r="C309" s="8">
        <v>19.7</v>
      </c>
      <c r="D309" s="8">
        <v>28.9</v>
      </c>
      <c r="E309" s="8">
        <v>0</v>
      </c>
      <c r="F309" s="8" t="str">
        <f>IF(OR(B309&lt;outliers!$B$7,B309&gt;outliers!$B$6),"Outlier","Normal")</f>
        <v>Normal</v>
      </c>
      <c r="G309" s="8" t="str">
        <f>IF(OR(C309&lt;outliers!$B$14,C309&gt;outliers!$B$13),"Outlier","Normal")</f>
        <v>Normal</v>
      </c>
      <c r="H309" s="8" t="str">
        <f>IF(OR(D309&lt;outliers!$B$21,D309&gt;outliers!$B$20),"Outlier","Normal")</f>
        <v>Normal</v>
      </c>
      <c r="I309" s="8" t="str">
        <f>IF(OR(E309&lt;outliers!$C$28,E309&gt;outliers!$B$27),"Outlier","Normal")</f>
        <v>Normal</v>
      </c>
      <c r="J309" s="8">
        <f t="shared" si="8"/>
        <v>2018</v>
      </c>
      <c r="K309">
        <f t="shared" si="9"/>
        <v>8</v>
      </c>
    </row>
    <row r="310" spans="1:11" x14ac:dyDescent="0.35">
      <c r="A310" s="13">
        <v>43334</v>
      </c>
      <c r="B310" s="8">
        <v>23.7</v>
      </c>
      <c r="C310" s="8">
        <v>19.7</v>
      </c>
      <c r="D310" s="8">
        <v>28.2</v>
      </c>
      <c r="E310" s="8">
        <v>0</v>
      </c>
      <c r="F310" s="8" t="str">
        <f>IF(OR(B310&lt;outliers!$B$7,B310&gt;outliers!$B$6),"Outlier","Normal")</f>
        <v>Normal</v>
      </c>
      <c r="G310" s="8" t="str">
        <f>IF(OR(C310&lt;outliers!$B$14,C310&gt;outliers!$B$13),"Outlier","Normal")</f>
        <v>Normal</v>
      </c>
      <c r="H310" s="8" t="str">
        <f>IF(OR(D310&lt;outliers!$B$21,D310&gt;outliers!$B$20),"Outlier","Normal")</f>
        <v>Normal</v>
      </c>
      <c r="I310" s="8" t="str">
        <f>IF(OR(E310&lt;outliers!$C$28,E310&gt;outliers!$B$27),"Outlier","Normal")</f>
        <v>Normal</v>
      </c>
      <c r="J310" s="8">
        <f t="shared" si="8"/>
        <v>2018</v>
      </c>
      <c r="K310">
        <f t="shared" si="9"/>
        <v>8</v>
      </c>
    </row>
    <row r="311" spans="1:11" x14ac:dyDescent="0.35">
      <c r="A311" s="13">
        <v>43335</v>
      </c>
      <c r="B311" s="8">
        <v>23.3</v>
      </c>
      <c r="C311" s="8">
        <v>20.5</v>
      </c>
      <c r="D311" s="8">
        <v>28</v>
      </c>
      <c r="E311" s="8">
        <v>0</v>
      </c>
      <c r="F311" s="8" t="str">
        <f>IF(OR(B311&lt;outliers!$B$7,B311&gt;outliers!$B$6),"Outlier","Normal")</f>
        <v>Normal</v>
      </c>
      <c r="G311" s="8" t="str">
        <f>IF(OR(C311&lt;outliers!$B$14,C311&gt;outliers!$B$13),"Outlier","Normal")</f>
        <v>Normal</v>
      </c>
      <c r="H311" s="8" t="str">
        <f>IF(OR(D311&lt;outliers!$B$21,D311&gt;outliers!$B$20),"Outlier","Normal")</f>
        <v>Normal</v>
      </c>
      <c r="I311" s="8" t="str">
        <f>IF(OR(E311&lt;outliers!$C$28,E311&gt;outliers!$B$27),"Outlier","Normal")</f>
        <v>Normal</v>
      </c>
      <c r="J311" s="8">
        <f t="shared" si="8"/>
        <v>2018</v>
      </c>
      <c r="K311">
        <f t="shared" si="9"/>
        <v>8</v>
      </c>
    </row>
    <row r="312" spans="1:11" x14ac:dyDescent="0.35">
      <c r="A312" s="13">
        <v>43336</v>
      </c>
      <c r="B312" s="8">
        <v>22.4</v>
      </c>
      <c r="C312" s="8">
        <v>19.899999999999999</v>
      </c>
      <c r="D312" s="8">
        <v>28.8</v>
      </c>
      <c r="E312" s="8">
        <v>3.3</v>
      </c>
      <c r="F312" s="8" t="str">
        <f>IF(OR(B312&lt;outliers!$B$7,B312&gt;outliers!$B$6),"Outlier","Normal")</f>
        <v>Normal</v>
      </c>
      <c r="G312" s="8" t="str">
        <f>IF(OR(C312&lt;outliers!$B$14,C312&gt;outliers!$B$13),"Outlier","Normal")</f>
        <v>Normal</v>
      </c>
      <c r="H312" s="8" t="str">
        <f>IF(OR(D312&lt;outliers!$B$21,D312&gt;outliers!$B$20),"Outlier","Normal")</f>
        <v>Normal</v>
      </c>
      <c r="I312" s="8" t="str">
        <f>IF(OR(E312&lt;outliers!$C$28,E312&gt;outliers!$B$27),"Outlier","Normal")</f>
        <v>Normal</v>
      </c>
      <c r="J312" s="8">
        <f t="shared" si="8"/>
        <v>2018</v>
      </c>
      <c r="K312">
        <f t="shared" si="9"/>
        <v>8</v>
      </c>
    </row>
    <row r="313" spans="1:11" hidden="1" x14ac:dyDescent="0.35">
      <c r="A313" s="13">
        <v>43337</v>
      </c>
      <c r="B313" s="8">
        <v>23.7</v>
      </c>
      <c r="C313" s="8">
        <v>19.8</v>
      </c>
      <c r="D313" s="8">
        <v>29.5</v>
      </c>
      <c r="E313" s="8">
        <v>41.7</v>
      </c>
      <c r="F313" s="8" t="str">
        <f>IF(OR(B313&lt;outliers!$B$7,B313&gt;outliers!$B$6),"Outlier","Normal")</f>
        <v>Normal</v>
      </c>
      <c r="G313" s="8" t="str">
        <f>IF(OR(C313&lt;outliers!$B$14,C313&gt;outliers!$B$13),"Outlier","Normal")</f>
        <v>Normal</v>
      </c>
      <c r="H313" s="8" t="str">
        <f>IF(OR(D313&lt;outliers!$B$21,D313&gt;outliers!$B$20),"Outlier","Normal")</f>
        <v>Normal</v>
      </c>
      <c r="I313" s="8" t="str">
        <f>IF(OR(E313&lt;outliers!$C$28,E313&gt;outliers!$B$27),"Outlier","Normal")</f>
        <v>Outlier</v>
      </c>
      <c r="J313" s="8">
        <f t="shared" si="8"/>
        <v>2018</v>
      </c>
      <c r="K313">
        <f t="shared" si="9"/>
        <v>8</v>
      </c>
    </row>
    <row r="314" spans="1:11" x14ac:dyDescent="0.35">
      <c r="A314" s="13">
        <v>43338</v>
      </c>
      <c r="B314" s="8">
        <v>22.4</v>
      </c>
      <c r="C314" s="8">
        <v>19.899999999999999</v>
      </c>
      <c r="D314" s="8">
        <v>28.5</v>
      </c>
      <c r="E314" s="8">
        <v>0</v>
      </c>
      <c r="F314" s="8" t="str">
        <f>IF(OR(B314&lt;outliers!$B$7,B314&gt;outliers!$B$6),"Outlier","Normal")</f>
        <v>Normal</v>
      </c>
      <c r="G314" s="8" t="str">
        <f>IF(OR(C314&lt;outliers!$B$14,C314&gt;outliers!$B$13),"Outlier","Normal")</f>
        <v>Normal</v>
      </c>
      <c r="H314" s="8" t="str">
        <f>IF(OR(D314&lt;outliers!$B$21,D314&gt;outliers!$B$20),"Outlier","Normal")</f>
        <v>Normal</v>
      </c>
      <c r="I314" s="8" t="str">
        <f>IF(OR(E314&lt;outliers!$C$28,E314&gt;outliers!$B$27),"Outlier","Normal")</f>
        <v>Normal</v>
      </c>
      <c r="J314" s="8">
        <f t="shared" si="8"/>
        <v>2018</v>
      </c>
      <c r="K314">
        <f t="shared" si="9"/>
        <v>8</v>
      </c>
    </row>
    <row r="315" spans="1:11" x14ac:dyDescent="0.35">
      <c r="A315" s="13">
        <v>43339</v>
      </c>
      <c r="B315" s="8">
        <v>21.9</v>
      </c>
      <c r="C315" s="8">
        <v>19.5</v>
      </c>
      <c r="D315" s="8">
        <v>28.3</v>
      </c>
      <c r="E315" s="8">
        <v>8.4</v>
      </c>
      <c r="F315" s="8" t="str">
        <f>IF(OR(B315&lt;outliers!$B$7,B315&gt;outliers!$B$6),"Outlier","Normal")</f>
        <v>Normal</v>
      </c>
      <c r="G315" s="8" t="str">
        <f>IF(OR(C315&lt;outliers!$B$14,C315&gt;outliers!$B$13),"Outlier","Normal")</f>
        <v>Normal</v>
      </c>
      <c r="H315" s="8" t="str">
        <f>IF(OR(D315&lt;outliers!$B$21,D315&gt;outliers!$B$20),"Outlier","Normal")</f>
        <v>Normal</v>
      </c>
      <c r="I315" s="8" t="str">
        <f>IF(OR(E315&lt;outliers!$C$28,E315&gt;outliers!$B$27),"Outlier","Normal")</f>
        <v>Normal</v>
      </c>
      <c r="J315" s="8">
        <f t="shared" si="8"/>
        <v>2018</v>
      </c>
      <c r="K315">
        <f t="shared" si="9"/>
        <v>8</v>
      </c>
    </row>
    <row r="316" spans="1:11" x14ac:dyDescent="0.35">
      <c r="A316" s="13">
        <v>43340</v>
      </c>
      <c r="B316" s="8">
        <v>22.6</v>
      </c>
      <c r="C316" s="8">
        <v>19.600000000000001</v>
      </c>
      <c r="D316" s="8">
        <v>27.6</v>
      </c>
      <c r="E316" s="8">
        <v>0.5</v>
      </c>
      <c r="F316" s="8" t="str">
        <f>IF(OR(B316&lt;outliers!$B$7,B316&gt;outliers!$B$6),"Outlier","Normal")</f>
        <v>Normal</v>
      </c>
      <c r="G316" s="8" t="str">
        <f>IF(OR(C316&lt;outliers!$B$14,C316&gt;outliers!$B$13),"Outlier","Normal")</f>
        <v>Normal</v>
      </c>
      <c r="H316" s="8" t="str">
        <f>IF(OR(D316&lt;outliers!$B$21,D316&gt;outliers!$B$20),"Outlier","Normal")</f>
        <v>Normal</v>
      </c>
      <c r="I316" s="8" t="str">
        <f>IF(OR(E316&lt;outliers!$C$28,E316&gt;outliers!$B$27),"Outlier","Normal")</f>
        <v>Normal</v>
      </c>
      <c r="J316" s="8">
        <f t="shared" si="8"/>
        <v>2018</v>
      </c>
      <c r="K316">
        <f t="shared" si="9"/>
        <v>8</v>
      </c>
    </row>
    <row r="317" spans="1:11" x14ac:dyDescent="0.35">
      <c r="A317" s="13">
        <v>43341</v>
      </c>
      <c r="B317" s="8">
        <v>22.9</v>
      </c>
      <c r="C317" s="8">
        <v>20</v>
      </c>
      <c r="D317" s="8">
        <v>28</v>
      </c>
      <c r="E317" s="8">
        <v>8.4</v>
      </c>
      <c r="F317" s="8" t="str">
        <f>IF(OR(B317&lt;outliers!$B$7,B317&gt;outliers!$B$6),"Outlier","Normal")</f>
        <v>Normal</v>
      </c>
      <c r="G317" s="8" t="str">
        <f>IF(OR(C317&lt;outliers!$B$14,C317&gt;outliers!$B$13),"Outlier","Normal")</f>
        <v>Normal</v>
      </c>
      <c r="H317" s="8" t="str">
        <f>IF(OR(D317&lt;outliers!$B$21,D317&gt;outliers!$B$20),"Outlier","Normal")</f>
        <v>Normal</v>
      </c>
      <c r="I317" s="8" t="str">
        <f>IF(OR(E317&lt;outliers!$C$28,E317&gt;outliers!$B$27),"Outlier","Normal")</f>
        <v>Normal</v>
      </c>
      <c r="J317" s="8">
        <f t="shared" si="8"/>
        <v>2018</v>
      </c>
      <c r="K317">
        <f t="shared" si="9"/>
        <v>8</v>
      </c>
    </row>
    <row r="318" spans="1:11" x14ac:dyDescent="0.35">
      <c r="A318" s="13">
        <v>43342</v>
      </c>
      <c r="B318" s="8">
        <v>23.3</v>
      </c>
      <c r="C318" s="8">
        <v>20.3</v>
      </c>
      <c r="D318" s="8">
        <v>28.2</v>
      </c>
      <c r="E318" s="8">
        <v>3</v>
      </c>
      <c r="F318" s="8" t="str">
        <f>IF(OR(B318&lt;outliers!$B$7,B318&gt;outliers!$B$6),"Outlier","Normal")</f>
        <v>Normal</v>
      </c>
      <c r="G318" s="8" t="str">
        <f>IF(OR(C318&lt;outliers!$B$14,C318&gt;outliers!$B$13),"Outlier","Normal")</f>
        <v>Normal</v>
      </c>
      <c r="H318" s="8" t="str">
        <f>IF(OR(D318&lt;outliers!$B$21,D318&gt;outliers!$B$20),"Outlier","Normal")</f>
        <v>Normal</v>
      </c>
      <c r="I318" s="8" t="str">
        <f>IF(OR(E318&lt;outliers!$C$28,E318&gt;outliers!$B$27),"Outlier","Normal")</f>
        <v>Normal</v>
      </c>
      <c r="J318" s="8">
        <f t="shared" si="8"/>
        <v>2018</v>
      </c>
      <c r="K318">
        <f t="shared" si="9"/>
        <v>8</v>
      </c>
    </row>
    <row r="319" spans="1:11" hidden="1" x14ac:dyDescent="0.35">
      <c r="A319" s="13">
        <v>43343</v>
      </c>
      <c r="B319" s="8">
        <v>23.3</v>
      </c>
      <c r="C319" s="8">
        <v>20.3</v>
      </c>
      <c r="D319" s="8">
        <v>28.8</v>
      </c>
      <c r="E319" s="8">
        <v>19.8</v>
      </c>
      <c r="F319" s="8" t="str">
        <f>IF(OR(B319&lt;outliers!$B$7,B319&gt;outliers!$B$6),"Outlier","Normal")</f>
        <v>Normal</v>
      </c>
      <c r="G319" s="8" t="str">
        <f>IF(OR(C319&lt;outliers!$B$14,C319&gt;outliers!$B$13),"Outlier","Normal")</f>
        <v>Normal</v>
      </c>
      <c r="H319" s="8" t="str">
        <f>IF(OR(D319&lt;outliers!$B$21,D319&gt;outliers!$B$20),"Outlier","Normal")</f>
        <v>Normal</v>
      </c>
      <c r="I319" s="8" t="str">
        <f>IF(OR(E319&lt;outliers!$C$28,E319&gt;outliers!$B$27),"Outlier","Normal")</f>
        <v>Outlier</v>
      </c>
      <c r="J319" s="8">
        <f t="shared" si="8"/>
        <v>2018</v>
      </c>
      <c r="K319">
        <f t="shared" si="9"/>
        <v>8</v>
      </c>
    </row>
    <row r="320" spans="1:11" x14ac:dyDescent="0.35">
      <c r="A320" s="13">
        <v>43344</v>
      </c>
      <c r="B320" s="8">
        <v>23.7</v>
      </c>
      <c r="C320" s="8">
        <v>20</v>
      </c>
      <c r="D320" s="8">
        <v>28.3</v>
      </c>
      <c r="E320" s="8">
        <v>0</v>
      </c>
      <c r="F320" s="8" t="str">
        <f>IF(OR(B320&lt;outliers!$B$7,B320&gt;outliers!$B$6),"Outlier","Normal")</f>
        <v>Normal</v>
      </c>
      <c r="G320" s="8" t="str">
        <f>IF(OR(C320&lt;outliers!$B$14,C320&gt;outliers!$B$13),"Outlier","Normal")</f>
        <v>Normal</v>
      </c>
      <c r="H320" s="8" t="str">
        <f>IF(OR(D320&lt;outliers!$B$21,D320&gt;outliers!$B$20),"Outlier","Normal")</f>
        <v>Normal</v>
      </c>
      <c r="I320" s="8" t="str">
        <f>IF(OR(E320&lt;outliers!$C$28,E320&gt;outliers!$B$27),"Outlier","Normal")</f>
        <v>Normal</v>
      </c>
      <c r="J320" s="8">
        <f t="shared" si="8"/>
        <v>2018</v>
      </c>
      <c r="K320">
        <f t="shared" si="9"/>
        <v>9</v>
      </c>
    </row>
    <row r="321" spans="1:11" x14ac:dyDescent="0.35">
      <c r="A321" s="13">
        <v>43345</v>
      </c>
      <c r="B321" s="8">
        <v>23.7</v>
      </c>
      <c r="C321" s="8">
        <v>20.3</v>
      </c>
      <c r="D321" s="8">
        <v>28.2</v>
      </c>
      <c r="E321" s="8">
        <v>0.3</v>
      </c>
      <c r="F321" s="8" t="str">
        <f>IF(OR(B321&lt;outliers!$B$7,B321&gt;outliers!$B$6),"Outlier","Normal")</f>
        <v>Normal</v>
      </c>
      <c r="G321" s="8" t="str">
        <f>IF(OR(C321&lt;outliers!$B$14,C321&gt;outliers!$B$13),"Outlier","Normal")</f>
        <v>Normal</v>
      </c>
      <c r="H321" s="8" t="str">
        <f>IF(OR(D321&lt;outliers!$B$21,D321&gt;outliers!$B$20),"Outlier","Normal")</f>
        <v>Normal</v>
      </c>
      <c r="I321" s="8" t="str">
        <f>IF(OR(E321&lt;outliers!$C$28,E321&gt;outliers!$B$27),"Outlier","Normal")</f>
        <v>Normal</v>
      </c>
      <c r="J321" s="8">
        <f t="shared" si="8"/>
        <v>2018</v>
      </c>
      <c r="K321">
        <f t="shared" si="9"/>
        <v>9</v>
      </c>
    </row>
    <row r="322" spans="1:11" x14ac:dyDescent="0.35">
      <c r="A322" s="13">
        <v>43346</v>
      </c>
      <c r="B322" s="8">
        <v>24.7</v>
      </c>
      <c r="C322" s="8">
        <v>19.7</v>
      </c>
      <c r="D322" s="8">
        <v>29.3</v>
      </c>
      <c r="E322" s="8">
        <v>0</v>
      </c>
      <c r="F322" s="8" t="str">
        <f>IF(OR(B322&lt;outliers!$B$7,B322&gt;outliers!$B$6),"Outlier","Normal")</f>
        <v>Normal</v>
      </c>
      <c r="G322" s="8" t="str">
        <f>IF(OR(C322&lt;outliers!$B$14,C322&gt;outliers!$B$13),"Outlier","Normal")</f>
        <v>Normal</v>
      </c>
      <c r="H322" s="8" t="str">
        <f>IF(OR(D322&lt;outliers!$B$21,D322&gt;outliers!$B$20),"Outlier","Normal")</f>
        <v>Normal</v>
      </c>
      <c r="I322" s="8" t="str">
        <f>IF(OR(E322&lt;outliers!$C$28,E322&gt;outliers!$B$27),"Outlier","Normal")</f>
        <v>Normal</v>
      </c>
      <c r="J322" s="8">
        <f t="shared" si="8"/>
        <v>2018</v>
      </c>
      <c r="K322">
        <f t="shared" si="9"/>
        <v>9</v>
      </c>
    </row>
    <row r="323" spans="1:11" x14ac:dyDescent="0.35">
      <c r="A323" s="13">
        <v>43350</v>
      </c>
      <c r="B323" s="8">
        <v>24.4</v>
      </c>
      <c r="C323" s="8">
        <v>20.3</v>
      </c>
      <c r="D323" s="8">
        <v>29.2</v>
      </c>
      <c r="E323" s="8">
        <v>0</v>
      </c>
      <c r="F323" s="8" t="str">
        <f>IF(OR(B323&lt;outliers!$B$7,B323&gt;outliers!$B$6),"Outlier","Normal")</f>
        <v>Normal</v>
      </c>
      <c r="G323" s="8" t="str">
        <f>IF(OR(C323&lt;outliers!$B$14,C323&gt;outliers!$B$13),"Outlier","Normal")</f>
        <v>Normal</v>
      </c>
      <c r="H323" s="8" t="str">
        <f>IF(OR(D323&lt;outliers!$B$21,D323&gt;outliers!$B$20),"Outlier","Normal")</f>
        <v>Normal</v>
      </c>
      <c r="I323" s="8" t="str">
        <f>IF(OR(E323&lt;outliers!$C$28,E323&gt;outliers!$B$27),"Outlier","Normal")</f>
        <v>Normal</v>
      </c>
      <c r="J323" s="8">
        <f t="shared" si="8"/>
        <v>2018</v>
      </c>
      <c r="K323">
        <f t="shared" si="9"/>
        <v>9</v>
      </c>
    </row>
    <row r="324" spans="1:11" x14ac:dyDescent="0.35">
      <c r="A324" s="13">
        <v>43351</v>
      </c>
      <c r="B324" s="8">
        <v>24.3</v>
      </c>
      <c r="C324" s="8">
        <v>20.100000000000001</v>
      </c>
      <c r="D324" s="8">
        <v>29.1</v>
      </c>
      <c r="E324" s="8">
        <v>0</v>
      </c>
      <c r="F324" s="8" t="str">
        <f>IF(OR(B324&lt;outliers!$B$7,B324&gt;outliers!$B$6),"Outlier","Normal")</f>
        <v>Normal</v>
      </c>
      <c r="G324" s="8" t="str">
        <f>IF(OR(C324&lt;outliers!$B$14,C324&gt;outliers!$B$13),"Outlier","Normal")</f>
        <v>Normal</v>
      </c>
      <c r="H324" s="8" t="str">
        <f>IF(OR(D324&lt;outliers!$B$21,D324&gt;outliers!$B$20),"Outlier","Normal")</f>
        <v>Normal</v>
      </c>
      <c r="I324" s="8" t="str">
        <f>IF(OR(E324&lt;outliers!$C$28,E324&gt;outliers!$B$27),"Outlier","Normal")</f>
        <v>Normal</v>
      </c>
      <c r="J324" s="8">
        <f t="shared" ref="J324:J387" si="10">YEAR(A324)</f>
        <v>2018</v>
      </c>
      <c r="K324">
        <f t="shared" ref="K324:K387" si="11">MONTH(A324)</f>
        <v>9</v>
      </c>
    </row>
    <row r="325" spans="1:11" x14ac:dyDescent="0.35">
      <c r="A325" s="13">
        <v>43352</v>
      </c>
      <c r="B325" s="8">
        <v>25.7</v>
      </c>
      <c r="C325" s="8">
        <v>20.5</v>
      </c>
      <c r="D325" s="8">
        <v>30.3</v>
      </c>
      <c r="E325" s="8">
        <v>0</v>
      </c>
      <c r="F325" s="8" t="str">
        <f>IF(OR(B325&lt;outliers!$B$7,B325&gt;outliers!$B$6),"Outlier","Normal")</f>
        <v>Normal</v>
      </c>
      <c r="G325" s="8" t="str">
        <f>IF(OR(C325&lt;outliers!$B$14,C325&gt;outliers!$B$13),"Outlier","Normal")</f>
        <v>Normal</v>
      </c>
      <c r="H325" s="8" t="str">
        <f>IF(OR(D325&lt;outliers!$B$21,D325&gt;outliers!$B$20),"Outlier","Normal")</f>
        <v>Normal</v>
      </c>
      <c r="I325" s="8" t="str">
        <f>IF(OR(E325&lt;outliers!$C$28,E325&gt;outliers!$B$27),"Outlier","Normal")</f>
        <v>Normal</v>
      </c>
      <c r="J325" s="8">
        <f t="shared" si="10"/>
        <v>2018</v>
      </c>
      <c r="K325">
        <f t="shared" si="11"/>
        <v>9</v>
      </c>
    </row>
    <row r="326" spans="1:11" x14ac:dyDescent="0.35">
      <c r="A326" s="13">
        <v>43354</v>
      </c>
      <c r="B326" s="8">
        <v>25.3</v>
      </c>
      <c r="C326" s="8">
        <v>21.7</v>
      </c>
      <c r="D326" s="8">
        <v>30.8</v>
      </c>
      <c r="E326" s="8">
        <v>0</v>
      </c>
      <c r="F326" s="8" t="str">
        <f>IF(OR(B326&lt;outliers!$B$7,B326&gt;outliers!$B$6),"Outlier","Normal")</f>
        <v>Normal</v>
      </c>
      <c r="G326" s="8" t="str">
        <f>IF(OR(C326&lt;outliers!$B$14,C326&gt;outliers!$B$13),"Outlier","Normal")</f>
        <v>Normal</v>
      </c>
      <c r="H326" s="8" t="str">
        <f>IF(OR(D326&lt;outliers!$B$21,D326&gt;outliers!$B$20),"Outlier","Normal")</f>
        <v>Normal</v>
      </c>
      <c r="I326" s="8" t="str">
        <f>IF(OR(E326&lt;outliers!$C$28,E326&gt;outliers!$B$27),"Outlier","Normal")</f>
        <v>Normal</v>
      </c>
      <c r="J326" s="8">
        <f t="shared" si="10"/>
        <v>2018</v>
      </c>
      <c r="K326">
        <f t="shared" si="11"/>
        <v>9</v>
      </c>
    </row>
    <row r="327" spans="1:11" x14ac:dyDescent="0.35">
      <c r="A327" s="13">
        <v>43355</v>
      </c>
      <c r="B327" s="8">
        <v>25.9</v>
      </c>
      <c r="C327" s="8">
        <v>20.9</v>
      </c>
      <c r="D327" s="8">
        <v>31.1</v>
      </c>
      <c r="E327" s="8">
        <v>0</v>
      </c>
      <c r="F327" s="8" t="str">
        <f>IF(OR(B327&lt;outliers!$B$7,B327&gt;outliers!$B$6),"Outlier","Normal")</f>
        <v>Normal</v>
      </c>
      <c r="G327" s="8" t="str">
        <f>IF(OR(C327&lt;outliers!$B$14,C327&gt;outliers!$B$13),"Outlier","Normal")</f>
        <v>Normal</v>
      </c>
      <c r="H327" s="8" t="str">
        <f>IF(OR(D327&lt;outliers!$B$21,D327&gt;outliers!$B$20),"Outlier","Normal")</f>
        <v>Normal</v>
      </c>
      <c r="I327" s="8" t="str">
        <f>IF(OR(E327&lt;outliers!$C$28,E327&gt;outliers!$B$27),"Outlier","Normal")</f>
        <v>Normal</v>
      </c>
      <c r="J327" s="8">
        <f t="shared" si="10"/>
        <v>2018</v>
      </c>
      <c r="K327">
        <f t="shared" si="11"/>
        <v>9</v>
      </c>
    </row>
    <row r="328" spans="1:11" x14ac:dyDescent="0.35">
      <c r="A328" s="13">
        <v>43357</v>
      </c>
      <c r="B328" s="8">
        <v>24.8</v>
      </c>
      <c r="C328" s="8">
        <v>20.399999999999999</v>
      </c>
      <c r="D328" s="8">
        <v>30.3</v>
      </c>
      <c r="E328" s="8">
        <v>2</v>
      </c>
      <c r="F328" s="8" t="str">
        <f>IF(OR(B328&lt;outliers!$B$7,B328&gt;outliers!$B$6),"Outlier","Normal")</f>
        <v>Normal</v>
      </c>
      <c r="G328" s="8" t="str">
        <f>IF(OR(C328&lt;outliers!$B$14,C328&gt;outliers!$B$13),"Outlier","Normal")</f>
        <v>Normal</v>
      </c>
      <c r="H328" s="8" t="str">
        <f>IF(OR(D328&lt;outliers!$B$21,D328&gt;outliers!$B$20),"Outlier","Normal")</f>
        <v>Normal</v>
      </c>
      <c r="I328" s="8" t="str">
        <f>IF(OR(E328&lt;outliers!$C$28,E328&gt;outliers!$B$27),"Outlier","Normal")</f>
        <v>Normal</v>
      </c>
      <c r="J328" s="8">
        <f t="shared" si="10"/>
        <v>2018</v>
      </c>
      <c r="K328">
        <f t="shared" si="11"/>
        <v>9</v>
      </c>
    </row>
    <row r="329" spans="1:11" x14ac:dyDescent="0.35">
      <c r="A329" s="13">
        <v>43358</v>
      </c>
      <c r="B329" s="8">
        <v>23.2</v>
      </c>
      <c r="C329" s="8">
        <v>20.100000000000001</v>
      </c>
      <c r="D329" s="8">
        <v>31.7</v>
      </c>
      <c r="E329" s="8">
        <v>9.9</v>
      </c>
      <c r="F329" s="8" t="str">
        <f>IF(OR(B329&lt;outliers!$B$7,B329&gt;outliers!$B$6),"Outlier","Normal")</f>
        <v>Normal</v>
      </c>
      <c r="G329" s="8" t="str">
        <f>IF(OR(C329&lt;outliers!$B$14,C329&gt;outliers!$B$13),"Outlier","Normal")</f>
        <v>Normal</v>
      </c>
      <c r="H329" s="8" t="str">
        <f>IF(OR(D329&lt;outliers!$B$21,D329&gt;outliers!$B$20),"Outlier","Normal")</f>
        <v>Normal</v>
      </c>
      <c r="I329" s="8" t="str">
        <f>IF(OR(E329&lt;outliers!$C$28,E329&gt;outliers!$B$27),"Outlier","Normal")</f>
        <v>Normal</v>
      </c>
      <c r="J329" s="8">
        <f t="shared" si="10"/>
        <v>2018</v>
      </c>
      <c r="K329">
        <f t="shared" si="11"/>
        <v>9</v>
      </c>
    </row>
    <row r="330" spans="1:11" x14ac:dyDescent="0.35">
      <c r="A330" s="13">
        <v>43359</v>
      </c>
      <c r="B330" s="8">
        <v>23.3</v>
      </c>
      <c r="C330" s="8">
        <v>20.5</v>
      </c>
      <c r="D330" s="8">
        <v>30.3</v>
      </c>
      <c r="E330" s="8">
        <v>6.4</v>
      </c>
      <c r="F330" s="8" t="str">
        <f>IF(OR(B330&lt;outliers!$B$7,B330&gt;outliers!$B$6),"Outlier","Normal")</f>
        <v>Normal</v>
      </c>
      <c r="G330" s="8" t="str">
        <f>IF(OR(C330&lt;outliers!$B$14,C330&gt;outliers!$B$13),"Outlier","Normal")</f>
        <v>Normal</v>
      </c>
      <c r="H330" s="8" t="str">
        <f>IF(OR(D330&lt;outliers!$B$21,D330&gt;outliers!$B$20),"Outlier","Normal")</f>
        <v>Normal</v>
      </c>
      <c r="I330" s="8" t="str">
        <f>IF(OR(E330&lt;outliers!$C$28,E330&gt;outliers!$B$27),"Outlier","Normal")</f>
        <v>Normal</v>
      </c>
      <c r="J330" s="8">
        <f t="shared" si="10"/>
        <v>2018</v>
      </c>
      <c r="K330">
        <f t="shared" si="11"/>
        <v>9</v>
      </c>
    </row>
    <row r="331" spans="1:11" x14ac:dyDescent="0.35">
      <c r="A331" s="13">
        <v>43364</v>
      </c>
      <c r="B331" s="8">
        <v>23.5</v>
      </c>
      <c r="C331" s="8">
        <v>20</v>
      </c>
      <c r="D331" s="8">
        <v>28.4</v>
      </c>
      <c r="E331" s="8">
        <v>7.6</v>
      </c>
      <c r="F331" s="8" t="str">
        <f>IF(OR(B331&lt;outliers!$B$7,B331&gt;outliers!$B$6),"Outlier","Normal")</f>
        <v>Normal</v>
      </c>
      <c r="G331" s="8" t="str">
        <f>IF(OR(C331&lt;outliers!$B$14,C331&gt;outliers!$B$13),"Outlier","Normal")</f>
        <v>Normal</v>
      </c>
      <c r="H331" s="8" t="str">
        <f>IF(OR(D331&lt;outliers!$B$21,D331&gt;outliers!$B$20),"Outlier","Normal")</f>
        <v>Normal</v>
      </c>
      <c r="I331" s="8" t="str">
        <f>IF(OR(E331&lt;outliers!$C$28,E331&gt;outliers!$B$27),"Outlier","Normal")</f>
        <v>Normal</v>
      </c>
      <c r="J331" s="8">
        <f t="shared" si="10"/>
        <v>2018</v>
      </c>
      <c r="K331">
        <f t="shared" si="11"/>
        <v>9</v>
      </c>
    </row>
    <row r="332" spans="1:11" x14ac:dyDescent="0.35">
      <c r="A332" s="13">
        <v>43365</v>
      </c>
      <c r="B332" s="8">
        <v>23.9</v>
      </c>
      <c r="C332" s="8">
        <v>18.399999999999999</v>
      </c>
      <c r="D332" s="8">
        <v>28.2</v>
      </c>
      <c r="E332" s="8">
        <v>0</v>
      </c>
      <c r="F332" s="8" t="str">
        <f>IF(OR(B332&lt;outliers!$B$7,B332&gt;outliers!$B$6),"Outlier","Normal")</f>
        <v>Normal</v>
      </c>
      <c r="G332" s="8" t="str">
        <f>IF(OR(C332&lt;outliers!$B$14,C332&gt;outliers!$B$13),"Outlier","Normal")</f>
        <v>Normal</v>
      </c>
      <c r="H332" s="8" t="str">
        <f>IF(OR(D332&lt;outliers!$B$21,D332&gt;outliers!$B$20),"Outlier","Normal")</f>
        <v>Normal</v>
      </c>
      <c r="I332" s="8" t="str">
        <f>IF(OR(E332&lt;outliers!$C$28,E332&gt;outliers!$B$27),"Outlier","Normal")</f>
        <v>Normal</v>
      </c>
      <c r="J332" s="8">
        <f t="shared" si="10"/>
        <v>2018</v>
      </c>
      <c r="K332">
        <f t="shared" si="11"/>
        <v>9</v>
      </c>
    </row>
    <row r="333" spans="1:11" hidden="1" x14ac:dyDescent="0.35">
      <c r="A333" s="13">
        <v>43367</v>
      </c>
      <c r="B333" s="8">
        <v>22.6</v>
      </c>
      <c r="C333" s="8">
        <v>18.899999999999999</v>
      </c>
      <c r="D333" s="8">
        <v>28.9</v>
      </c>
      <c r="E333" s="8">
        <v>53.1</v>
      </c>
      <c r="F333" s="8" t="str">
        <f>IF(OR(B333&lt;outliers!$B$7,B333&gt;outliers!$B$6),"Outlier","Normal")</f>
        <v>Normal</v>
      </c>
      <c r="G333" s="8" t="str">
        <f>IF(OR(C333&lt;outliers!$B$14,C333&gt;outliers!$B$13),"Outlier","Normal")</f>
        <v>Normal</v>
      </c>
      <c r="H333" s="8" t="str">
        <f>IF(OR(D333&lt;outliers!$B$21,D333&gt;outliers!$B$20),"Outlier","Normal")</f>
        <v>Normal</v>
      </c>
      <c r="I333" s="8" t="str">
        <f>IF(OR(E333&lt;outliers!$C$28,E333&gt;outliers!$B$27),"Outlier","Normal")</f>
        <v>Outlier</v>
      </c>
      <c r="J333" s="8">
        <f t="shared" si="10"/>
        <v>2018</v>
      </c>
      <c r="K333">
        <f t="shared" si="11"/>
        <v>9</v>
      </c>
    </row>
    <row r="334" spans="1:11" hidden="1" x14ac:dyDescent="0.35">
      <c r="A334" s="13">
        <v>43368</v>
      </c>
      <c r="B334" s="8">
        <v>23.5</v>
      </c>
      <c r="C334" s="8">
        <v>19.3</v>
      </c>
      <c r="D334" s="8">
        <v>29.3</v>
      </c>
      <c r="E334" s="8">
        <v>25.4</v>
      </c>
      <c r="F334" s="8" t="str">
        <f>IF(OR(B334&lt;outliers!$B$7,B334&gt;outliers!$B$6),"Outlier","Normal")</f>
        <v>Normal</v>
      </c>
      <c r="G334" s="8" t="str">
        <f>IF(OR(C334&lt;outliers!$B$14,C334&gt;outliers!$B$13),"Outlier","Normal")</f>
        <v>Normal</v>
      </c>
      <c r="H334" s="8" t="str">
        <f>IF(OR(D334&lt;outliers!$B$21,D334&gt;outliers!$B$20),"Outlier","Normal")</f>
        <v>Normal</v>
      </c>
      <c r="I334" s="8" t="str">
        <f>IF(OR(E334&lt;outliers!$C$28,E334&gt;outliers!$B$27),"Outlier","Normal")</f>
        <v>Outlier</v>
      </c>
      <c r="J334" s="8">
        <f t="shared" si="10"/>
        <v>2018</v>
      </c>
      <c r="K334">
        <f t="shared" si="11"/>
        <v>9</v>
      </c>
    </row>
    <row r="335" spans="1:11" x14ac:dyDescent="0.35">
      <c r="A335" s="13">
        <v>43369</v>
      </c>
      <c r="B335" s="8">
        <v>24.4</v>
      </c>
      <c r="C335" s="8">
        <v>20.399999999999999</v>
      </c>
      <c r="D335" s="8">
        <v>29.7</v>
      </c>
      <c r="E335" s="8">
        <v>0.3</v>
      </c>
      <c r="F335" s="8" t="str">
        <f>IF(OR(B335&lt;outliers!$B$7,B335&gt;outliers!$B$6),"Outlier","Normal")</f>
        <v>Normal</v>
      </c>
      <c r="G335" s="8" t="str">
        <f>IF(OR(C335&lt;outliers!$B$14,C335&gt;outliers!$B$13),"Outlier","Normal")</f>
        <v>Normal</v>
      </c>
      <c r="H335" s="8" t="str">
        <f>IF(OR(D335&lt;outliers!$B$21,D335&gt;outliers!$B$20),"Outlier","Normal")</f>
        <v>Normal</v>
      </c>
      <c r="I335" s="8" t="str">
        <f>IF(OR(E335&lt;outliers!$C$28,E335&gt;outliers!$B$27),"Outlier","Normal")</f>
        <v>Normal</v>
      </c>
      <c r="J335" s="8">
        <f t="shared" si="10"/>
        <v>2018</v>
      </c>
      <c r="K335">
        <f t="shared" si="11"/>
        <v>9</v>
      </c>
    </row>
    <row r="336" spans="1:11" hidden="1" x14ac:dyDescent="0.35">
      <c r="A336" s="13">
        <v>43370</v>
      </c>
      <c r="B336" s="8">
        <v>23.7</v>
      </c>
      <c r="C336" s="8">
        <v>19.899999999999999</v>
      </c>
      <c r="D336" s="8">
        <v>30.3</v>
      </c>
      <c r="E336" s="8">
        <v>32.299999999999997</v>
      </c>
      <c r="F336" s="8" t="str">
        <f>IF(OR(B336&lt;outliers!$B$7,B336&gt;outliers!$B$6),"Outlier","Normal")</f>
        <v>Normal</v>
      </c>
      <c r="G336" s="8" t="str">
        <f>IF(OR(C336&lt;outliers!$B$14,C336&gt;outliers!$B$13),"Outlier","Normal")</f>
        <v>Normal</v>
      </c>
      <c r="H336" s="8" t="str">
        <f>IF(OR(D336&lt;outliers!$B$21,D336&gt;outliers!$B$20),"Outlier","Normal")</f>
        <v>Normal</v>
      </c>
      <c r="I336" s="8" t="str">
        <f>IF(OR(E336&lt;outliers!$C$28,E336&gt;outliers!$B$27),"Outlier","Normal")</f>
        <v>Outlier</v>
      </c>
      <c r="J336" s="8">
        <f t="shared" si="10"/>
        <v>2018</v>
      </c>
      <c r="K336">
        <f t="shared" si="11"/>
        <v>9</v>
      </c>
    </row>
    <row r="337" spans="1:11" x14ac:dyDescent="0.35">
      <c r="A337" s="13">
        <v>43371</v>
      </c>
      <c r="B337" s="8">
        <v>25.1</v>
      </c>
      <c r="C337" s="8">
        <v>21.3</v>
      </c>
      <c r="D337" s="8">
        <v>29.5</v>
      </c>
      <c r="E337" s="8">
        <v>1.3</v>
      </c>
      <c r="F337" s="8" t="str">
        <f>IF(OR(B337&lt;outliers!$B$7,B337&gt;outliers!$B$6),"Outlier","Normal")</f>
        <v>Normal</v>
      </c>
      <c r="G337" s="8" t="str">
        <f>IF(OR(C337&lt;outliers!$B$14,C337&gt;outliers!$B$13),"Outlier","Normal")</f>
        <v>Normal</v>
      </c>
      <c r="H337" s="8" t="str">
        <f>IF(OR(D337&lt;outliers!$B$21,D337&gt;outliers!$B$20),"Outlier","Normal")</f>
        <v>Normal</v>
      </c>
      <c r="I337" s="8" t="str">
        <f>IF(OR(E337&lt;outliers!$C$28,E337&gt;outliers!$B$27),"Outlier","Normal")</f>
        <v>Normal</v>
      </c>
      <c r="J337" s="8">
        <f t="shared" si="10"/>
        <v>2018</v>
      </c>
      <c r="K337">
        <f t="shared" si="11"/>
        <v>9</v>
      </c>
    </row>
    <row r="338" spans="1:11" x14ac:dyDescent="0.35">
      <c r="A338" s="13">
        <v>43372</v>
      </c>
      <c r="B338" s="8">
        <v>25.3</v>
      </c>
      <c r="C338" s="8">
        <v>21.4</v>
      </c>
      <c r="D338" s="8">
        <v>29.9</v>
      </c>
      <c r="E338" s="8">
        <v>4.3</v>
      </c>
      <c r="F338" s="8" t="str">
        <f>IF(OR(B338&lt;outliers!$B$7,B338&gt;outliers!$B$6),"Outlier","Normal")</f>
        <v>Normal</v>
      </c>
      <c r="G338" s="8" t="str">
        <f>IF(OR(C338&lt;outliers!$B$14,C338&gt;outliers!$B$13),"Outlier","Normal")</f>
        <v>Normal</v>
      </c>
      <c r="H338" s="8" t="str">
        <f>IF(OR(D338&lt;outliers!$B$21,D338&gt;outliers!$B$20),"Outlier","Normal")</f>
        <v>Normal</v>
      </c>
      <c r="I338" s="8" t="str">
        <f>IF(OR(E338&lt;outliers!$C$28,E338&gt;outliers!$B$27),"Outlier","Normal")</f>
        <v>Normal</v>
      </c>
      <c r="J338" s="8">
        <f t="shared" si="10"/>
        <v>2018</v>
      </c>
      <c r="K338">
        <f t="shared" si="11"/>
        <v>9</v>
      </c>
    </row>
    <row r="339" spans="1:11" x14ac:dyDescent="0.35">
      <c r="A339" s="13">
        <v>43373</v>
      </c>
      <c r="B339" s="8">
        <v>25.4</v>
      </c>
      <c r="C339" s="8">
        <v>21.8</v>
      </c>
      <c r="D339" s="8">
        <v>30.2</v>
      </c>
      <c r="E339" s="8">
        <v>0</v>
      </c>
      <c r="F339" s="8" t="str">
        <f>IF(OR(B339&lt;outliers!$B$7,B339&gt;outliers!$B$6),"Outlier","Normal")</f>
        <v>Normal</v>
      </c>
      <c r="G339" s="8" t="str">
        <f>IF(OR(C339&lt;outliers!$B$14,C339&gt;outliers!$B$13),"Outlier","Normal")</f>
        <v>Normal</v>
      </c>
      <c r="H339" s="8" t="str">
        <f>IF(OR(D339&lt;outliers!$B$21,D339&gt;outliers!$B$20),"Outlier","Normal")</f>
        <v>Normal</v>
      </c>
      <c r="I339" s="8" t="str">
        <f>IF(OR(E339&lt;outliers!$C$28,E339&gt;outliers!$B$27),"Outlier","Normal")</f>
        <v>Normal</v>
      </c>
      <c r="J339" s="8">
        <f t="shared" si="10"/>
        <v>2018</v>
      </c>
      <c r="K339">
        <f t="shared" si="11"/>
        <v>9</v>
      </c>
    </row>
    <row r="340" spans="1:11" x14ac:dyDescent="0.35">
      <c r="A340" s="13">
        <v>43374</v>
      </c>
      <c r="B340" s="8">
        <v>25.5</v>
      </c>
      <c r="C340" s="8">
        <v>21.6</v>
      </c>
      <c r="D340" s="8">
        <v>30.9</v>
      </c>
      <c r="E340" s="8">
        <v>0.3</v>
      </c>
      <c r="F340" s="8" t="str">
        <f>IF(OR(B340&lt;outliers!$B$7,B340&gt;outliers!$B$6),"Outlier","Normal")</f>
        <v>Normal</v>
      </c>
      <c r="G340" s="8" t="str">
        <f>IF(OR(C340&lt;outliers!$B$14,C340&gt;outliers!$B$13),"Outlier","Normal")</f>
        <v>Normal</v>
      </c>
      <c r="H340" s="8" t="str">
        <f>IF(OR(D340&lt;outliers!$B$21,D340&gt;outliers!$B$20),"Outlier","Normal")</f>
        <v>Normal</v>
      </c>
      <c r="I340" s="8" t="str">
        <f>IF(OR(E340&lt;outliers!$C$28,E340&gt;outliers!$B$27),"Outlier","Normal")</f>
        <v>Normal</v>
      </c>
      <c r="J340" s="8">
        <f t="shared" si="10"/>
        <v>2018</v>
      </c>
      <c r="K340">
        <f t="shared" si="11"/>
        <v>10</v>
      </c>
    </row>
    <row r="341" spans="1:11" x14ac:dyDescent="0.35">
      <c r="A341" s="13">
        <v>43375</v>
      </c>
      <c r="B341" s="8">
        <v>24.9</v>
      </c>
      <c r="C341" s="8">
        <v>21.3</v>
      </c>
      <c r="D341" s="8">
        <v>30.3</v>
      </c>
      <c r="E341" s="8">
        <v>0</v>
      </c>
      <c r="F341" s="8" t="str">
        <f>IF(OR(B341&lt;outliers!$B$7,B341&gt;outliers!$B$6),"Outlier","Normal")</f>
        <v>Normal</v>
      </c>
      <c r="G341" s="8" t="str">
        <f>IF(OR(C341&lt;outliers!$B$14,C341&gt;outliers!$B$13),"Outlier","Normal")</f>
        <v>Normal</v>
      </c>
      <c r="H341" s="8" t="str">
        <f>IF(OR(D341&lt;outliers!$B$21,D341&gt;outliers!$B$20),"Outlier","Normal")</f>
        <v>Normal</v>
      </c>
      <c r="I341" s="8" t="str">
        <f>IF(OR(E341&lt;outliers!$C$28,E341&gt;outliers!$B$27),"Outlier","Normal")</f>
        <v>Normal</v>
      </c>
      <c r="J341" s="8">
        <f t="shared" si="10"/>
        <v>2018</v>
      </c>
      <c r="K341">
        <f t="shared" si="11"/>
        <v>10</v>
      </c>
    </row>
    <row r="342" spans="1:11" x14ac:dyDescent="0.35">
      <c r="A342" s="13">
        <v>43376</v>
      </c>
      <c r="B342" s="8">
        <v>24.1</v>
      </c>
      <c r="C342" s="8">
        <v>21.6</v>
      </c>
      <c r="D342" s="8">
        <v>30.4</v>
      </c>
      <c r="E342" s="8">
        <v>0.3</v>
      </c>
      <c r="F342" s="8" t="str">
        <f>IF(OR(B342&lt;outliers!$B$7,B342&gt;outliers!$B$6),"Outlier","Normal")</f>
        <v>Normal</v>
      </c>
      <c r="G342" s="8" t="str">
        <f>IF(OR(C342&lt;outliers!$B$14,C342&gt;outliers!$B$13),"Outlier","Normal")</f>
        <v>Normal</v>
      </c>
      <c r="H342" s="8" t="str">
        <f>IF(OR(D342&lt;outliers!$B$21,D342&gt;outliers!$B$20),"Outlier","Normal")</f>
        <v>Normal</v>
      </c>
      <c r="I342" s="8" t="str">
        <f>IF(OR(E342&lt;outliers!$C$28,E342&gt;outliers!$B$27),"Outlier","Normal")</f>
        <v>Normal</v>
      </c>
      <c r="J342" s="8">
        <f t="shared" si="10"/>
        <v>2018</v>
      </c>
      <c r="K342">
        <f t="shared" si="11"/>
        <v>10</v>
      </c>
    </row>
    <row r="343" spans="1:11" hidden="1" x14ac:dyDescent="0.35">
      <c r="A343" s="13">
        <v>43377</v>
      </c>
      <c r="B343" s="8">
        <v>21.8</v>
      </c>
      <c r="C343" s="8">
        <v>20.9</v>
      </c>
      <c r="D343" s="8">
        <v>30.6</v>
      </c>
      <c r="E343" s="8">
        <v>27.7</v>
      </c>
      <c r="F343" s="8" t="str">
        <f>IF(OR(B343&lt;outliers!$B$7,B343&gt;outliers!$B$6),"Outlier","Normal")</f>
        <v>Normal</v>
      </c>
      <c r="G343" s="8" t="str">
        <f>IF(OR(C343&lt;outliers!$B$14,C343&gt;outliers!$B$13),"Outlier","Normal")</f>
        <v>Normal</v>
      </c>
      <c r="H343" s="8" t="str">
        <f>IF(OR(D343&lt;outliers!$B$21,D343&gt;outliers!$B$20),"Outlier","Normal")</f>
        <v>Normal</v>
      </c>
      <c r="I343" s="8" t="str">
        <f>IF(OR(E343&lt;outliers!$C$28,E343&gt;outliers!$B$27),"Outlier","Normal")</f>
        <v>Outlier</v>
      </c>
      <c r="J343" s="8">
        <f t="shared" si="10"/>
        <v>2018</v>
      </c>
      <c r="K343">
        <f t="shared" si="11"/>
        <v>10</v>
      </c>
    </row>
    <row r="344" spans="1:11" x14ac:dyDescent="0.35">
      <c r="A344" s="13">
        <v>43378</v>
      </c>
      <c r="B344" s="8">
        <v>23</v>
      </c>
      <c r="C344" s="8">
        <v>20.6</v>
      </c>
      <c r="D344" s="8">
        <v>25.9</v>
      </c>
      <c r="E344" s="8">
        <v>10.199999999999999</v>
      </c>
      <c r="F344" s="8" t="str">
        <f>IF(OR(B344&lt;outliers!$B$7,B344&gt;outliers!$B$6),"Outlier","Normal")</f>
        <v>Normal</v>
      </c>
      <c r="G344" s="8" t="str">
        <f>IF(OR(C344&lt;outliers!$B$14,C344&gt;outliers!$B$13),"Outlier","Normal")</f>
        <v>Normal</v>
      </c>
      <c r="H344" s="8" t="str">
        <f>IF(OR(D344&lt;outliers!$B$21,D344&gt;outliers!$B$20),"Outlier","Normal")</f>
        <v>Normal</v>
      </c>
      <c r="I344" s="8" t="str">
        <f>IF(OR(E344&lt;outliers!$C$28,E344&gt;outliers!$B$27),"Outlier","Normal")</f>
        <v>Normal</v>
      </c>
      <c r="J344" s="8">
        <f t="shared" si="10"/>
        <v>2018</v>
      </c>
      <c r="K344">
        <f t="shared" si="11"/>
        <v>10</v>
      </c>
    </row>
    <row r="345" spans="1:11" x14ac:dyDescent="0.35">
      <c r="A345" s="13">
        <v>43379</v>
      </c>
      <c r="B345" s="8">
        <v>22.5</v>
      </c>
      <c r="C345" s="8">
        <v>20.399999999999999</v>
      </c>
      <c r="D345" s="8">
        <v>26.4</v>
      </c>
      <c r="E345" s="8">
        <v>2.5</v>
      </c>
      <c r="F345" s="8" t="str">
        <f>IF(OR(B345&lt;outliers!$B$7,B345&gt;outliers!$B$6),"Outlier","Normal")</f>
        <v>Normal</v>
      </c>
      <c r="G345" s="8" t="str">
        <f>IF(OR(C345&lt;outliers!$B$14,C345&gt;outliers!$B$13),"Outlier","Normal")</f>
        <v>Normal</v>
      </c>
      <c r="H345" s="8" t="str">
        <f>IF(OR(D345&lt;outliers!$B$21,D345&gt;outliers!$B$20),"Outlier","Normal")</f>
        <v>Normal</v>
      </c>
      <c r="I345" s="8" t="str">
        <f>IF(OR(E345&lt;outliers!$C$28,E345&gt;outliers!$B$27),"Outlier","Normal")</f>
        <v>Normal</v>
      </c>
      <c r="J345" s="8">
        <f t="shared" si="10"/>
        <v>2018</v>
      </c>
      <c r="K345">
        <f t="shared" si="11"/>
        <v>10</v>
      </c>
    </row>
    <row r="346" spans="1:11" x14ac:dyDescent="0.35">
      <c r="A346" s="13">
        <v>43380</v>
      </c>
      <c r="B346" s="8">
        <v>24.3</v>
      </c>
      <c r="C346" s="8">
        <v>20.2</v>
      </c>
      <c r="D346" s="8">
        <v>28.4</v>
      </c>
      <c r="E346" s="8">
        <v>7.9</v>
      </c>
      <c r="F346" s="8" t="str">
        <f>IF(OR(B346&lt;outliers!$B$7,B346&gt;outliers!$B$6),"Outlier","Normal")</f>
        <v>Normal</v>
      </c>
      <c r="G346" s="8" t="str">
        <f>IF(OR(C346&lt;outliers!$B$14,C346&gt;outliers!$B$13),"Outlier","Normal")</f>
        <v>Normal</v>
      </c>
      <c r="H346" s="8" t="str">
        <f>IF(OR(D346&lt;outliers!$B$21,D346&gt;outliers!$B$20),"Outlier","Normal")</f>
        <v>Normal</v>
      </c>
      <c r="I346" s="8" t="str">
        <f>IF(OR(E346&lt;outliers!$C$28,E346&gt;outliers!$B$27),"Outlier","Normal")</f>
        <v>Normal</v>
      </c>
      <c r="J346" s="8">
        <f t="shared" si="10"/>
        <v>2018</v>
      </c>
      <c r="K346">
        <f t="shared" si="11"/>
        <v>10</v>
      </c>
    </row>
    <row r="347" spans="1:11" x14ac:dyDescent="0.35">
      <c r="A347" s="13">
        <v>43381</v>
      </c>
      <c r="B347" s="8">
        <v>24.1</v>
      </c>
      <c r="C347" s="8">
        <v>20.8</v>
      </c>
      <c r="D347" s="8">
        <v>29.5</v>
      </c>
      <c r="E347" s="8">
        <v>0</v>
      </c>
      <c r="F347" s="8" t="str">
        <f>IF(OR(B347&lt;outliers!$B$7,B347&gt;outliers!$B$6),"Outlier","Normal")</f>
        <v>Normal</v>
      </c>
      <c r="G347" s="8" t="str">
        <f>IF(OR(C347&lt;outliers!$B$14,C347&gt;outliers!$B$13),"Outlier","Normal")</f>
        <v>Normal</v>
      </c>
      <c r="H347" s="8" t="str">
        <f>IF(OR(D347&lt;outliers!$B$21,D347&gt;outliers!$B$20),"Outlier","Normal")</f>
        <v>Normal</v>
      </c>
      <c r="I347" s="8" t="str">
        <f>IF(OR(E347&lt;outliers!$C$28,E347&gt;outliers!$B$27),"Outlier","Normal")</f>
        <v>Normal</v>
      </c>
      <c r="J347" s="8">
        <f t="shared" si="10"/>
        <v>2018</v>
      </c>
      <c r="K347">
        <f t="shared" si="11"/>
        <v>10</v>
      </c>
    </row>
    <row r="348" spans="1:11" x14ac:dyDescent="0.35">
      <c r="A348" s="13">
        <v>43382</v>
      </c>
      <c r="B348" s="8">
        <v>24.3</v>
      </c>
      <c r="C348" s="8">
        <v>20.6</v>
      </c>
      <c r="D348" s="8">
        <v>29.5</v>
      </c>
      <c r="E348" s="8">
        <v>4.3</v>
      </c>
      <c r="F348" s="8" t="str">
        <f>IF(OR(B348&lt;outliers!$B$7,B348&gt;outliers!$B$6),"Outlier","Normal")</f>
        <v>Normal</v>
      </c>
      <c r="G348" s="8" t="str">
        <f>IF(OR(C348&lt;outliers!$B$14,C348&gt;outliers!$B$13),"Outlier","Normal")</f>
        <v>Normal</v>
      </c>
      <c r="H348" s="8" t="str">
        <f>IF(OR(D348&lt;outliers!$B$21,D348&gt;outliers!$B$20),"Outlier","Normal")</f>
        <v>Normal</v>
      </c>
      <c r="I348" s="8" t="str">
        <f>IF(OR(E348&lt;outliers!$C$28,E348&gt;outliers!$B$27),"Outlier","Normal")</f>
        <v>Normal</v>
      </c>
      <c r="J348" s="8">
        <f t="shared" si="10"/>
        <v>2018</v>
      </c>
      <c r="K348">
        <f t="shared" si="11"/>
        <v>10</v>
      </c>
    </row>
    <row r="349" spans="1:11" x14ac:dyDescent="0.35">
      <c r="A349" s="13">
        <v>43383</v>
      </c>
      <c r="B349" s="8">
        <v>24</v>
      </c>
      <c r="C349" s="8">
        <v>19.100000000000001</v>
      </c>
      <c r="D349" s="8">
        <v>30</v>
      </c>
      <c r="E349" s="8">
        <v>0</v>
      </c>
      <c r="F349" s="8" t="str">
        <f>IF(OR(B349&lt;outliers!$B$7,B349&gt;outliers!$B$6),"Outlier","Normal")</f>
        <v>Normal</v>
      </c>
      <c r="G349" s="8" t="str">
        <f>IF(OR(C349&lt;outliers!$B$14,C349&gt;outliers!$B$13),"Outlier","Normal")</f>
        <v>Normal</v>
      </c>
      <c r="H349" s="8" t="str">
        <f>IF(OR(D349&lt;outliers!$B$21,D349&gt;outliers!$B$20),"Outlier","Normal")</f>
        <v>Normal</v>
      </c>
      <c r="I349" s="8" t="str">
        <f>IF(OR(E349&lt;outliers!$C$28,E349&gt;outliers!$B$27),"Outlier","Normal")</f>
        <v>Normal</v>
      </c>
      <c r="J349" s="8">
        <f t="shared" si="10"/>
        <v>2018</v>
      </c>
      <c r="K349">
        <f t="shared" si="11"/>
        <v>10</v>
      </c>
    </row>
    <row r="350" spans="1:11" x14ac:dyDescent="0.35">
      <c r="A350" s="13">
        <v>43388</v>
      </c>
      <c r="B350" s="8">
        <v>23.4</v>
      </c>
      <c r="C350" s="8">
        <v>20.100000000000001</v>
      </c>
      <c r="D350" s="8">
        <v>29.8</v>
      </c>
      <c r="E350" s="8">
        <v>3.8</v>
      </c>
      <c r="F350" s="8" t="str">
        <f>IF(OR(B350&lt;outliers!$B$7,B350&gt;outliers!$B$6),"Outlier","Normal")</f>
        <v>Normal</v>
      </c>
      <c r="G350" s="8" t="str">
        <f>IF(OR(C350&lt;outliers!$B$14,C350&gt;outliers!$B$13),"Outlier","Normal")</f>
        <v>Normal</v>
      </c>
      <c r="H350" s="8" t="str">
        <f>IF(OR(D350&lt;outliers!$B$21,D350&gt;outliers!$B$20),"Outlier","Normal")</f>
        <v>Normal</v>
      </c>
      <c r="I350" s="8" t="str">
        <f>IF(OR(E350&lt;outliers!$C$28,E350&gt;outliers!$B$27),"Outlier","Normal")</f>
        <v>Normal</v>
      </c>
      <c r="J350" s="8">
        <f t="shared" si="10"/>
        <v>2018</v>
      </c>
      <c r="K350">
        <f t="shared" si="11"/>
        <v>10</v>
      </c>
    </row>
    <row r="351" spans="1:11" x14ac:dyDescent="0.35">
      <c r="A351" s="13">
        <v>43389</v>
      </c>
      <c r="B351" s="8">
        <v>24.3</v>
      </c>
      <c r="C351" s="8">
        <v>20.7</v>
      </c>
      <c r="D351" s="8">
        <v>29</v>
      </c>
      <c r="E351" s="8">
        <v>5.0999999999999996</v>
      </c>
      <c r="F351" s="8" t="str">
        <f>IF(OR(B351&lt;outliers!$B$7,B351&gt;outliers!$B$6),"Outlier","Normal")</f>
        <v>Normal</v>
      </c>
      <c r="G351" s="8" t="str">
        <f>IF(OR(C351&lt;outliers!$B$14,C351&gt;outliers!$B$13),"Outlier","Normal")</f>
        <v>Normal</v>
      </c>
      <c r="H351" s="8" t="str">
        <f>IF(OR(D351&lt;outliers!$B$21,D351&gt;outliers!$B$20),"Outlier","Normal")</f>
        <v>Normal</v>
      </c>
      <c r="I351" s="8" t="str">
        <f>IF(OR(E351&lt;outliers!$C$28,E351&gt;outliers!$B$27),"Outlier","Normal")</f>
        <v>Normal</v>
      </c>
      <c r="J351" s="8">
        <f t="shared" si="10"/>
        <v>2018</v>
      </c>
      <c r="K351">
        <f t="shared" si="11"/>
        <v>10</v>
      </c>
    </row>
    <row r="352" spans="1:11" x14ac:dyDescent="0.35">
      <c r="A352" s="13">
        <v>43390</v>
      </c>
      <c r="B352" s="8">
        <v>22.4</v>
      </c>
      <c r="C352" s="8">
        <v>19.399999999999999</v>
      </c>
      <c r="D352" s="8">
        <v>29.3</v>
      </c>
      <c r="E352" s="8">
        <v>0</v>
      </c>
      <c r="F352" s="8" t="str">
        <f>IF(OR(B352&lt;outliers!$B$7,B352&gt;outliers!$B$6),"Outlier","Normal")</f>
        <v>Normal</v>
      </c>
      <c r="G352" s="8" t="str">
        <f>IF(OR(C352&lt;outliers!$B$14,C352&gt;outliers!$B$13),"Outlier","Normal")</f>
        <v>Normal</v>
      </c>
      <c r="H352" s="8" t="str">
        <f>IF(OR(D352&lt;outliers!$B$21,D352&gt;outliers!$B$20),"Outlier","Normal")</f>
        <v>Normal</v>
      </c>
      <c r="I352" s="8" t="str">
        <f>IF(OR(E352&lt;outliers!$C$28,E352&gt;outliers!$B$27),"Outlier","Normal")</f>
        <v>Normal</v>
      </c>
      <c r="J352" s="8">
        <f t="shared" si="10"/>
        <v>2018</v>
      </c>
      <c r="K352">
        <f t="shared" si="11"/>
        <v>10</v>
      </c>
    </row>
    <row r="353" spans="1:11" hidden="1" x14ac:dyDescent="0.35">
      <c r="A353" s="13">
        <v>43391</v>
      </c>
      <c r="B353" s="8">
        <v>23.1</v>
      </c>
      <c r="C353" s="8">
        <v>18.899999999999999</v>
      </c>
      <c r="D353" s="8">
        <v>28.5</v>
      </c>
      <c r="E353" s="8">
        <v>48.8</v>
      </c>
      <c r="F353" s="8" t="str">
        <f>IF(OR(B353&lt;outliers!$B$7,B353&gt;outliers!$B$6),"Outlier","Normal")</f>
        <v>Normal</v>
      </c>
      <c r="G353" s="8" t="str">
        <f>IF(OR(C353&lt;outliers!$B$14,C353&gt;outliers!$B$13),"Outlier","Normal")</f>
        <v>Normal</v>
      </c>
      <c r="H353" s="8" t="str">
        <f>IF(OR(D353&lt;outliers!$B$21,D353&gt;outliers!$B$20),"Outlier","Normal")</f>
        <v>Normal</v>
      </c>
      <c r="I353" s="8" t="str">
        <f>IF(OR(E353&lt;outliers!$C$28,E353&gt;outliers!$B$27),"Outlier","Normal")</f>
        <v>Outlier</v>
      </c>
      <c r="J353" s="8">
        <f t="shared" si="10"/>
        <v>2018</v>
      </c>
      <c r="K353">
        <f t="shared" si="11"/>
        <v>10</v>
      </c>
    </row>
    <row r="354" spans="1:11" x14ac:dyDescent="0.35">
      <c r="A354" s="13">
        <v>43392</v>
      </c>
      <c r="B354" s="8">
        <v>23.9</v>
      </c>
      <c r="C354" s="8">
        <v>20.2</v>
      </c>
      <c r="D354" s="8">
        <v>28.7</v>
      </c>
      <c r="E354" s="8">
        <v>1</v>
      </c>
      <c r="F354" s="8" t="str">
        <f>IF(OR(B354&lt;outliers!$B$7,B354&gt;outliers!$B$6),"Outlier","Normal")</f>
        <v>Normal</v>
      </c>
      <c r="G354" s="8" t="str">
        <f>IF(OR(C354&lt;outliers!$B$14,C354&gt;outliers!$B$13),"Outlier","Normal")</f>
        <v>Normal</v>
      </c>
      <c r="H354" s="8" t="str">
        <f>IF(OR(D354&lt;outliers!$B$21,D354&gt;outliers!$B$20),"Outlier","Normal")</f>
        <v>Normal</v>
      </c>
      <c r="I354" s="8" t="str">
        <f>IF(OR(E354&lt;outliers!$C$28,E354&gt;outliers!$B$27),"Outlier","Normal")</f>
        <v>Normal</v>
      </c>
      <c r="J354" s="8">
        <f t="shared" si="10"/>
        <v>2018</v>
      </c>
      <c r="K354">
        <f t="shared" si="11"/>
        <v>10</v>
      </c>
    </row>
    <row r="355" spans="1:11" x14ac:dyDescent="0.35">
      <c r="A355" s="13">
        <v>43393</v>
      </c>
      <c r="B355" s="8">
        <v>23.8</v>
      </c>
      <c r="C355" s="8">
        <v>19.7</v>
      </c>
      <c r="D355" s="8">
        <v>29.3</v>
      </c>
      <c r="E355" s="8">
        <v>0</v>
      </c>
      <c r="F355" s="8" t="str">
        <f>IF(OR(B355&lt;outliers!$B$7,B355&gt;outliers!$B$6),"Outlier","Normal")</f>
        <v>Normal</v>
      </c>
      <c r="G355" s="8" t="str">
        <f>IF(OR(C355&lt;outliers!$B$14,C355&gt;outliers!$B$13),"Outlier","Normal")</f>
        <v>Normal</v>
      </c>
      <c r="H355" s="8" t="str">
        <f>IF(OR(D355&lt;outliers!$B$21,D355&gt;outliers!$B$20),"Outlier","Normal")</f>
        <v>Normal</v>
      </c>
      <c r="I355" s="8" t="str">
        <f>IF(OR(E355&lt;outliers!$C$28,E355&gt;outliers!$B$27),"Outlier","Normal")</f>
        <v>Normal</v>
      </c>
      <c r="J355" s="8">
        <f t="shared" si="10"/>
        <v>2018</v>
      </c>
      <c r="K355">
        <f t="shared" si="11"/>
        <v>10</v>
      </c>
    </row>
    <row r="356" spans="1:11" x14ac:dyDescent="0.35">
      <c r="A356" s="13">
        <v>43407</v>
      </c>
      <c r="B356" s="8">
        <v>22.8</v>
      </c>
      <c r="C356" s="8">
        <v>19.600000000000001</v>
      </c>
      <c r="D356" s="8">
        <v>27.7</v>
      </c>
      <c r="E356" s="8">
        <v>0.5</v>
      </c>
      <c r="F356" s="8" t="str">
        <f>IF(OR(B356&lt;outliers!$B$7,B356&gt;outliers!$B$6),"Outlier","Normal")</f>
        <v>Normal</v>
      </c>
      <c r="G356" s="8" t="str">
        <f>IF(OR(C356&lt;outliers!$B$14,C356&gt;outliers!$B$13),"Outlier","Normal")</f>
        <v>Normal</v>
      </c>
      <c r="H356" s="8" t="str">
        <f>IF(OR(D356&lt;outliers!$B$21,D356&gt;outliers!$B$20),"Outlier","Normal")</f>
        <v>Normal</v>
      </c>
      <c r="I356" s="8" t="str">
        <f>IF(OR(E356&lt;outliers!$C$28,E356&gt;outliers!$B$27),"Outlier","Normal")</f>
        <v>Normal</v>
      </c>
      <c r="J356" s="8">
        <f t="shared" si="10"/>
        <v>2018</v>
      </c>
      <c r="K356">
        <f t="shared" si="11"/>
        <v>11</v>
      </c>
    </row>
    <row r="357" spans="1:11" x14ac:dyDescent="0.35">
      <c r="A357" s="13">
        <v>43408</v>
      </c>
      <c r="B357" s="8">
        <v>23.5</v>
      </c>
      <c r="C357" s="8">
        <v>18.8</v>
      </c>
      <c r="D357" s="8">
        <v>28.1</v>
      </c>
      <c r="E357" s="8">
        <v>4.5999999999999996</v>
      </c>
      <c r="F357" s="8" t="str">
        <f>IF(OR(B357&lt;outliers!$B$7,B357&gt;outliers!$B$6),"Outlier","Normal")</f>
        <v>Normal</v>
      </c>
      <c r="G357" s="8" t="str">
        <f>IF(OR(C357&lt;outliers!$B$14,C357&gt;outliers!$B$13),"Outlier","Normal")</f>
        <v>Normal</v>
      </c>
      <c r="H357" s="8" t="str">
        <f>IF(OR(D357&lt;outliers!$B$21,D357&gt;outliers!$B$20),"Outlier","Normal")</f>
        <v>Normal</v>
      </c>
      <c r="I357" s="8" t="str">
        <f>IF(OR(E357&lt;outliers!$C$28,E357&gt;outliers!$B$27),"Outlier","Normal")</f>
        <v>Normal</v>
      </c>
      <c r="J357" s="8">
        <f t="shared" si="10"/>
        <v>2018</v>
      </c>
      <c r="K357">
        <f t="shared" si="11"/>
        <v>11</v>
      </c>
    </row>
    <row r="358" spans="1:11" x14ac:dyDescent="0.35">
      <c r="A358" s="13">
        <v>43409</v>
      </c>
      <c r="B358" s="8">
        <v>23.6</v>
      </c>
      <c r="C358" s="8">
        <v>19.7</v>
      </c>
      <c r="D358" s="8">
        <v>29.2</v>
      </c>
      <c r="E358" s="8">
        <v>0</v>
      </c>
      <c r="F358" s="8" t="str">
        <f>IF(OR(B358&lt;outliers!$B$7,B358&gt;outliers!$B$6),"Outlier","Normal")</f>
        <v>Normal</v>
      </c>
      <c r="G358" s="8" t="str">
        <f>IF(OR(C358&lt;outliers!$B$14,C358&gt;outliers!$B$13),"Outlier","Normal")</f>
        <v>Normal</v>
      </c>
      <c r="H358" s="8" t="str">
        <f>IF(OR(D358&lt;outliers!$B$21,D358&gt;outliers!$B$20),"Outlier","Normal")</f>
        <v>Normal</v>
      </c>
      <c r="I358" s="8" t="str">
        <f>IF(OR(E358&lt;outliers!$C$28,E358&gt;outliers!$B$27),"Outlier","Normal")</f>
        <v>Normal</v>
      </c>
      <c r="J358" s="8">
        <f t="shared" si="10"/>
        <v>2018</v>
      </c>
      <c r="K358">
        <f t="shared" si="11"/>
        <v>11</v>
      </c>
    </row>
    <row r="359" spans="1:11" hidden="1" x14ac:dyDescent="0.35">
      <c r="A359" s="13">
        <v>43419</v>
      </c>
      <c r="B359" s="8">
        <v>23.3</v>
      </c>
      <c r="C359" s="8">
        <v>16.5</v>
      </c>
      <c r="D359" s="8">
        <v>31</v>
      </c>
      <c r="E359" s="8">
        <v>0</v>
      </c>
      <c r="F359" s="8" t="str">
        <f>IF(OR(B359&lt;outliers!$B$7,B359&gt;outliers!$B$6),"Outlier","Normal")</f>
        <v>Normal</v>
      </c>
      <c r="G359" s="8" t="str">
        <f>IF(OR(C359&lt;outliers!$B$14,C359&gt;outliers!$B$13),"Outlier","Normal")</f>
        <v>Outlier</v>
      </c>
      <c r="H359" s="8" t="str">
        <f>IF(OR(D359&lt;outliers!$B$21,D359&gt;outliers!$B$20),"Outlier","Normal")</f>
        <v>Normal</v>
      </c>
      <c r="I359" s="8" t="str">
        <f>IF(OR(E359&lt;outliers!$C$28,E359&gt;outliers!$B$27),"Outlier","Normal")</f>
        <v>Normal</v>
      </c>
      <c r="J359" s="8">
        <f t="shared" si="10"/>
        <v>2018</v>
      </c>
      <c r="K359">
        <f t="shared" si="11"/>
        <v>11</v>
      </c>
    </row>
    <row r="360" spans="1:11" x14ac:dyDescent="0.35">
      <c r="A360" s="13">
        <v>43420</v>
      </c>
      <c r="B360" s="8">
        <v>21.9</v>
      </c>
      <c r="C360" s="8">
        <v>19.7</v>
      </c>
      <c r="D360" s="8">
        <v>28.6</v>
      </c>
      <c r="E360" s="8">
        <v>0</v>
      </c>
      <c r="F360" s="8" t="str">
        <f>IF(OR(B360&lt;outliers!$B$7,B360&gt;outliers!$B$6),"Outlier","Normal")</f>
        <v>Normal</v>
      </c>
      <c r="G360" s="8" t="str">
        <f>IF(OR(C360&lt;outliers!$B$14,C360&gt;outliers!$B$13),"Outlier","Normal")</f>
        <v>Normal</v>
      </c>
      <c r="H360" s="8" t="str">
        <f>IF(OR(D360&lt;outliers!$B$21,D360&gt;outliers!$B$20),"Outlier","Normal")</f>
        <v>Normal</v>
      </c>
      <c r="I360" s="8" t="str">
        <f>IF(OR(E360&lt;outliers!$C$28,E360&gt;outliers!$B$27),"Outlier","Normal")</f>
        <v>Normal</v>
      </c>
      <c r="J360" s="8">
        <f t="shared" si="10"/>
        <v>2018</v>
      </c>
      <c r="K360">
        <f t="shared" si="11"/>
        <v>11</v>
      </c>
    </row>
    <row r="361" spans="1:11" x14ac:dyDescent="0.35">
      <c r="A361" s="13">
        <v>43421</v>
      </c>
      <c r="B361" s="8">
        <v>23.9</v>
      </c>
      <c r="C361" s="8">
        <v>19.2</v>
      </c>
      <c r="D361" s="8">
        <v>29.3</v>
      </c>
      <c r="E361" s="8">
        <v>0.3</v>
      </c>
      <c r="F361" s="8" t="str">
        <f>IF(OR(B361&lt;outliers!$B$7,B361&gt;outliers!$B$6),"Outlier","Normal")</f>
        <v>Normal</v>
      </c>
      <c r="G361" s="8" t="str">
        <f>IF(OR(C361&lt;outliers!$B$14,C361&gt;outliers!$B$13),"Outlier","Normal")</f>
        <v>Normal</v>
      </c>
      <c r="H361" s="8" t="str">
        <f>IF(OR(D361&lt;outliers!$B$21,D361&gt;outliers!$B$20),"Outlier","Normal")</f>
        <v>Normal</v>
      </c>
      <c r="I361" s="8" t="str">
        <f>IF(OR(E361&lt;outliers!$C$28,E361&gt;outliers!$B$27),"Outlier","Normal")</f>
        <v>Normal</v>
      </c>
      <c r="J361" s="8">
        <f t="shared" si="10"/>
        <v>2018</v>
      </c>
      <c r="K361">
        <f t="shared" si="11"/>
        <v>11</v>
      </c>
    </row>
    <row r="362" spans="1:11" x14ac:dyDescent="0.35">
      <c r="A362" s="13">
        <v>43422</v>
      </c>
      <c r="B362" s="8">
        <v>24.3</v>
      </c>
      <c r="C362" s="8">
        <v>20.6</v>
      </c>
      <c r="D362" s="8">
        <v>30.2</v>
      </c>
      <c r="E362" s="8">
        <v>0</v>
      </c>
      <c r="F362" s="8" t="str">
        <f>IF(OR(B362&lt;outliers!$B$7,B362&gt;outliers!$B$6),"Outlier","Normal")</f>
        <v>Normal</v>
      </c>
      <c r="G362" s="8" t="str">
        <f>IF(OR(C362&lt;outliers!$B$14,C362&gt;outliers!$B$13),"Outlier","Normal")</f>
        <v>Normal</v>
      </c>
      <c r="H362" s="8" t="str">
        <f>IF(OR(D362&lt;outliers!$B$21,D362&gt;outliers!$B$20),"Outlier","Normal")</f>
        <v>Normal</v>
      </c>
      <c r="I362" s="8" t="str">
        <f>IF(OR(E362&lt;outliers!$C$28,E362&gt;outliers!$B$27),"Outlier","Normal")</f>
        <v>Normal</v>
      </c>
      <c r="J362" s="8">
        <f t="shared" si="10"/>
        <v>2018</v>
      </c>
      <c r="K362">
        <f t="shared" si="11"/>
        <v>11</v>
      </c>
    </row>
    <row r="363" spans="1:11" x14ac:dyDescent="0.35">
      <c r="A363" s="13">
        <v>43424</v>
      </c>
      <c r="B363" s="8">
        <v>24.4</v>
      </c>
      <c r="C363" s="8">
        <v>19.7</v>
      </c>
      <c r="D363" s="8">
        <v>29.8</v>
      </c>
      <c r="E363" s="8">
        <v>0</v>
      </c>
      <c r="F363" s="8" t="str">
        <f>IF(OR(B363&lt;outliers!$B$7,B363&gt;outliers!$B$6),"Outlier","Normal")</f>
        <v>Normal</v>
      </c>
      <c r="G363" s="8" t="str">
        <f>IF(OR(C363&lt;outliers!$B$14,C363&gt;outliers!$B$13),"Outlier","Normal")</f>
        <v>Normal</v>
      </c>
      <c r="H363" s="8" t="str">
        <f>IF(OR(D363&lt;outliers!$B$21,D363&gt;outliers!$B$20),"Outlier","Normal")</f>
        <v>Normal</v>
      </c>
      <c r="I363" s="8" t="str">
        <f>IF(OR(E363&lt;outliers!$C$28,E363&gt;outliers!$B$27),"Outlier","Normal")</f>
        <v>Normal</v>
      </c>
      <c r="J363" s="8">
        <f t="shared" si="10"/>
        <v>2018</v>
      </c>
      <c r="K363">
        <f t="shared" si="11"/>
        <v>11</v>
      </c>
    </row>
    <row r="364" spans="1:11" x14ac:dyDescent="0.35">
      <c r="A364" s="13">
        <v>43426</v>
      </c>
      <c r="B364" s="8">
        <v>21.6</v>
      </c>
      <c r="C364" s="8">
        <v>19.600000000000001</v>
      </c>
      <c r="D364" s="8">
        <v>26.6</v>
      </c>
      <c r="E364" s="8">
        <v>0</v>
      </c>
      <c r="F364" s="8" t="str">
        <f>IF(OR(B364&lt;outliers!$B$7,B364&gt;outliers!$B$6),"Outlier","Normal")</f>
        <v>Normal</v>
      </c>
      <c r="G364" s="8" t="str">
        <f>IF(OR(C364&lt;outliers!$B$14,C364&gt;outliers!$B$13),"Outlier","Normal")</f>
        <v>Normal</v>
      </c>
      <c r="H364" s="8" t="str">
        <f>IF(OR(D364&lt;outliers!$B$21,D364&gt;outliers!$B$20),"Outlier","Normal")</f>
        <v>Normal</v>
      </c>
      <c r="I364" s="8" t="str">
        <f>IF(OR(E364&lt;outliers!$C$28,E364&gt;outliers!$B$27),"Outlier","Normal")</f>
        <v>Normal</v>
      </c>
      <c r="J364" s="8">
        <f t="shared" si="10"/>
        <v>2018</v>
      </c>
      <c r="K364">
        <f t="shared" si="11"/>
        <v>11</v>
      </c>
    </row>
    <row r="365" spans="1:11" x14ac:dyDescent="0.35">
      <c r="A365" s="13">
        <v>43427</v>
      </c>
      <c r="B365" s="8">
        <v>20.9</v>
      </c>
      <c r="C365" s="8">
        <v>19.600000000000001</v>
      </c>
      <c r="D365" s="8">
        <v>24.8</v>
      </c>
      <c r="E365" s="8">
        <v>0.5</v>
      </c>
      <c r="F365" s="8" t="str">
        <f>IF(OR(B365&lt;outliers!$B$7,B365&gt;outliers!$B$6),"Outlier","Normal")</f>
        <v>Normal</v>
      </c>
      <c r="G365" s="8" t="str">
        <f>IF(OR(C365&lt;outliers!$B$14,C365&gt;outliers!$B$13),"Outlier","Normal")</f>
        <v>Normal</v>
      </c>
      <c r="H365" s="8" t="str">
        <f>IF(OR(D365&lt;outliers!$B$21,D365&gt;outliers!$B$20),"Outlier","Normal")</f>
        <v>Normal</v>
      </c>
      <c r="I365" s="8" t="str">
        <f>IF(OR(E365&lt;outliers!$C$28,E365&gt;outliers!$B$27),"Outlier","Normal")</f>
        <v>Normal</v>
      </c>
      <c r="J365" s="8">
        <f t="shared" si="10"/>
        <v>2018</v>
      </c>
      <c r="K365">
        <f t="shared" si="11"/>
        <v>11</v>
      </c>
    </row>
    <row r="366" spans="1:11" hidden="1" x14ac:dyDescent="0.35">
      <c r="A366" s="13">
        <v>43428</v>
      </c>
      <c r="B366" s="8">
        <v>22.9</v>
      </c>
      <c r="C366" s="8">
        <v>19</v>
      </c>
      <c r="D366" s="8">
        <v>27.6</v>
      </c>
      <c r="E366" s="8">
        <v>13</v>
      </c>
      <c r="F366" s="8" t="str">
        <f>IF(OR(B366&lt;outliers!$B$7,B366&gt;outliers!$B$6),"Outlier","Normal")</f>
        <v>Normal</v>
      </c>
      <c r="G366" s="8" t="str">
        <f>IF(OR(C366&lt;outliers!$B$14,C366&gt;outliers!$B$13),"Outlier","Normal")</f>
        <v>Normal</v>
      </c>
      <c r="H366" s="8" t="str">
        <f>IF(OR(D366&lt;outliers!$B$21,D366&gt;outliers!$B$20),"Outlier","Normal")</f>
        <v>Normal</v>
      </c>
      <c r="I366" s="8" t="str">
        <f>IF(OR(E366&lt;outliers!$C$28,E366&gt;outliers!$B$27),"Outlier","Normal")</f>
        <v>Outlier</v>
      </c>
      <c r="J366" s="8">
        <f t="shared" si="10"/>
        <v>2018</v>
      </c>
      <c r="K366">
        <f t="shared" si="11"/>
        <v>11</v>
      </c>
    </row>
    <row r="367" spans="1:11" x14ac:dyDescent="0.35">
      <c r="A367" s="13">
        <v>43429</v>
      </c>
      <c r="B367" s="8">
        <v>22.6</v>
      </c>
      <c r="C367" s="8">
        <v>19.2</v>
      </c>
      <c r="D367" s="8">
        <v>28.5</v>
      </c>
      <c r="E367" s="8">
        <v>0</v>
      </c>
      <c r="F367" s="8" t="str">
        <f>IF(OR(B367&lt;outliers!$B$7,B367&gt;outliers!$B$6),"Outlier","Normal")</f>
        <v>Normal</v>
      </c>
      <c r="G367" s="8" t="str">
        <f>IF(OR(C367&lt;outliers!$B$14,C367&gt;outliers!$B$13),"Outlier","Normal")</f>
        <v>Normal</v>
      </c>
      <c r="H367" s="8" t="str">
        <f>IF(OR(D367&lt;outliers!$B$21,D367&gt;outliers!$B$20),"Outlier","Normal")</f>
        <v>Normal</v>
      </c>
      <c r="I367" s="8" t="str">
        <f>IF(OR(E367&lt;outliers!$C$28,E367&gt;outliers!$B$27),"Outlier","Normal")</f>
        <v>Normal</v>
      </c>
      <c r="J367" s="8">
        <f t="shared" si="10"/>
        <v>2018</v>
      </c>
      <c r="K367">
        <f t="shared" si="11"/>
        <v>11</v>
      </c>
    </row>
    <row r="368" spans="1:11" x14ac:dyDescent="0.35">
      <c r="A368" s="13">
        <v>43439</v>
      </c>
      <c r="B368" s="8">
        <v>23.2</v>
      </c>
      <c r="C368" s="8">
        <v>19.5</v>
      </c>
      <c r="D368" s="8">
        <v>28.1</v>
      </c>
      <c r="E368" s="8">
        <v>4.8</v>
      </c>
      <c r="F368" s="8" t="str">
        <f>IF(OR(B368&lt;outliers!$B$7,B368&gt;outliers!$B$6),"Outlier","Normal")</f>
        <v>Normal</v>
      </c>
      <c r="G368" s="8" t="str">
        <f>IF(OR(C368&lt;outliers!$B$14,C368&gt;outliers!$B$13),"Outlier","Normal")</f>
        <v>Normal</v>
      </c>
      <c r="H368" s="8" t="str">
        <f>IF(OR(D368&lt;outliers!$B$21,D368&gt;outliers!$B$20),"Outlier","Normal")</f>
        <v>Normal</v>
      </c>
      <c r="I368" s="8" t="str">
        <f>IF(OR(E368&lt;outliers!$C$28,E368&gt;outliers!$B$27),"Outlier","Normal")</f>
        <v>Normal</v>
      </c>
      <c r="J368" s="8">
        <f t="shared" si="10"/>
        <v>2018</v>
      </c>
      <c r="K368">
        <f t="shared" si="11"/>
        <v>12</v>
      </c>
    </row>
    <row r="369" spans="1:11" x14ac:dyDescent="0.35">
      <c r="A369" s="13">
        <v>43440</v>
      </c>
      <c r="B369" s="8">
        <v>23.5</v>
      </c>
      <c r="C369" s="8">
        <v>20</v>
      </c>
      <c r="D369" s="8">
        <v>28.3</v>
      </c>
      <c r="E369" s="8">
        <v>0</v>
      </c>
      <c r="F369" s="8" t="str">
        <f>IF(OR(B369&lt;outliers!$B$7,B369&gt;outliers!$B$6),"Outlier","Normal")</f>
        <v>Normal</v>
      </c>
      <c r="G369" s="8" t="str">
        <f>IF(OR(C369&lt;outliers!$B$14,C369&gt;outliers!$B$13),"Outlier","Normal")</f>
        <v>Normal</v>
      </c>
      <c r="H369" s="8" t="str">
        <f>IF(OR(D369&lt;outliers!$B$21,D369&gt;outliers!$B$20),"Outlier","Normal")</f>
        <v>Normal</v>
      </c>
      <c r="I369" s="8" t="str">
        <f>IF(OR(E369&lt;outliers!$C$28,E369&gt;outliers!$B$27),"Outlier","Normal")</f>
        <v>Normal</v>
      </c>
      <c r="J369" s="8">
        <f t="shared" si="10"/>
        <v>2018</v>
      </c>
      <c r="K369">
        <f t="shared" si="11"/>
        <v>12</v>
      </c>
    </row>
    <row r="370" spans="1:11" x14ac:dyDescent="0.35">
      <c r="A370" s="13">
        <v>43454</v>
      </c>
      <c r="B370" s="8">
        <v>22.2</v>
      </c>
      <c r="C370" s="8">
        <v>17.7</v>
      </c>
      <c r="D370" s="8">
        <v>27.7</v>
      </c>
      <c r="E370" s="8">
        <v>0</v>
      </c>
      <c r="F370" s="8" t="str">
        <f>IF(OR(B370&lt;outliers!$B$7,B370&gt;outliers!$B$6),"Outlier","Normal")</f>
        <v>Normal</v>
      </c>
      <c r="G370" s="8" t="str">
        <f>IF(OR(C370&lt;outliers!$B$14,C370&gt;outliers!$B$13),"Outlier","Normal")</f>
        <v>Normal</v>
      </c>
      <c r="H370" s="8" t="str">
        <f>IF(OR(D370&lt;outliers!$B$21,D370&gt;outliers!$B$20),"Outlier","Normal")</f>
        <v>Normal</v>
      </c>
      <c r="I370" s="8" t="str">
        <f>IF(OR(E370&lt;outliers!$C$28,E370&gt;outliers!$B$27),"Outlier","Normal")</f>
        <v>Normal</v>
      </c>
      <c r="J370" s="8">
        <f t="shared" si="10"/>
        <v>2018</v>
      </c>
      <c r="K370">
        <f t="shared" si="11"/>
        <v>12</v>
      </c>
    </row>
    <row r="371" spans="1:11" hidden="1" x14ac:dyDescent="0.35">
      <c r="A371" s="13">
        <v>43463</v>
      </c>
      <c r="B371" s="8">
        <v>21.8</v>
      </c>
      <c r="C371" s="8">
        <v>18.600000000000001</v>
      </c>
      <c r="D371" s="8">
        <v>27.8</v>
      </c>
      <c r="E371" s="8">
        <v>10.9</v>
      </c>
      <c r="F371" s="8" t="str">
        <f>IF(OR(B371&lt;outliers!$B$7,B371&gt;outliers!$B$6),"Outlier","Normal")</f>
        <v>Normal</v>
      </c>
      <c r="G371" s="8" t="str">
        <f>IF(OR(C371&lt;outliers!$B$14,C371&gt;outliers!$B$13),"Outlier","Normal")</f>
        <v>Normal</v>
      </c>
      <c r="H371" s="8" t="str">
        <f>IF(OR(D371&lt;outliers!$B$21,D371&gt;outliers!$B$20),"Outlier","Normal")</f>
        <v>Normal</v>
      </c>
      <c r="I371" s="8" t="str">
        <f>IF(OR(E371&lt;outliers!$C$28,E371&gt;outliers!$B$27),"Outlier","Normal")</f>
        <v>Outlier</v>
      </c>
      <c r="J371" s="8">
        <f t="shared" si="10"/>
        <v>2018</v>
      </c>
      <c r="K371">
        <f t="shared" si="11"/>
        <v>12</v>
      </c>
    </row>
    <row r="372" spans="1:11" x14ac:dyDescent="0.35">
      <c r="A372" s="13">
        <v>43464</v>
      </c>
      <c r="B372" s="8">
        <v>20.6</v>
      </c>
      <c r="C372" s="8">
        <v>17.2</v>
      </c>
      <c r="D372" s="8">
        <v>26.6</v>
      </c>
      <c r="E372" s="8">
        <v>0</v>
      </c>
      <c r="F372" s="8" t="str">
        <f>IF(OR(B372&lt;outliers!$B$7,B372&gt;outliers!$B$6),"Outlier","Normal")</f>
        <v>Normal</v>
      </c>
      <c r="G372" s="8" t="str">
        <f>IF(OR(C372&lt;outliers!$B$14,C372&gt;outliers!$B$13),"Outlier","Normal")</f>
        <v>Normal</v>
      </c>
      <c r="H372" s="8" t="str">
        <f>IF(OR(D372&lt;outliers!$B$21,D372&gt;outliers!$B$20),"Outlier","Normal")</f>
        <v>Normal</v>
      </c>
      <c r="I372" s="8" t="str">
        <f>IF(OR(E372&lt;outliers!$C$28,E372&gt;outliers!$B$27),"Outlier","Normal")</f>
        <v>Normal</v>
      </c>
      <c r="J372" s="8">
        <f t="shared" si="10"/>
        <v>2018</v>
      </c>
      <c r="K372">
        <f t="shared" si="11"/>
        <v>12</v>
      </c>
    </row>
    <row r="373" spans="1:11" x14ac:dyDescent="0.35">
      <c r="A373" s="13">
        <v>43494</v>
      </c>
      <c r="B373" s="8">
        <v>21.9</v>
      </c>
      <c r="C373" s="8">
        <v>17.7</v>
      </c>
      <c r="D373" s="8">
        <v>29.6</v>
      </c>
      <c r="E373" s="8">
        <v>0.8</v>
      </c>
      <c r="F373" s="8" t="str">
        <f>IF(OR(B373&lt;outliers!$B$7,B373&gt;outliers!$B$6),"Outlier","Normal")</f>
        <v>Normal</v>
      </c>
      <c r="G373" s="8" t="str">
        <f>IF(OR(C373&lt;outliers!$B$14,C373&gt;outliers!$B$13),"Outlier","Normal")</f>
        <v>Normal</v>
      </c>
      <c r="H373" s="8" t="str">
        <f>IF(OR(D373&lt;outliers!$B$21,D373&gt;outliers!$B$20),"Outlier","Normal")</f>
        <v>Normal</v>
      </c>
      <c r="I373" s="8" t="str">
        <f>IF(OR(E373&lt;outliers!$C$28,E373&gt;outliers!$B$27),"Outlier","Normal")</f>
        <v>Normal</v>
      </c>
      <c r="J373" s="8">
        <f t="shared" si="10"/>
        <v>2019</v>
      </c>
      <c r="K373">
        <f t="shared" si="11"/>
        <v>1</v>
      </c>
    </row>
    <row r="374" spans="1:11" x14ac:dyDescent="0.35">
      <c r="A374" s="13">
        <v>43495</v>
      </c>
      <c r="B374" s="8">
        <v>22.1</v>
      </c>
      <c r="C374" s="8">
        <v>17.2</v>
      </c>
      <c r="D374" s="8">
        <v>27.4</v>
      </c>
      <c r="E374" s="8">
        <v>0</v>
      </c>
      <c r="F374" s="8" t="str">
        <f>IF(OR(B374&lt;outliers!$B$7,B374&gt;outliers!$B$6),"Outlier","Normal")</f>
        <v>Normal</v>
      </c>
      <c r="G374" s="8" t="str">
        <f>IF(OR(C374&lt;outliers!$B$14,C374&gt;outliers!$B$13),"Outlier","Normal")</f>
        <v>Normal</v>
      </c>
      <c r="H374" s="8" t="str">
        <f>IF(OR(D374&lt;outliers!$B$21,D374&gt;outliers!$B$20),"Outlier","Normal")</f>
        <v>Normal</v>
      </c>
      <c r="I374" s="8" t="str">
        <f>IF(OR(E374&lt;outliers!$C$28,E374&gt;outliers!$B$27),"Outlier","Normal")</f>
        <v>Normal</v>
      </c>
      <c r="J374" s="8">
        <f t="shared" si="10"/>
        <v>2019</v>
      </c>
      <c r="K374">
        <f t="shared" si="11"/>
        <v>1</v>
      </c>
    </row>
    <row r="375" spans="1:11" x14ac:dyDescent="0.35">
      <c r="A375" s="13">
        <v>43529</v>
      </c>
      <c r="B375" s="8">
        <v>27.8</v>
      </c>
      <c r="C375" s="8">
        <v>23.1</v>
      </c>
      <c r="D375" s="8">
        <v>34.299999999999997</v>
      </c>
      <c r="E375" s="8">
        <v>0</v>
      </c>
      <c r="F375" s="8" t="str">
        <f>IF(OR(B375&lt;outliers!$B$7,B375&gt;outliers!$B$6),"Outlier","Normal")</f>
        <v>Normal</v>
      </c>
      <c r="G375" s="8" t="str">
        <f>IF(OR(C375&lt;outliers!$B$14,C375&gt;outliers!$B$13),"Outlier","Normal")</f>
        <v>Normal</v>
      </c>
      <c r="H375" s="8" t="str">
        <f>IF(OR(D375&lt;outliers!$B$21,D375&gt;outliers!$B$20),"Outlier","Normal")</f>
        <v>Normal</v>
      </c>
      <c r="I375" s="8" t="str">
        <f>IF(OR(E375&lt;outliers!$C$28,E375&gt;outliers!$B$27),"Outlier","Normal")</f>
        <v>Normal</v>
      </c>
      <c r="J375" s="8">
        <f t="shared" si="10"/>
        <v>2019</v>
      </c>
      <c r="K375">
        <f t="shared" si="11"/>
        <v>3</v>
      </c>
    </row>
    <row r="376" spans="1:11" x14ac:dyDescent="0.35">
      <c r="A376" s="13">
        <v>43564</v>
      </c>
      <c r="B376" s="8">
        <v>28.2</v>
      </c>
      <c r="C376" s="8">
        <v>22.8</v>
      </c>
      <c r="D376" s="8">
        <v>35.6</v>
      </c>
      <c r="E376" s="8">
        <v>7.6</v>
      </c>
      <c r="F376" s="8" t="str">
        <f>IF(OR(B376&lt;outliers!$B$7,B376&gt;outliers!$B$6),"Outlier","Normal")</f>
        <v>Normal</v>
      </c>
      <c r="G376" s="8" t="str">
        <f>IF(OR(C376&lt;outliers!$B$14,C376&gt;outliers!$B$13),"Outlier","Normal")</f>
        <v>Normal</v>
      </c>
      <c r="H376" s="8" t="str">
        <f>IF(OR(D376&lt;outliers!$B$21,D376&gt;outliers!$B$20),"Outlier","Normal")</f>
        <v>Normal</v>
      </c>
      <c r="I376" s="8" t="str">
        <f>IF(OR(E376&lt;outliers!$C$28,E376&gt;outliers!$B$27),"Outlier","Normal")</f>
        <v>Normal</v>
      </c>
      <c r="J376" s="8">
        <f t="shared" si="10"/>
        <v>2019</v>
      </c>
      <c r="K376">
        <f t="shared" si="11"/>
        <v>4</v>
      </c>
    </row>
    <row r="377" spans="1:11" hidden="1" x14ac:dyDescent="0.35">
      <c r="A377" s="13">
        <v>43573</v>
      </c>
      <c r="B377" s="8">
        <v>27.2</v>
      </c>
      <c r="C377" s="8">
        <v>21.6</v>
      </c>
      <c r="D377" s="8">
        <v>36</v>
      </c>
      <c r="E377" s="8">
        <v>16.8</v>
      </c>
      <c r="F377" s="8" t="str">
        <f>IF(OR(B377&lt;outliers!$B$7,B377&gt;outliers!$B$6),"Outlier","Normal")</f>
        <v>Normal</v>
      </c>
      <c r="G377" s="8" t="str">
        <f>IF(OR(C377&lt;outliers!$B$14,C377&gt;outliers!$B$13),"Outlier","Normal")</f>
        <v>Normal</v>
      </c>
      <c r="H377" s="8" t="str">
        <f>IF(OR(D377&lt;outliers!$B$21,D377&gt;outliers!$B$20),"Outlier","Normal")</f>
        <v>Normal</v>
      </c>
      <c r="I377" s="8" t="str">
        <f>IF(OR(E377&lt;outliers!$C$28,E377&gt;outliers!$B$27),"Outlier","Normal")</f>
        <v>Outlier</v>
      </c>
      <c r="J377" s="8">
        <f t="shared" si="10"/>
        <v>2019</v>
      </c>
      <c r="K377">
        <f t="shared" si="11"/>
        <v>4</v>
      </c>
    </row>
    <row r="378" spans="1:11" hidden="1" x14ac:dyDescent="0.35">
      <c r="A378" s="13">
        <v>43574</v>
      </c>
      <c r="B378" s="8">
        <v>27.6</v>
      </c>
      <c r="C378" s="8">
        <v>21.4</v>
      </c>
      <c r="D378" s="8">
        <v>35.6</v>
      </c>
      <c r="E378" s="8">
        <v>20.8</v>
      </c>
      <c r="F378" s="8" t="str">
        <f>IF(OR(B378&lt;outliers!$B$7,B378&gt;outliers!$B$6),"Outlier","Normal")</f>
        <v>Normal</v>
      </c>
      <c r="G378" s="8" t="str">
        <f>IF(OR(C378&lt;outliers!$B$14,C378&gt;outliers!$B$13),"Outlier","Normal")</f>
        <v>Normal</v>
      </c>
      <c r="H378" s="8" t="str">
        <f>IF(OR(D378&lt;outliers!$B$21,D378&gt;outliers!$B$20),"Outlier","Normal")</f>
        <v>Normal</v>
      </c>
      <c r="I378" s="8" t="str">
        <f>IF(OR(E378&lt;outliers!$C$28,E378&gt;outliers!$B$27),"Outlier","Normal")</f>
        <v>Outlier</v>
      </c>
      <c r="J378" s="8">
        <f t="shared" si="10"/>
        <v>2019</v>
      </c>
      <c r="K378">
        <f t="shared" si="11"/>
        <v>4</v>
      </c>
    </row>
    <row r="379" spans="1:11" x14ac:dyDescent="0.35">
      <c r="A379" s="13">
        <v>43575</v>
      </c>
      <c r="B379" s="8">
        <v>26.8</v>
      </c>
      <c r="C379" s="8">
        <v>22.4</v>
      </c>
      <c r="D379" s="8">
        <v>33.200000000000003</v>
      </c>
      <c r="E379" s="8">
        <v>0.3</v>
      </c>
      <c r="F379" s="8" t="str">
        <f>IF(OR(B379&lt;outliers!$B$7,B379&gt;outliers!$B$6),"Outlier","Normal")</f>
        <v>Normal</v>
      </c>
      <c r="G379" s="8" t="str">
        <f>IF(OR(C379&lt;outliers!$B$14,C379&gt;outliers!$B$13),"Outlier","Normal")</f>
        <v>Normal</v>
      </c>
      <c r="H379" s="8" t="str">
        <f>IF(OR(D379&lt;outliers!$B$21,D379&gt;outliers!$B$20),"Outlier","Normal")</f>
        <v>Normal</v>
      </c>
      <c r="I379" s="8" t="str">
        <f>IF(OR(E379&lt;outliers!$C$28,E379&gt;outliers!$B$27),"Outlier","Normal")</f>
        <v>Normal</v>
      </c>
      <c r="J379" s="8">
        <f t="shared" si="10"/>
        <v>2019</v>
      </c>
      <c r="K379">
        <f t="shared" si="11"/>
        <v>4</v>
      </c>
    </row>
    <row r="380" spans="1:11" x14ac:dyDescent="0.35">
      <c r="A380" s="13">
        <v>43576</v>
      </c>
      <c r="B380" s="8">
        <v>27.4</v>
      </c>
      <c r="C380" s="8">
        <v>21.6</v>
      </c>
      <c r="D380" s="8">
        <v>34.200000000000003</v>
      </c>
      <c r="E380" s="8">
        <v>0</v>
      </c>
      <c r="F380" s="8" t="str">
        <f>IF(OR(B380&lt;outliers!$B$7,B380&gt;outliers!$B$6),"Outlier","Normal")</f>
        <v>Normal</v>
      </c>
      <c r="G380" s="8" t="str">
        <f>IF(OR(C380&lt;outliers!$B$14,C380&gt;outliers!$B$13),"Outlier","Normal")</f>
        <v>Normal</v>
      </c>
      <c r="H380" s="8" t="str">
        <f>IF(OR(D380&lt;outliers!$B$21,D380&gt;outliers!$B$20),"Outlier","Normal")</f>
        <v>Normal</v>
      </c>
      <c r="I380" s="8" t="str">
        <f>IF(OR(E380&lt;outliers!$C$28,E380&gt;outliers!$B$27),"Outlier","Normal")</f>
        <v>Normal</v>
      </c>
      <c r="J380" s="8">
        <f t="shared" si="10"/>
        <v>2019</v>
      </c>
      <c r="K380">
        <f t="shared" si="11"/>
        <v>4</v>
      </c>
    </row>
    <row r="381" spans="1:11" x14ac:dyDescent="0.35">
      <c r="A381" s="13">
        <v>43578</v>
      </c>
      <c r="B381" s="8">
        <v>27.9</v>
      </c>
      <c r="C381" s="8">
        <v>23.2</v>
      </c>
      <c r="D381" s="8">
        <v>35</v>
      </c>
      <c r="E381" s="8">
        <v>0</v>
      </c>
      <c r="F381" s="8" t="str">
        <f>IF(OR(B381&lt;outliers!$B$7,B381&gt;outliers!$B$6),"Outlier","Normal")</f>
        <v>Normal</v>
      </c>
      <c r="G381" s="8" t="str">
        <f>IF(OR(C381&lt;outliers!$B$14,C381&gt;outliers!$B$13),"Outlier","Normal")</f>
        <v>Normal</v>
      </c>
      <c r="H381" s="8" t="str">
        <f>IF(OR(D381&lt;outliers!$B$21,D381&gt;outliers!$B$20),"Outlier","Normal")</f>
        <v>Normal</v>
      </c>
      <c r="I381" s="8" t="str">
        <f>IF(OR(E381&lt;outliers!$C$28,E381&gt;outliers!$B$27),"Outlier","Normal")</f>
        <v>Normal</v>
      </c>
      <c r="J381" s="8">
        <f t="shared" si="10"/>
        <v>2019</v>
      </c>
      <c r="K381">
        <f t="shared" si="11"/>
        <v>4</v>
      </c>
    </row>
    <row r="382" spans="1:11" hidden="1" x14ac:dyDescent="0.35">
      <c r="A382" s="13">
        <v>43585</v>
      </c>
      <c r="B382" s="8">
        <v>24.2</v>
      </c>
      <c r="C382" s="8">
        <v>19.899999999999999</v>
      </c>
      <c r="D382" s="8">
        <v>35</v>
      </c>
      <c r="E382" s="8">
        <v>35.1</v>
      </c>
      <c r="F382" s="8" t="str">
        <f>IF(OR(B382&lt;outliers!$B$7,B382&gt;outliers!$B$6),"Outlier","Normal")</f>
        <v>Normal</v>
      </c>
      <c r="G382" s="8" t="str">
        <f>IF(OR(C382&lt;outliers!$B$14,C382&gt;outliers!$B$13),"Outlier","Normal")</f>
        <v>Normal</v>
      </c>
      <c r="H382" s="8" t="str">
        <f>IF(OR(D382&lt;outliers!$B$21,D382&gt;outliers!$B$20),"Outlier","Normal")</f>
        <v>Normal</v>
      </c>
      <c r="I382" s="8" t="str">
        <f>IF(OR(E382&lt;outliers!$C$28,E382&gt;outliers!$B$27),"Outlier","Normal")</f>
        <v>Outlier</v>
      </c>
      <c r="J382" s="8">
        <f t="shared" si="10"/>
        <v>2019</v>
      </c>
      <c r="K382">
        <f t="shared" si="11"/>
        <v>4</v>
      </c>
    </row>
    <row r="383" spans="1:11" x14ac:dyDescent="0.35">
      <c r="A383" s="13">
        <v>43586</v>
      </c>
      <c r="B383" s="8">
        <v>26.3</v>
      </c>
      <c r="C383" s="8">
        <v>20.9</v>
      </c>
      <c r="D383" s="8">
        <v>28.9</v>
      </c>
      <c r="E383" s="8">
        <v>0</v>
      </c>
      <c r="F383" s="8" t="str">
        <f>IF(OR(B383&lt;outliers!$B$7,B383&gt;outliers!$B$6),"Outlier","Normal")</f>
        <v>Normal</v>
      </c>
      <c r="G383" s="8" t="str">
        <f>IF(OR(C383&lt;outliers!$B$14,C383&gt;outliers!$B$13),"Outlier","Normal")</f>
        <v>Normal</v>
      </c>
      <c r="H383" s="8" t="str">
        <f>IF(OR(D383&lt;outliers!$B$21,D383&gt;outliers!$B$20),"Outlier","Normal")</f>
        <v>Normal</v>
      </c>
      <c r="I383" s="8" t="str">
        <f>IF(OR(E383&lt;outliers!$C$28,E383&gt;outliers!$B$27),"Outlier","Normal")</f>
        <v>Normal</v>
      </c>
      <c r="J383" s="8">
        <f t="shared" si="10"/>
        <v>2019</v>
      </c>
      <c r="K383">
        <f t="shared" si="11"/>
        <v>5</v>
      </c>
    </row>
    <row r="384" spans="1:11" x14ac:dyDescent="0.35">
      <c r="A384" s="13">
        <v>43592</v>
      </c>
      <c r="B384" s="8">
        <v>25.5</v>
      </c>
      <c r="C384" s="8">
        <v>21.9</v>
      </c>
      <c r="D384" s="8">
        <v>36.200000000000003</v>
      </c>
      <c r="E384" s="8">
        <v>0</v>
      </c>
      <c r="F384" s="8" t="str">
        <f>IF(OR(B384&lt;outliers!$B$7,B384&gt;outliers!$B$6),"Outlier","Normal")</f>
        <v>Normal</v>
      </c>
      <c r="G384" s="8" t="str">
        <f>IF(OR(C384&lt;outliers!$B$14,C384&gt;outliers!$B$13),"Outlier","Normal")</f>
        <v>Normal</v>
      </c>
      <c r="H384" s="8" t="str">
        <f>IF(OR(D384&lt;outliers!$B$21,D384&gt;outliers!$B$20),"Outlier","Normal")</f>
        <v>Normal</v>
      </c>
      <c r="I384" s="8" t="str">
        <f>IF(OR(E384&lt;outliers!$C$28,E384&gt;outliers!$B$27),"Outlier","Normal")</f>
        <v>Normal</v>
      </c>
      <c r="J384" s="8">
        <f t="shared" si="10"/>
        <v>2019</v>
      </c>
      <c r="K384">
        <f t="shared" si="11"/>
        <v>5</v>
      </c>
    </row>
    <row r="385" spans="1:11" hidden="1" x14ac:dyDescent="0.35">
      <c r="A385" s="13">
        <v>43593</v>
      </c>
      <c r="B385" s="8">
        <v>26.7</v>
      </c>
      <c r="C385" s="8">
        <v>20.6</v>
      </c>
      <c r="D385" s="8">
        <v>33.6</v>
      </c>
      <c r="E385" s="8">
        <v>15</v>
      </c>
      <c r="F385" s="8" t="str">
        <f>IF(OR(B385&lt;outliers!$B$7,B385&gt;outliers!$B$6),"Outlier","Normal")</f>
        <v>Normal</v>
      </c>
      <c r="G385" s="8" t="str">
        <f>IF(OR(C385&lt;outliers!$B$14,C385&gt;outliers!$B$13),"Outlier","Normal")</f>
        <v>Normal</v>
      </c>
      <c r="H385" s="8" t="str">
        <f>IF(OR(D385&lt;outliers!$B$21,D385&gt;outliers!$B$20),"Outlier","Normal")</f>
        <v>Normal</v>
      </c>
      <c r="I385" s="8" t="str">
        <f>IF(OR(E385&lt;outliers!$C$28,E385&gt;outliers!$B$27),"Outlier","Normal")</f>
        <v>Outlier</v>
      </c>
      <c r="J385" s="8">
        <f t="shared" si="10"/>
        <v>2019</v>
      </c>
      <c r="K385">
        <f t="shared" si="11"/>
        <v>5</v>
      </c>
    </row>
    <row r="386" spans="1:11" x14ac:dyDescent="0.35">
      <c r="A386" s="13">
        <v>43594</v>
      </c>
      <c r="B386" s="8">
        <v>27.9</v>
      </c>
      <c r="C386" s="8">
        <v>20.8</v>
      </c>
      <c r="D386" s="8">
        <v>33.1</v>
      </c>
      <c r="E386" s="8">
        <v>0</v>
      </c>
      <c r="F386" s="8" t="str">
        <f>IF(OR(B386&lt;outliers!$B$7,B386&gt;outliers!$B$6),"Outlier","Normal")</f>
        <v>Normal</v>
      </c>
      <c r="G386" s="8" t="str">
        <f>IF(OR(C386&lt;outliers!$B$14,C386&gt;outliers!$B$13),"Outlier","Normal")</f>
        <v>Normal</v>
      </c>
      <c r="H386" s="8" t="str">
        <f>IF(OR(D386&lt;outliers!$B$21,D386&gt;outliers!$B$20),"Outlier","Normal")</f>
        <v>Normal</v>
      </c>
      <c r="I386" s="8" t="str">
        <f>IF(OR(E386&lt;outliers!$C$28,E386&gt;outliers!$B$27),"Outlier","Normal")</f>
        <v>Normal</v>
      </c>
      <c r="J386" s="8">
        <f t="shared" si="10"/>
        <v>2019</v>
      </c>
      <c r="K386">
        <f t="shared" si="11"/>
        <v>5</v>
      </c>
    </row>
    <row r="387" spans="1:11" hidden="1" x14ac:dyDescent="0.35">
      <c r="A387" s="13">
        <v>43597</v>
      </c>
      <c r="B387" s="8">
        <v>27.8</v>
      </c>
      <c r="C387" s="8">
        <v>24.4</v>
      </c>
      <c r="D387" s="8">
        <v>35.200000000000003</v>
      </c>
      <c r="E387" s="8">
        <v>7.9</v>
      </c>
      <c r="F387" s="8" t="str">
        <f>IF(OR(B387&lt;outliers!$B$7,B387&gt;outliers!$B$6),"Outlier","Normal")</f>
        <v>Normal</v>
      </c>
      <c r="G387" s="8" t="str">
        <f>IF(OR(C387&lt;outliers!$B$14,C387&gt;outliers!$B$13),"Outlier","Normal")</f>
        <v>Outlier</v>
      </c>
      <c r="H387" s="8" t="str">
        <f>IF(OR(D387&lt;outliers!$B$21,D387&gt;outliers!$B$20),"Outlier","Normal")</f>
        <v>Normal</v>
      </c>
      <c r="I387" s="8" t="str">
        <f>IF(OR(E387&lt;outliers!$C$28,E387&gt;outliers!$B$27),"Outlier","Normal")</f>
        <v>Normal</v>
      </c>
      <c r="J387" s="8">
        <f t="shared" si="10"/>
        <v>2019</v>
      </c>
      <c r="K387">
        <f t="shared" si="11"/>
        <v>5</v>
      </c>
    </row>
    <row r="388" spans="1:11" x14ac:dyDescent="0.35">
      <c r="A388" s="13">
        <v>43598</v>
      </c>
      <c r="B388" s="8">
        <v>26.7</v>
      </c>
      <c r="C388" s="8">
        <v>21.7</v>
      </c>
      <c r="D388" s="8">
        <v>35</v>
      </c>
      <c r="E388" s="8">
        <v>0</v>
      </c>
      <c r="F388" s="8" t="str">
        <f>IF(OR(B388&lt;outliers!$B$7,B388&gt;outliers!$B$6),"Outlier","Normal")</f>
        <v>Normal</v>
      </c>
      <c r="G388" s="8" t="str">
        <f>IF(OR(C388&lt;outliers!$B$14,C388&gt;outliers!$B$13),"Outlier","Normal")</f>
        <v>Normal</v>
      </c>
      <c r="H388" s="8" t="str">
        <f>IF(OR(D388&lt;outliers!$B$21,D388&gt;outliers!$B$20),"Outlier","Normal")</f>
        <v>Normal</v>
      </c>
      <c r="I388" s="8" t="str">
        <f>IF(OR(E388&lt;outliers!$C$28,E388&gt;outliers!$B$27),"Outlier","Normal")</f>
        <v>Normal</v>
      </c>
      <c r="J388" s="8">
        <f t="shared" ref="J388:J451" si="12">YEAR(A388)</f>
        <v>2019</v>
      </c>
      <c r="K388">
        <f t="shared" ref="K388:K451" si="13">MONTH(A388)</f>
        <v>5</v>
      </c>
    </row>
    <row r="389" spans="1:11" x14ac:dyDescent="0.35">
      <c r="A389" s="13">
        <v>43599</v>
      </c>
      <c r="B389" s="8">
        <v>27.9</v>
      </c>
      <c r="C389" s="8">
        <v>21.8</v>
      </c>
      <c r="D389" s="8">
        <v>35</v>
      </c>
      <c r="E389" s="8">
        <v>0</v>
      </c>
      <c r="F389" s="8" t="str">
        <f>IF(OR(B389&lt;outliers!$B$7,B389&gt;outliers!$B$6),"Outlier","Normal")</f>
        <v>Normal</v>
      </c>
      <c r="G389" s="8" t="str">
        <f>IF(OR(C389&lt;outliers!$B$14,C389&gt;outliers!$B$13),"Outlier","Normal")</f>
        <v>Normal</v>
      </c>
      <c r="H389" s="8" t="str">
        <f>IF(OR(D389&lt;outliers!$B$21,D389&gt;outliers!$B$20),"Outlier","Normal")</f>
        <v>Normal</v>
      </c>
      <c r="I389" s="8" t="str">
        <f>IF(OR(E389&lt;outliers!$C$28,E389&gt;outliers!$B$27),"Outlier","Normal")</f>
        <v>Normal</v>
      </c>
      <c r="J389" s="8">
        <f t="shared" si="12"/>
        <v>2019</v>
      </c>
      <c r="K389">
        <f t="shared" si="13"/>
        <v>5</v>
      </c>
    </row>
    <row r="390" spans="1:11" x14ac:dyDescent="0.35">
      <c r="A390" s="13">
        <v>43600</v>
      </c>
      <c r="B390" s="8">
        <v>25.6</v>
      </c>
      <c r="C390" s="8">
        <v>22.2</v>
      </c>
      <c r="D390" s="8">
        <v>34.799999999999997</v>
      </c>
      <c r="E390" s="8">
        <v>0</v>
      </c>
      <c r="F390" s="8" t="str">
        <f>IF(OR(B390&lt;outliers!$B$7,B390&gt;outliers!$B$6),"Outlier","Normal")</f>
        <v>Normal</v>
      </c>
      <c r="G390" s="8" t="str">
        <f>IF(OR(C390&lt;outliers!$B$14,C390&gt;outliers!$B$13),"Outlier","Normal")</f>
        <v>Normal</v>
      </c>
      <c r="H390" s="8" t="str">
        <f>IF(OR(D390&lt;outliers!$B$21,D390&gt;outliers!$B$20),"Outlier","Normal")</f>
        <v>Normal</v>
      </c>
      <c r="I390" s="8" t="str">
        <f>IF(OR(E390&lt;outliers!$C$28,E390&gt;outliers!$B$27),"Outlier","Normal")</f>
        <v>Normal</v>
      </c>
      <c r="J390" s="8">
        <f t="shared" si="12"/>
        <v>2019</v>
      </c>
      <c r="K390">
        <f t="shared" si="13"/>
        <v>5</v>
      </c>
    </row>
    <row r="391" spans="1:11" x14ac:dyDescent="0.35">
      <c r="A391" s="13">
        <v>43602</v>
      </c>
      <c r="B391" s="8">
        <v>24</v>
      </c>
      <c r="C391" s="8">
        <v>21.4</v>
      </c>
      <c r="D391" s="8">
        <v>33.6</v>
      </c>
      <c r="E391" s="8">
        <v>9.9</v>
      </c>
      <c r="F391" s="8" t="str">
        <f>IF(OR(B391&lt;outliers!$B$7,B391&gt;outliers!$B$6),"Outlier","Normal")</f>
        <v>Normal</v>
      </c>
      <c r="G391" s="8" t="str">
        <f>IF(OR(C391&lt;outliers!$B$14,C391&gt;outliers!$B$13),"Outlier","Normal")</f>
        <v>Normal</v>
      </c>
      <c r="H391" s="8" t="str">
        <f>IF(OR(D391&lt;outliers!$B$21,D391&gt;outliers!$B$20),"Outlier","Normal")</f>
        <v>Normal</v>
      </c>
      <c r="I391" s="8" t="str">
        <f>IF(OR(E391&lt;outliers!$C$28,E391&gt;outliers!$B$27),"Outlier","Normal")</f>
        <v>Normal</v>
      </c>
      <c r="J391" s="8">
        <f t="shared" si="12"/>
        <v>2019</v>
      </c>
      <c r="K391">
        <f t="shared" si="13"/>
        <v>5</v>
      </c>
    </row>
    <row r="392" spans="1:11" hidden="1" x14ac:dyDescent="0.35">
      <c r="A392" s="13">
        <v>43603</v>
      </c>
      <c r="B392" s="8">
        <v>27.7</v>
      </c>
      <c r="C392" s="8">
        <v>21.4</v>
      </c>
      <c r="D392" s="8">
        <v>33.6</v>
      </c>
      <c r="E392" s="8">
        <v>18.8</v>
      </c>
      <c r="F392" s="8" t="str">
        <f>IF(OR(B392&lt;outliers!$B$7,B392&gt;outliers!$B$6),"Outlier","Normal")</f>
        <v>Normal</v>
      </c>
      <c r="G392" s="8" t="str">
        <f>IF(OR(C392&lt;outliers!$B$14,C392&gt;outliers!$B$13),"Outlier","Normal")</f>
        <v>Normal</v>
      </c>
      <c r="H392" s="8" t="str">
        <f>IF(OR(D392&lt;outliers!$B$21,D392&gt;outliers!$B$20),"Outlier","Normal")</f>
        <v>Normal</v>
      </c>
      <c r="I392" s="8" t="str">
        <f>IF(OR(E392&lt;outliers!$C$28,E392&gt;outliers!$B$27),"Outlier","Normal")</f>
        <v>Outlier</v>
      </c>
      <c r="J392" s="8">
        <f t="shared" si="12"/>
        <v>2019</v>
      </c>
      <c r="K392">
        <f t="shared" si="13"/>
        <v>5</v>
      </c>
    </row>
    <row r="393" spans="1:11" hidden="1" x14ac:dyDescent="0.35">
      <c r="A393" s="13">
        <v>43604</v>
      </c>
      <c r="B393" s="8">
        <v>28.2</v>
      </c>
      <c r="C393" s="8">
        <v>23.8</v>
      </c>
      <c r="D393" s="8">
        <v>34</v>
      </c>
      <c r="E393" s="8">
        <v>0</v>
      </c>
      <c r="F393" s="8" t="str">
        <f>IF(OR(B393&lt;outliers!$B$7,B393&gt;outliers!$B$6),"Outlier","Normal")</f>
        <v>Normal</v>
      </c>
      <c r="G393" s="8" t="str">
        <f>IF(OR(C393&lt;outliers!$B$14,C393&gt;outliers!$B$13),"Outlier","Normal")</f>
        <v>Outlier</v>
      </c>
      <c r="H393" s="8" t="str">
        <f>IF(OR(D393&lt;outliers!$B$21,D393&gt;outliers!$B$20),"Outlier","Normal")</f>
        <v>Normal</v>
      </c>
      <c r="I393" s="8" t="str">
        <f>IF(OR(E393&lt;outliers!$C$28,E393&gt;outliers!$B$27),"Outlier","Normal")</f>
        <v>Normal</v>
      </c>
      <c r="J393" s="8">
        <f t="shared" si="12"/>
        <v>2019</v>
      </c>
      <c r="K393">
        <f t="shared" si="13"/>
        <v>5</v>
      </c>
    </row>
    <row r="394" spans="1:11" hidden="1" x14ac:dyDescent="0.35">
      <c r="A394" s="13">
        <v>43608</v>
      </c>
      <c r="B394" s="8">
        <v>26.5</v>
      </c>
      <c r="C394" s="8">
        <v>22.6</v>
      </c>
      <c r="D394" s="8">
        <v>34.6</v>
      </c>
      <c r="E394" s="8">
        <v>15</v>
      </c>
      <c r="F394" s="8" t="str">
        <f>IF(OR(B394&lt;outliers!$B$7,B394&gt;outliers!$B$6),"Outlier","Normal")</f>
        <v>Normal</v>
      </c>
      <c r="G394" s="8" t="str">
        <f>IF(OR(C394&lt;outliers!$B$14,C394&gt;outliers!$B$13),"Outlier","Normal")</f>
        <v>Normal</v>
      </c>
      <c r="H394" s="8" t="str">
        <f>IF(OR(D394&lt;outliers!$B$21,D394&gt;outliers!$B$20),"Outlier","Normal")</f>
        <v>Normal</v>
      </c>
      <c r="I394" s="8" t="str">
        <f>IF(OR(E394&lt;outliers!$C$28,E394&gt;outliers!$B$27),"Outlier","Normal")</f>
        <v>Outlier</v>
      </c>
      <c r="J394" s="8">
        <f t="shared" si="12"/>
        <v>2019</v>
      </c>
      <c r="K394">
        <f t="shared" si="13"/>
        <v>5</v>
      </c>
    </row>
    <row r="395" spans="1:11" x14ac:dyDescent="0.35">
      <c r="A395" s="13">
        <v>43609</v>
      </c>
      <c r="B395" s="8">
        <v>26.1</v>
      </c>
      <c r="C395" s="8">
        <v>22.4</v>
      </c>
      <c r="D395" s="8">
        <v>34</v>
      </c>
      <c r="E395" s="8">
        <v>3.8</v>
      </c>
      <c r="F395" s="8" t="str">
        <f>IF(OR(B395&lt;outliers!$B$7,B395&gt;outliers!$B$6),"Outlier","Normal")</f>
        <v>Normal</v>
      </c>
      <c r="G395" s="8" t="str">
        <f>IF(OR(C395&lt;outliers!$B$14,C395&gt;outliers!$B$13),"Outlier","Normal")</f>
        <v>Normal</v>
      </c>
      <c r="H395" s="8" t="str">
        <f>IF(OR(D395&lt;outliers!$B$21,D395&gt;outliers!$B$20),"Outlier","Normal")</f>
        <v>Normal</v>
      </c>
      <c r="I395" s="8" t="str">
        <f>IF(OR(E395&lt;outliers!$C$28,E395&gt;outliers!$B$27),"Outlier","Normal")</f>
        <v>Normal</v>
      </c>
      <c r="J395" s="8">
        <f t="shared" si="12"/>
        <v>2019</v>
      </c>
      <c r="K395">
        <f t="shared" si="13"/>
        <v>5</v>
      </c>
    </row>
    <row r="396" spans="1:11" x14ac:dyDescent="0.35">
      <c r="A396" s="13">
        <v>43610</v>
      </c>
      <c r="B396" s="8">
        <v>24.8</v>
      </c>
      <c r="C396" s="8">
        <v>21</v>
      </c>
      <c r="D396" s="8">
        <v>33.5</v>
      </c>
      <c r="E396" s="8">
        <v>0</v>
      </c>
      <c r="F396" s="8" t="str">
        <f>IF(OR(B396&lt;outliers!$B$7,B396&gt;outliers!$B$6),"Outlier","Normal")</f>
        <v>Normal</v>
      </c>
      <c r="G396" s="8" t="str">
        <f>IF(OR(C396&lt;outliers!$B$14,C396&gt;outliers!$B$13),"Outlier","Normal")</f>
        <v>Normal</v>
      </c>
      <c r="H396" s="8" t="str">
        <f>IF(OR(D396&lt;outliers!$B$21,D396&gt;outliers!$B$20),"Outlier","Normal")</f>
        <v>Normal</v>
      </c>
      <c r="I396" s="8" t="str">
        <f>IF(OR(E396&lt;outliers!$C$28,E396&gt;outliers!$B$27),"Outlier","Normal")</f>
        <v>Normal</v>
      </c>
      <c r="J396" s="8">
        <f t="shared" si="12"/>
        <v>2019</v>
      </c>
      <c r="K396">
        <f t="shared" si="13"/>
        <v>5</v>
      </c>
    </row>
    <row r="397" spans="1:11" hidden="1" x14ac:dyDescent="0.35">
      <c r="A397" s="13">
        <v>43612</v>
      </c>
      <c r="B397" s="8">
        <v>27.7</v>
      </c>
      <c r="C397" s="8">
        <v>20</v>
      </c>
      <c r="D397" s="8">
        <v>33.799999999999997</v>
      </c>
      <c r="E397" s="8">
        <v>37.299999999999997</v>
      </c>
      <c r="F397" s="8" t="str">
        <f>IF(OR(B397&lt;outliers!$B$7,B397&gt;outliers!$B$6),"Outlier","Normal")</f>
        <v>Normal</v>
      </c>
      <c r="G397" s="8" t="str">
        <f>IF(OR(C397&lt;outliers!$B$14,C397&gt;outliers!$B$13),"Outlier","Normal")</f>
        <v>Normal</v>
      </c>
      <c r="H397" s="8" t="str">
        <f>IF(OR(D397&lt;outliers!$B$21,D397&gt;outliers!$B$20),"Outlier","Normal")</f>
        <v>Normal</v>
      </c>
      <c r="I397" s="8" t="str">
        <f>IF(OR(E397&lt;outliers!$C$28,E397&gt;outliers!$B$27),"Outlier","Normal")</f>
        <v>Outlier</v>
      </c>
      <c r="J397" s="8">
        <f t="shared" si="12"/>
        <v>2019</v>
      </c>
      <c r="K397">
        <f t="shared" si="13"/>
        <v>5</v>
      </c>
    </row>
    <row r="398" spans="1:11" hidden="1" x14ac:dyDescent="0.35">
      <c r="A398" s="13">
        <v>43613</v>
      </c>
      <c r="B398" s="8">
        <v>27.5</v>
      </c>
      <c r="C398" s="8">
        <v>24.7</v>
      </c>
      <c r="D398" s="8">
        <v>34.200000000000003</v>
      </c>
      <c r="E398" s="8">
        <v>0</v>
      </c>
      <c r="F398" s="8" t="str">
        <f>IF(OR(B398&lt;outliers!$B$7,B398&gt;outliers!$B$6),"Outlier","Normal")</f>
        <v>Normal</v>
      </c>
      <c r="G398" s="8" t="str">
        <f>IF(OR(C398&lt;outliers!$B$14,C398&gt;outliers!$B$13),"Outlier","Normal")</f>
        <v>Outlier</v>
      </c>
      <c r="H398" s="8" t="str">
        <f>IF(OR(D398&lt;outliers!$B$21,D398&gt;outliers!$B$20),"Outlier","Normal")</f>
        <v>Normal</v>
      </c>
      <c r="I398" s="8" t="str">
        <f>IF(OR(E398&lt;outliers!$C$28,E398&gt;outliers!$B$27),"Outlier","Normal")</f>
        <v>Normal</v>
      </c>
      <c r="J398" s="8">
        <f t="shared" si="12"/>
        <v>2019</v>
      </c>
      <c r="K398">
        <f t="shared" si="13"/>
        <v>5</v>
      </c>
    </row>
    <row r="399" spans="1:11" x14ac:dyDescent="0.35">
      <c r="A399" s="13">
        <v>43614</v>
      </c>
      <c r="B399" s="8">
        <v>27.9</v>
      </c>
      <c r="C399" s="8">
        <v>23</v>
      </c>
      <c r="D399" s="8">
        <v>33.6</v>
      </c>
      <c r="E399" s="8">
        <v>0.3</v>
      </c>
      <c r="F399" s="8" t="str">
        <f>IF(OR(B399&lt;outliers!$B$7,B399&gt;outliers!$B$6),"Outlier","Normal")</f>
        <v>Normal</v>
      </c>
      <c r="G399" s="8" t="str">
        <f>IF(OR(C399&lt;outliers!$B$14,C399&gt;outliers!$B$13),"Outlier","Normal")</f>
        <v>Normal</v>
      </c>
      <c r="H399" s="8" t="str">
        <f>IF(OR(D399&lt;outliers!$B$21,D399&gt;outliers!$B$20),"Outlier","Normal")</f>
        <v>Normal</v>
      </c>
      <c r="I399" s="8" t="str">
        <f>IF(OR(E399&lt;outliers!$C$28,E399&gt;outliers!$B$27),"Outlier","Normal")</f>
        <v>Normal</v>
      </c>
      <c r="J399" s="8">
        <f t="shared" si="12"/>
        <v>2019</v>
      </c>
      <c r="K399">
        <f t="shared" si="13"/>
        <v>5</v>
      </c>
    </row>
    <row r="400" spans="1:11" x14ac:dyDescent="0.35">
      <c r="A400" s="13">
        <v>43615</v>
      </c>
      <c r="B400" s="8">
        <v>27.8</v>
      </c>
      <c r="C400" s="8">
        <v>23</v>
      </c>
      <c r="D400" s="8">
        <v>34</v>
      </c>
      <c r="E400" s="8">
        <v>0</v>
      </c>
      <c r="F400" s="8" t="str">
        <f>IF(OR(B400&lt;outliers!$B$7,B400&gt;outliers!$B$6),"Outlier","Normal")</f>
        <v>Normal</v>
      </c>
      <c r="G400" s="8" t="str">
        <f>IF(OR(C400&lt;outliers!$B$14,C400&gt;outliers!$B$13),"Outlier","Normal")</f>
        <v>Normal</v>
      </c>
      <c r="H400" s="8" t="str">
        <f>IF(OR(D400&lt;outliers!$B$21,D400&gt;outliers!$B$20),"Outlier","Normal")</f>
        <v>Normal</v>
      </c>
      <c r="I400" s="8" t="str">
        <f>IF(OR(E400&lt;outliers!$C$28,E400&gt;outliers!$B$27),"Outlier","Normal")</f>
        <v>Normal</v>
      </c>
      <c r="J400" s="8">
        <f t="shared" si="12"/>
        <v>2019</v>
      </c>
      <c r="K400">
        <f t="shared" si="13"/>
        <v>5</v>
      </c>
    </row>
    <row r="401" spans="1:11" x14ac:dyDescent="0.35">
      <c r="A401" s="13">
        <v>43617</v>
      </c>
      <c r="B401" s="8">
        <v>27.5</v>
      </c>
      <c r="C401" s="8">
        <v>21</v>
      </c>
      <c r="D401" s="8">
        <v>33.200000000000003</v>
      </c>
      <c r="E401" s="8">
        <v>1.5</v>
      </c>
      <c r="F401" s="8" t="str">
        <f>IF(OR(B401&lt;outliers!$B$7,B401&gt;outliers!$B$6),"Outlier","Normal")</f>
        <v>Normal</v>
      </c>
      <c r="G401" s="8" t="str">
        <f>IF(OR(C401&lt;outliers!$B$14,C401&gt;outliers!$B$13),"Outlier","Normal")</f>
        <v>Normal</v>
      </c>
      <c r="H401" s="8" t="str">
        <f>IF(OR(D401&lt;outliers!$B$21,D401&gt;outliers!$B$20),"Outlier","Normal")</f>
        <v>Normal</v>
      </c>
      <c r="I401" s="8" t="str">
        <f>IF(OR(E401&lt;outliers!$C$28,E401&gt;outliers!$B$27),"Outlier","Normal")</f>
        <v>Normal</v>
      </c>
      <c r="J401" s="8">
        <f t="shared" si="12"/>
        <v>2019</v>
      </c>
      <c r="K401">
        <f t="shared" si="13"/>
        <v>6</v>
      </c>
    </row>
    <row r="402" spans="1:11" x14ac:dyDescent="0.35">
      <c r="A402" s="13">
        <v>43618</v>
      </c>
      <c r="B402" s="8">
        <v>26.2</v>
      </c>
      <c r="C402" s="8">
        <v>21.8</v>
      </c>
      <c r="D402" s="8">
        <v>33.200000000000003</v>
      </c>
      <c r="E402" s="8">
        <v>0</v>
      </c>
      <c r="F402" s="8" t="str">
        <f>IF(OR(B402&lt;outliers!$B$7,B402&gt;outliers!$B$6),"Outlier","Normal")</f>
        <v>Normal</v>
      </c>
      <c r="G402" s="8" t="str">
        <f>IF(OR(C402&lt;outliers!$B$14,C402&gt;outliers!$B$13),"Outlier","Normal")</f>
        <v>Normal</v>
      </c>
      <c r="H402" s="8" t="str">
        <f>IF(OR(D402&lt;outliers!$B$21,D402&gt;outliers!$B$20),"Outlier","Normal")</f>
        <v>Normal</v>
      </c>
      <c r="I402" s="8" t="str">
        <f>IF(OR(E402&lt;outliers!$C$28,E402&gt;outliers!$B$27),"Outlier","Normal")</f>
        <v>Normal</v>
      </c>
      <c r="J402" s="8">
        <f t="shared" si="12"/>
        <v>2019</v>
      </c>
      <c r="K402">
        <f t="shared" si="13"/>
        <v>6</v>
      </c>
    </row>
    <row r="403" spans="1:11" x14ac:dyDescent="0.35">
      <c r="A403" s="13">
        <v>43619</v>
      </c>
      <c r="B403" s="8">
        <v>25.5</v>
      </c>
      <c r="C403" s="8">
        <v>21.2</v>
      </c>
      <c r="D403" s="8">
        <v>32.1</v>
      </c>
      <c r="E403" s="8">
        <v>8.4</v>
      </c>
      <c r="F403" s="8" t="str">
        <f>IF(OR(B403&lt;outliers!$B$7,B403&gt;outliers!$B$6),"Outlier","Normal")</f>
        <v>Normal</v>
      </c>
      <c r="G403" s="8" t="str">
        <f>IF(OR(C403&lt;outliers!$B$14,C403&gt;outliers!$B$13),"Outlier","Normal")</f>
        <v>Normal</v>
      </c>
      <c r="H403" s="8" t="str">
        <f>IF(OR(D403&lt;outliers!$B$21,D403&gt;outliers!$B$20),"Outlier","Normal")</f>
        <v>Normal</v>
      </c>
      <c r="I403" s="8" t="str">
        <f>IF(OR(E403&lt;outliers!$C$28,E403&gt;outliers!$B$27),"Outlier","Normal")</f>
        <v>Normal</v>
      </c>
      <c r="J403" s="8">
        <f t="shared" si="12"/>
        <v>2019</v>
      </c>
      <c r="K403">
        <f t="shared" si="13"/>
        <v>6</v>
      </c>
    </row>
    <row r="404" spans="1:11" x14ac:dyDescent="0.35">
      <c r="A404" s="13">
        <v>43620</v>
      </c>
      <c r="B404" s="8">
        <v>26.9</v>
      </c>
      <c r="C404" s="8">
        <v>22.1</v>
      </c>
      <c r="D404" s="8">
        <v>30.5</v>
      </c>
      <c r="E404" s="8">
        <v>0</v>
      </c>
      <c r="F404" s="8" t="str">
        <f>IF(OR(B404&lt;outliers!$B$7,B404&gt;outliers!$B$6),"Outlier","Normal")</f>
        <v>Normal</v>
      </c>
      <c r="G404" s="8" t="str">
        <f>IF(OR(C404&lt;outliers!$B$14,C404&gt;outliers!$B$13),"Outlier","Normal")</f>
        <v>Normal</v>
      </c>
      <c r="H404" s="8" t="str">
        <f>IF(OR(D404&lt;outliers!$B$21,D404&gt;outliers!$B$20),"Outlier","Normal")</f>
        <v>Normal</v>
      </c>
      <c r="I404" s="8" t="str">
        <f>IF(OR(E404&lt;outliers!$C$28,E404&gt;outliers!$B$27),"Outlier","Normal")</f>
        <v>Normal</v>
      </c>
      <c r="J404" s="8">
        <f t="shared" si="12"/>
        <v>2019</v>
      </c>
      <c r="K404">
        <f t="shared" si="13"/>
        <v>6</v>
      </c>
    </row>
    <row r="405" spans="1:11" hidden="1" x14ac:dyDescent="0.35">
      <c r="A405" s="13">
        <v>43622</v>
      </c>
      <c r="B405" s="8">
        <v>25.8</v>
      </c>
      <c r="C405" s="8">
        <v>20.6</v>
      </c>
      <c r="D405" s="8">
        <v>32.4</v>
      </c>
      <c r="E405" s="8">
        <v>20.3</v>
      </c>
      <c r="F405" s="8" t="str">
        <f>IF(OR(B405&lt;outliers!$B$7,B405&gt;outliers!$B$6),"Outlier","Normal")</f>
        <v>Normal</v>
      </c>
      <c r="G405" s="8" t="str">
        <f>IF(OR(C405&lt;outliers!$B$14,C405&gt;outliers!$B$13),"Outlier","Normal")</f>
        <v>Normal</v>
      </c>
      <c r="H405" s="8" t="str">
        <f>IF(OR(D405&lt;outliers!$B$21,D405&gt;outliers!$B$20),"Outlier","Normal")</f>
        <v>Normal</v>
      </c>
      <c r="I405" s="8" t="str">
        <f>IF(OR(E405&lt;outliers!$C$28,E405&gt;outliers!$B$27),"Outlier","Normal")</f>
        <v>Outlier</v>
      </c>
      <c r="J405" s="8">
        <f t="shared" si="12"/>
        <v>2019</v>
      </c>
      <c r="K405">
        <f t="shared" si="13"/>
        <v>6</v>
      </c>
    </row>
    <row r="406" spans="1:11" hidden="1" x14ac:dyDescent="0.35">
      <c r="A406" s="13">
        <v>43623</v>
      </c>
      <c r="B406" s="8">
        <v>25.4</v>
      </c>
      <c r="C406" s="8">
        <v>20.6</v>
      </c>
      <c r="D406" s="8">
        <v>32</v>
      </c>
      <c r="E406" s="8">
        <v>20.100000000000001</v>
      </c>
      <c r="F406" s="8" t="str">
        <f>IF(OR(B406&lt;outliers!$B$7,B406&gt;outliers!$B$6),"Outlier","Normal")</f>
        <v>Normal</v>
      </c>
      <c r="G406" s="8" t="str">
        <f>IF(OR(C406&lt;outliers!$B$14,C406&gt;outliers!$B$13),"Outlier","Normal")</f>
        <v>Normal</v>
      </c>
      <c r="H406" s="8" t="str">
        <f>IF(OR(D406&lt;outliers!$B$21,D406&gt;outliers!$B$20),"Outlier","Normal")</f>
        <v>Normal</v>
      </c>
      <c r="I406" s="8" t="str">
        <f>IF(OR(E406&lt;outliers!$C$28,E406&gt;outliers!$B$27),"Outlier","Normal")</f>
        <v>Outlier</v>
      </c>
      <c r="J406" s="8">
        <f t="shared" si="12"/>
        <v>2019</v>
      </c>
      <c r="K406">
        <f t="shared" si="13"/>
        <v>6</v>
      </c>
    </row>
    <row r="407" spans="1:11" x14ac:dyDescent="0.35">
      <c r="A407" s="13">
        <v>43624</v>
      </c>
      <c r="B407" s="8">
        <v>26.3</v>
      </c>
      <c r="C407" s="8">
        <v>22.5</v>
      </c>
      <c r="D407" s="8">
        <v>31.5</v>
      </c>
      <c r="E407" s="8">
        <v>0</v>
      </c>
      <c r="F407" s="8" t="str">
        <f>IF(OR(B407&lt;outliers!$B$7,B407&gt;outliers!$B$6),"Outlier","Normal")</f>
        <v>Normal</v>
      </c>
      <c r="G407" s="8" t="str">
        <f>IF(OR(C407&lt;outliers!$B$14,C407&gt;outliers!$B$13),"Outlier","Normal")</f>
        <v>Normal</v>
      </c>
      <c r="H407" s="8" t="str">
        <f>IF(OR(D407&lt;outliers!$B$21,D407&gt;outliers!$B$20),"Outlier","Normal")</f>
        <v>Normal</v>
      </c>
      <c r="I407" s="8" t="str">
        <f>IF(OR(E407&lt;outliers!$C$28,E407&gt;outliers!$B$27),"Outlier","Normal")</f>
        <v>Normal</v>
      </c>
      <c r="J407" s="8">
        <f t="shared" si="12"/>
        <v>2019</v>
      </c>
      <c r="K407">
        <f t="shared" si="13"/>
        <v>6</v>
      </c>
    </row>
    <row r="408" spans="1:11" x14ac:dyDescent="0.35">
      <c r="A408" s="13">
        <v>43629</v>
      </c>
      <c r="B408" s="8">
        <v>24.8</v>
      </c>
      <c r="C408" s="8">
        <v>22</v>
      </c>
      <c r="D408" s="8">
        <v>29.4</v>
      </c>
      <c r="E408" s="8">
        <v>0</v>
      </c>
      <c r="F408" s="8" t="str">
        <f>IF(OR(B408&lt;outliers!$B$7,B408&gt;outliers!$B$6),"Outlier","Normal")</f>
        <v>Normal</v>
      </c>
      <c r="G408" s="8" t="str">
        <f>IF(OR(C408&lt;outliers!$B$14,C408&gt;outliers!$B$13),"Outlier","Normal")</f>
        <v>Normal</v>
      </c>
      <c r="H408" s="8" t="str">
        <f>IF(OR(D408&lt;outliers!$B$21,D408&gt;outliers!$B$20),"Outlier","Normal")</f>
        <v>Normal</v>
      </c>
      <c r="I408" s="8" t="str">
        <f>IF(OR(E408&lt;outliers!$C$28,E408&gt;outliers!$B$27),"Outlier","Normal")</f>
        <v>Normal</v>
      </c>
      <c r="J408" s="8">
        <f t="shared" si="12"/>
        <v>2019</v>
      </c>
      <c r="K408">
        <f t="shared" si="13"/>
        <v>6</v>
      </c>
    </row>
    <row r="409" spans="1:11" x14ac:dyDescent="0.35">
      <c r="A409" s="13">
        <v>43635</v>
      </c>
      <c r="B409" s="8">
        <v>26.6</v>
      </c>
      <c r="C409" s="8">
        <v>21.5</v>
      </c>
      <c r="D409" s="8">
        <v>31.2</v>
      </c>
      <c r="E409" s="8">
        <v>0</v>
      </c>
      <c r="F409" s="8" t="str">
        <f>IF(OR(B409&lt;outliers!$B$7,B409&gt;outliers!$B$6),"Outlier","Normal")</f>
        <v>Normal</v>
      </c>
      <c r="G409" s="8" t="str">
        <f>IF(OR(C409&lt;outliers!$B$14,C409&gt;outliers!$B$13),"Outlier","Normal")</f>
        <v>Normal</v>
      </c>
      <c r="H409" s="8" t="str">
        <f>IF(OR(D409&lt;outliers!$B$21,D409&gt;outliers!$B$20),"Outlier","Normal")</f>
        <v>Normal</v>
      </c>
      <c r="I409" s="8" t="str">
        <f>IF(OR(E409&lt;outliers!$C$28,E409&gt;outliers!$B$27),"Outlier","Normal")</f>
        <v>Normal</v>
      </c>
      <c r="J409" s="8">
        <f t="shared" si="12"/>
        <v>2019</v>
      </c>
      <c r="K409">
        <f t="shared" si="13"/>
        <v>6</v>
      </c>
    </row>
    <row r="410" spans="1:11" x14ac:dyDescent="0.35">
      <c r="A410" s="13">
        <v>43636</v>
      </c>
      <c r="B410" s="8">
        <v>25.7</v>
      </c>
      <c r="C410" s="8">
        <v>22.2</v>
      </c>
      <c r="D410" s="8">
        <v>32.299999999999997</v>
      </c>
      <c r="E410" s="8">
        <v>1.3</v>
      </c>
      <c r="F410" s="8" t="str">
        <f>IF(OR(B410&lt;outliers!$B$7,B410&gt;outliers!$B$6),"Outlier","Normal")</f>
        <v>Normal</v>
      </c>
      <c r="G410" s="8" t="str">
        <f>IF(OR(C410&lt;outliers!$B$14,C410&gt;outliers!$B$13),"Outlier","Normal")</f>
        <v>Normal</v>
      </c>
      <c r="H410" s="8" t="str">
        <f>IF(OR(D410&lt;outliers!$B$21,D410&gt;outliers!$B$20),"Outlier","Normal")</f>
        <v>Normal</v>
      </c>
      <c r="I410" s="8" t="str">
        <f>IF(OR(E410&lt;outliers!$C$28,E410&gt;outliers!$B$27),"Outlier","Normal")</f>
        <v>Normal</v>
      </c>
      <c r="J410" s="8">
        <f t="shared" si="12"/>
        <v>2019</v>
      </c>
      <c r="K410">
        <f t="shared" si="13"/>
        <v>6</v>
      </c>
    </row>
    <row r="411" spans="1:11" x14ac:dyDescent="0.35">
      <c r="A411" s="13">
        <v>43637</v>
      </c>
      <c r="B411" s="8">
        <v>24.6</v>
      </c>
      <c r="C411" s="8">
        <v>20.7</v>
      </c>
      <c r="D411" s="8">
        <v>30.6</v>
      </c>
      <c r="E411" s="8">
        <v>0</v>
      </c>
      <c r="F411" s="8" t="str">
        <f>IF(OR(B411&lt;outliers!$B$7,B411&gt;outliers!$B$6),"Outlier","Normal")</f>
        <v>Normal</v>
      </c>
      <c r="G411" s="8" t="str">
        <f>IF(OR(C411&lt;outliers!$B$14,C411&gt;outliers!$B$13),"Outlier","Normal")</f>
        <v>Normal</v>
      </c>
      <c r="H411" s="8" t="str">
        <f>IF(OR(D411&lt;outliers!$B$21,D411&gt;outliers!$B$20),"Outlier","Normal")</f>
        <v>Normal</v>
      </c>
      <c r="I411" s="8" t="str">
        <f>IF(OR(E411&lt;outliers!$C$28,E411&gt;outliers!$B$27),"Outlier","Normal")</f>
        <v>Normal</v>
      </c>
      <c r="J411" s="8">
        <f t="shared" si="12"/>
        <v>2019</v>
      </c>
      <c r="K411">
        <f t="shared" si="13"/>
        <v>6</v>
      </c>
    </row>
    <row r="412" spans="1:11" x14ac:dyDescent="0.35">
      <c r="A412" s="13">
        <v>43638</v>
      </c>
      <c r="B412" s="8">
        <v>25.1</v>
      </c>
      <c r="C412" s="8">
        <v>21.6</v>
      </c>
      <c r="D412" s="8">
        <v>29.4</v>
      </c>
      <c r="E412" s="8">
        <v>0</v>
      </c>
      <c r="F412" s="8" t="str">
        <f>IF(OR(B412&lt;outliers!$B$7,B412&gt;outliers!$B$6),"Outlier","Normal")</f>
        <v>Normal</v>
      </c>
      <c r="G412" s="8" t="str">
        <f>IF(OR(C412&lt;outliers!$B$14,C412&gt;outliers!$B$13),"Outlier","Normal")</f>
        <v>Normal</v>
      </c>
      <c r="H412" s="8" t="str">
        <f>IF(OR(D412&lt;outliers!$B$21,D412&gt;outliers!$B$20),"Outlier","Normal")</f>
        <v>Normal</v>
      </c>
      <c r="I412" s="8" t="str">
        <f>IF(OR(E412&lt;outliers!$C$28,E412&gt;outliers!$B$27),"Outlier","Normal")</f>
        <v>Normal</v>
      </c>
      <c r="J412" s="8">
        <f t="shared" si="12"/>
        <v>2019</v>
      </c>
      <c r="K412">
        <f t="shared" si="13"/>
        <v>6</v>
      </c>
    </row>
    <row r="413" spans="1:11" x14ac:dyDescent="0.35">
      <c r="A413" s="13">
        <v>43639</v>
      </c>
      <c r="B413" s="8">
        <v>23.8</v>
      </c>
      <c r="C413" s="8">
        <v>20.8</v>
      </c>
      <c r="D413" s="8">
        <v>29.4</v>
      </c>
      <c r="E413" s="8">
        <v>3</v>
      </c>
      <c r="F413" s="8" t="str">
        <f>IF(OR(B413&lt;outliers!$B$7,B413&gt;outliers!$B$6),"Outlier","Normal")</f>
        <v>Normal</v>
      </c>
      <c r="G413" s="8" t="str">
        <f>IF(OR(C413&lt;outliers!$B$14,C413&gt;outliers!$B$13),"Outlier","Normal")</f>
        <v>Normal</v>
      </c>
      <c r="H413" s="8" t="str">
        <f>IF(OR(D413&lt;outliers!$B$21,D413&gt;outliers!$B$20),"Outlier","Normal")</f>
        <v>Normal</v>
      </c>
      <c r="I413" s="8" t="str">
        <f>IF(OR(E413&lt;outliers!$C$28,E413&gt;outliers!$B$27),"Outlier","Normal")</f>
        <v>Normal</v>
      </c>
      <c r="J413" s="8">
        <f t="shared" si="12"/>
        <v>2019</v>
      </c>
      <c r="K413">
        <f t="shared" si="13"/>
        <v>6</v>
      </c>
    </row>
    <row r="414" spans="1:11" hidden="1" x14ac:dyDescent="0.35">
      <c r="A414" s="13">
        <v>43640</v>
      </c>
      <c r="B414" s="8">
        <v>24.5</v>
      </c>
      <c r="C414" s="8">
        <v>21</v>
      </c>
      <c r="D414" s="8">
        <v>29.4</v>
      </c>
      <c r="E414" s="8">
        <v>26.4</v>
      </c>
      <c r="F414" s="8" t="str">
        <f>IF(OR(B414&lt;outliers!$B$7,B414&gt;outliers!$B$6),"Outlier","Normal")</f>
        <v>Normal</v>
      </c>
      <c r="G414" s="8" t="str">
        <f>IF(OR(C414&lt;outliers!$B$14,C414&gt;outliers!$B$13),"Outlier","Normal")</f>
        <v>Normal</v>
      </c>
      <c r="H414" s="8" t="str">
        <f>IF(OR(D414&lt;outliers!$B$21,D414&gt;outliers!$B$20),"Outlier","Normal")</f>
        <v>Normal</v>
      </c>
      <c r="I414" s="8" t="str">
        <f>IF(OR(E414&lt;outliers!$C$28,E414&gt;outliers!$B$27),"Outlier","Normal")</f>
        <v>Outlier</v>
      </c>
      <c r="J414" s="8">
        <f t="shared" si="12"/>
        <v>2019</v>
      </c>
      <c r="K414">
        <f t="shared" si="13"/>
        <v>6</v>
      </c>
    </row>
    <row r="415" spans="1:11" x14ac:dyDescent="0.35">
      <c r="A415" s="13">
        <v>43641</v>
      </c>
      <c r="B415" s="8">
        <v>25</v>
      </c>
      <c r="C415" s="8">
        <v>21.4</v>
      </c>
      <c r="D415" s="8">
        <v>29.7</v>
      </c>
      <c r="E415" s="8">
        <v>0</v>
      </c>
      <c r="F415" s="8" t="str">
        <f>IF(OR(B415&lt;outliers!$B$7,B415&gt;outliers!$B$6),"Outlier","Normal")</f>
        <v>Normal</v>
      </c>
      <c r="G415" s="8" t="str">
        <f>IF(OR(C415&lt;outliers!$B$14,C415&gt;outliers!$B$13),"Outlier","Normal")</f>
        <v>Normal</v>
      </c>
      <c r="H415" s="8" t="str">
        <f>IF(OR(D415&lt;outliers!$B$21,D415&gt;outliers!$B$20),"Outlier","Normal")</f>
        <v>Normal</v>
      </c>
      <c r="I415" s="8" t="str">
        <f>IF(OR(E415&lt;outliers!$C$28,E415&gt;outliers!$B$27),"Outlier","Normal")</f>
        <v>Normal</v>
      </c>
      <c r="J415" s="8">
        <f t="shared" si="12"/>
        <v>2019</v>
      </c>
      <c r="K415">
        <f t="shared" si="13"/>
        <v>6</v>
      </c>
    </row>
    <row r="416" spans="1:11" x14ac:dyDescent="0.35">
      <c r="A416" s="13">
        <v>43642</v>
      </c>
      <c r="B416" s="8">
        <v>24.6</v>
      </c>
      <c r="C416" s="8">
        <v>21.6</v>
      </c>
      <c r="D416" s="8">
        <v>29.8</v>
      </c>
      <c r="E416" s="8">
        <v>0</v>
      </c>
      <c r="F416" s="8" t="str">
        <f>IF(OR(B416&lt;outliers!$B$7,B416&gt;outliers!$B$6),"Outlier","Normal")</f>
        <v>Normal</v>
      </c>
      <c r="G416" s="8" t="str">
        <f>IF(OR(C416&lt;outliers!$B$14,C416&gt;outliers!$B$13),"Outlier","Normal")</f>
        <v>Normal</v>
      </c>
      <c r="H416" s="8" t="str">
        <f>IF(OR(D416&lt;outliers!$B$21,D416&gt;outliers!$B$20),"Outlier","Normal")</f>
        <v>Normal</v>
      </c>
      <c r="I416" s="8" t="str">
        <f>IF(OR(E416&lt;outliers!$C$28,E416&gt;outliers!$B$27),"Outlier","Normal")</f>
        <v>Normal</v>
      </c>
      <c r="J416" s="8">
        <f t="shared" si="12"/>
        <v>2019</v>
      </c>
      <c r="K416">
        <f t="shared" si="13"/>
        <v>6</v>
      </c>
    </row>
    <row r="417" spans="1:11" x14ac:dyDescent="0.35">
      <c r="A417" s="13">
        <v>43644</v>
      </c>
      <c r="B417" s="8">
        <v>25.2</v>
      </c>
      <c r="C417" s="8">
        <v>21</v>
      </c>
      <c r="D417" s="8">
        <v>31</v>
      </c>
      <c r="E417" s="8">
        <v>2</v>
      </c>
      <c r="F417" s="8" t="str">
        <f>IF(OR(B417&lt;outliers!$B$7,B417&gt;outliers!$B$6),"Outlier","Normal")</f>
        <v>Normal</v>
      </c>
      <c r="G417" s="8" t="str">
        <f>IF(OR(C417&lt;outliers!$B$14,C417&gt;outliers!$B$13),"Outlier","Normal")</f>
        <v>Normal</v>
      </c>
      <c r="H417" s="8" t="str">
        <f>IF(OR(D417&lt;outliers!$B$21,D417&gt;outliers!$B$20),"Outlier","Normal")</f>
        <v>Normal</v>
      </c>
      <c r="I417" s="8" t="str">
        <f>IF(OR(E417&lt;outliers!$C$28,E417&gt;outliers!$B$27),"Outlier","Normal")</f>
        <v>Normal</v>
      </c>
      <c r="J417" s="8">
        <f t="shared" si="12"/>
        <v>2019</v>
      </c>
      <c r="K417">
        <f t="shared" si="13"/>
        <v>6</v>
      </c>
    </row>
    <row r="418" spans="1:11" x14ac:dyDescent="0.35">
      <c r="A418" s="13">
        <v>43645</v>
      </c>
      <c r="B418" s="8">
        <v>25.1</v>
      </c>
      <c r="C418" s="8">
        <v>21</v>
      </c>
      <c r="D418" s="8">
        <v>31.2</v>
      </c>
      <c r="E418" s="8">
        <v>0</v>
      </c>
      <c r="F418" s="8" t="str">
        <f>IF(OR(B418&lt;outliers!$B$7,B418&gt;outliers!$B$6),"Outlier","Normal")</f>
        <v>Normal</v>
      </c>
      <c r="G418" s="8" t="str">
        <f>IF(OR(C418&lt;outliers!$B$14,C418&gt;outliers!$B$13),"Outlier","Normal")</f>
        <v>Normal</v>
      </c>
      <c r="H418" s="8" t="str">
        <f>IF(OR(D418&lt;outliers!$B$21,D418&gt;outliers!$B$20),"Outlier","Normal")</f>
        <v>Normal</v>
      </c>
      <c r="I418" s="8" t="str">
        <f>IF(OR(E418&lt;outliers!$C$28,E418&gt;outliers!$B$27),"Outlier","Normal")</f>
        <v>Normal</v>
      </c>
      <c r="J418" s="8">
        <f t="shared" si="12"/>
        <v>2019</v>
      </c>
      <c r="K418">
        <f t="shared" si="13"/>
        <v>6</v>
      </c>
    </row>
    <row r="419" spans="1:11" x14ac:dyDescent="0.35">
      <c r="A419" s="13">
        <v>43647</v>
      </c>
      <c r="B419" s="8">
        <v>25.6</v>
      </c>
      <c r="C419" s="8">
        <v>21</v>
      </c>
      <c r="D419" s="8">
        <v>29.8</v>
      </c>
      <c r="E419" s="8">
        <v>0</v>
      </c>
      <c r="F419" s="8" t="str">
        <f>IF(OR(B419&lt;outliers!$B$7,B419&gt;outliers!$B$6),"Outlier","Normal")</f>
        <v>Normal</v>
      </c>
      <c r="G419" s="8" t="str">
        <f>IF(OR(C419&lt;outliers!$B$14,C419&gt;outliers!$B$13),"Outlier","Normal")</f>
        <v>Normal</v>
      </c>
      <c r="H419" s="8" t="str">
        <f>IF(OR(D419&lt;outliers!$B$21,D419&gt;outliers!$B$20),"Outlier","Normal")</f>
        <v>Normal</v>
      </c>
      <c r="I419" s="8" t="str">
        <f>IF(OR(E419&lt;outliers!$C$28,E419&gt;outliers!$B$27),"Outlier","Normal")</f>
        <v>Normal</v>
      </c>
      <c r="J419" s="8">
        <f t="shared" si="12"/>
        <v>2019</v>
      </c>
      <c r="K419">
        <f t="shared" si="13"/>
        <v>7</v>
      </c>
    </row>
    <row r="420" spans="1:11" x14ac:dyDescent="0.35">
      <c r="A420" s="13">
        <v>43649</v>
      </c>
      <c r="B420" s="8">
        <v>25.4</v>
      </c>
      <c r="C420" s="8">
        <v>21.4</v>
      </c>
      <c r="D420" s="8">
        <v>30.8</v>
      </c>
      <c r="E420" s="8">
        <v>0</v>
      </c>
      <c r="F420" s="8" t="str">
        <f>IF(OR(B420&lt;outliers!$B$7,B420&gt;outliers!$B$6),"Outlier","Normal")</f>
        <v>Normal</v>
      </c>
      <c r="G420" s="8" t="str">
        <f>IF(OR(C420&lt;outliers!$B$14,C420&gt;outliers!$B$13),"Outlier","Normal")</f>
        <v>Normal</v>
      </c>
      <c r="H420" s="8" t="str">
        <f>IF(OR(D420&lt;outliers!$B$21,D420&gt;outliers!$B$20),"Outlier","Normal")</f>
        <v>Normal</v>
      </c>
      <c r="I420" s="8" t="str">
        <f>IF(OR(E420&lt;outliers!$C$28,E420&gt;outliers!$B$27),"Outlier","Normal")</f>
        <v>Normal</v>
      </c>
      <c r="J420" s="8">
        <f t="shared" si="12"/>
        <v>2019</v>
      </c>
      <c r="K420">
        <f t="shared" si="13"/>
        <v>7</v>
      </c>
    </row>
    <row r="421" spans="1:11" x14ac:dyDescent="0.35">
      <c r="A421" s="13">
        <v>43651</v>
      </c>
      <c r="B421" s="8">
        <v>23.7</v>
      </c>
      <c r="C421" s="8">
        <v>20.8</v>
      </c>
      <c r="D421" s="8">
        <v>30.3</v>
      </c>
      <c r="E421" s="8">
        <v>0</v>
      </c>
      <c r="F421" s="8" t="str">
        <f>IF(OR(B421&lt;outliers!$B$7,B421&gt;outliers!$B$6),"Outlier","Normal")</f>
        <v>Normal</v>
      </c>
      <c r="G421" s="8" t="str">
        <f>IF(OR(C421&lt;outliers!$B$14,C421&gt;outliers!$B$13),"Outlier","Normal")</f>
        <v>Normal</v>
      </c>
      <c r="H421" s="8" t="str">
        <f>IF(OR(D421&lt;outliers!$B$21,D421&gt;outliers!$B$20),"Outlier","Normal")</f>
        <v>Normal</v>
      </c>
      <c r="I421" s="8" t="str">
        <f>IF(OR(E421&lt;outliers!$C$28,E421&gt;outliers!$B$27),"Outlier","Normal")</f>
        <v>Normal</v>
      </c>
      <c r="J421" s="8">
        <f t="shared" si="12"/>
        <v>2019</v>
      </c>
      <c r="K421">
        <f t="shared" si="13"/>
        <v>7</v>
      </c>
    </row>
    <row r="422" spans="1:11" x14ac:dyDescent="0.35">
      <c r="A422" s="13">
        <v>43653</v>
      </c>
      <c r="B422" s="8">
        <v>24.5</v>
      </c>
      <c r="C422" s="8">
        <v>20.7</v>
      </c>
      <c r="D422" s="8">
        <v>28.6</v>
      </c>
      <c r="E422" s="8">
        <v>1</v>
      </c>
      <c r="F422" s="8" t="str">
        <f>IF(OR(B422&lt;outliers!$B$7,B422&gt;outliers!$B$6),"Outlier","Normal")</f>
        <v>Normal</v>
      </c>
      <c r="G422" s="8" t="str">
        <f>IF(OR(C422&lt;outliers!$B$14,C422&gt;outliers!$B$13),"Outlier","Normal")</f>
        <v>Normal</v>
      </c>
      <c r="H422" s="8" t="str">
        <f>IF(OR(D422&lt;outliers!$B$21,D422&gt;outliers!$B$20),"Outlier","Normal")</f>
        <v>Normal</v>
      </c>
      <c r="I422" s="8" t="str">
        <f>IF(OR(E422&lt;outliers!$C$28,E422&gt;outliers!$B$27),"Outlier","Normal")</f>
        <v>Normal</v>
      </c>
      <c r="J422" s="8">
        <f t="shared" si="12"/>
        <v>2019</v>
      </c>
      <c r="K422">
        <f t="shared" si="13"/>
        <v>7</v>
      </c>
    </row>
    <row r="423" spans="1:11" x14ac:dyDescent="0.35">
      <c r="A423" s="13">
        <v>43654</v>
      </c>
      <c r="B423" s="8">
        <v>24.4</v>
      </c>
      <c r="C423" s="8">
        <v>20.6</v>
      </c>
      <c r="D423" s="8">
        <v>29.2</v>
      </c>
      <c r="E423" s="8">
        <v>0</v>
      </c>
      <c r="F423" s="8" t="str">
        <f>IF(OR(B423&lt;outliers!$B$7,B423&gt;outliers!$B$6),"Outlier","Normal")</f>
        <v>Normal</v>
      </c>
      <c r="G423" s="8" t="str">
        <f>IF(OR(C423&lt;outliers!$B$14,C423&gt;outliers!$B$13),"Outlier","Normal")</f>
        <v>Normal</v>
      </c>
      <c r="H423" s="8" t="str">
        <f>IF(OR(D423&lt;outliers!$B$21,D423&gt;outliers!$B$20),"Outlier","Normal")</f>
        <v>Normal</v>
      </c>
      <c r="I423" s="8" t="str">
        <f>IF(OR(E423&lt;outliers!$C$28,E423&gt;outliers!$B$27),"Outlier","Normal")</f>
        <v>Normal</v>
      </c>
      <c r="J423" s="8">
        <f t="shared" si="12"/>
        <v>2019</v>
      </c>
      <c r="K423">
        <f t="shared" si="13"/>
        <v>7</v>
      </c>
    </row>
    <row r="424" spans="1:11" x14ac:dyDescent="0.35">
      <c r="A424" s="13">
        <v>43655</v>
      </c>
      <c r="B424" s="8">
        <v>23.8</v>
      </c>
      <c r="C424" s="8">
        <v>20</v>
      </c>
      <c r="D424" s="8">
        <v>29.5</v>
      </c>
      <c r="E424" s="8">
        <v>0</v>
      </c>
      <c r="F424" s="8" t="str">
        <f>IF(OR(B424&lt;outliers!$B$7,B424&gt;outliers!$B$6),"Outlier","Normal")</f>
        <v>Normal</v>
      </c>
      <c r="G424" s="8" t="str">
        <f>IF(OR(C424&lt;outliers!$B$14,C424&gt;outliers!$B$13),"Outlier","Normal")</f>
        <v>Normal</v>
      </c>
      <c r="H424" s="8" t="str">
        <f>IF(OR(D424&lt;outliers!$B$21,D424&gt;outliers!$B$20),"Outlier","Normal")</f>
        <v>Normal</v>
      </c>
      <c r="I424" s="8" t="str">
        <f>IF(OR(E424&lt;outliers!$C$28,E424&gt;outliers!$B$27),"Outlier","Normal")</f>
        <v>Normal</v>
      </c>
      <c r="J424" s="8">
        <f t="shared" si="12"/>
        <v>2019</v>
      </c>
      <c r="K424">
        <f t="shared" si="13"/>
        <v>7</v>
      </c>
    </row>
    <row r="425" spans="1:11" x14ac:dyDescent="0.35">
      <c r="A425" s="13">
        <v>43656</v>
      </c>
      <c r="B425" s="8">
        <v>23.2</v>
      </c>
      <c r="C425" s="8">
        <v>19.5</v>
      </c>
      <c r="D425" s="8">
        <v>29.6</v>
      </c>
      <c r="E425" s="8">
        <v>0</v>
      </c>
      <c r="F425" s="8" t="str">
        <f>IF(OR(B425&lt;outliers!$B$7,B425&gt;outliers!$B$6),"Outlier","Normal")</f>
        <v>Normal</v>
      </c>
      <c r="G425" s="8" t="str">
        <f>IF(OR(C425&lt;outliers!$B$14,C425&gt;outliers!$B$13),"Outlier","Normal")</f>
        <v>Normal</v>
      </c>
      <c r="H425" s="8" t="str">
        <f>IF(OR(D425&lt;outliers!$B$21,D425&gt;outliers!$B$20),"Outlier","Normal")</f>
        <v>Normal</v>
      </c>
      <c r="I425" s="8" t="str">
        <f>IF(OR(E425&lt;outliers!$C$28,E425&gt;outliers!$B$27),"Outlier","Normal")</f>
        <v>Normal</v>
      </c>
      <c r="J425" s="8">
        <f t="shared" si="12"/>
        <v>2019</v>
      </c>
      <c r="K425">
        <f t="shared" si="13"/>
        <v>7</v>
      </c>
    </row>
    <row r="426" spans="1:11" x14ac:dyDescent="0.35">
      <c r="A426" s="13">
        <v>43657</v>
      </c>
      <c r="B426" s="8">
        <v>24.2</v>
      </c>
      <c r="C426" s="8">
        <v>20.2</v>
      </c>
      <c r="D426" s="8">
        <v>29.4</v>
      </c>
      <c r="E426" s="8">
        <v>0</v>
      </c>
      <c r="F426" s="8" t="str">
        <f>IF(OR(B426&lt;outliers!$B$7,B426&gt;outliers!$B$6),"Outlier","Normal")</f>
        <v>Normal</v>
      </c>
      <c r="G426" s="8" t="str">
        <f>IF(OR(C426&lt;outliers!$B$14,C426&gt;outliers!$B$13),"Outlier","Normal")</f>
        <v>Normal</v>
      </c>
      <c r="H426" s="8" t="str">
        <f>IF(OR(D426&lt;outliers!$B$21,D426&gt;outliers!$B$20),"Outlier","Normal")</f>
        <v>Normal</v>
      </c>
      <c r="I426" s="8" t="str">
        <f>IF(OR(E426&lt;outliers!$C$28,E426&gt;outliers!$B$27),"Outlier","Normal")</f>
        <v>Normal</v>
      </c>
      <c r="J426" s="8">
        <f t="shared" si="12"/>
        <v>2019</v>
      </c>
      <c r="K426">
        <f t="shared" si="13"/>
        <v>7</v>
      </c>
    </row>
    <row r="427" spans="1:11" x14ac:dyDescent="0.35">
      <c r="A427" s="13">
        <v>43658</v>
      </c>
      <c r="B427" s="8">
        <v>25.3</v>
      </c>
      <c r="C427" s="8">
        <v>20.8</v>
      </c>
      <c r="D427" s="8">
        <v>31.4</v>
      </c>
      <c r="E427" s="8">
        <v>7.1</v>
      </c>
      <c r="F427" s="8" t="str">
        <f>IF(OR(B427&lt;outliers!$B$7,B427&gt;outliers!$B$6),"Outlier","Normal")</f>
        <v>Normal</v>
      </c>
      <c r="G427" s="8" t="str">
        <f>IF(OR(C427&lt;outliers!$B$14,C427&gt;outliers!$B$13),"Outlier","Normal")</f>
        <v>Normal</v>
      </c>
      <c r="H427" s="8" t="str">
        <f>IF(OR(D427&lt;outliers!$B$21,D427&gt;outliers!$B$20),"Outlier","Normal")</f>
        <v>Normal</v>
      </c>
      <c r="I427" s="8" t="str">
        <f>IF(OR(E427&lt;outliers!$C$28,E427&gt;outliers!$B$27),"Outlier","Normal")</f>
        <v>Normal</v>
      </c>
      <c r="J427" s="8">
        <f t="shared" si="12"/>
        <v>2019</v>
      </c>
      <c r="K427">
        <f t="shared" si="13"/>
        <v>7</v>
      </c>
    </row>
    <row r="428" spans="1:11" x14ac:dyDescent="0.35">
      <c r="A428" s="13">
        <v>43659</v>
      </c>
      <c r="B428" s="8">
        <v>25.2</v>
      </c>
      <c r="C428" s="8">
        <v>21</v>
      </c>
      <c r="D428" s="8">
        <v>31.2</v>
      </c>
      <c r="E428" s="8">
        <v>2.5</v>
      </c>
      <c r="F428" s="8" t="str">
        <f>IF(OR(B428&lt;outliers!$B$7,B428&gt;outliers!$B$6),"Outlier","Normal")</f>
        <v>Normal</v>
      </c>
      <c r="G428" s="8" t="str">
        <f>IF(OR(C428&lt;outliers!$B$14,C428&gt;outliers!$B$13),"Outlier","Normal")</f>
        <v>Normal</v>
      </c>
      <c r="H428" s="8" t="str">
        <f>IF(OR(D428&lt;outliers!$B$21,D428&gt;outliers!$B$20),"Outlier","Normal")</f>
        <v>Normal</v>
      </c>
      <c r="I428" s="8" t="str">
        <f>IF(OR(E428&lt;outliers!$C$28,E428&gt;outliers!$B$27),"Outlier","Normal")</f>
        <v>Normal</v>
      </c>
      <c r="J428" s="8">
        <f t="shared" si="12"/>
        <v>2019</v>
      </c>
      <c r="K428">
        <f t="shared" si="13"/>
        <v>7</v>
      </c>
    </row>
    <row r="429" spans="1:11" x14ac:dyDescent="0.35">
      <c r="A429" s="13">
        <v>43660</v>
      </c>
      <c r="B429" s="8">
        <v>24.7</v>
      </c>
      <c r="C429" s="8">
        <v>21.3</v>
      </c>
      <c r="D429" s="8">
        <v>30</v>
      </c>
      <c r="E429" s="8">
        <v>1</v>
      </c>
      <c r="F429" s="8" t="str">
        <f>IF(OR(B429&lt;outliers!$B$7,B429&gt;outliers!$B$6),"Outlier","Normal")</f>
        <v>Normal</v>
      </c>
      <c r="G429" s="8" t="str">
        <f>IF(OR(C429&lt;outliers!$B$14,C429&gt;outliers!$B$13),"Outlier","Normal")</f>
        <v>Normal</v>
      </c>
      <c r="H429" s="8" t="str">
        <f>IF(OR(D429&lt;outliers!$B$21,D429&gt;outliers!$B$20),"Outlier","Normal")</f>
        <v>Normal</v>
      </c>
      <c r="I429" s="8" t="str">
        <f>IF(OR(E429&lt;outliers!$C$28,E429&gt;outliers!$B$27),"Outlier","Normal")</f>
        <v>Normal</v>
      </c>
      <c r="J429" s="8">
        <f t="shared" si="12"/>
        <v>2019</v>
      </c>
      <c r="K429">
        <f t="shared" si="13"/>
        <v>7</v>
      </c>
    </row>
    <row r="430" spans="1:11" x14ac:dyDescent="0.35">
      <c r="A430" s="13">
        <v>43661</v>
      </c>
      <c r="B430" s="8">
        <v>24.2</v>
      </c>
      <c r="C430" s="8">
        <v>21.4</v>
      </c>
      <c r="D430" s="8">
        <v>30.8</v>
      </c>
      <c r="E430" s="8">
        <v>0.3</v>
      </c>
      <c r="F430" s="8" t="str">
        <f>IF(OR(B430&lt;outliers!$B$7,B430&gt;outliers!$B$6),"Outlier","Normal")</f>
        <v>Normal</v>
      </c>
      <c r="G430" s="8" t="str">
        <f>IF(OR(C430&lt;outliers!$B$14,C430&gt;outliers!$B$13),"Outlier","Normal")</f>
        <v>Normal</v>
      </c>
      <c r="H430" s="8" t="str">
        <f>IF(OR(D430&lt;outliers!$B$21,D430&gt;outliers!$B$20),"Outlier","Normal")</f>
        <v>Normal</v>
      </c>
      <c r="I430" s="8" t="str">
        <f>IF(OR(E430&lt;outliers!$C$28,E430&gt;outliers!$B$27),"Outlier","Normal")</f>
        <v>Normal</v>
      </c>
      <c r="J430" s="8">
        <f t="shared" si="12"/>
        <v>2019</v>
      </c>
      <c r="K430">
        <f t="shared" si="13"/>
        <v>7</v>
      </c>
    </row>
    <row r="431" spans="1:11" x14ac:dyDescent="0.35">
      <c r="A431" s="13">
        <v>43662</v>
      </c>
      <c r="B431" s="8">
        <v>24.8</v>
      </c>
      <c r="C431" s="8">
        <v>21</v>
      </c>
      <c r="D431" s="8">
        <v>30.4</v>
      </c>
      <c r="E431" s="8">
        <v>3</v>
      </c>
      <c r="F431" s="8" t="str">
        <f>IF(OR(B431&lt;outliers!$B$7,B431&gt;outliers!$B$6),"Outlier","Normal")</f>
        <v>Normal</v>
      </c>
      <c r="G431" s="8" t="str">
        <f>IF(OR(C431&lt;outliers!$B$14,C431&gt;outliers!$B$13),"Outlier","Normal")</f>
        <v>Normal</v>
      </c>
      <c r="H431" s="8" t="str">
        <f>IF(OR(D431&lt;outliers!$B$21,D431&gt;outliers!$B$20),"Outlier","Normal")</f>
        <v>Normal</v>
      </c>
      <c r="I431" s="8" t="str">
        <f>IF(OR(E431&lt;outliers!$C$28,E431&gt;outliers!$B$27),"Outlier","Normal")</f>
        <v>Normal</v>
      </c>
      <c r="J431" s="8">
        <f t="shared" si="12"/>
        <v>2019</v>
      </c>
      <c r="K431">
        <f t="shared" si="13"/>
        <v>7</v>
      </c>
    </row>
    <row r="432" spans="1:11" x14ac:dyDescent="0.35">
      <c r="A432" s="13">
        <v>43663</v>
      </c>
      <c r="B432" s="8">
        <v>24.8</v>
      </c>
      <c r="C432" s="8">
        <v>21</v>
      </c>
      <c r="D432" s="8">
        <v>30.3</v>
      </c>
      <c r="E432" s="8">
        <v>3</v>
      </c>
      <c r="F432" s="8" t="str">
        <f>IF(OR(B432&lt;outliers!$B$7,B432&gt;outliers!$B$6),"Outlier","Normal")</f>
        <v>Normal</v>
      </c>
      <c r="G432" s="8" t="str">
        <f>IF(OR(C432&lt;outliers!$B$14,C432&gt;outliers!$B$13),"Outlier","Normal")</f>
        <v>Normal</v>
      </c>
      <c r="H432" s="8" t="str">
        <f>IF(OR(D432&lt;outliers!$B$21,D432&gt;outliers!$B$20),"Outlier","Normal")</f>
        <v>Normal</v>
      </c>
      <c r="I432" s="8" t="str">
        <f>IF(OR(E432&lt;outliers!$C$28,E432&gt;outliers!$B$27),"Outlier","Normal")</f>
        <v>Normal</v>
      </c>
      <c r="J432" s="8">
        <f t="shared" si="12"/>
        <v>2019</v>
      </c>
      <c r="K432">
        <f t="shared" si="13"/>
        <v>7</v>
      </c>
    </row>
    <row r="433" spans="1:11" hidden="1" x14ac:dyDescent="0.35">
      <c r="A433" s="13">
        <v>43664</v>
      </c>
      <c r="B433" s="8">
        <v>24.3</v>
      </c>
      <c r="C433" s="8">
        <v>21.4</v>
      </c>
      <c r="D433" s="8">
        <v>29.3</v>
      </c>
      <c r="E433" s="8">
        <v>40.4</v>
      </c>
      <c r="F433" s="8" t="str">
        <f>IF(OR(B433&lt;outliers!$B$7,B433&gt;outliers!$B$6),"Outlier","Normal")</f>
        <v>Normal</v>
      </c>
      <c r="G433" s="8" t="str">
        <f>IF(OR(C433&lt;outliers!$B$14,C433&gt;outliers!$B$13),"Outlier","Normal")</f>
        <v>Normal</v>
      </c>
      <c r="H433" s="8" t="str">
        <f>IF(OR(D433&lt;outliers!$B$21,D433&gt;outliers!$B$20),"Outlier","Normal")</f>
        <v>Normal</v>
      </c>
      <c r="I433" s="8" t="str">
        <f>IF(OR(E433&lt;outliers!$C$28,E433&gt;outliers!$B$27),"Outlier","Normal")</f>
        <v>Outlier</v>
      </c>
      <c r="J433" s="8">
        <f t="shared" si="12"/>
        <v>2019</v>
      </c>
      <c r="K433">
        <f t="shared" si="13"/>
        <v>7</v>
      </c>
    </row>
    <row r="434" spans="1:11" x14ac:dyDescent="0.35">
      <c r="A434" s="13">
        <v>43665</v>
      </c>
      <c r="B434" s="8">
        <v>23.6</v>
      </c>
      <c r="C434" s="8">
        <v>21.6</v>
      </c>
      <c r="D434" s="8">
        <v>28.4</v>
      </c>
      <c r="E434" s="8">
        <v>1</v>
      </c>
      <c r="F434" s="8" t="str">
        <f>IF(OR(B434&lt;outliers!$B$7,B434&gt;outliers!$B$6),"Outlier","Normal")</f>
        <v>Normal</v>
      </c>
      <c r="G434" s="8" t="str">
        <f>IF(OR(C434&lt;outliers!$B$14,C434&gt;outliers!$B$13),"Outlier","Normal")</f>
        <v>Normal</v>
      </c>
      <c r="H434" s="8" t="str">
        <f>IF(OR(D434&lt;outliers!$B$21,D434&gt;outliers!$B$20),"Outlier","Normal")</f>
        <v>Normal</v>
      </c>
      <c r="I434" s="8" t="str">
        <f>IF(OR(E434&lt;outliers!$C$28,E434&gt;outliers!$B$27),"Outlier","Normal")</f>
        <v>Normal</v>
      </c>
      <c r="J434" s="8">
        <f t="shared" si="12"/>
        <v>2019</v>
      </c>
      <c r="K434">
        <f t="shared" si="13"/>
        <v>7</v>
      </c>
    </row>
    <row r="435" spans="1:11" x14ac:dyDescent="0.35">
      <c r="A435" s="13">
        <v>43666</v>
      </c>
      <c r="B435" s="8">
        <v>23.4</v>
      </c>
      <c r="C435" s="8">
        <v>20.6</v>
      </c>
      <c r="D435" s="8">
        <v>28.4</v>
      </c>
      <c r="E435" s="8">
        <v>1.3</v>
      </c>
      <c r="F435" s="8" t="str">
        <f>IF(OR(B435&lt;outliers!$B$7,B435&gt;outliers!$B$6),"Outlier","Normal")</f>
        <v>Normal</v>
      </c>
      <c r="G435" s="8" t="str">
        <f>IF(OR(C435&lt;outliers!$B$14,C435&gt;outliers!$B$13),"Outlier","Normal")</f>
        <v>Normal</v>
      </c>
      <c r="H435" s="8" t="str">
        <f>IF(OR(D435&lt;outliers!$B$21,D435&gt;outliers!$B$20),"Outlier","Normal")</f>
        <v>Normal</v>
      </c>
      <c r="I435" s="8" t="str">
        <f>IF(OR(E435&lt;outliers!$C$28,E435&gt;outliers!$B$27),"Outlier","Normal")</f>
        <v>Normal</v>
      </c>
      <c r="J435" s="8">
        <f t="shared" si="12"/>
        <v>2019</v>
      </c>
      <c r="K435">
        <f t="shared" si="13"/>
        <v>7</v>
      </c>
    </row>
    <row r="436" spans="1:11" x14ac:dyDescent="0.35">
      <c r="A436" s="13">
        <v>43667</v>
      </c>
      <c r="B436" s="8">
        <v>23</v>
      </c>
      <c r="C436" s="8">
        <v>20.6</v>
      </c>
      <c r="D436" s="8">
        <v>27.7</v>
      </c>
      <c r="E436" s="8">
        <v>0</v>
      </c>
      <c r="F436" s="8" t="str">
        <f>IF(OR(B436&lt;outliers!$B$7,B436&gt;outliers!$B$6),"Outlier","Normal")</f>
        <v>Normal</v>
      </c>
      <c r="G436" s="8" t="str">
        <f>IF(OR(C436&lt;outliers!$B$14,C436&gt;outliers!$B$13),"Outlier","Normal")</f>
        <v>Normal</v>
      </c>
      <c r="H436" s="8" t="str">
        <f>IF(OR(D436&lt;outliers!$B$21,D436&gt;outliers!$B$20),"Outlier","Normal")</f>
        <v>Normal</v>
      </c>
      <c r="I436" s="8" t="str">
        <f>IF(OR(E436&lt;outliers!$C$28,E436&gt;outliers!$B$27),"Outlier","Normal")</f>
        <v>Normal</v>
      </c>
      <c r="J436" s="8">
        <f t="shared" si="12"/>
        <v>2019</v>
      </c>
      <c r="K436">
        <f t="shared" si="13"/>
        <v>7</v>
      </c>
    </row>
    <row r="437" spans="1:11" x14ac:dyDescent="0.35">
      <c r="A437" s="13">
        <v>43668</v>
      </c>
      <c r="B437" s="8">
        <v>22.2</v>
      </c>
      <c r="C437" s="8">
        <v>19.899999999999999</v>
      </c>
      <c r="D437" s="8">
        <v>27.6</v>
      </c>
      <c r="E437" s="8">
        <v>3.3</v>
      </c>
      <c r="F437" s="8" t="str">
        <f>IF(OR(B437&lt;outliers!$B$7,B437&gt;outliers!$B$6),"Outlier","Normal")</f>
        <v>Normal</v>
      </c>
      <c r="G437" s="8" t="str">
        <f>IF(OR(C437&lt;outliers!$B$14,C437&gt;outliers!$B$13),"Outlier","Normal")</f>
        <v>Normal</v>
      </c>
      <c r="H437" s="8" t="str">
        <f>IF(OR(D437&lt;outliers!$B$21,D437&gt;outliers!$B$20),"Outlier","Normal")</f>
        <v>Normal</v>
      </c>
      <c r="I437" s="8" t="str">
        <f>IF(OR(E437&lt;outliers!$C$28,E437&gt;outliers!$B$27),"Outlier","Normal")</f>
        <v>Normal</v>
      </c>
      <c r="J437" s="8">
        <f t="shared" si="12"/>
        <v>2019</v>
      </c>
      <c r="K437">
        <f t="shared" si="13"/>
        <v>7</v>
      </c>
    </row>
    <row r="438" spans="1:11" hidden="1" x14ac:dyDescent="0.35">
      <c r="A438" s="13">
        <v>43669</v>
      </c>
      <c r="B438" s="8">
        <v>22</v>
      </c>
      <c r="C438" s="8">
        <v>19.2</v>
      </c>
      <c r="D438" s="8">
        <v>26</v>
      </c>
      <c r="E438" s="8">
        <v>14</v>
      </c>
      <c r="F438" s="8" t="str">
        <f>IF(OR(B438&lt;outliers!$B$7,B438&gt;outliers!$B$6),"Outlier","Normal")</f>
        <v>Normal</v>
      </c>
      <c r="G438" s="8" t="str">
        <f>IF(OR(C438&lt;outliers!$B$14,C438&gt;outliers!$B$13),"Outlier","Normal")</f>
        <v>Normal</v>
      </c>
      <c r="H438" s="8" t="str">
        <f>IF(OR(D438&lt;outliers!$B$21,D438&gt;outliers!$B$20),"Outlier","Normal")</f>
        <v>Normal</v>
      </c>
      <c r="I438" s="8" t="str">
        <f>IF(OR(E438&lt;outliers!$C$28,E438&gt;outliers!$B$27),"Outlier","Normal")</f>
        <v>Outlier</v>
      </c>
      <c r="J438" s="8">
        <f t="shared" si="12"/>
        <v>2019</v>
      </c>
      <c r="K438">
        <f t="shared" si="13"/>
        <v>7</v>
      </c>
    </row>
    <row r="439" spans="1:11" x14ac:dyDescent="0.35">
      <c r="A439" s="13">
        <v>43670</v>
      </c>
      <c r="B439" s="8">
        <v>24.3</v>
      </c>
      <c r="C439" s="8">
        <v>20</v>
      </c>
      <c r="D439" s="8">
        <v>29.7</v>
      </c>
      <c r="E439" s="8">
        <v>0.3</v>
      </c>
      <c r="F439" s="8" t="str">
        <f>IF(OR(B439&lt;outliers!$B$7,B439&gt;outliers!$B$6),"Outlier","Normal")</f>
        <v>Normal</v>
      </c>
      <c r="G439" s="8" t="str">
        <f>IF(OR(C439&lt;outliers!$B$14,C439&gt;outliers!$B$13),"Outlier","Normal")</f>
        <v>Normal</v>
      </c>
      <c r="H439" s="8" t="str">
        <f>IF(OR(D439&lt;outliers!$B$21,D439&gt;outliers!$B$20),"Outlier","Normal")</f>
        <v>Normal</v>
      </c>
      <c r="I439" s="8" t="str">
        <f>IF(OR(E439&lt;outliers!$C$28,E439&gt;outliers!$B$27),"Outlier","Normal")</f>
        <v>Normal</v>
      </c>
      <c r="J439" s="8">
        <f t="shared" si="12"/>
        <v>2019</v>
      </c>
      <c r="K439">
        <f t="shared" si="13"/>
        <v>7</v>
      </c>
    </row>
    <row r="440" spans="1:11" x14ac:dyDescent="0.35">
      <c r="A440" s="13">
        <v>43671</v>
      </c>
      <c r="B440" s="8">
        <v>23.8</v>
      </c>
      <c r="C440" s="8">
        <v>21.3</v>
      </c>
      <c r="D440" s="8">
        <v>29.5</v>
      </c>
      <c r="E440" s="8">
        <v>1</v>
      </c>
      <c r="F440" s="8" t="str">
        <f>IF(OR(B440&lt;outliers!$B$7,B440&gt;outliers!$B$6),"Outlier","Normal")</f>
        <v>Normal</v>
      </c>
      <c r="G440" s="8" t="str">
        <f>IF(OR(C440&lt;outliers!$B$14,C440&gt;outliers!$B$13),"Outlier","Normal")</f>
        <v>Normal</v>
      </c>
      <c r="H440" s="8" t="str">
        <f>IF(OR(D440&lt;outliers!$B$21,D440&gt;outliers!$B$20),"Outlier","Normal")</f>
        <v>Normal</v>
      </c>
      <c r="I440" s="8" t="str">
        <f>IF(OR(E440&lt;outliers!$C$28,E440&gt;outliers!$B$27),"Outlier","Normal")</f>
        <v>Normal</v>
      </c>
      <c r="J440" s="8">
        <f t="shared" si="12"/>
        <v>2019</v>
      </c>
      <c r="K440">
        <f t="shared" si="13"/>
        <v>7</v>
      </c>
    </row>
    <row r="441" spans="1:11" hidden="1" x14ac:dyDescent="0.35">
      <c r="A441" s="13">
        <v>43672</v>
      </c>
      <c r="B441" s="8">
        <v>22.6</v>
      </c>
      <c r="C441" s="8">
        <v>20.6</v>
      </c>
      <c r="D441" s="8">
        <v>28.5</v>
      </c>
      <c r="E441" s="8">
        <v>11.2</v>
      </c>
      <c r="F441" s="8" t="str">
        <f>IF(OR(B441&lt;outliers!$B$7,B441&gt;outliers!$B$6),"Outlier","Normal")</f>
        <v>Normal</v>
      </c>
      <c r="G441" s="8" t="str">
        <f>IF(OR(C441&lt;outliers!$B$14,C441&gt;outliers!$B$13),"Outlier","Normal")</f>
        <v>Normal</v>
      </c>
      <c r="H441" s="8" t="str">
        <f>IF(OR(D441&lt;outliers!$B$21,D441&gt;outliers!$B$20),"Outlier","Normal")</f>
        <v>Normal</v>
      </c>
      <c r="I441" s="8" t="str">
        <f>IF(OR(E441&lt;outliers!$C$28,E441&gt;outliers!$B$27),"Outlier","Normal")</f>
        <v>Outlier</v>
      </c>
      <c r="J441" s="8">
        <f t="shared" si="12"/>
        <v>2019</v>
      </c>
      <c r="K441">
        <f t="shared" si="13"/>
        <v>7</v>
      </c>
    </row>
    <row r="442" spans="1:11" x14ac:dyDescent="0.35">
      <c r="A442" s="13">
        <v>43673</v>
      </c>
      <c r="B442" s="8">
        <v>24.1</v>
      </c>
      <c r="C442" s="8">
        <v>20.399999999999999</v>
      </c>
      <c r="D442" s="8">
        <v>28.3</v>
      </c>
      <c r="E442" s="8">
        <v>0</v>
      </c>
      <c r="F442" s="8" t="str">
        <f>IF(OR(B442&lt;outliers!$B$7,B442&gt;outliers!$B$6),"Outlier","Normal")</f>
        <v>Normal</v>
      </c>
      <c r="G442" s="8" t="str">
        <f>IF(OR(C442&lt;outliers!$B$14,C442&gt;outliers!$B$13),"Outlier","Normal")</f>
        <v>Normal</v>
      </c>
      <c r="H442" s="8" t="str">
        <f>IF(OR(D442&lt;outliers!$B$21,D442&gt;outliers!$B$20),"Outlier","Normal")</f>
        <v>Normal</v>
      </c>
      <c r="I442" s="8" t="str">
        <f>IF(OR(E442&lt;outliers!$C$28,E442&gt;outliers!$B$27),"Outlier","Normal")</f>
        <v>Normal</v>
      </c>
      <c r="J442" s="8">
        <f t="shared" si="12"/>
        <v>2019</v>
      </c>
      <c r="K442">
        <f t="shared" si="13"/>
        <v>7</v>
      </c>
    </row>
    <row r="443" spans="1:11" x14ac:dyDescent="0.35">
      <c r="A443" s="13">
        <v>43674</v>
      </c>
      <c r="B443" s="8">
        <v>23.4</v>
      </c>
      <c r="C443" s="8">
        <v>20.6</v>
      </c>
      <c r="D443" s="8">
        <v>29</v>
      </c>
      <c r="E443" s="8">
        <v>0</v>
      </c>
      <c r="F443" s="8" t="str">
        <f>IF(OR(B443&lt;outliers!$B$7,B443&gt;outliers!$B$6),"Outlier","Normal")</f>
        <v>Normal</v>
      </c>
      <c r="G443" s="8" t="str">
        <f>IF(OR(C443&lt;outliers!$B$14,C443&gt;outliers!$B$13),"Outlier","Normal")</f>
        <v>Normal</v>
      </c>
      <c r="H443" s="8" t="str">
        <f>IF(OR(D443&lt;outliers!$B$21,D443&gt;outliers!$B$20),"Outlier","Normal")</f>
        <v>Normal</v>
      </c>
      <c r="I443" s="8" t="str">
        <f>IF(OR(E443&lt;outliers!$C$28,E443&gt;outliers!$B$27),"Outlier","Normal")</f>
        <v>Normal</v>
      </c>
      <c r="J443" s="8">
        <f t="shared" si="12"/>
        <v>2019</v>
      </c>
      <c r="K443">
        <f t="shared" si="13"/>
        <v>7</v>
      </c>
    </row>
    <row r="444" spans="1:11" x14ac:dyDescent="0.35">
      <c r="A444" s="13">
        <v>43675</v>
      </c>
      <c r="B444" s="8">
        <v>23.4</v>
      </c>
      <c r="C444" s="8">
        <v>20.8</v>
      </c>
      <c r="D444" s="8">
        <v>28.2</v>
      </c>
      <c r="E444" s="8">
        <v>0</v>
      </c>
      <c r="F444" s="8" t="str">
        <f>IF(OR(B444&lt;outliers!$B$7,B444&gt;outliers!$B$6),"Outlier","Normal")</f>
        <v>Normal</v>
      </c>
      <c r="G444" s="8" t="str">
        <f>IF(OR(C444&lt;outliers!$B$14,C444&gt;outliers!$B$13),"Outlier","Normal")</f>
        <v>Normal</v>
      </c>
      <c r="H444" s="8" t="str">
        <f>IF(OR(D444&lt;outliers!$B$21,D444&gt;outliers!$B$20),"Outlier","Normal")</f>
        <v>Normal</v>
      </c>
      <c r="I444" s="8" t="str">
        <f>IF(OR(E444&lt;outliers!$C$28,E444&gt;outliers!$B$27),"Outlier","Normal")</f>
        <v>Normal</v>
      </c>
      <c r="J444" s="8">
        <f t="shared" si="12"/>
        <v>2019</v>
      </c>
      <c r="K444">
        <f t="shared" si="13"/>
        <v>7</v>
      </c>
    </row>
    <row r="445" spans="1:11" x14ac:dyDescent="0.35">
      <c r="A445" s="13">
        <v>43676</v>
      </c>
      <c r="B445" s="8">
        <v>22.9</v>
      </c>
      <c r="C445" s="8">
        <v>20.100000000000001</v>
      </c>
      <c r="D445" s="8">
        <v>27.6</v>
      </c>
      <c r="E445" s="8">
        <v>0</v>
      </c>
      <c r="F445" s="8" t="str">
        <f>IF(OR(B445&lt;outliers!$B$7,B445&gt;outliers!$B$6),"Outlier","Normal")</f>
        <v>Normal</v>
      </c>
      <c r="G445" s="8" t="str">
        <f>IF(OR(C445&lt;outliers!$B$14,C445&gt;outliers!$B$13),"Outlier","Normal")</f>
        <v>Normal</v>
      </c>
      <c r="H445" s="8" t="str">
        <f>IF(OR(D445&lt;outliers!$B$21,D445&gt;outliers!$B$20),"Outlier","Normal")</f>
        <v>Normal</v>
      </c>
      <c r="I445" s="8" t="str">
        <f>IF(OR(E445&lt;outliers!$C$28,E445&gt;outliers!$B$27),"Outlier","Normal")</f>
        <v>Normal</v>
      </c>
      <c r="J445" s="8">
        <f t="shared" si="12"/>
        <v>2019</v>
      </c>
      <c r="K445">
        <f t="shared" si="13"/>
        <v>7</v>
      </c>
    </row>
    <row r="446" spans="1:11" x14ac:dyDescent="0.35">
      <c r="A446" s="13">
        <v>43682</v>
      </c>
      <c r="B446" s="8">
        <v>22.4</v>
      </c>
      <c r="C446" s="8">
        <v>20.6</v>
      </c>
      <c r="D446" s="8">
        <v>27.9</v>
      </c>
      <c r="E446" s="8">
        <v>2</v>
      </c>
      <c r="F446" s="8" t="str">
        <f>IF(OR(B446&lt;outliers!$B$7,B446&gt;outliers!$B$6),"Outlier","Normal")</f>
        <v>Normal</v>
      </c>
      <c r="G446" s="8" t="str">
        <f>IF(OR(C446&lt;outliers!$B$14,C446&gt;outliers!$B$13),"Outlier","Normal")</f>
        <v>Normal</v>
      </c>
      <c r="H446" s="8" t="str">
        <f>IF(OR(D446&lt;outliers!$B$21,D446&gt;outliers!$B$20),"Outlier","Normal")</f>
        <v>Normal</v>
      </c>
      <c r="I446" s="8" t="str">
        <f>IF(OR(E446&lt;outliers!$C$28,E446&gt;outliers!$B$27),"Outlier","Normal")</f>
        <v>Normal</v>
      </c>
      <c r="J446" s="8">
        <f t="shared" si="12"/>
        <v>2019</v>
      </c>
      <c r="K446">
        <f t="shared" si="13"/>
        <v>8</v>
      </c>
    </row>
    <row r="447" spans="1:11" x14ac:dyDescent="0.35">
      <c r="A447" s="13">
        <v>43683</v>
      </c>
      <c r="B447" s="8">
        <v>21.8</v>
      </c>
      <c r="C447" s="8">
        <v>20</v>
      </c>
      <c r="D447" s="8">
        <v>25.6</v>
      </c>
      <c r="E447" s="8">
        <v>2.8</v>
      </c>
      <c r="F447" s="8" t="str">
        <f>IF(OR(B447&lt;outliers!$B$7,B447&gt;outliers!$B$6),"Outlier","Normal")</f>
        <v>Normal</v>
      </c>
      <c r="G447" s="8" t="str">
        <f>IF(OR(C447&lt;outliers!$B$14,C447&gt;outliers!$B$13),"Outlier","Normal")</f>
        <v>Normal</v>
      </c>
      <c r="H447" s="8" t="str">
        <f>IF(OR(D447&lt;outliers!$B$21,D447&gt;outliers!$B$20),"Outlier","Normal")</f>
        <v>Normal</v>
      </c>
      <c r="I447" s="8" t="str">
        <f>IF(OR(E447&lt;outliers!$C$28,E447&gt;outliers!$B$27),"Outlier","Normal")</f>
        <v>Normal</v>
      </c>
      <c r="J447" s="8">
        <f t="shared" si="12"/>
        <v>2019</v>
      </c>
      <c r="K447">
        <f t="shared" si="13"/>
        <v>8</v>
      </c>
    </row>
    <row r="448" spans="1:11" x14ac:dyDescent="0.35">
      <c r="A448" s="13">
        <v>43684</v>
      </c>
      <c r="B448" s="8">
        <v>22.1</v>
      </c>
      <c r="C448" s="8">
        <v>20.3</v>
      </c>
      <c r="D448" s="8">
        <v>25.4</v>
      </c>
      <c r="E448" s="8">
        <v>2</v>
      </c>
      <c r="F448" s="8" t="str">
        <f>IF(OR(B448&lt;outliers!$B$7,B448&gt;outliers!$B$6),"Outlier","Normal")</f>
        <v>Normal</v>
      </c>
      <c r="G448" s="8" t="str">
        <f>IF(OR(C448&lt;outliers!$B$14,C448&gt;outliers!$B$13),"Outlier","Normal")</f>
        <v>Normal</v>
      </c>
      <c r="H448" s="8" t="str">
        <f>IF(OR(D448&lt;outliers!$B$21,D448&gt;outliers!$B$20),"Outlier","Normal")</f>
        <v>Normal</v>
      </c>
      <c r="I448" s="8" t="str">
        <f>IF(OR(E448&lt;outliers!$C$28,E448&gt;outliers!$B$27),"Outlier","Normal")</f>
        <v>Normal</v>
      </c>
      <c r="J448" s="8">
        <f t="shared" si="12"/>
        <v>2019</v>
      </c>
      <c r="K448">
        <f t="shared" si="13"/>
        <v>8</v>
      </c>
    </row>
    <row r="449" spans="1:11" x14ac:dyDescent="0.35">
      <c r="A449" s="13">
        <v>43685</v>
      </c>
      <c r="B449" s="8">
        <v>22</v>
      </c>
      <c r="C449" s="8">
        <v>20.8</v>
      </c>
      <c r="D449" s="8">
        <v>25.2</v>
      </c>
      <c r="E449" s="8">
        <v>3</v>
      </c>
      <c r="F449" s="8" t="str">
        <f>IF(OR(B449&lt;outliers!$B$7,B449&gt;outliers!$B$6),"Outlier","Normal")</f>
        <v>Normal</v>
      </c>
      <c r="G449" s="8" t="str">
        <f>IF(OR(C449&lt;outliers!$B$14,C449&gt;outliers!$B$13),"Outlier","Normal")</f>
        <v>Normal</v>
      </c>
      <c r="H449" s="8" t="str">
        <f>IF(OR(D449&lt;outliers!$B$21,D449&gt;outliers!$B$20),"Outlier","Normal")</f>
        <v>Normal</v>
      </c>
      <c r="I449" s="8" t="str">
        <f>IF(OR(E449&lt;outliers!$C$28,E449&gt;outliers!$B$27),"Outlier","Normal")</f>
        <v>Normal</v>
      </c>
      <c r="J449" s="8">
        <f t="shared" si="12"/>
        <v>2019</v>
      </c>
      <c r="K449">
        <f t="shared" si="13"/>
        <v>8</v>
      </c>
    </row>
    <row r="450" spans="1:11" hidden="1" x14ac:dyDescent="0.35">
      <c r="A450" s="13">
        <v>43686</v>
      </c>
      <c r="B450" s="8">
        <v>21.8</v>
      </c>
      <c r="C450" s="8">
        <v>20.3</v>
      </c>
      <c r="D450" s="8">
        <v>25.7</v>
      </c>
      <c r="E450" s="8">
        <v>21.1</v>
      </c>
      <c r="F450" s="8" t="str">
        <f>IF(OR(B450&lt;outliers!$B$7,B450&gt;outliers!$B$6),"Outlier","Normal")</f>
        <v>Normal</v>
      </c>
      <c r="G450" s="8" t="str">
        <f>IF(OR(C450&lt;outliers!$B$14,C450&gt;outliers!$B$13),"Outlier","Normal")</f>
        <v>Normal</v>
      </c>
      <c r="H450" s="8" t="str">
        <f>IF(OR(D450&lt;outliers!$B$21,D450&gt;outliers!$B$20),"Outlier","Normal")</f>
        <v>Normal</v>
      </c>
      <c r="I450" s="8" t="str">
        <f>IF(OR(E450&lt;outliers!$C$28,E450&gt;outliers!$B$27),"Outlier","Normal")</f>
        <v>Outlier</v>
      </c>
      <c r="J450" s="8">
        <f t="shared" si="12"/>
        <v>2019</v>
      </c>
      <c r="K450">
        <f t="shared" si="13"/>
        <v>8</v>
      </c>
    </row>
    <row r="451" spans="1:11" x14ac:dyDescent="0.35">
      <c r="A451" s="13">
        <v>43687</v>
      </c>
      <c r="B451" s="8">
        <v>22.7</v>
      </c>
      <c r="C451" s="8">
        <v>19.8</v>
      </c>
      <c r="D451" s="8">
        <v>26.2</v>
      </c>
      <c r="E451" s="8">
        <v>0.8</v>
      </c>
      <c r="F451" s="8" t="str">
        <f>IF(OR(B451&lt;outliers!$B$7,B451&gt;outliers!$B$6),"Outlier","Normal")</f>
        <v>Normal</v>
      </c>
      <c r="G451" s="8" t="str">
        <f>IF(OR(C451&lt;outliers!$B$14,C451&gt;outliers!$B$13),"Outlier","Normal")</f>
        <v>Normal</v>
      </c>
      <c r="H451" s="8" t="str">
        <f>IF(OR(D451&lt;outliers!$B$21,D451&gt;outliers!$B$20),"Outlier","Normal")</f>
        <v>Normal</v>
      </c>
      <c r="I451" s="8" t="str">
        <f>IF(OR(E451&lt;outliers!$C$28,E451&gt;outliers!$B$27),"Outlier","Normal")</f>
        <v>Normal</v>
      </c>
      <c r="J451" s="8">
        <f t="shared" si="12"/>
        <v>2019</v>
      </c>
      <c r="K451">
        <f t="shared" si="13"/>
        <v>8</v>
      </c>
    </row>
    <row r="452" spans="1:11" x14ac:dyDescent="0.35">
      <c r="A452" s="13">
        <v>43688</v>
      </c>
      <c r="B452" s="8">
        <v>23</v>
      </c>
      <c r="C452" s="8">
        <v>20</v>
      </c>
      <c r="D452" s="8">
        <v>28.5</v>
      </c>
      <c r="E452" s="8">
        <v>0</v>
      </c>
      <c r="F452" s="8" t="str">
        <f>IF(OR(B452&lt;outliers!$B$7,B452&gt;outliers!$B$6),"Outlier","Normal")</f>
        <v>Normal</v>
      </c>
      <c r="G452" s="8" t="str">
        <f>IF(OR(C452&lt;outliers!$B$14,C452&gt;outliers!$B$13),"Outlier","Normal")</f>
        <v>Normal</v>
      </c>
      <c r="H452" s="8" t="str">
        <f>IF(OR(D452&lt;outliers!$B$21,D452&gt;outliers!$B$20),"Outlier","Normal")</f>
        <v>Normal</v>
      </c>
      <c r="I452" s="8" t="str">
        <f>IF(OR(E452&lt;outliers!$C$28,E452&gt;outliers!$B$27),"Outlier","Normal")</f>
        <v>Normal</v>
      </c>
      <c r="J452" s="8">
        <f t="shared" ref="J452:J515" si="14">YEAR(A452)</f>
        <v>2019</v>
      </c>
      <c r="K452">
        <f t="shared" ref="K452:K515" si="15">MONTH(A452)</f>
        <v>8</v>
      </c>
    </row>
    <row r="453" spans="1:11" x14ac:dyDescent="0.35">
      <c r="A453" s="13">
        <v>43689</v>
      </c>
      <c r="B453" s="8">
        <v>23.2</v>
      </c>
      <c r="C453" s="8">
        <v>20.2</v>
      </c>
      <c r="D453" s="8">
        <v>27.5</v>
      </c>
      <c r="E453" s="8">
        <v>6.1</v>
      </c>
      <c r="F453" s="8" t="str">
        <f>IF(OR(B453&lt;outliers!$B$7,B453&gt;outliers!$B$6),"Outlier","Normal")</f>
        <v>Normal</v>
      </c>
      <c r="G453" s="8" t="str">
        <f>IF(OR(C453&lt;outliers!$B$14,C453&gt;outliers!$B$13),"Outlier","Normal")</f>
        <v>Normal</v>
      </c>
      <c r="H453" s="8" t="str">
        <f>IF(OR(D453&lt;outliers!$B$21,D453&gt;outliers!$B$20),"Outlier","Normal")</f>
        <v>Normal</v>
      </c>
      <c r="I453" s="8" t="str">
        <f>IF(OR(E453&lt;outliers!$C$28,E453&gt;outliers!$B$27),"Outlier","Normal")</f>
        <v>Normal</v>
      </c>
      <c r="J453" s="8">
        <f t="shared" si="14"/>
        <v>2019</v>
      </c>
      <c r="K453">
        <f t="shared" si="15"/>
        <v>8</v>
      </c>
    </row>
    <row r="454" spans="1:11" hidden="1" x14ac:dyDescent="0.35">
      <c r="A454" s="13">
        <v>43690</v>
      </c>
      <c r="B454" s="8">
        <v>23.1</v>
      </c>
      <c r="C454" s="8">
        <v>20.6</v>
      </c>
      <c r="D454" s="8">
        <v>27.6</v>
      </c>
      <c r="E454" s="8">
        <v>19.100000000000001</v>
      </c>
      <c r="F454" s="8" t="str">
        <f>IF(OR(B454&lt;outliers!$B$7,B454&gt;outliers!$B$6),"Outlier","Normal")</f>
        <v>Normal</v>
      </c>
      <c r="G454" s="8" t="str">
        <f>IF(OR(C454&lt;outliers!$B$14,C454&gt;outliers!$B$13),"Outlier","Normal")</f>
        <v>Normal</v>
      </c>
      <c r="H454" s="8" t="str">
        <f>IF(OR(D454&lt;outliers!$B$21,D454&gt;outliers!$B$20),"Outlier","Normal")</f>
        <v>Normal</v>
      </c>
      <c r="I454" s="8" t="str">
        <f>IF(OR(E454&lt;outliers!$C$28,E454&gt;outliers!$B$27),"Outlier","Normal")</f>
        <v>Outlier</v>
      </c>
      <c r="J454" s="8">
        <f t="shared" si="14"/>
        <v>2019</v>
      </c>
      <c r="K454">
        <f t="shared" si="15"/>
        <v>8</v>
      </c>
    </row>
    <row r="455" spans="1:11" x14ac:dyDescent="0.35">
      <c r="A455" s="13">
        <v>43691</v>
      </c>
      <c r="B455" s="8">
        <v>22.8</v>
      </c>
      <c r="C455" s="8">
        <v>20.7</v>
      </c>
      <c r="D455" s="8">
        <v>27.4</v>
      </c>
      <c r="E455" s="8">
        <v>0.3</v>
      </c>
      <c r="F455" s="8" t="str">
        <f>IF(OR(B455&lt;outliers!$B$7,B455&gt;outliers!$B$6),"Outlier","Normal")</f>
        <v>Normal</v>
      </c>
      <c r="G455" s="8" t="str">
        <f>IF(OR(C455&lt;outliers!$B$14,C455&gt;outliers!$B$13),"Outlier","Normal")</f>
        <v>Normal</v>
      </c>
      <c r="H455" s="8" t="str">
        <f>IF(OR(D455&lt;outliers!$B$21,D455&gt;outliers!$B$20),"Outlier","Normal")</f>
        <v>Normal</v>
      </c>
      <c r="I455" s="8" t="str">
        <f>IF(OR(E455&lt;outliers!$C$28,E455&gt;outliers!$B$27),"Outlier","Normal")</f>
        <v>Normal</v>
      </c>
      <c r="J455" s="8">
        <f t="shared" si="14"/>
        <v>2019</v>
      </c>
      <c r="K455">
        <f t="shared" si="15"/>
        <v>8</v>
      </c>
    </row>
    <row r="456" spans="1:11" x14ac:dyDescent="0.35">
      <c r="A456" s="13">
        <v>43692</v>
      </c>
      <c r="B456" s="8">
        <v>23.2</v>
      </c>
      <c r="C456" s="8">
        <v>20.5</v>
      </c>
      <c r="D456" s="8">
        <v>28.4</v>
      </c>
      <c r="E456" s="8">
        <v>9.1</v>
      </c>
      <c r="F456" s="8" t="str">
        <f>IF(OR(B456&lt;outliers!$B$7,B456&gt;outliers!$B$6),"Outlier","Normal")</f>
        <v>Normal</v>
      </c>
      <c r="G456" s="8" t="str">
        <f>IF(OR(C456&lt;outliers!$B$14,C456&gt;outliers!$B$13),"Outlier","Normal")</f>
        <v>Normal</v>
      </c>
      <c r="H456" s="8" t="str">
        <f>IF(OR(D456&lt;outliers!$B$21,D456&gt;outliers!$B$20),"Outlier","Normal")</f>
        <v>Normal</v>
      </c>
      <c r="I456" s="8" t="str">
        <f>IF(OR(E456&lt;outliers!$C$28,E456&gt;outliers!$B$27),"Outlier","Normal")</f>
        <v>Normal</v>
      </c>
      <c r="J456" s="8">
        <f t="shared" si="14"/>
        <v>2019</v>
      </c>
      <c r="K456">
        <f t="shared" si="15"/>
        <v>8</v>
      </c>
    </row>
    <row r="457" spans="1:11" x14ac:dyDescent="0.35">
      <c r="A457" s="13">
        <v>43693</v>
      </c>
      <c r="B457" s="8">
        <v>23.1</v>
      </c>
      <c r="C457" s="8">
        <v>20.8</v>
      </c>
      <c r="D457" s="8">
        <v>29.2</v>
      </c>
      <c r="E457" s="8">
        <v>0</v>
      </c>
      <c r="F457" s="8" t="str">
        <f>IF(OR(B457&lt;outliers!$B$7,B457&gt;outliers!$B$6),"Outlier","Normal")</f>
        <v>Normal</v>
      </c>
      <c r="G457" s="8" t="str">
        <f>IF(OR(C457&lt;outliers!$B$14,C457&gt;outliers!$B$13),"Outlier","Normal")</f>
        <v>Normal</v>
      </c>
      <c r="H457" s="8" t="str">
        <f>IF(OR(D457&lt;outliers!$B$21,D457&gt;outliers!$B$20),"Outlier","Normal")</f>
        <v>Normal</v>
      </c>
      <c r="I457" s="8" t="str">
        <f>IF(OR(E457&lt;outliers!$C$28,E457&gt;outliers!$B$27),"Outlier","Normal")</f>
        <v>Normal</v>
      </c>
      <c r="J457" s="8">
        <f t="shared" si="14"/>
        <v>2019</v>
      </c>
      <c r="K457">
        <f t="shared" si="15"/>
        <v>8</v>
      </c>
    </row>
    <row r="458" spans="1:11" x14ac:dyDescent="0.35">
      <c r="A458" s="13">
        <v>43694</v>
      </c>
      <c r="B458" s="8">
        <v>22.2</v>
      </c>
      <c r="C458" s="8">
        <v>20</v>
      </c>
      <c r="D458" s="8">
        <v>28.6</v>
      </c>
      <c r="E458" s="8">
        <v>3</v>
      </c>
      <c r="F458" s="8" t="str">
        <f>IF(OR(B458&lt;outliers!$B$7,B458&gt;outliers!$B$6),"Outlier","Normal")</f>
        <v>Normal</v>
      </c>
      <c r="G458" s="8" t="str">
        <f>IF(OR(C458&lt;outliers!$B$14,C458&gt;outliers!$B$13),"Outlier","Normal")</f>
        <v>Normal</v>
      </c>
      <c r="H458" s="8" t="str">
        <f>IF(OR(D458&lt;outliers!$B$21,D458&gt;outliers!$B$20),"Outlier","Normal")</f>
        <v>Normal</v>
      </c>
      <c r="I458" s="8" t="str">
        <f>IF(OR(E458&lt;outliers!$C$28,E458&gt;outliers!$B$27),"Outlier","Normal")</f>
        <v>Normal</v>
      </c>
      <c r="J458" s="8">
        <f t="shared" si="14"/>
        <v>2019</v>
      </c>
      <c r="K458">
        <f t="shared" si="15"/>
        <v>8</v>
      </c>
    </row>
    <row r="459" spans="1:11" hidden="1" x14ac:dyDescent="0.35">
      <c r="A459" s="13">
        <v>43695</v>
      </c>
      <c r="B459" s="8">
        <v>21.7</v>
      </c>
      <c r="C459" s="8">
        <v>20.6</v>
      </c>
      <c r="D459" s="8">
        <v>24.8</v>
      </c>
      <c r="E459" s="8">
        <v>24.1</v>
      </c>
      <c r="F459" s="8" t="str">
        <f>IF(OR(B459&lt;outliers!$B$7,B459&gt;outliers!$B$6),"Outlier","Normal")</f>
        <v>Normal</v>
      </c>
      <c r="G459" s="8" t="str">
        <f>IF(OR(C459&lt;outliers!$B$14,C459&gt;outliers!$B$13),"Outlier","Normal")</f>
        <v>Normal</v>
      </c>
      <c r="H459" s="8" t="str">
        <f>IF(OR(D459&lt;outliers!$B$21,D459&gt;outliers!$B$20),"Outlier","Normal")</f>
        <v>Normal</v>
      </c>
      <c r="I459" s="8" t="str">
        <f>IF(OR(E459&lt;outliers!$C$28,E459&gt;outliers!$B$27),"Outlier","Normal")</f>
        <v>Outlier</v>
      </c>
      <c r="J459" s="8">
        <f t="shared" si="14"/>
        <v>2019</v>
      </c>
      <c r="K459">
        <f t="shared" si="15"/>
        <v>8</v>
      </c>
    </row>
    <row r="460" spans="1:11" hidden="1" x14ac:dyDescent="0.35">
      <c r="A460" s="13">
        <v>43696</v>
      </c>
      <c r="B460" s="8">
        <v>23.5</v>
      </c>
      <c r="C460" s="8">
        <v>20.3</v>
      </c>
      <c r="D460" s="8">
        <v>28.8</v>
      </c>
      <c r="E460" s="8">
        <v>11.7</v>
      </c>
      <c r="F460" s="8" t="str">
        <f>IF(OR(B460&lt;outliers!$B$7,B460&gt;outliers!$B$6),"Outlier","Normal")</f>
        <v>Normal</v>
      </c>
      <c r="G460" s="8" t="str">
        <f>IF(OR(C460&lt;outliers!$B$14,C460&gt;outliers!$B$13),"Outlier","Normal")</f>
        <v>Normal</v>
      </c>
      <c r="H460" s="8" t="str">
        <f>IF(OR(D460&lt;outliers!$B$21,D460&gt;outliers!$B$20),"Outlier","Normal")</f>
        <v>Normal</v>
      </c>
      <c r="I460" s="8" t="str">
        <f>IF(OR(E460&lt;outliers!$C$28,E460&gt;outliers!$B$27),"Outlier","Normal")</f>
        <v>Outlier</v>
      </c>
      <c r="J460" s="8">
        <f t="shared" si="14"/>
        <v>2019</v>
      </c>
      <c r="K460">
        <f t="shared" si="15"/>
        <v>8</v>
      </c>
    </row>
    <row r="461" spans="1:11" hidden="1" x14ac:dyDescent="0.35">
      <c r="A461" s="13">
        <v>43697</v>
      </c>
      <c r="B461" s="8">
        <v>22.8</v>
      </c>
      <c r="C461" s="8">
        <v>20.100000000000001</v>
      </c>
      <c r="D461" s="8">
        <v>29</v>
      </c>
      <c r="E461" s="8">
        <v>17.5</v>
      </c>
      <c r="F461" s="8" t="str">
        <f>IF(OR(B461&lt;outliers!$B$7,B461&gt;outliers!$B$6),"Outlier","Normal")</f>
        <v>Normal</v>
      </c>
      <c r="G461" s="8" t="str">
        <f>IF(OR(C461&lt;outliers!$B$14,C461&gt;outliers!$B$13),"Outlier","Normal")</f>
        <v>Normal</v>
      </c>
      <c r="H461" s="8" t="str">
        <f>IF(OR(D461&lt;outliers!$B$21,D461&gt;outliers!$B$20),"Outlier","Normal")</f>
        <v>Normal</v>
      </c>
      <c r="I461" s="8" t="str">
        <f>IF(OR(E461&lt;outliers!$C$28,E461&gt;outliers!$B$27),"Outlier","Normal")</f>
        <v>Outlier</v>
      </c>
      <c r="J461" s="8">
        <f t="shared" si="14"/>
        <v>2019</v>
      </c>
      <c r="K461">
        <f t="shared" si="15"/>
        <v>8</v>
      </c>
    </row>
    <row r="462" spans="1:11" hidden="1" x14ac:dyDescent="0.35">
      <c r="A462" s="13">
        <v>43698</v>
      </c>
      <c r="B462" s="8">
        <v>23.2</v>
      </c>
      <c r="C462" s="8">
        <v>20.8</v>
      </c>
      <c r="D462" s="8">
        <v>27.4</v>
      </c>
      <c r="E462" s="8">
        <v>16.5</v>
      </c>
      <c r="F462" s="8" t="str">
        <f>IF(OR(B462&lt;outliers!$B$7,B462&gt;outliers!$B$6),"Outlier","Normal")</f>
        <v>Normal</v>
      </c>
      <c r="G462" s="8" t="str">
        <f>IF(OR(C462&lt;outliers!$B$14,C462&gt;outliers!$B$13),"Outlier","Normal")</f>
        <v>Normal</v>
      </c>
      <c r="H462" s="8" t="str">
        <f>IF(OR(D462&lt;outliers!$B$21,D462&gt;outliers!$B$20),"Outlier","Normal")</f>
        <v>Normal</v>
      </c>
      <c r="I462" s="8" t="str">
        <f>IF(OR(E462&lt;outliers!$C$28,E462&gt;outliers!$B$27),"Outlier","Normal")</f>
        <v>Outlier</v>
      </c>
      <c r="J462" s="8">
        <f t="shared" si="14"/>
        <v>2019</v>
      </c>
      <c r="K462">
        <f t="shared" si="15"/>
        <v>8</v>
      </c>
    </row>
    <row r="463" spans="1:11" x14ac:dyDescent="0.35">
      <c r="A463" s="13">
        <v>43699</v>
      </c>
      <c r="B463" s="8">
        <v>22.7</v>
      </c>
      <c r="C463" s="8">
        <v>20.8</v>
      </c>
      <c r="D463" s="8">
        <v>27.3</v>
      </c>
      <c r="E463" s="8">
        <v>0</v>
      </c>
      <c r="F463" s="8" t="str">
        <f>IF(OR(B463&lt;outliers!$B$7,B463&gt;outliers!$B$6),"Outlier","Normal")</f>
        <v>Normal</v>
      </c>
      <c r="G463" s="8" t="str">
        <f>IF(OR(C463&lt;outliers!$B$14,C463&gt;outliers!$B$13),"Outlier","Normal")</f>
        <v>Normal</v>
      </c>
      <c r="H463" s="8" t="str">
        <f>IF(OR(D463&lt;outliers!$B$21,D463&gt;outliers!$B$20),"Outlier","Normal")</f>
        <v>Normal</v>
      </c>
      <c r="I463" s="8" t="str">
        <f>IF(OR(E463&lt;outliers!$C$28,E463&gt;outliers!$B$27),"Outlier","Normal")</f>
        <v>Normal</v>
      </c>
      <c r="J463" s="8">
        <f t="shared" si="14"/>
        <v>2019</v>
      </c>
      <c r="K463">
        <f t="shared" si="15"/>
        <v>8</v>
      </c>
    </row>
    <row r="464" spans="1:11" x14ac:dyDescent="0.35">
      <c r="A464" s="13">
        <v>43700</v>
      </c>
      <c r="B464" s="8">
        <v>22.7</v>
      </c>
      <c r="C464" s="8">
        <v>20.3</v>
      </c>
      <c r="D464" s="8">
        <v>27.5</v>
      </c>
      <c r="E464" s="8">
        <v>5.3</v>
      </c>
      <c r="F464" s="8" t="str">
        <f>IF(OR(B464&lt;outliers!$B$7,B464&gt;outliers!$B$6),"Outlier","Normal")</f>
        <v>Normal</v>
      </c>
      <c r="G464" s="8" t="str">
        <f>IF(OR(C464&lt;outliers!$B$14,C464&gt;outliers!$B$13),"Outlier","Normal")</f>
        <v>Normal</v>
      </c>
      <c r="H464" s="8" t="str">
        <f>IF(OR(D464&lt;outliers!$B$21,D464&gt;outliers!$B$20),"Outlier","Normal")</f>
        <v>Normal</v>
      </c>
      <c r="I464" s="8" t="str">
        <f>IF(OR(E464&lt;outliers!$C$28,E464&gt;outliers!$B$27),"Outlier","Normal")</f>
        <v>Normal</v>
      </c>
      <c r="J464" s="8">
        <f t="shared" si="14"/>
        <v>2019</v>
      </c>
      <c r="K464">
        <f t="shared" si="15"/>
        <v>8</v>
      </c>
    </row>
    <row r="465" spans="1:11" x14ac:dyDescent="0.35">
      <c r="A465" s="13">
        <v>43701</v>
      </c>
      <c r="B465" s="8">
        <v>22.7</v>
      </c>
      <c r="C465" s="8">
        <v>20</v>
      </c>
      <c r="D465" s="8">
        <v>27.6</v>
      </c>
      <c r="E465" s="8">
        <v>1.5</v>
      </c>
      <c r="F465" s="8" t="str">
        <f>IF(OR(B465&lt;outliers!$B$7,B465&gt;outliers!$B$6),"Outlier","Normal")</f>
        <v>Normal</v>
      </c>
      <c r="G465" s="8" t="str">
        <f>IF(OR(C465&lt;outliers!$B$14,C465&gt;outliers!$B$13),"Outlier","Normal")</f>
        <v>Normal</v>
      </c>
      <c r="H465" s="8" t="str">
        <f>IF(OR(D465&lt;outliers!$B$21,D465&gt;outliers!$B$20),"Outlier","Normal")</f>
        <v>Normal</v>
      </c>
      <c r="I465" s="8" t="str">
        <f>IF(OR(E465&lt;outliers!$C$28,E465&gt;outliers!$B$27),"Outlier","Normal")</f>
        <v>Normal</v>
      </c>
      <c r="J465" s="8">
        <f t="shared" si="14"/>
        <v>2019</v>
      </c>
      <c r="K465">
        <f t="shared" si="15"/>
        <v>8</v>
      </c>
    </row>
    <row r="466" spans="1:11" x14ac:dyDescent="0.35">
      <c r="A466" s="13">
        <v>43702</v>
      </c>
      <c r="B466" s="8">
        <v>23</v>
      </c>
      <c r="C466" s="8">
        <v>20</v>
      </c>
      <c r="D466" s="8">
        <v>28.4</v>
      </c>
      <c r="E466" s="8">
        <v>0</v>
      </c>
      <c r="F466" s="8" t="str">
        <f>IF(OR(B466&lt;outliers!$B$7,B466&gt;outliers!$B$6),"Outlier","Normal")</f>
        <v>Normal</v>
      </c>
      <c r="G466" s="8" t="str">
        <f>IF(OR(C466&lt;outliers!$B$14,C466&gt;outliers!$B$13),"Outlier","Normal")</f>
        <v>Normal</v>
      </c>
      <c r="H466" s="8" t="str">
        <f>IF(OR(D466&lt;outliers!$B$21,D466&gt;outliers!$B$20),"Outlier","Normal")</f>
        <v>Normal</v>
      </c>
      <c r="I466" s="8" t="str">
        <f>IF(OR(E466&lt;outliers!$C$28,E466&gt;outliers!$B$27),"Outlier","Normal")</f>
        <v>Normal</v>
      </c>
      <c r="J466" s="8">
        <f t="shared" si="14"/>
        <v>2019</v>
      </c>
      <c r="K466">
        <f t="shared" si="15"/>
        <v>8</v>
      </c>
    </row>
    <row r="467" spans="1:11" x14ac:dyDescent="0.35">
      <c r="A467" s="13">
        <v>43703</v>
      </c>
      <c r="B467" s="8">
        <v>23</v>
      </c>
      <c r="C467" s="8">
        <v>20</v>
      </c>
      <c r="D467" s="8">
        <v>28.3</v>
      </c>
      <c r="E467" s="8">
        <v>0</v>
      </c>
      <c r="F467" s="8" t="str">
        <f>IF(OR(B467&lt;outliers!$B$7,B467&gt;outliers!$B$6),"Outlier","Normal")</f>
        <v>Normal</v>
      </c>
      <c r="G467" s="8" t="str">
        <f>IF(OR(C467&lt;outliers!$B$14,C467&gt;outliers!$B$13),"Outlier","Normal")</f>
        <v>Normal</v>
      </c>
      <c r="H467" s="8" t="str">
        <f>IF(OR(D467&lt;outliers!$B$21,D467&gt;outliers!$B$20),"Outlier","Normal")</f>
        <v>Normal</v>
      </c>
      <c r="I467" s="8" t="str">
        <f>IF(OR(E467&lt;outliers!$C$28,E467&gt;outliers!$B$27),"Outlier","Normal")</f>
        <v>Normal</v>
      </c>
      <c r="J467" s="8">
        <f t="shared" si="14"/>
        <v>2019</v>
      </c>
      <c r="K467">
        <f t="shared" si="15"/>
        <v>8</v>
      </c>
    </row>
    <row r="468" spans="1:11" x14ac:dyDescent="0.35">
      <c r="A468" s="13">
        <v>43704</v>
      </c>
      <c r="B468" s="8">
        <v>23.9</v>
      </c>
      <c r="C468" s="8">
        <v>20.399999999999999</v>
      </c>
      <c r="D468" s="8">
        <v>29.4</v>
      </c>
      <c r="E468" s="8">
        <v>0.3</v>
      </c>
      <c r="F468" s="8" t="str">
        <f>IF(OR(B468&lt;outliers!$B$7,B468&gt;outliers!$B$6),"Outlier","Normal")</f>
        <v>Normal</v>
      </c>
      <c r="G468" s="8" t="str">
        <f>IF(OR(C468&lt;outliers!$B$14,C468&gt;outliers!$B$13),"Outlier","Normal")</f>
        <v>Normal</v>
      </c>
      <c r="H468" s="8" t="str">
        <f>IF(OR(D468&lt;outliers!$B$21,D468&gt;outliers!$B$20),"Outlier","Normal")</f>
        <v>Normal</v>
      </c>
      <c r="I468" s="8" t="str">
        <f>IF(OR(E468&lt;outliers!$C$28,E468&gt;outliers!$B$27),"Outlier","Normal")</f>
        <v>Normal</v>
      </c>
      <c r="J468" s="8">
        <f t="shared" si="14"/>
        <v>2019</v>
      </c>
      <c r="K468">
        <f t="shared" si="15"/>
        <v>8</v>
      </c>
    </row>
    <row r="469" spans="1:11" x14ac:dyDescent="0.35">
      <c r="A469" s="13">
        <v>43705</v>
      </c>
      <c r="B469" s="8">
        <v>23.7</v>
      </c>
      <c r="C469" s="8">
        <v>20</v>
      </c>
      <c r="D469" s="8">
        <v>29</v>
      </c>
      <c r="E469" s="8">
        <v>0</v>
      </c>
      <c r="F469" s="8" t="str">
        <f>IF(OR(B469&lt;outliers!$B$7,B469&gt;outliers!$B$6),"Outlier","Normal")</f>
        <v>Normal</v>
      </c>
      <c r="G469" s="8" t="str">
        <f>IF(OR(C469&lt;outliers!$B$14,C469&gt;outliers!$B$13),"Outlier","Normal")</f>
        <v>Normal</v>
      </c>
      <c r="H469" s="8" t="str">
        <f>IF(OR(D469&lt;outliers!$B$21,D469&gt;outliers!$B$20),"Outlier","Normal")</f>
        <v>Normal</v>
      </c>
      <c r="I469" s="8" t="str">
        <f>IF(OR(E469&lt;outliers!$C$28,E469&gt;outliers!$B$27),"Outlier","Normal")</f>
        <v>Normal</v>
      </c>
      <c r="J469" s="8">
        <f t="shared" si="14"/>
        <v>2019</v>
      </c>
      <c r="K469">
        <f t="shared" si="15"/>
        <v>8</v>
      </c>
    </row>
    <row r="470" spans="1:11" x14ac:dyDescent="0.35">
      <c r="A470" s="13">
        <v>43706</v>
      </c>
      <c r="B470" s="8">
        <v>24.1</v>
      </c>
      <c r="C470" s="8">
        <v>20.6</v>
      </c>
      <c r="D470" s="8">
        <v>29.3</v>
      </c>
      <c r="E470" s="8">
        <v>0</v>
      </c>
      <c r="F470" s="8" t="str">
        <f>IF(OR(B470&lt;outliers!$B$7,B470&gt;outliers!$B$6),"Outlier","Normal")</f>
        <v>Normal</v>
      </c>
      <c r="G470" s="8" t="str">
        <f>IF(OR(C470&lt;outliers!$B$14,C470&gt;outliers!$B$13),"Outlier","Normal")</f>
        <v>Normal</v>
      </c>
      <c r="H470" s="8" t="str">
        <f>IF(OR(D470&lt;outliers!$B$21,D470&gt;outliers!$B$20),"Outlier","Normal")</f>
        <v>Normal</v>
      </c>
      <c r="I470" s="8" t="str">
        <f>IF(OR(E470&lt;outliers!$C$28,E470&gt;outliers!$B$27),"Outlier","Normal")</f>
        <v>Normal</v>
      </c>
      <c r="J470" s="8">
        <f t="shared" si="14"/>
        <v>2019</v>
      </c>
      <c r="K470">
        <f t="shared" si="15"/>
        <v>8</v>
      </c>
    </row>
    <row r="471" spans="1:11" x14ac:dyDescent="0.35">
      <c r="A471" s="13">
        <v>43707</v>
      </c>
      <c r="B471" s="8">
        <v>24.3</v>
      </c>
      <c r="C471" s="8">
        <v>20.6</v>
      </c>
      <c r="D471" s="8">
        <v>29</v>
      </c>
      <c r="E471" s="8">
        <v>0</v>
      </c>
      <c r="F471" s="8" t="str">
        <f>IF(OR(B471&lt;outliers!$B$7,B471&gt;outliers!$B$6),"Outlier","Normal")</f>
        <v>Normal</v>
      </c>
      <c r="G471" s="8" t="str">
        <f>IF(OR(C471&lt;outliers!$B$14,C471&gt;outliers!$B$13),"Outlier","Normal")</f>
        <v>Normal</v>
      </c>
      <c r="H471" s="8" t="str">
        <f>IF(OR(D471&lt;outliers!$B$21,D471&gt;outliers!$B$20),"Outlier","Normal")</f>
        <v>Normal</v>
      </c>
      <c r="I471" s="8" t="str">
        <f>IF(OR(E471&lt;outliers!$C$28,E471&gt;outliers!$B$27),"Outlier","Normal")</f>
        <v>Normal</v>
      </c>
      <c r="J471" s="8">
        <f t="shared" si="14"/>
        <v>2019</v>
      </c>
      <c r="K471">
        <f t="shared" si="15"/>
        <v>8</v>
      </c>
    </row>
    <row r="472" spans="1:11" x14ac:dyDescent="0.35">
      <c r="A472" s="13">
        <v>43708</v>
      </c>
      <c r="B472" s="8">
        <v>23</v>
      </c>
      <c r="C472" s="8">
        <v>20.399999999999999</v>
      </c>
      <c r="D472" s="8">
        <v>28.7</v>
      </c>
      <c r="E472" s="8">
        <v>0</v>
      </c>
      <c r="F472" s="8" t="str">
        <f>IF(OR(B472&lt;outliers!$B$7,B472&gt;outliers!$B$6),"Outlier","Normal")</f>
        <v>Normal</v>
      </c>
      <c r="G472" s="8" t="str">
        <f>IF(OR(C472&lt;outliers!$B$14,C472&gt;outliers!$B$13),"Outlier","Normal")</f>
        <v>Normal</v>
      </c>
      <c r="H472" s="8" t="str">
        <f>IF(OR(D472&lt;outliers!$B$21,D472&gt;outliers!$B$20),"Outlier","Normal")</f>
        <v>Normal</v>
      </c>
      <c r="I472" s="8" t="str">
        <f>IF(OR(E472&lt;outliers!$C$28,E472&gt;outliers!$B$27),"Outlier","Normal")</f>
        <v>Normal</v>
      </c>
      <c r="J472" s="8">
        <f t="shared" si="14"/>
        <v>2019</v>
      </c>
      <c r="K472">
        <f t="shared" si="15"/>
        <v>8</v>
      </c>
    </row>
    <row r="473" spans="1:11" x14ac:dyDescent="0.35">
      <c r="A473" s="13">
        <v>43709</v>
      </c>
      <c r="B473" s="8">
        <v>23</v>
      </c>
      <c r="C473" s="8">
        <v>20.100000000000001</v>
      </c>
      <c r="D473" s="8">
        <v>26.4</v>
      </c>
      <c r="E473" s="8">
        <v>0</v>
      </c>
      <c r="F473" s="8" t="str">
        <f>IF(OR(B473&lt;outliers!$B$7,B473&gt;outliers!$B$6),"Outlier","Normal")</f>
        <v>Normal</v>
      </c>
      <c r="G473" s="8" t="str">
        <f>IF(OR(C473&lt;outliers!$B$14,C473&gt;outliers!$B$13),"Outlier","Normal")</f>
        <v>Normal</v>
      </c>
      <c r="H473" s="8" t="str">
        <f>IF(OR(D473&lt;outliers!$B$21,D473&gt;outliers!$B$20),"Outlier","Normal")</f>
        <v>Normal</v>
      </c>
      <c r="I473" s="8" t="str">
        <f>IF(OR(E473&lt;outliers!$C$28,E473&gt;outliers!$B$27),"Outlier","Normal")</f>
        <v>Normal</v>
      </c>
      <c r="J473" s="8">
        <f t="shared" si="14"/>
        <v>2019</v>
      </c>
      <c r="K473">
        <f t="shared" si="15"/>
        <v>9</v>
      </c>
    </row>
    <row r="474" spans="1:11" x14ac:dyDescent="0.35">
      <c r="A474" s="13">
        <v>43710</v>
      </c>
      <c r="B474" s="8">
        <v>22.3</v>
      </c>
      <c r="C474" s="8">
        <v>20.3</v>
      </c>
      <c r="D474" s="8">
        <v>26.8</v>
      </c>
      <c r="E474" s="8">
        <v>0.5</v>
      </c>
      <c r="F474" s="8" t="str">
        <f>IF(OR(B474&lt;outliers!$B$7,B474&gt;outliers!$B$6),"Outlier","Normal")</f>
        <v>Normal</v>
      </c>
      <c r="G474" s="8" t="str">
        <f>IF(OR(C474&lt;outliers!$B$14,C474&gt;outliers!$B$13),"Outlier","Normal")</f>
        <v>Normal</v>
      </c>
      <c r="H474" s="8" t="str">
        <f>IF(OR(D474&lt;outliers!$B$21,D474&gt;outliers!$B$20),"Outlier","Normal")</f>
        <v>Normal</v>
      </c>
      <c r="I474" s="8" t="str">
        <f>IF(OR(E474&lt;outliers!$C$28,E474&gt;outliers!$B$27),"Outlier","Normal")</f>
        <v>Normal</v>
      </c>
      <c r="J474" s="8">
        <f t="shared" si="14"/>
        <v>2019</v>
      </c>
      <c r="K474">
        <f t="shared" si="15"/>
        <v>9</v>
      </c>
    </row>
    <row r="475" spans="1:11" hidden="1" x14ac:dyDescent="0.35">
      <c r="A475" s="13">
        <v>43711</v>
      </c>
      <c r="B475" s="8">
        <v>22.2</v>
      </c>
      <c r="C475" s="8">
        <v>20.100000000000001</v>
      </c>
      <c r="D475" s="8">
        <v>26.4</v>
      </c>
      <c r="E475" s="8">
        <v>13</v>
      </c>
      <c r="F475" s="8" t="str">
        <f>IF(OR(B475&lt;outliers!$B$7,B475&gt;outliers!$B$6),"Outlier","Normal")</f>
        <v>Normal</v>
      </c>
      <c r="G475" s="8" t="str">
        <f>IF(OR(C475&lt;outliers!$B$14,C475&gt;outliers!$B$13),"Outlier","Normal")</f>
        <v>Normal</v>
      </c>
      <c r="H475" s="8" t="str">
        <f>IF(OR(D475&lt;outliers!$B$21,D475&gt;outliers!$B$20),"Outlier","Normal")</f>
        <v>Normal</v>
      </c>
      <c r="I475" s="8" t="str">
        <f>IF(OR(E475&lt;outliers!$C$28,E475&gt;outliers!$B$27),"Outlier","Normal")</f>
        <v>Outlier</v>
      </c>
      <c r="J475" s="8">
        <f t="shared" si="14"/>
        <v>2019</v>
      </c>
      <c r="K475">
        <f t="shared" si="15"/>
        <v>9</v>
      </c>
    </row>
    <row r="476" spans="1:11" x14ac:dyDescent="0.35">
      <c r="A476" s="13">
        <v>43712</v>
      </c>
      <c r="B476" s="8">
        <v>22.2</v>
      </c>
      <c r="C476" s="8">
        <v>20.3</v>
      </c>
      <c r="D476" s="8">
        <v>26.4</v>
      </c>
      <c r="E476" s="8">
        <v>4.5999999999999996</v>
      </c>
      <c r="F476" s="8" t="str">
        <f>IF(OR(B476&lt;outliers!$B$7,B476&gt;outliers!$B$6),"Outlier","Normal")</f>
        <v>Normal</v>
      </c>
      <c r="G476" s="8" t="str">
        <f>IF(OR(C476&lt;outliers!$B$14,C476&gt;outliers!$B$13),"Outlier","Normal")</f>
        <v>Normal</v>
      </c>
      <c r="H476" s="8" t="str">
        <f>IF(OR(D476&lt;outliers!$B$21,D476&gt;outliers!$B$20),"Outlier","Normal")</f>
        <v>Normal</v>
      </c>
      <c r="I476" s="8" t="str">
        <f>IF(OR(E476&lt;outliers!$C$28,E476&gt;outliers!$B$27),"Outlier","Normal")</f>
        <v>Normal</v>
      </c>
      <c r="J476" s="8">
        <f t="shared" si="14"/>
        <v>2019</v>
      </c>
      <c r="K476">
        <f t="shared" si="15"/>
        <v>9</v>
      </c>
    </row>
    <row r="477" spans="1:11" x14ac:dyDescent="0.35">
      <c r="A477" s="13">
        <v>43713</v>
      </c>
      <c r="B477" s="8">
        <v>22.6</v>
      </c>
      <c r="C477" s="8">
        <v>20.399999999999999</v>
      </c>
      <c r="D477" s="8">
        <v>27.8</v>
      </c>
      <c r="E477" s="8">
        <v>0</v>
      </c>
      <c r="F477" s="8" t="str">
        <f>IF(OR(B477&lt;outliers!$B$7,B477&gt;outliers!$B$6),"Outlier","Normal")</f>
        <v>Normal</v>
      </c>
      <c r="G477" s="8" t="str">
        <f>IF(OR(C477&lt;outliers!$B$14,C477&gt;outliers!$B$13),"Outlier","Normal")</f>
        <v>Normal</v>
      </c>
      <c r="H477" s="8" t="str">
        <f>IF(OR(D477&lt;outliers!$B$21,D477&gt;outliers!$B$20),"Outlier","Normal")</f>
        <v>Normal</v>
      </c>
      <c r="I477" s="8" t="str">
        <f>IF(OR(E477&lt;outliers!$C$28,E477&gt;outliers!$B$27),"Outlier","Normal")</f>
        <v>Normal</v>
      </c>
      <c r="J477" s="8">
        <f t="shared" si="14"/>
        <v>2019</v>
      </c>
      <c r="K477">
        <f t="shared" si="15"/>
        <v>9</v>
      </c>
    </row>
    <row r="478" spans="1:11" x14ac:dyDescent="0.35">
      <c r="A478" s="13">
        <v>43714</v>
      </c>
      <c r="B478" s="8">
        <v>22.8</v>
      </c>
      <c r="C478" s="8">
        <v>20.399999999999999</v>
      </c>
      <c r="D478" s="8">
        <v>27.4</v>
      </c>
      <c r="E478" s="8">
        <v>0.5</v>
      </c>
      <c r="F478" s="8" t="str">
        <f>IF(OR(B478&lt;outliers!$B$7,B478&gt;outliers!$B$6),"Outlier","Normal")</f>
        <v>Normal</v>
      </c>
      <c r="G478" s="8" t="str">
        <f>IF(OR(C478&lt;outliers!$B$14,C478&gt;outliers!$B$13),"Outlier","Normal")</f>
        <v>Normal</v>
      </c>
      <c r="H478" s="8" t="str">
        <f>IF(OR(D478&lt;outliers!$B$21,D478&gt;outliers!$B$20),"Outlier","Normal")</f>
        <v>Normal</v>
      </c>
      <c r="I478" s="8" t="str">
        <f>IF(OR(E478&lt;outliers!$C$28,E478&gt;outliers!$B$27),"Outlier","Normal")</f>
        <v>Normal</v>
      </c>
      <c r="J478" s="8">
        <f t="shared" si="14"/>
        <v>2019</v>
      </c>
      <c r="K478">
        <f t="shared" si="15"/>
        <v>9</v>
      </c>
    </row>
    <row r="479" spans="1:11" x14ac:dyDescent="0.35">
      <c r="A479" s="13">
        <v>43715</v>
      </c>
      <c r="B479" s="8">
        <v>23.2</v>
      </c>
      <c r="C479" s="8">
        <v>20.399999999999999</v>
      </c>
      <c r="D479" s="8">
        <v>27.3</v>
      </c>
      <c r="E479" s="8">
        <v>2.2999999999999998</v>
      </c>
      <c r="F479" s="8" t="str">
        <f>IF(OR(B479&lt;outliers!$B$7,B479&gt;outliers!$B$6),"Outlier","Normal")</f>
        <v>Normal</v>
      </c>
      <c r="G479" s="8" t="str">
        <f>IF(OR(C479&lt;outliers!$B$14,C479&gt;outliers!$B$13),"Outlier","Normal")</f>
        <v>Normal</v>
      </c>
      <c r="H479" s="8" t="str">
        <f>IF(OR(D479&lt;outliers!$B$21,D479&gt;outliers!$B$20),"Outlier","Normal")</f>
        <v>Normal</v>
      </c>
      <c r="I479" s="8" t="str">
        <f>IF(OR(E479&lt;outliers!$C$28,E479&gt;outliers!$B$27),"Outlier","Normal")</f>
        <v>Normal</v>
      </c>
      <c r="J479" s="8">
        <f t="shared" si="14"/>
        <v>2019</v>
      </c>
      <c r="K479">
        <f t="shared" si="15"/>
        <v>9</v>
      </c>
    </row>
    <row r="480" spans="1:11" x14ac:dyDescent="0.35">
      <c r="A480" s="13">
        <v>43716</v>
      </c>
      <c r="B480" s="8">
        <v>23.6</v>
      </c>
      <c r="C480" s="8">
        <v>20.8</v>
      </c>
      <c r="D480" s="8">
        <v>27.8</v>
      </c>
      <c r="E480" s="8">
        <v>0.3</v>
      </c>
      <c r="F480" s="8" t="str">
        <f>IF(OR(B480&lt;outliers!$B$7,B480&gt;outliers!$B$6),"Outlier","Normal")</f>
        <v>Normal</v>
      </c>
      <c r="G480" s="8" t="str">
        <f>IF(OR(C480&lt;outliers!$B$14,C480&gt;outliers!$B$13),"Outlier","Normal")</f>
        <v>Normal</v>
      </c>
      <c r="H480" s="8" t="str">
        <f>IF(OR(D480&lt;outliers!$B$21,D480&gt;outliers!$B$20),"Outlier","Normal")</f>
        <v>Normal</v>
      </c>
      <c r="I480" s="8" t="str">
        <f>IF(OR(E480&lt;outliers!$C$28,E480&gt;outliers!$B$27),"Outlier","Normal")</f>
        <v>Normal</v>
      </c>
      <c r="J480" s="8">
        <f t="shared" si="14"/>
        <v>2019</v>
      </c>
      <c r="K480">
        <f t="shared" si="15"/>
        <v>9</v>
      </c>
    </row>
    <row r="481" spans="1:11" x14ac:dyDescent="0.35">
      <c r="A481" s="13">
        <v>43717</v>
      </c>
      <c r="B481" s="8">
        <v>24.1</v>
      </c>
      <c r="C481" s="8">
        <v>21</v>
      </c>
      <c r="D481" s="8">
        <v>27.5</v>
      </c>
      <c r="E481" s="8">
        <v>0.3</v>
      </c>
      <c r="F481" s="8" t="str">
        <f>IF(OR(B481&lt;outliers!$B$7,B481&gt;outliers!$B$6),"Outlier","Normal")</f>
        <v>Normal</v>
      </c>
      <c r="G481" s="8" t="str">
        <f>IF(OR(C481&lt;outliers!$B$14,C481&gt;outliers!$B$13),"Outlier","Normal")</f>
        <v>Normal</v>
      </c>
      <c r="H481" s="8" t="str">
        <f>IF(OR(D481&lt;outliers!$B$21,D481&gt;outliers!$B$20),"Outlier","Normal")</f>
        <v>Normal</v>
      </c>
      <c r="I481" s="8" t="str">
        <f>IF(OR(E481&lt;outliers!$C$28,E481&gt;outliers!$B$27),"Outlier","Normal")</f>
        <v>Normal</v>
      </c>
      <c r="J481" s="8">
        <f t="shared" si="14"/>
        <v>2019</v>
      </c>
      <c r="K481">
        <f t="shared" si="15"/>
        <v>9</v>
      </c>
    </row>
    <row r="482" spans="1:11" x14ac:dyDescent="0.35">
      <c r="A482" s="13">
        <v>43718</v>
      </c>
      <c r="B482" s="8">
        <v>24.2</v>
      </c>
      <c r="C482" s="8">
        <v>20.6</v>
      </c>
      <c r="D482" s="8">
        <v>27.9</v>
      </c>
      <c r="E482" s="8">
        <v>0</v>
      </c>
      <c r="F482" s="8" t="str">
        <f>IF(OR(B482&lt;outliers!$B$7,B482&gt;outliers!$B$6),"Outlier","Normal")</f>
        <v>Normal</v>
      </c>
      <c r="G482" s="8" t="str">
        <f>IF(OR(C482&lt;outliers!$B$14,C482&gt;outliers!$B$13),"Outlier","Normal")</f>
        <v>Normal</v>
      </c>
      <c r="H482" s="8" t="str">
        <f>IF(OR(D482&lt;outliers!$B$21,D482&gt;outliers!$B$20),"Outlier","Normal")</f>
        <v>Normal</v>
      </c>
      <c r="I482" s="8" t="str">
        <f>IF(OR(E482&lt;outliers!$C$28,E482&gt;outliers!$B$27),"Outlier","Normal")</f>
        <v>Normal</v>
      </c>
      <c r="J482" s="8">
        <f t="shared" si="14"/>
        <v>2019</v>
      </c>
      <c r="K482">
        <f t="shared" si="15"/>
        <v>9</v>
      </c>
    </row>
    <row r="483" spans="1:11" x14ac:dyDescent="0.35">
      <c r="A483" s="13">
        <v>43720</v>
      </c>
      <c r="B483" s="8">
        <v>24</v>
      </c>
      <c r="C483" s="8">
        <v>21</v>
      </c>
      <c r="D483" s="8">
        <v>29.6</v>
      </c>
      <c r="E483" s="8">
        <v>0</v>
      </c>
      <c r="F483" s="8" t="str">
        <f>IF(OR(B483&lt;outliers!$B$7,B483&gt;outliers!$B$6),"Outlier","Normal")</f>
        <v>Normal</v>
      </c>
      <c r="G483" s="8" t="str">
        <f>IF(OR(C483&lt;outliers!$B$14,C483&gt;outliers!$B$13),"Outlier","Normal")</f>
        <v>Normal</v>
      </c>
      <c r="H483" s="8" t="str">
        <f>IF(OR(D483&lt;outliers!$B$21,D483&gt;outliers!$B$20),"Outlier","Normal")</f>
        <v>Normal</v>
      </c>
      <c r="I483" s="8" t="str">
        <f>IF(OR(E483&lt;outliers!$C$28,E483&gt;outliers!$B$27),"Outlier","Normal")</f>
        <v>Normal</v>
      </c>
      <c r="J483" s="8">
        <f t="shared" si="14"/>
        <v>2019</v>
      </c>
      <c r="K483">
        <f t="shared" si="15"/>
        <v>9</v>
      </c>
    </row>
    <row r="484" spans="1:11" x14ac:dyDescent="0.35">
      <c r="A484" s="13">
        <v>43721</v>
      </c>
      <c r="B484" s="8">
        <v>24.7</v>
      </c>
      <c r="C484" s="8">
        <v>21</v>
      </c>
      <c r="D484" s="8">
        <v>29.8</v>
      </c>
      <c r="E484" s="8">
        <v>0.5</v>
      </c>
      <c r="F484" s="8" t="str">
        <f>IF(OR(B484&lt;outliers!$B$7,B484&gt;outliers!$B$6),"Outlier","Normal")</f>
        <v>Normal</v>
      </c>
      <c r="G484" s="8" t="str">
        <f>IF(OR(C484&lt;outliers!$B$14,C484&gt;outliers!$B$13),"Outlier","Normal")</f>
        <v>Normal</v>
      </c>
      <c r="H484" s="8" t="str">
        <f>IF(OR(D484&lt;outliers!$B$21,D484&gt;outliers!$B$20),"Outlier","Normal")</f>
        <v>Normal</v>
      </c>
      <c r="I484" s="8" t="str">
        <f>IF(OR(E484&lt;outliers!$C$28,E484&gt;outliers!$B$27),"Outlier","Normal")</f>
        <v>Normal</v>
      </c>
      <c r="J484" s="8">
        <f t="shared" si="14"/>
        <v>2019</v>
      </c>
      <c r="K484">
        <f t="shared" si="15"/>
        <v>9</v>
      </c>
    </row>
    <row r="485" spans="1:11" x14ac:dyDescent="0.35">
      <c r="A485" s="13">
        <v>43722</v>
      </c>
      <c r="B485" s="8">
        <v>25.1</v>
      </c>
      <c r="C485" s="8">
        <v>21.2</v>
      </c>
      <c r="D485" s="8">
        <v>30.2</v>
      </c>
      <c r="E485" s="8">
        <v>0</v>
      </c>
      <c r="F485" s="8" t="str">
        <f>IF(OR(B485&lt;outliers!$B$7,B485&gt;outliers!$B$6),"Outlier","Normal")</f>
        <v>Normal</v>
      </c>
      <c r="G485" s="8" t="str">
        <f>IF(OR(C485&lt;outliers!$B$14,C485&gt;outliers!$B$13),"Outlier","Normal")</f>
        <v>Normal</v>
      </c>
      <c r="H485" s="8" t="str">
        <f>IF(OR(D485&lt;outliers!$B$21,D485&gt;outliers!$B$20),"Outlier","Normal")</f>
        <v>Normal</v>
      </c>
      <c r="I485" s="8" t="str">
        <f>IF(OR(E485&lt;outliers!$C$28,E485&gt;outliers!$B$27),"Outlier","Normal")</f>
        <v>Normal</v>
      </c>
      <c r="J485" s="8">
        <f t="shared" si="14"/>
        <v>2019</v>
      </c>
      <c r="K485">
        <f t="shared" si="15"/>
        <v>9</v>
      </c>
    </row>
    <row r="486" spans="1:11" x14ac:dyDescent="0.35">
      <c r="A486" s="13">
        <v>43723</v>
      </c>
      <c r="B486" s="8">
        <v>24.8</v>
      </c>
      <c r="C486" s="8">
        <v>21.3</v>
      </c>
      <c r="D486" s="8">
        <v>30.7</v>
      </c>
      <c r="E486" s="8">
        <v>0</v>
      </c>
      <c r="F486" s="8" t="str">
        <f>IF(OR(B486&lt;outliers!$B$7,B486&gt;outliers!$B$6),"Outlier","Normal")</f>
        <v>Normal</v>
      </c>
      <c r="G486" s="8" t="str">
        <f>IF(OR(C486&lt;outliers!$B$14,C486&gt;outliers!$B$13),"Outlier","Normal")</f>
        <v>Normal</v>
      </c>
      <c r="H486" s="8" t="str">
        <f>IF(OR(D486&lt;outliers!$B$21,D486&gt;outliers!$B$20),"Outlier","Normal")</f>
        <v>Normal</v>
      </c>
      <c r="I486" s="8" t="str">
        <f>IF(OR(E486&lt;outliers!$C$28,E486&gt;outliers!$B$27),"Outlier","Normal")</f>
        <v>Normal</v>
      </c>
      <c r="J486" s="8">
        <f t="shared" si="14"/>
        <v>2019</v>
      </c>
      <c r="K486">
        <f t="shared" si="15"/>
        <v>9</v>
      </c>
    </row>
    <row r="487" spans="1:11" x14ac:dyDescent="0.35">
      <c r="A487" s="13">
        <v>43724</v>
      </c>
      <c r="B487" s="8">
        <v>23.2</v>
      </c>
      <c r="C487" s="8">
        <v>20.2</v>
      </c>
      <c r="D487" s="8">
        <v>29.5</v>
      </c>
      <c r="E487" s="8">
        <v>0.3</v>
      </c>
      <c r="F487" s="8" t="str">
        <f>IF(OR(B487&lt;outliers!$B$7,B487&gt;outliers!$B$6),"Outlier","Normal")</f>
        <v>Normal</v>
      </c>
      <c r="G487" s="8" t="str">
        <f>IF(OR(C487&lt;outliers!$B$14,C487&gt;outliers!$B$13),"Outlier","Normal")</f>
        <v>Normal</v>
      </c>
      <c r="H487" s="8" t="str">
        <f>IF(OR(D487&lt;outliers!$B$21,D487&gt;outliers!$B$20),"Outlier","Normal")</f>
        <v>Normal</v>
      </c>
      <c r="I487" s="8" t="str">
        <f>IF(OR(E487&lt;outliers!$C$28,E487&gt;outliers!$B$27),"Outlier","Normal")</f>
        <v>Normal</v>
      </c>
      <c r="J487" s="8">
        <f t="shared" si="14"/>
        <v>2019</v>
      </c>
      <c r="K487">
        <f t="shared" si="15"/>
        <v>9</v>
      </c>
    </row>
    <row r="488" spans="1:11" hidden="1" x14ac:dyDescent="0.35">
      <c r="A488" s="13">
        <v>43725</v>
      </c>
      <c r="B488" s="8">
        <v>23.2</v>
      </c>
      <c r="C488" s="8">
        <v>20.2</v>
      </c>
      <c r="D488" s="8">
        <v>28.8</v>
      </c>
      <c r="E488" s="8">
        <v>30.7</v>
      </c>
      <c r="F488" s="8" t="str">
        <f>IF(OR(B488&lt;outliers!$B$7,B488&gt;outliers!$B$6),"Outlier","Normal")</f>
        <v>Normal</v>
      </c>
      <c r="G488" s="8" t="str">
        <f>IF(OR(C488&lt;outliers!$B$14,C488&gt;outliers!$B$13),"Outlier","Normal")</f>
        <v>Normal</v>
      </c>
      <c r="H488" s="8" t="str">
        <f>IF(OR(D488&lt;outliers!$B$21,D488&gt;outliers!$B$20),"Outlier","Normal")</f>
        <v>Normal</v>
      </c>
      <c r="I488" s="8" t="str">
        <f>IF(OR(E488&lt;outliers!$C$28,E488&gt;outliers!$B$27),"Outlier","Normal")</f>
        <v>Outlier</v>
      </c>
      <c r="J488" s="8">
        <f t="shared" si="14"/>
        <v>2019</v>
      </c>
      <c r="K488">
        <f t="shared" si="15"/>
        <v>9</v>
      </c>
    </row>
    <row r="489" spans="1:11" x14ac:dyDescent="0.35">
      <c r="A489" s="13">
        <v>43726</v>
      </c>
      <c r="B489" s="8">
        <v>23.9</v>
      </c>
      <c r="C489" s="8">
        <v>21.6</v>
      </c>
      <c r="D489" s="8">
        <v>27.8</v>
      </c>
      <c r="E489" s="8">
        <v>0.5</v>
      </c>
      <c r="F489" s="8" t="str">
        <f>IF(OR(B489&lt;outliers!$B$7,B489&gt;outliers!$B$6),"Outlier","Normal")</f>
        <v>Normal</v>
      </c>
      <c r="G489" s="8" t="str">
        <f>IF(OR(C489&lt;outliers!$B$14,C489&gt;outliers!$B$13),"Outlier","Normal")</f>
        <v>Normal</v>
      </c>
      <c r="H489" s="8" t="str">
        <f>IF(OR(D489&lt;outliers!$B$21,D489&gt;outliers!$B$20),"Outlier","Normal")</f>
        <v>Normal</v>
      </c>
      <c r="I489" s="8" t="str">
        <f>IF(OR(E489&lt;outliers!$C$28,E489&gt;outliers!$B$27),"Outlier","Normal")</f>
        <v>Normal</v>
      </c>
      <c r="J489" s="8">
        <f t="shared" si="14"/>
        <v>2019</v>
      </c>
      <c r="K489">
        <f t="shared" si="15"/>
        <v>9</v>
      </c>
    </row>
    <row r="490" spans="1:11" x14ac:dyDescent="0.35">
      <c r="A490" s="13">
        <v>43727</v>
      </c>
      <c r="B490" s="8">
        <v>24.2</v>
      </c>
      <c r="C490" s="8">
        <v>21.2</v>
      </c>
      <c r="D490" s="8">
        <v>27.8</v>
      </c>
      <c r="E490" s="8">
        <v>0.3</v>
      </c>
      <c r="F490" s="8" t="str">
        <f>IF(OR(B490&lt;outliers!$B$7,B490&gt;outliers!$B$6),"Outlier","Normal")</f>
        <v>Normal</v>
      </c>
      <c r="G490" s="8" t="str">
        <f>IF(OR(C490&lt;outliers!$B$14,C490&gt;outliers!$B$13),"Outlier","Normal")</f>
        <v>Normal</v>
      </c>
      <c r="H490" s="8" t="str">
        <f>IF(OR(D490&lt;outliers!$B$21,D490&gt;outliers!$B$20),"Outlier","Normal")</f>
        <v>Normal</v>
      </c>
      <c r="I490" s="8" t="str">
        <f>IF(OR(E490&lt;outliers!$C$28,E490&gt;outliers!$B$27),"Outlier","Normal")</f>
        <v>Normal</v>
      </c>
      <c r="J490" s="8">
        <f t="shared" si="14"/>
        <v>2019</v>
      </c>
      <c r="K490">
        <f t="shared" si="15"/>
        <v>9</v>
      </c>
    </row>
    <row r="491" spans="1:11" x14ac:dyDescent="0.35">
      <c r="A491" s="13">
        <v>43728</v>
      </c>
      <c r="B491" s="8">
        <v>24.2</v>
      </c>
      <c r="C491" s="8">
        <v>20.6</v>
      </c>
      <c r="D491" s="8">
        <v>29</v>
      </c>
      <c r="E491" s="8">
        <v>1.8</v>
      </c>
      <c r="F491" s="8" t="str">
        <f>IF(OR(B491&lt;outliers!$B$7,B491&gt;outliers!$B$6),"Outlier","Normal")</f>
        <v>Normal</v>
      </c>
      <c r="G491" s="8" t="str">
        <f>IF(OR(C491&lt;outliers!$B$14,C491&gt;outliers!$B$13),"Outlier","Normal")</f>
        <v>Normal</v>
      </c>
      <c r="H491" s="8" t="str">
        <f>IF(OR(D491&lt;outliers!$B$21,D491&gt;outliers!$B$20),"Outlier","Normal")</f>
        <v>Normal</v>
      </c>
      <c r="I491" s="8" t="str">
        <f>IF(OR(E491&lt;outliers!$C$28,E491&gt;outliers!$B$27),"Outlier","Normal")</f>
        <v>Normal</v>
      </c>
      <c r="J491" s="8">
        <f t="shared" si="14"/>
        <v>2019</v>
      </c>
      <c r="K491">
        <f t="shared" si="15"/>
        <v>9</v>
      </c>
    </row>
    <row r="492" spans="1:11" x14ac:dyDescent="0.35">
      <c r="A492" s="13">
        <v>43729</v>
      </c>
      <c r="B492" s="8">
        <v>25.2</v>
      </c>
      <c r="C492" s="8">
        <v>21.2</v>
      </c>
      <c r="D492" s="8">
        <v>29.8</v>
      </c>
      <c r="E492" s="8">
        <v>0</v>
      </c>
      <c r="F492" s="8" t="str">
        <f>IF(OR(B492&lt;outliers!$B$7,B492&gt;outliers!$B$6),"Outlier","Normal")</f>
        <v>Normal</v>
      </c>
      <c r="G492" s="8" t="str">
        <f>IF(OR(C492&lt;outliers!$B$14,C492&gt;outliers!$B$13),"Outlier","Normal")</f>
        <v>Normal</v>
      </c>
      <c r="H492" s="8" t="str">
        <f>IF(OR(D492&lt;outliers!$B$21,D492&gt;outliers!$B$20),"Outlier","Normal")</f>
        <v>Normal</v>
      </c>
      <c r="I492" s="8" t="str">
        <f>IF(OR(E492&lt;outliers!$C$28,E492&gt;outliers!$B$27),"Outlier","Normal")</f>
        <v>Normal</v>
      </c>
      <c r="J492" s="8">
        <f t="shared" si="14"/>
        <v>2019</v>
      </c>
      <c r="K492">
        <f t="shared" si="15"/>
        <v>9</v>
      </c>
    </row>
    <row r="493" spans="1:11" x14ac:dyDescent="0.35">
      <c r="A493" s="13">
        <v>43730</v>
      </c>
      <c r="B493" s="8">
        <v>23.2</v>
      </c>
      <c r="C493" s="8">
        <v>21.2</v>
      </c>
      <c r="D493" s="8">
        <v>30.8</v>
      </c>
      <c r="E493" s="8">
        <v>7.9</v>
      </c>
      <c r="F493" s="8" t="str">
        <f>IF(OR(B493&lt;outliers!$B$7,B493&gt;outliers!$B$6),"Outlier","Normal")</f>
        <v>Normal</v>
      </c>
      <c r="G493" s="8" t="str">
        <f>IF(OR(C493&lt;outliers!$B$14,C493&gt;outliers!$B$13),"Outlier","Normal")</f>
        <v>Normal</v>
      </c>
      <c r="H493" s="8" t="str">
        <f>IF(OR(D493&lt;outliers!$B$21,D493&gt;outliers!$B$20),"Outlier","Normal")</f>
        <v>Normal</v>
      </c>
      <c r="I493" s="8" t="str">
        <f>IF(OR(E493&lt;outliers!$C$28,E493&gt;outliers!$B$27),"Outlier","Normal")</f>
        <v>Normal</v>
      </c>
      <c r="J493" s="8">
        <f t="shared" si="14"/>
        <v>2019</v>
      </c>
      <c r="K493">
        <f t="shared" si="15"/>
        <v>9</v>
      </c>
    </row>
    <row r="494" spans="1:11" hidden="1" x14ac:dyDescent="0.35">
      <c r="A494" s="13">
        <v>43731</v>
      </c>
      <c r="B494" s="8">
        <v>23.7</v>
      </c>
      <c r="C494" s="8">
        <v>20.6</v>
      </c>
      <c r="D494" s="8">
        <v>28.8</v>
      </c>
      <c r="E494" s="8">
        <v>13</v>
      </c>
      <c r="F494" s="8" t="str">
        <f>IF(OR(B494&lt;outliers!$B$7,B494&gt;outliers!$B$6),"Outlier","Normal")</f>
        <v>Normal</v>
      </c>
      <c r="G494" s="8" t="str">
        <f>IF(OR(C494&lt;outliers!$B$14,C494&gt;outliers!$B$13),"Outlier","Normal")</f>
        <v>Normal</v>
      </c>
      <c r="H494" s="8" t="str">
        <f>IF(OR(D494&lt;outliers!$B$21,D494&gt;outliers!$B$20),"Outlier","Normal")</f>
        <v>Normal</v>
      </c>
      <c r="I494" s="8" t="str">
        <f>IF(OR(E494&lt;outliers!$C$28,E494&gt;outliers!$B$27),"Outlier","Normal")</f>
        <v>Outlier</v>
      </c>
      <c r="J494" s="8">
        <f t="shared" si="14"/>
        <v>2019</v>
      </c>
      <c r="K494">
        <f t="shared" si="15"/>
        <v>9</v>
      </c>
    </row>
    <row r="495" spans="1:11" hidden="1" x14ac:dyDescent="0.35">
      <c r="A495" s="13">
        <v>43732</v>
      </c>
      <c r="B495" s="8">
        <v>23.5</v>
      </c>
      <c r="C495" s="8">
        <v>19.7</v>
      </c>
      <c r="D495" s="8">
        <v>28.7</v>
      </c>
      <c r="E495" s="8">
        <v>29.7</v>
      </c>
      <c r="F495" s="8" t="str">
        <f>IF(OR(B495&lt;outliers!$B$7,B495&gt;outliers!$B$6),"Outlier","Normal")</f>
        <v>Normal</v>
      </c>
      <c r="G495" s="8" t="str">
        <f>IF(OR(C495&lt;outliers!$B$14,C495&gt;outliers!$B$13),"Outlier","Normal")</f>
        <v>Normal</v>
      </c>
      <c r="H495" s="8" t="str">
        <f>IF(OR(D495&lt;outliers!$B$21,D495&gt;outliers!$B$20),"Outlier","Normal")</f>
        <v>Normal</v>
      </c>
      <c r="I495" s="8" t="str">
        <f>IF(OR(E495&lt;outliers!$C$28,E495&gt;outliers!$B$27),"Outlier","Normal")</f>
        <v>Outlier</v>
      </c>
      <c r="J495" s="8">
        <f t="shared" si="14"/>
        <v>2019</v>
      </c>
      <c r="K495">
        <f t="shared" si="15"/>
        <v>9</v>
      </c>
    </row>
    <row r="496" spans="1:11" hidden="1" x14ac:dyDescent="0.35">
      <c r="A496" s="13">
        <v>43733</v>
      </c>
      <c r="B496" s="8">
        <v>23.2</v>
      </c>
      <c r="C496" s="8">
        <v>20.8</v>
      </c>
      <c r="D496" s="8">
        <v>28.8</v>
      </c>
      <c r="E496" s="8">
        <v>23.6</v>
      </c>
      <c r="F496" s="8" t="str">
        <f>IF(OR(B496&lt;outliers!$B$7,B496&gt;outliers!$B$6),"Outlier","Normal")</f>
        <v>Normal</v>
      </c>
      <c r="G496" s="8" t="str">
        <f>IF(OR(C496&lt;outliers!$B$14,C496&gt;outliers!$B$13),"Outlier","Normal")</f>
        <v>Normal</v>
      </c>
      <c r="H496" s="8" t="str">
        <f>IF(OR(D496&lt;outliers!$B$21,D496&gt;outliers!$B$20),"Outlier","Normal")</f>
        <v>Normal</v>
      </c>
      <c r="I496" s="8" t="str">
        <f>IF(OR(E496&lt;outliers!$C$28,E496&gt;outliers!$B$27),"Outlier","Normal")</f>
        <v>Outlier</v>
      </c>
      <c r="J496" s="8">
        <f t="shared" si="14"/>
        <v>2019</v>
      </c>
      <c r="K496">
        <f t="shared" si="15"/>
        <v>9</v>
      </c>
    </row>
    <row r="497" spans="1:11" x14ac:dyDescent="0.35">
      <c r="A497" s="13">
        <v>43734</v>
      </c>
      <c r="B497" s="8">
        <v>23.9</v>
      </c>
      <c r="C497" s="8">
        <v>20.2</v>
      </c>
      <c r="D497" s="8">
        <v>28</v>
      </c>
      <c r="E497" s="8">
        <v>1.8</v>
      </c>
      <c r="F497" s="8" t="str">
        <f>IF(OR(B497&lt;outliers!$B$7,B497&gt;outliers!$B$6),"Outlier","Normal")</f>
        <v>Normal</v>
      </c>
      <c r="G497" s="8" t="str">
        <f>IF(OR(C497&lt;outliers!$B$14,C497&gt;outliers!$B$13),"Outlier","Normal")</f>
        <v>Normal</v>
      </c>
      <c r="H497" s="8" t="str">
        <f>IF(OR(D497&lt;outliers!$B$21,D497&gt;outliers!$B$20),"Outlier","Normal")</f>
        <v>Normal</v>
      </c>
      <c r="I497" s="8" t="str">
        <f>IF(OR(E497&lt;outliers!$C$28,E497&gt;outliers!$B$27),"Outlier","Normal")</f>
        <v>Normal</v>
      </c>
      <c r="J497" s="8">
        <f t="shared" si="14"/>
        <v>2019</v>
      </c>
      <c r="K497">
        <f t="shared" si="15"/>
        <v>9</v>
      </c>
    </row>
    <row r="498" spans="1:11" x14ac:dyDescent="0.35">
      <c r="A498" s="13">
        <v>43735</v>
      </c>
      <c r="B498" s="8">
        <v>23.9</v>
      </c>
      <c r="C498" s="8">
        <v>21</v>
      </c>
      <c r="D498" s="8">
        <v>29.8</v>
      </c>
      <c r="E498" s="8">
        <v>0</v>
      </c>
      <c r="F498" s="8" t="str">
        <f>IF(OR(B498&lt;outliers!$B$7,B498&gt;outliers!$B$6),"Outlier","Normal")</f>
        <v>Normal</v>
      </c>
      <c r="G498" s="8" t="str">
        <f>IF(OR(C498&lt;outliers!$B$14,C498&gt;outliers!$B$13),"Outlier","Normal")</f>
        <v>Normal</v>
      </c>
      <c r="H498" s="8" t="str">
        <f>IF(OR(D498&lt;outliers!$B$21,D498&gt;outliers!$B$20),"Outlier","Normal")</f>
        <v>Normal</v>
      </c>
      <c r="I498" s="8" t="str">
        <f>IF(OR(E498&lt;outliers!$C$28,E498&gt;outliers!$B$27),"Outlier","Normal")</f>
        <v>Normal</v>
      </c>
      <c r="J498" s="8">
        <f t="shared" si="14"/>
        <v>2019</v>
      </c>
      <c r="K498">
        <f t="shared" si="15"/>
        <v>9</v>
      </c>
    </row>
    <row r="499" spans="1:11" x14ac:dyDescent="0.35">
      <c r="A499" s="13">
        <v>43736</v>
      </c>
      <c r="B499" s="8">
        <v>24.7</v>
      </c>
      <c r="C499" s="8">
        <v>21.1</v>
      </c>
      <c r="D499" s="8">
        <v>29.1</v>
      </c>
      <c r="E499" s="8">
        <v>6.1</v>
      </c>
      <c r="F499" s="8" t="str">
        <f>IF(OR(B499&lt;outliers!$B$7,B499&gt;outliers!$B$6),"Outlier","Normal")</f>
        <v>Normal</v>
      </c>
      <c r="G499" s="8" t="str">
        <f>IF(OR(C499&lt;outliers!$B$14,C499&gt;outliers!$B$13),"Outlier","Normal")</f>
        <v>Normal</v>
      </c>
      <c r="H499" s="8" t="str">
        <f>IF(OR(D499&lt;outliers!$B$21,D499&gt;outliers!$B$20),"Outlier","Normal")</f>
        <v>Normal</v>
      </c>
      <c r="I499" s="8" t="str">
        <f>IF(OR(E499&lt;outliers!$C$28,E499&gt;outliers!$B$27),"Outlier","Normal")</f>
        <v>Normal</v>
      </c>
      <c r="J499" s="8">
        <f t="shared" si="14"/>
        <v>2019</v>
      </c>
      <c r="K499">
        <f t="shared" si="15"/>
        <v>9</v>
      </c>
    </row>
    <row r="500" spans="1:11" x14ac:dyDescent="0.35">
      <c r="A500" s="13">
        <v>43737</v>
      </c>
      <c r="B500" s="8">
        <v>24.7</v>
      </c>
      <c r="C500" s="8">
        <v>21.1</v>
      </c>
      <c r="D500" s="8">
        <v>30</v>
      </c>
      <c r="E500" s="8">
        <v>0</v>
      </c>
      <c r="F500" s="8" t="str">
        <f>IF(OR(B500&lt;outliers!$B$7,B500&gt;outliers!$B$6),"Outlier","Normal")</f>
        <v>Normal</v>
      </c>
      <c r="G500" s="8" t="str">
        <f>IF(OR(C500&lt;outliers!$B$14,C500&gt;outliers!$B$13),"Outlier","Normal")</f>
        <v>Normal</v>
      </c>
      <c r="H500" s="8" t="str">
        <f>IF(OR(D500&lt;outliers!$B$21,D500&gt;outliers!$B$20),"Outlier","Normal")</f>
        <v>Normal</v>
      </c>
      <c r="I500" s="8" t="str">
        <f>IF(OR(E500&lt;outliers!$C$28,E500&gt;outliers!$B$27),"Outlier","Normal")</f>
        <v>Normal</v>
      </c>
      <c r="J500" s="8">
        <f t="shared" si="14"/>
        <v>2019</v>
      </c>
      <c r="K500">
        <f t="shared" si="15"/>
        <v>9</v>
      </c>
    </row>
    <row r="501" spans="1:11" hidden="1" x14ac:dyDescent="0.35">
      <c r="A501" s="13">
        <v>43740</v>
      </c>
      <c r="B501" s="8">
        <v>23.8</v>
      </c>
      <c r="C501" s="8">
        <v>18.600000000000001</v>
      </c>
      <c r="D501" s="8">
        <v>29.1</v>
      </c>
      <c r="E501" s="8">
        <v>22.1</v>
      </c>
      <c r="F501" s="8" t="str">
        <f>IF(OR(B501&lt;outliers!$B$7,B501&gt;outliers!$B$6),"Outlier","Normal")</f>
        <v>Normal</v>
      </c>
      <c r="G501" s="8" t="str">
        <f>IF(OR(C501&lt;outliers!$B$14,C501&gt;outliers!$B$13),"Outlier","Normal")</f>
        <v>Normal</v>
      </c>
      <c r="H501" s="8" t="str">
        <f>IF(OR(D501&lt;outliers!$B$21,D501&gt;outliers!$B$20),"Outlier","Normal")</f>
        <v>Normal</v>
      </c>
      <c r="I501" s="8" t="str">
        <f>IF(OR(E501&lt;outliers!$C$28,E501&gt;outliers!$B$27),"Outlier","Normal")</f>
        <v>Outlier</v>
      </c>
      <c r="J501" s="8">
        <f t="shared" si="14"/>
        <v>2019</v>
      </c>
      <c r="K501">
        <f t="shared" si="15"/>
        <v>10</v>
      </c>
    </row>
    <row r="502" spans="1:11" x14ac:dyDescent="0.35">
      <c r="A502" s="13">
        <v>43741</v>
      </c>
      <c r="B502" s="8">
        <v>23.5</v>
      </c>
      <c r="C502" s="8">
        <v>19.2</v>
      </c>
      <c r="D502" s="8">
        <v>30.4</v>
      </c>
      <c r="E502" s="8">
        <v>7.9</v>
      </c>
      <c r="F502" s="8" t="str">
        <f>IF(OR(B502&lt;outliers!$B$7,B502&gt;outliers!$B$6),"Outlier","Normal")</f>
        <v>Normal</v>
      </c>
      <c r="G502" s="8" t="str">
        <f>IF(OR(C502&lt;outliers!$B$14,C502&gt;outliers!$B$13),"Outlier","Normal")</f>
        <v>Normal</v>
      </c>
      <c r="H502" s="8" t="str">
        <f>IF(OR(D502&lt;outliers!$B$21,D502&gt;outliers!$B$20),"Outlier","Normal")</f>
        <v>Normal</v>
      </c>
      <c r="I502" s="8" t="str">
        <f>IF(OR(E502&lt;outliers!$C$28,E502&gt;outliers!$B$27),"Outlier","Normal")</f>
        <v>Normal</v>
      </c>
      <c r="J502" s="8">
        <f t="shared" si="14"/>
        <v>2019</v>
      </c>
      <c r="K502">
        <f t="shared" si="15"/>
        <v>10</v>
      </c>
    </row>
    <row r="503" spans="1:11" x14ac:dyDescent="0.35">
      <c r="A503" s="13">
        <v>43742</v>
      </c>
      <c r="B503" s="8">
        <v>23</v>
      </c>
      <c r="C503" s="8">
        <v>19.600000000000001</v>
      </c>
      <c r="D503" s="8">
        <v>28.3</v>
      </c>
      <c r="E503" s="8">
        <v>2.2999999999999998</v>
      </c>
      <c r="F503" s="8" t="str">
        <f>IF(OR(B503&lt;outliers!$B$7,B503&gt;outliers!$B$6),"Outlier","Normal")</f>
        <v>Normal</v>
      </c>
      <c r="G503" s="8" t="str">
        <f>IF(OR(C503&lt;outliers!$B$14,C503&gt;outliers!$B$13),"Outlier","Normal")</f>
        <v>Normal</v>
      </c>
      <c r="H503" s="8" t="str">
        <f>IF(OR(D503&lt;outliers!$B$21,D503&gt;outliers!$B$20),"Outlier","Normal")</f>
        <v>Normal</v>
      </c>
      <c r="I503" s="8" t="str">
        <f>IF(OR(E503&lt;outliers!$C$28,E503&gt;outliers!$B$27),"Outlier","Normal")</f>
        <v>Normal</v>
      </c>
      <c r="J503" s="8">
        <f t="shared" si="14"/>
        <v>2019</v>
      </c>
      <c r="K503">
        <f t="shared" si="15"/>
        <v>10</v>
      </c>
    </row>
    <row r="504" spans="1:11" x14ac:dyDescent="0.35">
      <c r="A504" s="13">
        <v>43743</v>
      </c>
      <c r="B504" s="8">
        <v>23.5</v>
      </c>
      <c r="C504" s="8">
        <v>19.899999999999999</v>
      </c>
      <c r="D504" s="8">
        <v>29.4</v>
      </c>
      <c r="E504" s="8">
        <v>8.6</v>
      </c>
      <c r="F504" s="8" t="str">
        <f>IF(OR(B504&lt;outliers!$B$7,B504&gt;outliers!$B$6),"Outlier","Normal")</f>
        <v>Normal</v>
      </c>
      <c r="G504" s="8" t="str">
        <f>IF(OR(C504&lt;outliers!$B$14,C504&gt;outliers!$B$13),"Outlier","Normal")</f>
        <v>Normal</v>
      </c>
      <c r="H504" s="8" t="str">
        <f>IF(OR(D504&lt;outliers!$B$21,D504&gt;outliers!$B$20),"Outlier","Normal")</f>
        <v>Normal</v>
      </c>
      <c r="I504" s="8" t="str">
        <f>IF(OR(E504&lt;outliers!$C$28,E504&gt;outliers!$B$27),"Outlier","Normal")</f>
        <v>Normal</v>
      </c>
      <c r="J504" s="8">
        <f t="shared" si="14"/>
        <v>2019</v>
      </c>
      <c r="K504">
        <f t="shared" si="15"/>
        <v>10</v>
      </c>
    </row>
    <row r="505" spans="1:11" x14ac:dyDescent="0.35">
      <c r="A505" s="13">
        <v>43744</v>
      </c>
      <c r="B505" s="8">
        <v>24.3</v>
      </c>
      <c r="C505" s="8">
        <v>20.6</v>
      </c>
      <c r="D505" s="8">
        <v>28.7</v>
      </c>
      <c r="E505" s="8">
        <v>0.5</v>
      </c>
      <c r="F505" s="8" t="str">
        <f>IF(OR(B505&lt;outliers!$B$7,B505&gt;outliers!$B$6),"Outlier","Normal")</f>
        <v>Normal</v>
      </c>
      <c r="G505" s="8" t="str">
        <f>IF(OR(C505&lt;outliers!$B$14,C505&gt;outliers!$B$13),"Outlier","Normal")</f>
        <v>Normal</v>
      </c>
      <c r="H505" s="8" t="str">
        <f>IF(OR(D505&lt;outliers!$B$21,D505&gt;outliers!$B$20),"Outlier","Normal")</f>
        <v>Normal</v>
      </c>
      <c r="I505" s="8" t="str">
        <f>IF(OR(E505&lt;outliers!$C$28,E505&gt;outliers!$B$27),"Outlier","Normal")</f>
        <v>Normal</v>
      </c>
      <c r="J505" s="8">
        <f t="shared" si="14"/>
        <v>2019</v>
      </c>
      <c r="K505">
        <f t="shared" si="15"/>
        <v>10</v>
      </c>
    </row>
    <row r="506" spans="1:11" x14ac:dyDescent="0.35">
      <c r="A506" s="13">
        <v>43745</v>
      </c>
      <c r="B506" s="8">
        <v>24.1</v>
      </c>
      <c r="C506" s="8">
        <v>21.3</v>
      </c>
      <c r="D506" s="8">
        <v>29.6</v>
      </c>
      <c r="E506" s="8">
        <v>0</v>
      </c>
      <c r="F506" s="8" t="str">
        <f>IF(OR(B506&lt;outliers!$B$7,B506&gt;outliers!$B$6),"Outlier","Normal")</f>
        <v>Normal</v>
      </c>
      <c r="G506" s="8" t="str">
        <f>IF(OR(C506&lt;outliers!$B$14,C506&gt;outliers!$B$13),"Outlier","Normal")</f>
        <v>Normal</v>
      </c>
      <c r="H506" s="8" t="str">
        <f>IF(OR(D506&lt;outliers!$B$21,D506&gt;outliers!$B$20),"Outlier","Normal")</f>
        <v>Normal</v>
      </c>
      <c r="I506" s="8" t="str">
        <f>IF(OR(E506&lt;outliers!$C$28,E506&gt;outliers!$B$27),"Outlier","Normal")</f>
        <v>Normal</v>
      </c>
      <c r="J506" s="8">
        <f t="shared" si="14"/>
        <v>2019</v>
      </c>
      <c r="K506">
        <f t="shared" si="15"/>
        <v>10</v>
      </c>
    </row>
    <row r="507" spans="1:11" x14ac:dyDescent="0.35">
      <c r="A507" s="13">
        <v>43746</v>
      </c>
      <c r="B507" s="8">
        <v>23.3</v>
      </c>
      <c r="C507" s="8">
        <v>19.2</v>
      </c>
      <c r="D507" s="8">
        <v>29.2</v>
      </c>
      <c r="E507" s="8">
        <v>0</v>
      </c>
      <c r="F507" s="8" t="str">
        <f>IF(OR(B507&lt;outliers!$B$7,B507&gt;outliers!$B$6),"Outlier","Normal")</f>
        <v>Normal</v>
      </c>
      <c r="G507" s="8" t="str">
        <f>IF(OR(C507&lt;outliers!$B$14,C507&gt;outliers!$B$13),"Outlier","Normal")</f>
        <v>Normal</v>
      </c>
      <c r="H507" s="8" t="str">
        <f>IF(OR(D507&lt;outliers!$B$21,D507&gt;outliers!$B$20),"Outlier","Normal")</f>
        <v>Normal</v>
      </c>
      <c r="I507" s="8" t="str">
        <f>IF(OR(E507&lt;outliers!$C$28,E507&gt;outliers!$B$27),"Outlier","Normal")</f>
        <v>Normal</v>
      </c>
      <c r="J507" s="8">
        <f t="shared" si="14"/>
        <v>2019</v>
      </c>
      <c r="K507">
        <f t="shared" si="15"/>
        <v>10</v>
      </c>
    </row>
    <row r="508" spans="1:11" x14ac:dyDescent="0.35">
      <c r="A508" s="13">
        <v>43747</v>
      </c>
      <c r="B508" s="8">
        <v>24.3</v>
      </c>
      <c r="C508" s="8">
        <v>19.3</v>
      </c>
      <c r="D508" s="8">
        <v>30.1</v>
      </c>
      <c r="E508" s="8">
        <v>5.6</v>
      </c>
      <c r="F508" s="8" t="str">
        <f>IF(OR(B508&lt;outliers!$B$7,B508&gt;outliers!$B$6),"Outlier","Normal")</f>
        <v>Normal</v>
      </c>
      <c r="G508" s="8" t="str">
        <f>IF(OR(C508&lt;outliers!$B$14,C508&gt;outliers!$B$13),"Outlier","Normal")</f>
        <v>Normal</v>
      </c>
      <c r="H508" s="8" t="str">
        <f>IF(OR(D508&lt;outliers!$B$21,D508&gt;outliers!$B$20),"Outlier","Normal")</f>
        <v>Normal</v>
      </c>
      <c r="I508" s="8" t="str">
        <f>IF(OR(E508&lt;outliers!$C$28,E508&gt;outliers!$B$27),"Outlier","Normal")</f>
        <v>Normal</v>
      </c>
      <c r="J508" s="8">
        <f t="shared" si="14"/>
        <v>2019</v>
      </c>
      <c r="K508">
        <f t="shared" si="15"/>
        <v>10</v>
      </c>
    </row>
    <row r="509" spans="1:11" x14ac:dyDescent="0.35">
      <c r="A509" s="13">
        <v>43748</v>
      </c>
      <c r="B509" s="8">
        <v>24.7</v>
      </c>
      <c r="C509" s="8">
        <v>20.7</v>
      </c>
      <c r="D509" s="8">
        <v>30</v>
      </c>
      <c r="E509" s="8">
        <v>0</v>
      </c>
      <c r="F509" s="8" t="str">
        <f>IF(OR(B509&lt;outliers!$B$7,B509&gt;outliers!$B$6),"Outlier","Normal")</f>
        <v>Normal</v>
      </c>
      <c r="G509" s="8" t="str">
        <f>IF(OR(C509&lt;outliers!$B$14,C509&gt;outliers!$B$13),"Outlier","Normal")</f>
        <v>Normal</v>
      </c>
      <c r="H509" s="8" t="str">
        <f>IF(OR(D509&lt;outliers!$B$21,D509&gt;outliers!$B$20),"Outlier","Normal")</f>
        <v>Normal</v>
      </c>
      <c r="I509" s="8" t="str">
        <f>IF(OR(E509&lt;outliers!$C$28,E509&gt;outliers!$B$27),"Outlier","Normal")</f>
        <v>Normal</v>
      </c>
      <c r="J509" s="8">
        <f t="shared" si="14"/>
        <v>2019</v>
      </c>
      <c r="K509">
        <f t="shared" si="15"/>
        <v>10</v>
      </c>
    </row>
    <row r="510" spans="1:11" x14ac:dyDescent="0.35">
      <c r="A510" s="13">
        <v>43749</v>
      </c>
      <c r="B510" s="8">
        <v>24.4</v>
      </c>
      <c r="C510" s="8">
        <v>21.8</v>
      </c>
      <c r="D510" s="8">
        <v>30</v>
      </c>
      <c r="E510" s="8">
        <v>0</v>
      </c>
      <c r="F510" s="8" t="str">
        <f>IF(OR(B510&lt;outliers!$B$7,B510&gt;outliers!$B$6),"Outlier","Normal")</f>
        <v>Normal</v>
      </c>
      <c r="G510" s="8" t="str">
        <f>IF(OR(C510&lt;outliers!$B$14,C510&gt;outliers!$B$13),"Outlier","Normal")</f>
        <v>Normal</v>
      </c>
      <c r="H510" s="8" t="str">
        <f>IF(OR(D510&lt;outliers!$B$21,D510&gt;outliers!$B$20),"Outlier","Normal")</f>
        <v>Normal</v>
      </c>
      <c r="I510" s="8" t="str">
        <f>IF(OR(E510&lt;outliers!$C$28,E510&gt;outliers!$B$27),"Outlier","Normal")</f>
        <v>Normal</v>
      </c>
      <c r="J510" s="8">
        <f t="shared" si="14"/>
        <v>2019</v>
      </c>
      <c r="K510">
        <f t="shared" si="15"/>
        <v>10</v>
      </c>
    </row>
    <row r="511" spans="1:11" x14ac:dyDescent="0.35">
      <c r="A511" s="13">
        <v>43750</v>
      </c>
      <c r="B511" s="8">
        <v>25</v>
      </c>
      <c r="C511" s="8">
        <v>21.5</v>
      </c>
      <c r="D511" s="8">
        <v>29.6</v>
      </c>
      <c r="E511" s="8">
        <v>0.5</v>
      </c>
      <c r="F511" s="8" t="str">
        <f>IF(OR(B511&lt;outliers!$B$7,B511&gt;outliers!$B$6),"Outlier","Normal")</f>
        <v>Normal</v>
      </c>
      <c r="G511" s="8" t="str">
        <f>IF(OR(C511&lt;outliers!$B$14,C511&gt;outliers!$B$13),"Outlier","Normal")</f>
        <v>Normal</v>
      </c>
      <c r="H511" s="8" t="str">
        <f>IF(OR(D511&lt;outliers!$B$21,D511&gt;outliers!$B$20),"Outlier","Normal")</f>
        <v>Normal</v>
      </c>
      <c r="I511" s="8" t="str">
        <f>IF(OR(E511&lt;outliers!$C$28,E511&gt;outliers!$B$27),"Outlier","Normal")</f>
        <v>Normal</v>
      </c>
      <c r="J511" s="8">
        <f t="shared" si="14"/>
        <v>2019</v>
      </c>
      <c r="K511">
        <f t="shared" si="15"/>
        <v>10</v>
      </c>
    </row>
    <row r="512" spans="1:11" x14ac:dyDescent="0.35">
      <c r="A512" s="13">
        <v>43751</v>
      </c>
      <c r="B512" s="8">
        <v>24.9</v>
      </c>
      <c r="C512" s="8">
        <v>21.5</v>
      </c>
      <c r="D512" s="8">
        <v>29.8</v>
      </c>
      <c r="E512" s="8">
        <v>0</v>
      </c>
      <c r="F512" s="8" t="str">
        <f>IF(OR(B512&lt;outliers!$B$7,B512&gt;outliers!$B$6),"Outlier","Normal")</f>
        <v>Normal</v>
      </c>
      <c r="G512" s="8" t="str">
        <f>IF(OR(C512&lt;outliers!$B$14,C512&gt;outliers!$B$13),"Outlier","Normal")</f>
        <v>Normal</v>
      </c>
      <c r="H512" s="8" t="str">
        <f>IF(OR(D512&lt;outliers!$B$21,D512&gt;outliers!$B$20),"Outlier","Normal")</f>
        <v>Normal</v>
      </c>
      <c r="I512" s="8" t="str">
        <f>IF(OR(E512&lt;outliers!$C$28,E512&gt;outliers!$B$27),"Outlier","Normal")</f>
        <v>Normal</v>
      </c>
      <c r="J512" s="8">
        <f t="shared" si="14"/>
        <v>2019</v>
      </c>
      <c r="K512">
        <f t="shared" si="15"/>
        <v>10</v>
      </c>
    </row>
    <row r="513" spans="1:11" x14ac:dyDescent="0.35">
      <c r="A513" s="13">
        <v>43752</v>
      </c>
      <c r="B513" s="8">
        <v>26.7</v>
      </c>
      <c r="C513" s="8">
        <v>21.6</v>
      </c>
      <c r="D513" s="8">
        <v>29.6</v>
      </c>
      <c r="E513" s="8">
        <v>0</v>
      </c>
      <c r="F513" s="8" t="str">
        <f>IF(OR(B513&lt;outliers!$B$7,B513&gt;outliers!$B$6),"Outlier","Normal")</f>
        <v>Normal</v>
      </c>
      <c r="G513" s="8" t="str">
        <f>IF(OR(C513&lt;outliers!$B$14,C513&gt;outliers!$B$13),"Outlier","Normal")</f>
        <v>Normal</v>
      </c>
      <c r="H513" s="8" t="str">
        <f>IF(OR(D513&lt;outliers!$B$21,D513&gt;outliers!$B$20),"Outlier","Normal")</f>
        <v>Normal</v>
      </c>
      <c r="I513" s="8" t="str">
        <f>IF(OR(E513&lt;outliers!$C$28,E513&gt;outliers!$B$27),"Outlier","Normal")</f>
        <v>Normal</v>
      </c>
      <c r="J513" s="8">
        <f t="shared" si="14"/>
        <v>2019</v>
      </c>
      <c r="K513">
        <f t="shared" si="15"/>
        <v>10</v>
      </c>
    </row>
    <row r="514" spans="1:11" x14ac:dyDescent="0.35">
      <c r="A514" s="13">
        <v>43753</v>
      </c>
      <c r="B514" s="8">
        <v>24.7</v>
      </c>
      <c r="C514" s="8">
        <v>21.6</v>
      </c>
      <c r="D514" s="8">
        <v>30.7</v>
      </c>
      <c r="E514" s="8">
        <v>0</v>
      </c>
      <c r="F514" s="8" t="str">
        <f>IF(OR(B514&lt;outliers!$B$7,B514&gt;outliers!$B$6),"Outlier","Normal")</f>
        <v>Normal</v>
      </c>
      <c r="G514" s="8" t="str">
        <f>IF(OR(C514&lt;outliers!$B$14,C514&gt;outliers!$B$13),"Outlier","Normal")</f>
        <v>Normal</v>
      </c>
      <c r="H514" s="8" t="str">
        <f>IF(OR(D514&lt;outliers!$B$21,D514&gt;outliers!$B$20),"Outlier","Normal")</f>
        <v>Normal</v>
      </c>
      <c r="I514" s="8" t="str">
        <f>IF(OR(E514&lt;outliers!$C$28,E514&gt;outliers!$B$27),"Outlier","Normal")</f>
        <v>Normal</v>
      </c>
      <c r="J514" s="8">
        <f t="shared" si="14"/>
        <v>2019</v>
      </c>
      <c r="K514">
        <f t="shared" si="15"/>
        <v>10</v>
      </c>
    </row>
    <row r="515" spans="1:11" x14ac:dyDescent="0.35">
      <c r="A515" s="13">
        <v>43754</v>
      </c>
      <c r="B515" s="8">
        <v>24.5</v>
      </c>
      <c r="C515" s="8">
        <v>21.2</v>
      </c>
      <c r="D515" s="8">
        <v>30</v>
      </c>
      <c r="E515" s="8">
        <v>0</v>
      </c>
      <c r="F515" s="8" t="str">
        <f>IF(OR(B515&lt;outliers!$B$7,B515&gt;outliers!$B$6),"Outlier","Normal")</f>
        <v>Normal</v>
      </c>
      <c r="G515" s="8" t="str">
        <f>IF(OR(C515&lt;outliers!$B$14,C515&gt;outliers!$B$13),"Outlier","Normal")</f>
        <v>Normal</v>
      </c>
      <c r="H515" s="8" t="str">
        <f>IF(OR(D515&lt;outliers!$B$21,D515&gt;outliers!$B$20),"Outlier","Normal")</f>
        <v>Normal</v>
      </c>
      <c r="I515" s="8" t="str">
        <f>IF(OR(E515&lt;outliers!$C$28,E515&gt;outliers!$B$27),"Outlier","Normal")</f>
        <v>Normal</v>
      </c>
      <c r="J515" s="8">
        <f t="shared" si="14"/>
        <v>2019</v>
      </c>
      <c r="K515">
        <f t="shared" si="15"/>
        <v>10</v>
      </c>
    </row>
    <row r="516" spans="1:11" x14ac:dyDescent="0.35">
      <c r="A516" s="13">
        <v>43755</v>
      </c>
      <c r="B516" s="8">
        <v>22.4</v>
      </c>
      <c r="C516" s="8">
        <v>20.8</v>
      </c>
      <c r="D516" s="8">
        <v>28.4</v>
      </c>
      <c r="E516" s="8">
        <v>0</v>
      </c>
      <c r="F516" s="8" t="str">
        <f>IF(OR(B516&lt;outliers!$B$7,B516&gt;outliers!$B$6),"Outlier","Normal")</f>
        <v>Normal</v>
      </c>
      <c r="G516" s="8" t="str">
        <f>IF(OR(C516&lt;outliers!$B$14,C516&gt;outliers!$B$13),"Outlier","Normal")</f>
        <v>Normal</v>
      </c>
      <c r="H516" s="8" t="str">
        <f>IF(OR(D516&lt;outliers!$B$21,D516&gt;outliers!$B$20),"Outlier","Normal")</f>
        <v>Normal</v>
      </c>
      <c r="I516" s="8" t="str">
        <f>IF(OR(E516&lt;outliers!$C$28,E516&gt;outliers!$B$27),"Outlier","Normal")</f>
        <v>Normal</v>
      </c>
      <c r="J516" s="8">
        <f t="shared" ref="J516:J579" si="16">YEAR(A516)</f>
        <v>2019</v>
      </c>
      <c r="K516">
        <f t="shared" ref="K516:K579" si="17">MONTH(A516)</f>
        <v>10</v>
      </c>
    </row>
    <row r="517" spans="1:11" x14ac:dyDescent="0.35">
      <c r="A517" s="13">
        <v>43756</v>
      </c>
      <c r="B517" s="8">
        <v>23</v>
      </c>
      <c r="C517" s="8">
        <v>20.2</v>
      </c>
      <c r="D517" s="8">
        <v>26.8</v>
      </c>
      <c r="E517" s="8">
        <v>3.8</v>
      </c>
      <c r="F517" s="8" t="str">
        <f>IF(OR(B517&lt;outliers!$B$7,B517&gt;outliers!$B$6),"Outlier","Normal")</f>
        <v>Normal</v>
      </c>
      <c r="G517" s="8" t="str">
        <f>IF(OR(C517&lt;outliers!$B$14,C517&gt;outliers!$B$13),"Outlier","Normal")</f>
        <v>Normal</v>
      </c>
      <c r="H517" s="8" t="str">
        <f>IF(OR(D517&lt;outliers!$B$21,D517&gt;outliers!$B$20),"Outlier","Normal")</f>
        <v>Normal</v>
      </c>
      <c r="I517" s="8" t="str">
        <f>IF(OR(E517&lt;outliers!$C$28,E517&gt;outliers!$B$27),"Outlier","Normal")</f>
        <v>Normal</v>
      </c>
      <c r="J517" s="8">
        <f t="shared" si="16"/>
        <v>2019</v>
      </c>
      <c r="K517">
        <f t="shared" si="17"/>
        <v>10</v>
      </c>
    </row>
    <row r="518" spans="1:11" x14ac:dyDescent="0.35">
      <c r="A518" s="13">
        <v>43757</v>
      </c>
      <c r="B518" s="8">
        <v>23.4</v>
      </c>
      <c r="C518" s="8">
        <v>20.2</v>
      </c>
      <c r="D518" s="8">
        <v>27.6</v>
      </c>
      <c r="E518" s="8">
        <v>8.9</v>
      </c>
      <c r="F518" s="8" t="str">
        <f>IF(OR(B518&lt;outliers!$B$7,B518&gt;outliers!$B$6),"Outlier","Normal")</f>
        <v>Normal</v>
      </c>
      <c r="G518" s="8" t="str">
        <f>IF(OR(C518&lt;outliers!$B$14,C518&gt;outliers!$B$13),"Outlier","Normal")</f>
        <v>Normal</v>
      </c>
      <c r="H518" s="8" t="str">
        <f>IF(OR(D518&lt;outliers!$B$21,D518&gt;outliers!$B$20),"Outlier","Normal")</f>
        <v>Normal</v>
      </c>
      <c r="I518" s="8" t="str">
        <f>IF(OR(E518&lt;outliers!$C$28,E518&gt;outliers!$B$27),"Outlier","Normal")</f>
        <v>Normal</v>
      </c>
      <c r="J518" s="8">
        <f t="shared" si="16"/>
        <v>2019</v>
      </c>
      <c r="K518">
        <f t="shared" si="17"/>
        <v>10</v>
      </c>
    </row>
    <row r="519" spans="1:11" x14ac:dyDescent="0.35">
      <c r="A519" s="13">
        <v>43758</v>
      </c>
      <c r="B519" s="8">
        <v>23.3</v>
      </c>
      <c r="C519" s="8">
        <v>21</v>
      </c>
      <c r="D519" s="8">
        <v>27.9</v>
      </c>
      <c r="E519" s="8">
        <v>0</v>
      </c>
      <c r="F519" s="8" t="str">
        <f>IF(OR(B519&lt;outliers!$B$7,B519&gt;outliers!$B$6),"Outlier","Normal")</f>
        <v>Normal</v>
      </c>
      <c r="G519" s="8" t="str">
        <f>IF(OR(C519&lt;outliers!$B$14,C519&gt;outliers!$B$13),"Outlier","Normal")</f>
        <v>Normal</v>
      </c>
      <c r="H519" s="8" t="str">
        <f>IF(OR(D519&lt;outliers!$B$21,D519&gt;outliers!$B$20),"Outlier","Normal")</f>
        <v>Normal</v>
      </c>
      <c r="I519" s="8" t="str">
        <f>IF(OR(E519&lt;outliers!$C$28,E519&gt;outliers!$B$27),"Outlier","Normal")</f>
        <v>Normal</v>
      </c>
      <c r="J519" s="8">
        <f t="shared" si="16"/>
        <v>2019</v>
      </c>
      <c r="K519">
        <f t="shared" si="17"/>
        <v>10</v>
      </c>
    </row>
    <row r="520" spans="1:11" x14ac:dyDescent="0.35">
      <c r="A520" s="13">
        <v>43759</v>
      </c>
      <c r="B520" s="8">
        <v>22.2</v>
      </c>
      <c r="C520" s="8">
        <v>20.6</v>
      </c>
      <c r="D520" s="8">
        <v>28.6</v>
      </c>
      <c r="E520" s="8">
        <v>7.9</v>
      </c>
      <c r="F520" s="8" t="str">
        <f>IF(OR(B520&lt;outliers!$B$7,B520&gt;outliers!$B$6),"Outlier","Normal")</f>
        <v>Normal</v>
      </c>
      <c r="G520" s="8" t="str">
        <f>IF(OR(C520&lt;outliers!$B$14,C520&gt;outliers!$B$13),"Outlier","Normal")</f>
        <v>Normal</v>
      </c>
      <c r="H520" s="8" t="str">
        <f>IF(OR(D520&lt;outliers!$B$21,D520&gt;outliers!$B$20),"Outlier","Normal")</f>
        <v>Normal</v>
      </c>
      <c r="I520" s="8" t="str">
        <f>IF(OR(E520&lt;outliers!$C$28,E520&gt;outliers!$B$27),"Outlier","Normal")</f>
        <v>Normal</v>
      </c>
      <c r="J520" s="8">
        <f t="shared" si="16"/>
        <v>2019</v>
      </c>
      <c r="K520">
        <f t="shared" si="17"/>
        <v>10</v>
      </c>
    </row>
    <row r="521" spans="1:11" hidden="1" x14ac:dyDescent="0.35">
      <c r="A521" s="13">
        <v>43760</v>
      </c>
      <c r="B521" s="8">
        <v>21.4</v>
      </c>
      <c r="C521" s="8">
        <v>20.3</v>
      </c>
      <c r="D521" s="8">
        <v>27.1</v>
      </c>
      <c r="E521" s="8">
        <v>38.9</v>
      </c>
      <c r="F521" s="8" t="str">
        <f>IF(OR(B521&lt;outliers!$B$7,B521&gt;outliers!$B$6),"Outlier","Normal")</f>
        <v>Normal</v>
      </c>
      <c r="G521" s="8" t="str">
        <f>IF(OR(C521&lt;outliers!$B$14,C521&gt;outliers!$B$13),"Outlier","Normal")</f>
        <v>Normal</v>
      </c>
      <c r="H521" s="8" t="str">
        <f>IF(OR(D521&lt;outliers!$B$21,D521&gt;outliers!$B$20),"Outlier","Normal")</f>
        <v>Normal</v>
      </c>
      <c r="I521" s="8" t="str">
        <f>IF(OR(E521&lt;outliers!$C$28,E521&gt;outliers!$B$27),"Outlier","Normal")</f>
        <v>Outlier</v>
      </c>
      <c r="J521" s="8">
        <f t="shared" si="16"/>
        <v>2019</v>
      </c>
      <c r="K521">
        <f t="shared" si="17"/>
        <v>10</v>
      </c>
    </row>
    <row r="522" spans="1:11" hidden="1" x14ac:dyDescent="0.35">
      <c r="A522" s="13">
        <v>43761</v>
      </c>
      <c r="B522" s="8">
        <v>22.8</v>
      </c>
      <c r="C522" s="8">
        <v>19.8</v>
      </c>
      <c r="D522" s="8">
        <v>28</v>
      </c>
      <c r="E522" s="8">
        <v>13.2</v>
      </c>
      <c r="F522" s="8" t="str">
        <f>IF(OR(B522&lt;outliers!$B$7,B522&gt;outliers!$B$6),"Outlier","Normal")</f>
        <v>Normal</v>
      </c>
      <c r="G522" s="8" t="str">
        <f>IF(OR(C522&lt;outliers!$B$14,C522&gt;outliers!$B$13),"Outlier","Normal")</f>
        <v>Normal</v>
      </c>
      <c r="H522" s="8" t="str">
        <f>IF(OR(D522&lt;outliers!$B$21,D522&gt;outliers!$B$20),"Outlier","Normal")</f>
        <v>Normal</v>
      </c>
      <c r="I522" s="8" t="str">
        <f>IF(OR(E522&lt;outliers!$C$28,E522&gt;outliers!$B$27),"Outlier","Normal")</f>
        <v>Outlier</v>
      </c>
      <c r="J522" s="8">
        <f t="shared" si="16"/>
        <v>2019</v>
      </c>
      <c r="K522">
        <f t="shared" si="17"/>
        <v>10</v>
      </c>
    </row>
    <row r="523" spans="1:11" x14ac:dyDescent="0.35">
      <c r="A523" s="13">
        <v>43762</v>
      </c>
      <c r="B523" s="8">
        <v>22.5</v>
      </c>
      <c r="C523" s="8">
        <v>20</v>
      </c>
      <c r="D523" s="8">
        <v>27.6</v>
      </c>
      <c r="E523" s="8">
        <v>0</v>
      </c>
      <c r="F523" s="8" t="str">
        <f>IF(OR(B523&lt;outliers!$B$7,B523&gt;outliers!$B$6),"Outlier","Normal")</f>
        <v>Normal</v>
      </c>
      <c r="G523" s="8" t="str">
        <f>IF(OR(C523&lt;outliers!$B$14,C523&gt;outliers!$B$13),"Outlier","Normal")</f>
        <v>Normal</v>
      </c>
      <c r="H523" s="8" t="str">
        <f>IF(OR(D523&lt;outliers!$B$21,D523&gt;outliers!$B$20),"Outlier","Normal")</f>
        <v>Normal</v>
      </c>
      <c r="I523" s="8" t="str">
        <f>IF(OR(E523&lt;outliers!$C$28,E523&gt;outliers!$B$27),"Outlier","Normal")</f>
        <v>Normal</v>
      </c>
      <c r="J523" s="8">
        <f t="shared" si="16"/>
        <v>2019</v>
      </c>
      <c r="K523">
        <f t="shared" si="17"/>
        <v>10</v>
      </c>
    </row>
    <row r="524" spans="1:11" x14ac:dyDescent="0.35">
      <c r="A524" s="13">
        <v>43763</v>
      </c>
      <c r="B524" s="8">
        <v>21.5</v>
      </c>
      <c r="C524" s="8">
        <v>19.600000000000001</v>
      </c>
      <c r="D524" s="8">
        <v>26.7</v>
      </c>
      <c r="E524" s="8">
        <v>0</v>
      </c>
      <c r="F524" s="8" t="str">
        <f>IF(OR(B524&lt;outliers!$B$7,B524&gt;outliers!$B$6),"Outlier","Normal")</f>
        <v>Normal</v>
      </c>
      <c r="G524" s="8" t="str">
        <f>IF(OR(C524&lt;outliers!$B$14,C524&gt;outliers!$B$13),"Outlier","Normal")</f>
        <v>Normal</v>
      </c>
      <c r="H524" s="8" t="str">
        <f>IF(OR(D524&lt;outliers!$B$21,D524&gt;outliers!$B$20),"Outlier","Normal")</f>
        <v>Normal</v>
      </c>
      <c r="I524" s="8" t="str">
        <f>IF(OR(E524&lt;outliers!$C$28,E524&gt;outliers!$B$27),"Outlier","Normal")</f>
        <v>Normal</v>
      </c>
      <c r="J524" s="8">
        <f t="shared" si="16"/>
        <v>2019</v>
      </c>
      <c r="K524">
        <f t="shared" si="17"/>
        <v>10</v>
      </c>
    </row>
    <row r="525" spans="1:11" x14ac:dyDescent="0.35">
      <c r="A525" s="13">
        <v>43764</v>
      </c>
      <c r="B525" s="8">
        <v>22.4</v>
      </c>
      <c r="C525" s="8">
        <v>19</v>
      </c>
      <c r="D525" s="8">
        <v>27</v>
      </c>
      <c r="E525" s="8">
        <v>6.1</v>
      </c>
      <c r="F525" s="8" t="str">
        <f>IF(OR(B525&lt;outliers!$B$7,B525&gt;outliers!$B$6),"Outlier","Normal")</f>
        <v>Normal</v>
      </c>
      <c r="G525" s="8" t="str">
        <f>IF(OR(C525&lt;outliers!$B$14,C525&gt;outliers!$B$13),"Outlier","Normal")</f>
        <v>Normal</v>
      </c>
      <c r="H525" s="8" t="str">
        <f>IF(OR(D525&lt;outliers!$B$21,D525&gt;outliers!$B$20),"Outlier","Normal")</f>
        <v>Normal</v>
      </c>
      <c r="I525" s="8" t="str">
        <f>IF(OR(E525&lt;outliers!$C$28,E525&gt;outliers!$B$27),"Outlier","Normal")</f>
        <v>Normal</v>
      </c>
      <c r="J525" s="8">
        <f t="shared" si="16"/>
        <v>2019</v>
      </c>
      <c r="K525">
        <f t="shared" si="17"/>
        <v>10</v>
      </c>
    </row>
    <row r="526" spans="1:11" x14ac:dyDescent="0.35">
      <c r="A526" s="13">
        <v>43765</v>
      </c>
      <c r="B526" s="8">
        <v>22.3</v>
      </c>
      <c r="C526" s="8">
        <v>19.399999999999999</v>
      </c>
      <c r="D526" s="8">
        <v>27.8</v>
      </c>
      <c r="E526" s="8">
        <v>3</v>
      </c>
      <c r="F526" s="8" t="str">
        <f>IF(OR(B526&lt;outliers!$B$7,B526&gt;outliers!$B$6),"Outlier","Normal")</f>
        <v>Normal</v>
      </c>
      <c r="G526" s="8" t="str">
        <f>IF(OR(C526&lt;outliers!$B$14,C526&gt;outliers!$B$13),"Outlier","Normal")</f>
        <v>Normal</v>
      </c>
      <c r="H526" s="8" t="str">
        <f>IF(OR(D526&lt;outliers!$B$21,D526&gt;outliers!$B$20),"Outlier","Normal")</f>
        <v>Normal</v>
      </c>
      <c r="I526" s="8" t="str">
        <f>IF(OR(E526&lt;outliers!$C$28,E526&gt;outliers!$B$27),"Outlier","Normal")</f>
        <v>Normal</v>
      </c>
      <c r="J526" s="8">
        <f t="shared" si="16"/>
        <v>2019</v>
      </c>
      <c r="K526">
        <f t="shared" si="17"/>
        <v>10</v>
      </c>
    </row>
    <row r="527" spans="1:11" hidden="1" x14ac:dyDescent="0.35">
      <c r="A527" s="13">
        <v>43766</v>
      </c>
      <c r="B527" s="8">
        <v>23.1</v>
      </c>
      <c r="C527" s="8">
        <v>19.399999999999999</v>
      </c>
      <c r="D527" s="8">
        <v>27.4</v>
      </c>
      <c r="E527" s="8">
        <v>37.1</v>
      </c>
      <c r="F527" s="8" t="str">
        <f>IF(OR(B527&lt;outliers!$B$7,B527&gt;outliers!$B$6),"Outlier","Normal")</f>
        <v>Normal</v>
      </c>
      <c r="G527" s="8" t="str">
        <f>IF(OR(C527&lt;outliers!$B$14,C527&gt;outliers!$B$13),"Outlier","Normal")</f>
        <v>Normal</v>
      </c>
      <c r="H527" s="8" t="str">
        <f>IF(OR(D527&lt;outliers!$B$21,D527&gt;outliers!$B$20),"Outlier","Normal")</f>
        <v>Normal</v>
      </c>
      <c r="I527" s="8" t="str">
        <f>IF(OR(E527&lt;outliers!$C$28,E527&gt;outliers!$B$27),"Outlier","Normal")</f>
        <v>Outlier</v>
      </c>
      <c r="J527" s="8">
        <f t="shared" si="16"/>
        <v>2019</v>
      </c>
      <c r="K527">
        <f t="shared" si="17"/>
        <v>10</v>
      </c>
    </row>
    <row r="528" spans="1:11" x14ac:dyDescent="0.35">
      <c r="A528" s="13">
        <v>43767</v>
      </c>
      <c r="B528" s="8">
        <v>22</v>
      </c>
      <c r="C528" s="8">
        <v>20</v>
      </c>
      <c r="D528" s="8">
        <v>27.6</v>
      </c>
      <c r="E528" s="8">
        <v>0</v>
      </c>
      <c r="F528" s="8" t="str">
        <f>IF(OR(B528&lt;outliers!$B$7,B528&gt;outliers!$B$6),"Outlier","Normal")</f>
        <v>Normal</v>
      </c>
      <c r="G528" s="8" t="str">
        <f>IF(OR(C528&lt;outliers!$B$14,C528&gt;outliers!$B$13),"Outlier","Normal")</f>
        <v>Normal</v>
      </c>
      <c r="H528" s="8" t="str">
        <f>IF(OR(D528&lt;outliers!$B$21,D528&gt;outliers!$B$20),"Outlier","Normal")</f>
        <v>Normal</v>
      </c>
      <c r="I528" s="8" t="str">
        <f>IF(OR(E528&lt;outliers!$C$28,E528&gt;outliers!$B$27),"Outlier","Normal")</f>
        <v>Normal</v>
      </c>
      <c r="J528" s="8">
        <f t="shared" si="16"/>
        <v>2019</v>
      </c>
      <c r="K528">
        <f t="shared" si="17"/>
        <v>10</v>
      </c>
    </row>
    <row r="529" spans="1:11" x14ac:dyDescent="0.35">
      <c r="A529" s="13">
        <v>43768</v>
      </c>
      <c r="B529" s="8">
        <v>21.4</v>
      </c>
      <c r="C529" s="8">
        <v>19.7</v>
      </c>
      <c r="D529" s="8">
        <v>25.3</v>
      </c>
      <c r="E529" s="8">
        <v>4.5999999999999996</v>
      </c>
      <c r="F529" s="8" t="str">
        <f>IF(OR(B529&lt;outliers!$B$7,B529&gt;outliers!$B$6),"Outlier","Normal")</f>
        <v>Normal</v>
      </c>
      <c r="G529" s="8" t="str">
        <f>IF(OR(C529&lt;outliers!$B$14,C529&gt;outliers!$B$13),"Outlier","Normal")</f>
        <v>Normal</v>
      </c>
      <c r="H529" s="8" t="str">
        <f>IF(OR(D529&lt;outliers!$B$21,D529&gt;outliers!$B$20),"Outlier","Normal")</f>
        <v>Normal</v>
      </c>
      <c r="I529" s="8" t="str">
        <f>IF(OR(E529&lt;outliers!$C$28,E529&gt;outliers!$B$27),"Outlier","Normal")</f>
        <v>Normal</v>
      </c>
      <c r="J529" s="8">
        <f t="shared" si="16"/>
        <v>2019</v>
      </c>
      <c r="K529">
        <f t="shared" si="17"/>
        <v>10</v>
      </c>
    </row>
    <row r="530" spans="1:11" x14ac:dyDescent="0.35">
      <c r="A530" s="13">
        <v>43769</v>
      </c>
      <c r="B530" s="8">
        <v>22.5</v>
      </c>
      <c r="C530" s="8">
        <v>19.7</v>
      </c>
      <c r="D530" s="8">
        <v>25.6</v>
      </c>
      <c r="E530" s="8">
        <v>6.9</v>
      </c>
      <c r="F530" s="8" t="str">
        <f>IF(OR(B530&lt;outliers!$B$7,B530&gt;outliers!$B$6),"Outlier","Normal")</f>
        <v>Normal</v>
      </c>
      <c r="G530" s="8" t="str">
        <f>IF(OR(C530&lt;outliers!$B$14,C530&gt;outliers!$B$13),"Outlier","Normal")</f>
        <v>Normal</v>
      </c>
      <c r="H530" s="8" t="str">
        <f>IF(OR(D530&lt;outliers!$B$21,D530&gt;outliers!$B$20),"Outlier","Normal")</f>
        <v>Normal</v>
      </c>
      <c r="I530" s="8" t="str">
        <f>IF(OR(E530&lt;outliers!$C$28,E530&gt;outliers!$B$27),"Outlier","Normal")</f>
        <v>Normal</v>
      </c>
      <c r="J530" s="8">
        <f t="shared" si="16"/>
        <v>2019</v>
      </c>
      <c r="K530">
        <f t="shared" si="17"/>
        <v>10</v>
      </c>
    </row>
    <row r="531" spans="1:11" x14ac:dyDescent="0.35">
      <c r="A531" s="13">
        <v>43770</v>
      </c>
      <c r="B531" s="8">
        <v>23.8</v>
      </c>
      <c r="C531" s="8">
        <v>18</v>
      </c>
      <c r="D531" s="8">
        <v>28.8</v>
      </c>
      <c r="E531" s="8">
        <v>0.3</v>
      </c>
      <c r="F531" s="8" t="str">
        <f>IF(OR(B531&lt;outliers!$B$7,B531&gt;outliers!$B$6),"Outlier","Normal")</f>
        <v>Normal</v>
      </c>
      <c r="G531" s="8" t="str">
        <f>IF(OR(C531&lt;outliers!$B$14,C531&gt;outliers!$B$13),"Outlier","Normal")</f>
        <v>Normal</v>
      </c>
      <c r="H531" s="8" t="str">
        <f>IF(OR(D531&lt;outliers!$B$21,D531&gt;outliers!$B$20),"Outlier","Normal")</f>
        <v>Normal</v>
      </c>
      <c r="I531" s="8" t="str">
        <f>IF(OR(E531&lt;outliers!$C$28,E531&gt;outliers!$B$27),"Outlier","Normal")</f>
        <v>Normal</v>
      </c>
      <c r="J531" s="8">
        <f t="shared" si="16"/>
        <v>2019</v>
      </c>
      <c r="K531">
        <f t="shared" si="17"/>
        <v>11</v>
      </c>
    </row>
    <row r="532" spans="1:11" x14ac:dyDescent="0.35">
      <c r="A532" s="13">
        <v>43771</v>
      </c>
      <c r="B532" s="8">
        <v>24.2</v>
      </c>
      <c r="C532" s="8">
        <v>21</v>
      </c>
      <c r="D532" s="8">
        <v>29.4</v>
      </c>
      <c r="E532" s="8">
        <v>0</v>
      </c>
      <c r="F532" s="8" t="str">
        <f>IF(OR(B532&lt;outliers!$B$7,B532&gt;outliers!$B$6),"Outlier","Normal")</f>
        <v>Normal</v>
      </c>
      <c r="G532" s="8" t="str">
        <f>IF(OR(C532&lt;outliers!$B$14,C532&gt;outliers!$B$13),"Outlier","Normal")</f>
        <v>Normal</v>
      </c>
      <c r="H532" s="8" t="str">
        <f>IF(OR(D532&lt;outliers!$B$21,D532&gt;outliers!$B$20),"Outlier","Normal")</f>
        <v>Normal</v>
      </c>
      <c r="I532" s="8" t="str">
        <f>IF(OR(E532&lt;outliers!$C$28,E532&gt;outliers!$B$27),"Outlier","Normal")</f>
        <v>Normal</v>
      </c>
      <c r="J532" s="8">
        <f t="shared" si="16"/>
        <v>2019</v>
      </c>
      <c r="K532">
        <f t="shared" si="17"/>
        <v>11</v>
      </c>
    </row>
    <row r="533" spans="1:11" x14ac:dyDescent="0.35">
      <c r="A533" s="13">
        <v>43777</v>
      </c>
      <c r="B533" s="8">
        <v>24.4</v>
      </c>
      <c r="C533" s="8">
        <v>18.8</v>
      </c>
      <c r="D533" s="8">
        <v>29.4</v>
      </c>
      <c r="E533" s="8">
        <v>3</v>
      </c>
      <c r="F533" s="8" t="str">
        <f>IF(OR(B533&lt;outliers!$B$7,B533&gt;outliers!$B$6),"Outlier","Normal")</f>
        <v>Normal</v>
      </c>
      <c r="G533" s="8" t="str">
        <f>IF(OR(C533&lt;outliers!$B$14,C533&gt;outliers!$B$13),"Outlier","Normal")</f>
        <v>Normal</v>
      </c>
      <c r="H533" s="8" t="str">
        <f>IF(OR(D533&lt;outliers!$B$21,D533&gt;outliers!$B$20),"Outlier","Normal")</f>
        <v>Normal</v>
      </c>
      <c r="I533" s="8" t="str">
        <f>IF(OR(E533&lt;outliers!$C$28,E533&gt;outliers!$B$27),"Outlier","Normal")</f>
        <v>Normal</v>
      </c>
      <c r="J533" s="8">
        <f t="shared" si="16"/>
        <v>2019</v>
      </c>
      <c r="K533">
        <f t="shared" si="17"/>
        <v>11</v>
      </c>
    </row>
    <row r="534" spans="1:11" x14ac:dyDescent="0.35">
      <c r="A534" s="13">
        <v>43778</v>
      </c>
      <c r="B534" s="8">
        <v>24.3</v>
      </c>
      <c r="C534" s="8">
        <v>20.3</v>
      </c>
      <c r="D534" s="8">
        <v>29.2</v>
      </c>
      <c r="E534" s="8">
        <v>0</v>
      </c>
      <c r="F534" s="8" t="str">
        <f>IF(OR(B534&lt;outliers!$B$7,B534&gt;outliers!$B$6),"Outlier","Normal")</f>
        <v>Normal</v>
      </c>
      <c r="G534" s="8" t="str">
        <f>IF(OR(C534&lt;outliers!$B$14,C534&gt;outliers!$B$13),"Outlier","Normal")</f>
        <v>Normal</v>
      </c>
      <c r="H534" s="8" t="str">
        <f>IF(OR(D534&lt;outliers!$B$21,D534&gt;outliers!$B$20),"Outlier","Normal")</f>
        <v>Normal</v>
      </c>
      <c r="I534" s="8" t="str">
        <f>IF(OR(E534&lt;outliers!$C$28,E534&gt;outliers!$B$27),"Outlier","Normal")</f>
        <v>Normal</v>
      </c>
      <c r="J534" s="8">
        <f t="shared" si="16"/>
        <v>2019</v>
      </c>
      <c r="K534">
        <f t="shared" si="17"/>
        <v>11</v>
      </c>
    </row>
    <row r="535" spans="1:11" hidden="1" x14ac:dyDescent="0.35">
      <c r="A535" s="13">
        <v>43779</v>
      </c>
      <c r="B535" s="8">
        <v>24.6</v>
      </c>
      <c r="C535" s="8">
        <v>20.399999999999999</v>
      </c>
      <c r="D535" s="8">
        <v>29.9</v>
      </c>
      <c r="E535" s="8">
        <v>49.5</v>
      </c>
      <c r="F535" s="8" t="str">
        <f>IF(OR(B535&lt;outliers!$B$7,B535&gt;outliers!$B$6),"Outlier","Normal")</f>
        <v>Normal</v>
      </c>
      <c r="G535" s="8" t="str">
        <f>IF(OR(C535&lt;outliers!$B$14,C535&gt;outliers!$B$13),"Outlier","Normal")</f>
        <v>Normal</v>
      </c>
      <c r="H535" s="8" t="str">
        <f>IF(OR(D535&lt;outliers!$B$21,D535&gt;outliers!$B$20),"Outlier","Normal")</f>
        <v>Normal</v>
      </c>
      <c r="I535" s="8" t="str">
        <f>IF(OR(E535&lt;outliers!$C$28,E535&gt;outliers!$B$27),"Outlier","Normal")</f>
        <v>Outlier</v>
      </c>
      <c r="J535" s="8">
        <f t="shared" si="16"/>
        <v>2019</v>
      </c>
      <c r="K535">
        <f t="shared" si="17"/>
        <v>11</v>
      </c>
    </row>
    <row r="536" spans="1:11" x14ac:dyDescent="0.35">
      <c r="A536" s="13">
        <v>43780</v>
      </c>
      <c r="B536" s="8">
        <v>23.8</v>
      </c>
      <c r="C536" s="8">
        <v>19.7</v>
      </c>
      <c r="D536" s="8">
        <v>29.8</v>
      </c>
      <c r="E536" s="8">
        <v>0</v>
      </c>
      <c r="F536" s="8" t="str">
        <f>IF(OR(B536&lt;outliers!$B$7,B536&gt;outliers!$B$6),"Outlier","Normal")</f>
        <v>Normal</v>
      </c>
      <c r="G536" s="8" t="str">
        <f>IF(OR(C536&lt;outliers!$B$14,C536&gt;outliers!$B$13),"Outlier","Normal")</f>
        <v>Normal</v>
      </c>
      <c r="H536" s="8" t="str">
        <f>IF(OR(D536&lt;outliers!$B$21,D536&gt;outliers!$B$20),"Outlier","Normal")</f>
        <v>Normal</v>
      </c>
      <c r="I536" s="8" t="str">
        <f>IF(OR(E536&lt;outliers!$C$28,E536&gt;outliers!$B$27),"Outlier","Normal")</f>
        <v>Normal</v>
      </c>
      <c r="J536" s="8">
        <f t="shared" si="16"/>
        <v>2019</v>
      </c>
      <c r="K536">
        <f t="shared" si="17"/>
        <v>11</v>
      </c>
    </row>
    <row r="537" spans="1:11" x14ac:dyDescent="0.35">
      <c r="A537" s="13">
        <v>43784</v>
      </c>
      <c r="B537" s="8">
        <v>22.7</v>
      </c>
      <c r="C537" s="8">
        <v>19.600000000000001</v>
      </c>
      <c r="D537" s="8">
        <v>26.8</v>
      </c>
      <c r="E537" s="8">
        <v>2.8</v>
      </c>
      <c r="F537" s="8" t="str">
        <f>IF(OR(B537&lt;outliers!$B$7,B537&gt;outliers!$B$6),"Outlier","Normal")</f>
        <v>Normal</v>
      </c>
      <c r="G537" s="8" t="str">
        <f>IF(OR(C537&lt;outliers!$B$14,C537&gt;outliers!$B$13),"Outlier","Normal")</f>
        <v>Normal</v>
      </c>
      <c r="H537" s="8" t="str">
        <f>IF(OR(D537&lt;outliers!$B$21,D537&gt;outliers!$B$20),"Outlier","Normal")</f>
        <v>Normal</v>
      </c>
      <c r="I537" s="8" t="str">
        <f>IF(OR(E537&lt;outliers!$C$28,E537&gt;outliers!$B$27),"Outlier","Normal")</f>
        <v>Normal</v>
      </c>
      <c r="J537" s="8">
        <f t="shared" si="16"/>
        <v>2019</v>
      </c>
      <c r="K537">
        <f t="shared" si="17"/>
        <v>11</v>
      </c>
    </row>
    <row r="538" spans="1:11" x14ac:dyDescent="0.35">
      <c r="A538" s="13">
        <v>43785</v>
      </c>
      <c r="B538" s="8">
        <v>23.5</v>
      </c>
      <c r="C538" s="8">
        <v>20.399999999999999</v>
      </c>
      <c r="D538" s="8">
        <v>26.2</v>
      </c>
      <c r="E538" s="8">
        <v>0.5</v>
      </c>
      <c r="F538" s="8" t="str">
        <f>IF(OR(B538&lt;outliers!$B$7,B538&gt;outliers!$B$6),"Outlier","Normal")</f>
        <v>Normal</v>
      </c>
      <c r="G538" s="8" t="str">
        <f>IF(OR(C538&lt;outliers!$B$14,C538&gt;outliers!$B$13),"Outlier","Normal")</f>
        <v>Normal</v>
      </c>
      <c r="H538" s="8" t="str">
        <f>IF(OR(D538&lt;outliers!$B$21,D538&gt;outliers!$B$20),"Outlier","Normal")</f>
        <v>Normal</v>
      </c>
      <c r="I538" s="8" t="str">
        <f>IF(OR(E538&lt;outliers!$C$28,E538&gt;outliers!$B$27),"Outlier","Normal")</f>
        <v>Normal</v>
      </c>
      <c r="J538" s="8">
        <f t="shared" si="16"/>
        <v>2019</v>
      </c>
      <c r="K538">
        <f t="shared" si="17"/>
        <v>11</v>
      </c>
    </row>
    <row r="539" spans="1:11" x14ac:dyDescent="0.35">
      <c r="A539" s="13">
        <v>43786</v>
      </c>
      <c r="B539" s="8">
        <v>24</v>
      </c>
      <c r="C539" s="8">
        <v>19.5</v>
      </c>
      <c r="D539" s="8">
        <v>29.2</v>
      </c>
      <c r="E539" s="8">
        <v>0</v>
      </c>
      <c r="F539" s="8" t="str">
        <f>IF(OR(B539&lt;outliers!$B$7,B539&gt;outliers!$B$6),"Outlier","Normal")</f>
        <v>Normal</v>
      </c>
      <c r="G539" s="8" t="str">
        <f>IF(OR(C539&lt;outliers!$B$14,C539&gt;outliers!$B$13),"Outlier","Normal")</f>
        <v>Normal</v>
      </c>
      <c r="H539" s="8" t="str">
        <f>IF(OR(D539&lt;outliers!$B$21,D539&gt;outliers!$B$20),"Outlier","Normal")</f>
        <v>Normal</v>
      </c>
      <c r="I539" s="8" t="str">
        <f>IF(OR(E539&lt;outliers!$C$28,E539&gt;outliers!$B$27),"Outlier","Normal")</f>
        <v>Normal</v>
      </c>
      <c r="J539" s="8">
        <f t="shared" si="16"/>
        <v>2019</v>
      </c>
      <c r="K539">
        <f t="shared" si="17"/>
        <v>11</v>
      </c>
    </row>
    <row r="540" spans="1:11" x14ac:dyDescent="0.35">
      <c r="A540" s="13">
        <v>43788</v>
      </c>
      <c r="B540" s="8">
        <v>23.6</v>
      </c>
      <c r="C540" s="8">
        <v>19.8</v>
      </c>
      <c r="D540" s="8">
        <v>29.4</v>
      </c>
      <c r="E540" s="8">
        <v>0</v>
      </c>
      <c r="F540" s="8" t="str">
        <f>IF(OR(B540&lt;outliers!$B$7,B540&gt;outliers!$B$6),"Outlier","Normal")</f>
        <v>Normal</v>
      </c>
      <c r="G540" s="8" t="str">
        <f>IF(OR(C540&lt;outliers!$B$14,C540&gt;outliers!$B$13),"Outlier","Normal")</f>
        <v>Normal</v>
      </c>
      <c r="H540" s="8" t="str">
        <f>IF(OR(D540&lt;outliers!$B$21,D540&gt;outliers!$B$20),"Outlier","Normal")</f>
        <v>Normal</v>
      </c>
      <c r="I540" s="8" t="str">
        <f>IF(OR(E540&lt;outliers!$C$28,E540&gt;outliers!$B$27),"Outlier","Normal")</f>
        <v>Normal</v>
      </c>
      <c r="J540" s="8">
        <f t="shared" si="16"/>
        <v>2019</v>
      </c>
      <c r="K540">
        <f t="shared" si="17"/>
        <v>11</v>
      </c>
    </row>
    <row r="541" spans="1:11" x14ac:dyDescent="0.35">
      <c r="A541" s="13">
        <v>43790</v>
      </c>
      <c r="B541" s="8">
        <v>22.4</v>
      </c>
      <c r="C541" s="8">
        <v>20.399999999999999</v>
      </c>
      <c r="D541" s="8">
        <v>27.6</v>
      </c>
      <c r="E541" s="8">
        <v>2.5</v>
      </c>
      <c r="F541" s="8" t="str">
        <f>IF(OR(B541&lt;outliers!$B$7,B541&gt;outliers!$B$6),"Outlier","Normal")</f>
        <v>Normal</v>
      </c>
      <c r="G541" s="8" t="str">
        <f>IF(OR(C541&lt;outliers!$B$14,C541&gt;outliers!$B$13),"Outlier","Normal")</f>
        <v>Normal</v>
      </c>
      <c r="H541" s="8" t="str">
        <f>IF(OR(D541&lt;outliers!$B$21,D541&gt;outliers!$B$20),"Outlier","Normal")</f>
        <v>Normal</v>
      </c>
      <c r="I541" s="8" t="str">
        <f>IF(OR(E541&lt;outliers!$C$28,E541&gt;outliers!$B$27),"Outlier","Normal")</f>
        <v>Normal</v>
      </c>
      <c r="J541" s="8">
        <f t="shared" si="16"/>
        <v>2019</v>
      </c>
      <c r="K541">
        <f t="shared" si="17"/>
        <v>11</v>
      </c>
    </row>
    <row r="542" spans="1:11" x14ac:dyDescent="0.35">
      <c r="A542" s="13">
        <v>43791</v>
      </c>
      <c r="B542" s="8">
        <v>22.3</v>
      </c>
      <c r="C542" s="8">
        <v>19.2</v>
      </c>
      <c r="D542" s="8">
        <v>25.6</v>
      </c>
      <c r="E542" s="8">
        <v>0</v>
      </c>
      <c r="F542" s="8" t="str">
        <f>IF(OR(B542&lt;outliers!$B$7,B542&gt;outliers!$B$6),"Outlier","Normal")</f>
        <v>Normal</v>
      </c>
      <c r="G542" s="8" t="str">
        <f>IF(OR(C542&lt;outliers!$B$14,C542&gt;outliers!$B$13),"Outlier","Normal")</f>
        <v>Normal</v>
      </c>
      <c r="H542" s="8" t="str">
        <f>IF(OR(D542&lt;outliers!$B$21,D542&gt;outliers!$B$20),"Outlier","Normal")</f>
        <v>Normal</v>
      </c>
      <c r="I542" s="8" t="str">
        <f>IF(OR(E542&lt;outliers!$C$28,E542&gt;outliers!$B$27),"Outlier","Normal")</f>
        <v>Normal</v>
      </c>
      <c r="J542" s="8">
        <f t="shared" si="16"/>
        <v>2019</v>
      </c>
      <c r="K542">
        <f t="shared" si="17"/>
        <v>11</v>
      </c>
    </row>
    <row r="543" spans="1:11" x14ac:dyDescent="0.35">
      <c r="A543" s="13">
        <v>43792</v>
      </c>
      <c r="B543" s="8">
        <v>23.2</v>
      </c>
      <c r="C543" s="8">
        <v>17.3</v>
      </c>
      <c r="D543" s="8">
        <v>28</v>
      </c>
      <c r="E543" s="8">
        <v>0</v>
      </c>
      <c r="F543" s="8" t="str">
        <f>IF(OR(B543&lt;outliers!$B$7,B543&gt;outliers!$B$6),"Outlier","Normal")</f>
        <v>Normal</v>
      </c>
      <c r="G543" s="8" t="str">
        <f>IF(OR(C543&lt;outliers!$B$14,C543&gt;outliers!$B$13),"Outlier","Normal")</f>
        <v>Normal</v>
      </c>
      <c r="H543" s="8" t="str">
        <f>IF(OR(D543&lt;outliers!$B$21,D543&gt;outliers!$B$20),"Outlier","Normal")</f>
        <v>Normal</v>
      </c>
      <c r="I543" s="8" t="str">
        <f>IF(OR(E543&lt;outliers!$C$28,E543&gt;outliers!$B$27),"Outlier","Normal")</f>
        <v>Normal</v>
      </c>
      <c r="J543" s="8">
        <f t="shared" si="16"/>
        <v>2019</v>
      </c>
      <c r="K543">
        <f t="shared" si="17"/>
        <v>11</v>
      </c>
    </row>
    <row r="544" spans="1:11" x14ac:dyDescent="0.35">
      <c r="A544" s="13">
        <v>43796</v>
      </c>
      <c r="B544" s="8">
        <v>21.9</v>
      </c>
      <c r="C544" s="8">
        <v>20</v>
      </c>
      <c r="D544" s="8">
        <v>28.3</v>
      </c>
      <c r="E544" s="8">
        <v>0.3</v>
      </c>
      <c r="F544" s="8" t="str">
        <f>IF(OR(B544&lt;outliers!$B$7,B544&gt;outliers!$B$6),"Outlier","Normal")</f>
        <v>Normal</v>
      </c>
      <c r="G544" s="8" t="str">
        <f>IF(OR(C544&lt;outliers!$B$14,C544&gt;outliers!$B$13),"Outlier","Normal")</f>
        <v>Normal</v>
      </c>
      <c r="H544" s="8" t="str">
        <f>IF(OR(D544&lt;outliers!$B$21,D544&gt;outliers!$B$20),"Outlier","Normal")</f>
        <v>Normal</v>
      </c>
      <c r="I544" s="8" t="str">
        <f>IF(OR(E544&lt;outliers!$C$28,E544&gt;outliers!$B$27),"Outlier","Normal")</f>
        <v>Normal</v>
      </c>
      <c r="J544" s="8">
        <f t="shared" si="16"/>
        <v>2019</v>
      </c>
      <c r="K544">
        <f t="shared" si="17"/>
        <v>11</v>
      </c>
    </row>
    <row r="545" spans="1:11" x14ac:dyDescent="0.35">
      <c r="A545" s="13">
        <v>43797</v>
      </c>
      <c r="B545" s="8">
        <v>22.6</v>
      </c>
      <c r="C545" s="8">
        <v>19.2</v>
      </c>
      <c r="D545" s="8">
        <v>27.8</v>
      </c>
      <c r="E545" s="8">
        <v>0</v>
      </c>
      <c r="F545" s="8" t="str">
        <f>IF(OR(B545&lt;outliers!$B$7,B545&gt;outliers!$B$6),"Outlier","Normal")</f>
        <v>Normal</v>
      </c>
      <c r="G545" s="8" t="str">
        <f>IF(OR(C545&lt;outliers!$B$14,C545&gt;outliers!$B$13),"Outlier","Normal")</f>
        <v>Normal</v>
      </c>
      <c r="H545" s="8" t="str">
        <f>IF(OR(D545&lt;outliers!$B$21,D545&gt;outliers!$B$20),"Outlier","Normal")</f>
        <v>Normal</v>
      </c>
      <c r="I545" s="8" t="str">
        <f>IF(OR(E545&lt;outliers!$C$28,E545&gt;outliers!$B$27),"Outlier","Normal")</f>
        <v>Normal</v>
      </c>
      <c r="J545" s="8">
        <f t="shared" si="16"/>
        <v>2019</v>
      </c>
      <c r="K545">
        <f t="shared" si="17"/>
        <v>11</v>
      </c>
    </row>
    <row r="546" spans="1:11" x14ac:dyDescent="0.35">
      <c r="A546" s="13">
        <v>43798</v>
      </c>
      <c r="B546" s="8">
        <v>22.5</v>
      </c>
      <c r="C546" s="8">
        <v>19.399999999999999</v>
      </c>
      <c r="D546" s="8">
        <v>28.4</v>
      </c>
      <c r="E546" s="8">
        <v>0</v>
      </c>
      <c r="F546" s="8" t="str">
        <f>IF(OR(B546&lt;outliers!$B$7,B546&gt;outliers!$B$6),"Outlier","Normal")</f>
        <v>Normal</v>
      </c>
      <c r="G546" s="8" t="str">
        <f>IF(OR(C546&lt;outliers!$B$14,C546&gt;outliers!$B$13),"Outlier","Normal")</f>
        <v>Normal</v>
      </c>
      <c r="H546" s="8" t="str">
        <f>IF(OR(D546&lt;outliers!$B$21,D546&gt;outliers!$B$20),"Outlier","Normal")</f>
        <v>Normal</v>
      </c>
      <c r="I546" s="8" t="str">
        <f>IF(OR(E546&lt;outliers!$C$28,E546&gt;outliers!$B$27),"Outlier","Normal")</f>
        <v>Normal</v>
      </c>
      <c r="J546" s="8">
        <f t="shared" si="16"/>
        <v>2019</v>
      </c>
      <c r="K546">
        <f t="shared" si="17"/>
        <v>11</v>
      </c>
    </row>
    <row r="547" spans="1:11" x14ac:dyDescent="0.35">
      <c r="A547" s="13">
        <v>43799</v>
      </c>
      <c r="B547" s="8">
        <v>21.4</v>
      </c>
      <c r="C547" s="8">
        <v>18.7</v>
      </c>
      <c r="D547" s="8">
        <v>27</v>
      </c>
      <c r="E547" s="8">
        <v>1.5</v>
      </c>
      <c r="F547" s="8" t="str">
        <f>IF(OR(B547&lt;outliers!$B$7,B547&gt;outliers!$B$6),"Outlier","Normal")</f>
        <v>Normal</v>
      </c>
      <c r="G547" s="8" t="str">
        <f>IF(OR(C547&lt;outliers!$B$14,C547&gt;outliers!$B$13),"Outlier","Normal")</f>
        <v>Normal</v>
      </c>
      <c r="H547" s="8" t="str">
        <f>IF(OR(D547&lt;outliers!$B$21,D547&gt;outliers!$B$20),"Outlier","Normal")</f>
        <v>Normal</v>
      </c>
      <c r="I547" s="8" t="str">
        <f>IF(OR(E547&lt;outliers!$C$28,E547&gt;outliers!$B$27),"Outlier","Normal")</f>
        <v>Normal</v>
      </c>
      <c r="J547" s="8">
        <f t="shared" si="16"/>
        <v>2019</v>
      </c>
      <c r="K547">
        <f t="shared" si="17"/>
        <v>11</v>
      </c>
    </row>
    <row r="548" spans="1:11" x14ac:dyDescent="0.35">
      <c r="A548" s="13">
        <v>43800</v>
      </c>
      <c r="B548" s="8">
        <v>21.2</v>
      </c>
      <c r="C548" s="8">
        <v>19.399999999999999</v>
      </c>
      <c r="D548" s="8">
        <v>24.6</v>
      </c>
      <c r="E548" s="8">
        <v>1.8</v>
      </c>
      <c r="F548" s="8" t="str">
        <f>IF(OR(B548&lt;outliers!$B$7,B548&gt;outliers!$B$6),"Outlier","Normal")</f>
        <v>Normal</v>
      </c>
      <c r="G548" s="8" t="str">
        <f>IF(OR(C548&lt;outliers!$B$14,C548&gt;outliers!$B$13),"Outlier","Normal")</f>
        <v>Normal</v>
      </c>
      <c r="H548" s="8" t="str">
        <f>IF(OR(D548&lt;outliers!$B$21,D548&gt;outliers!$B$20),"Outlier","Normal")</f>
        <v>Normal</v>
      </c>
      <c r="I548" s="8" t="str">
        <f>IF(OR(E548&lt;outliers!$C$28,E548&gt;outliers!$B$27),"Outlier","Normal")</f>
        <v>Normal</v>
      </c>
      <c r="J548" s="8">
        <f t="shared" si="16"/>
        <v>2019</v>
      </c>
      <c r="K548">
        <f t="shared" si="17"/>
        <v>12</v>
      </c>
    </row>
    <row r="549" spans="1:11" x14ac:dyDescent="0.35">
      <c r="A549" s="13">
        <v>43801</v>
      </c>
      <c r="B549" s="8">
        <v>21.3</v>
      </c>
      <c r="C549" s="8">
        <v>19.2</v>
      </c>
      <c r="D549" s="8">
        <v>25</v>
      </c>
      <c r="E549" s="8">
        <v>6.9</v>
      </c>
      <c r="F549" s="8" t="str">
        <f>IF(OR(B549&lt;outliers!$B$7,B549&gt;outliers!$B$6),"Outlier","Normal")</f>
        <v>Normal</v>
      </c>
      <c r="G549" s="8" t="str">
        <f>IF(OR(C549&lt;outliers!$B$14,C549&gt;outliers!$B$13),"Outlier","Normal")</f>
        <v>Normal</v>
      </c>
      <c r="H549" s="8" t="str">
        <f>IF(OR(D549&lt;outliers!$B$21,D549&gt;outliers!$B$20),"Outlier","Normal")</f>
        <v>Normal</v>
      </c>
      <c r="I549" s="8" t="str">
        <f>IF(OR(E549&lt;outliers!$C$28,E549&gt;outliers!$B$27),"Outlier","Normal")</f>
        <v>Normal</v>
      </c>
      <c r="J549" s="8">
        <f t="shared" si="16"/>
        <v>2019</v>
      </c>
      <c r="K549">
        <f t="shared" si="17"/>
        <v>12</v>
      </c>
    </row>
    <row r="550" spans="1:11" x14ac:dyDescent="0.35">
      <c r="A550" s="13">
        <v>43802</v>
      </c>
      <c r="B550" s="8">
        <v>21.1</v>
      </c>
      <c r="C550" s="8">
        <v>19.399999999999999</v>
      </c>
      <c r="D550" s="8">
        <v>24.5</v>
      </c>
      <c r="E550" s="8">
        <v>0.5</v>
      </c>
      <c r="F550" s="8" t="str">
        <f>IF(OR(B550&lt;outliers!$B$7,B550&gt;outliers!$B$6),"Outlier","Normal")</f>
        <v>Normal</v>
      </c>
      <c r="G550" s="8" t="str">
        <f>IF(OR(C550&lt;outliers!$B$14,C550&gt;outliers!$B$13),"Outlier","Normal")</f>
        <v>Normal</v>
      </c>
      <c r="H550" s="8" t="str">
        <f>IF(OR(D550&lt;outliers!$B$21,D550&gt;outliers!$B$20),"Outlier","Normal")</f>
        <v>Normal</v>
      </c>
      <c r="I550" s="8" t="str">
        <f>IF(OR(E550&lt;outliers!$C$28,E550&gt;outliers!$B$27),"Outlier","Normal")</f>
        <v>Normal</v>
      </c>
      <c r="J550" s="8">
        <f t="shared" si="16"/>
        <v>2019</v>
      </c>
      <c r="K550">
        <f t="shared" si="17"/>
        <v>12</v>
      </c>
    </row>
    <row r="551" spans="1:11" x14ac:dyDescent="0.35">
      <c r="A551" s="13">
        <v>43803</v>
      </c>
      <c r="B551" s="8">
        <v>21.2</v>
      </c>
      <c r="C551" s="8">
        <v>18.8</v>
      </c>
      <c r="D551" s="8">
        <v>26</v>
      </c>
      <c r="E551" s="8">
        <v>0</v>
      </c>
      <c r="F551" s="8" t="str">
        <f>IF(OR(B551&lt;outliers!$B$7,B551&gt;outliers!$B$6),"Outlier","Normal")</f>
        <v>Normal</v>
      </c>
      <c r="G551" s="8" t="str">
        <f>IF(OR(C551&lt;outliers!$B$14,C551&gt;outliers!$B$13),"Outlier","Normal")</f>
        <v>Normal</v>
      </c>
      <c r="H551" s="8" t="str">
        <f>IF(OR(D551&lt;outliers!$B$21,D551&gt;outliers!$B$20),"Outlier","Normal")</f>
        <v>Normal</v>
      </c>
      <c r="I551" s="8" t="str">
        <f>IF(OR(E551&lt;outliers!$C$28,E551&gt;outliers!$B$27),"Outlier","Normal")</f>
        <v>Normal</v>
      </c>
      <c r="J551" s="8">
        <f t="shared" si="16"/>
        <v>2019</v>
      </c>
      <c r="K551">
        <f t="shared" si="17"/>
        <v>12</v>
      </c>
    </row>
    <row r="552" spans="1:11" x14ac:dyDescent="0.35">
      <c r="A552" s="13">
        <v>43804</v>
      </c>
      <c r="B552" s="8">
        <v>20.8</v>
      </c>
      <c r="C552" s="8">
        <v>18</v>
      </c>
      <c r="D552" s="8">
        <v>26</v>
      </c>
      <c r="E552" s="8">
        <v>0</v>
      </c>
      <c r="F552" s="8" t="str">
        <f>IF(OR(B552&lt;outliers!$B$7,B552&gt;outliers!$B$6),"Outlier","Normal")</f>
        <v>Normal</v>
      </c>
      <c r="G552" s="8" t="str">
        <f>IF(OR(C552&lt;outliers!$B$14,C552&gt;outliers!$B$13),"Outlier","Normal")</f>
        <v>Normal</v>
      </c>
      <c r="H552" s="8" t="str">
        <f>IF(OR(D552&lt;outliers!$B$21,D552&gt;outliers!$B$20),"Outlier","Normal")</f>
        <v>Normal</v>
      </c>
      <c r="I552" s="8" t="str">
        <f>IF(OR(E552&lt;outliers!$C$28,E552&gt;outliers!$B$27),"Outlier","Normal")</f>
        <v>Normal</v>
      </c>
      <c r="J552" s="8">
        <f t="shared" si="16"/>
        <v>2019</v>
      </c>
      <c r="K552">
        <f t="shared" si="17"/>
        <v>12</v>
      </c>
    </row>
    <row r="553" spans="1:11" x14ac:dyDescent="0.35">
      <c r="A553" s="13">
        <v>43807</v>
      </c>
      <c r="B553" s="8">
        <v>20.2</v>
      </c>
      <c r="C553" s="8">
        <v>17.8</v>
      </c>
      <c r="D553" s="8">
        <v>24.9</v>
      </c>
      <c r="E553" s="8">
        <v>0.5</v>
      </c>
      <c r="F553" s="8" t="str">
        <f>IF(OR(B553&lt;outliers!$B$7,B553&gt;outliers!$B$6),"Outlier","Normal")</f>
        <v>Normal</v>
      </c>
      <c r="G553" s="8" t="str">
        <f>IF(OR(C553&lt;outliers!$B$14,C553&gt;outliers!$B$13),"Outlier","Normal")</f>
        <v>Normal</v>
      </c>
      <c r="H553" s="8" t="str">
        <f>IF(OR(D553&lt;outliers!$B$21,D553&gt;outliers!$B$20),"Outlier","Normal")</f>
        <v>Normal</v>
      </c>
      <c r="I553" s="8" t="str">
        <f>IF(OR(E553&lt;outliers!$C$28,E553&gt;outliers!$B$27),"Outlier","Normal")</f>
        <v>Normal</v>
      </c>
      <c r="J553" s="8">
        <f t="shared" si="16"/>
        <v>2019</v>
      </c>
      <c r="K553">
        <f t="shared" si="17"/>
        <v>12</v>
      </c>
    </row>
    <row r="554" spans="1:11" x14ac:dyDescent="0.35">
      <c r="A554" s="13">
        <v>43808</v>
      </c>
      <c r="B554" s="8">
        <v>21.5</v>
      </c>
      <c r="C554" s="8">
        <v>17</v>
      </c>
      <c r="D554" s="8">
        <v>26.8</v>
      </c>
      <c r="E554" s="8">
        <v>0</v>
      </c>
      <c r="F554" s="8" t="str">
        <f>IF(OR(B554&lt;outliers!$B$7,B554&gt;outliers!$B$6),"Outlier","Normal")</f>
        <v>Normal</v>
      </c>
      <c r="G554" s="8" t="str">
        <f>IF(OR(C554&lt;outliers!$B$14,C554&gt;outliers!$B$13),"Outlier","Normal")</f>
        <v>Normal</v>
      </c>
      <c r="H554" s="8" t="str">
        <f>IF(OR(D554&lt;outliers!$B$21,D554&gt;outliers!$B$20),"Outlier","Normal")</f>
        <v>Normal</v>
      </c>
      <c r="I554" s="8" t="str">
        <f>IF(OR(E554&lt;outliers!$C$28,E554&gt;outliers!$B$27),"Outlier","Normal")</f>
        <v>Normal</v>
      </c>
      <c r="J554" s="8">
        <f t="shared" si="16"/>
        <v>2019</v>
      </c>
      <c r="K554">
        <f t="shared" si="17"/>
        <v>12</v>
      </c>
    </row>
    <row r="555" spans="1:11" x14ac:dyDescent="0.35">
      <c r="A555" s="13">
        <v>43813</v>
      </c>
      <c r="B555" s="8">
        <v>21.1</v>
      </c>
      <c r="C555" s="8">
        <v>18.8</v>
      </c>
      <c r="D555" s="8">
        <v>28.8</v>
      </c>
      <c r="E555" s="8">
        <v>0</v>
      </c>
      <c r="F555" s="8" t="str">
        <f>IF(OR(B555&lt;outliers!$B$7,B555&gt;outliers!$B$6),"Outlier","Normal")</f>
        <v>Normal</v>
      </c>
      <c r="G555" s="8" t="str">
        <f>IF(OR(C555&lt;outliers!$B$14,C555&gt;outliers!$B$13),"Outlier","Normal")</f>
        <v>Normal</v>
      </c>
      <c r="H555" s="8" t="str">
        <f>IF(OR(D555&lt;outliers!$B$21,D555&gt;outliers!$B$20),"Outlier","Normal")</f>
        <v>Normal</v>
      </c>
      <c r="I555" s="8" t="str">
        <f>IF(OR(E555&lt;outliers!$C$28,E555&gt;outliers!$B$27),"Outlier","Normal")</f>
        <v>Normal</v>
      </c>
      <c r="J555" s="8">
        <f t="shared" si="16"/>
        <v>2019</v>
      </c>
      <c r="K555">
        <f t="shared" si="17"/>
        <v>12</v>
      </c>
    </row>
    <row r="556" spans="1:11" x14ac:dyDescent="0.35">
      <c r="A556" s="13">
        <v>43814</v>
      </c>
      <c r="B556" s="8">
        <v>21.7</v>
      </c>
      <c r="C556" s="8">
        <v>17.600000000000001</v>
      </c>
      <c r="D556" s="8">
        <v>25.8</v>
      </c>
      <c r="E556" s="8">
        <v>2.8</v>
      </c>
      <c r="F556" s="8" t="str">
        <f>IF(OR(B556&lt;outliers!$B$7,B556&gt;outliers!$B$6),"Outlier","Normal")</f>
        <v>Normal</v>
      </c>
      <c r="G556" s="8" t="str">
        <f>IF(OR(C556&lt;outliers!$B$14,C556&gt;outliers!$B$13),"Outlier","Normal")</f>
        <v>Normal</v>
      </c>
      <c r="H556" s="8" t="str">
        <f>IF(OR(D556&lt;outliers!$B$21,D556&gt;outliers!$B$20),"Outlier","Normal")</f>
        <v>Normal</v>
      </c>
      <c r="I556" s="8" t="str">
        <f>IF(OR(E556&lt;outliers!$C$28,E556&gt;outliers!$B$27),"Outlier","Normal")</f>
        <v>Normal</v>
      </c>
      <c r="J556" s="8">
        <f t="shared" si="16"/>
        <v>2019</v>
      </c>
      <c r="K556">
        <f t="shared" si="17"/>
        <v>12</v>
      </c>
    </row>
    <row r="557" spans="1:11" x14ac:dyDescent="0.35">
      <c r="A557" s="13">
        <v>43815</v>
      </c>
      <c r="B557" s="8">
        <v>22.1</v>
      </c>
      <c r="C557" s="8">
        <v>17.399999999999999</v>
      </c>
      <c r="D557" s="8">
        <v>26.7</v>
      </c>
      <c r="E557" s="8">
        <v>0</v>
      </c>
      <c r="F557" s="8" t="str">
        <f>IF(OR(B557&lt;outliers!$B$7,B557&gt;outliers!$B$6),"Outlier","Normal")</f>
        <v>Normal</v>
      </c>
      <c r="G557" s="8" t="str">
        <f>IF(OR(C557&lt;outliers!$B$14,C557&gt;outliers!$B$13),"Outlier","Normal")</f>
        <v>Normal</v>
      </c>
      <c r="H557" s="8" t="str">
        <f>IF(OR(D557&lt;outliers!$B$21,D557&gt;outliers!$B$20),"Outlier","Normal")</f>
        <v>Normal</v>
      </c>
      <c r="I557" s="8" t="str">
        <f>IF(OR(E557&lt;outliers!$C$28,E557&gt;outliers!$B$27),"Outlier","Normal")</f>
        <v>Normal</v>
      </c>
      <c r="J557" s="8">
        <f t="shared" si="16"/>
        <v>2019</v>
      </c>
      <c r="K557">
        <f t="shared" si="17"/>
        <v>12</v>
      </c>
    </row>
    <row r="558" spans="1:11" x14ac:dyDescent="0.35">
      <c r="A558" s="13">
        <v>43816</v>
      </c>
      <c r="B558" s="8">
        <v>21.3</v>
      </c>
      <c r="C558" s="8">
        <v>18.399999999999999</v>
      </c>
      <c r="D558" s="8">
        <v>27.6</v>
      </c>
      <c r="E558" s="8">
        <v>0</v>
      </c>
      <c r="F558" s="8" t="str">
        <f>IF(OR(B558&lt;outliers!$B$7,B558&gt;outliers!$B$6),"Outlier","Normal")</f>
        <v>Normal</v>
      </c>
      <c r="G558" s="8" t="str">
        <f>IF(OR(C558&lt;outliers!$B$14,C558&gt;outliers!$B$13),"Outlier","Normal")</f>
        <v>Normal</v>
      </c>
      <c r="H558" s="8" t="str">
        <f>IF(OR(D558&lt;outliers!$B$21,D558&gt;outliers!$B$20),"Outlier","Normal")</f>
        <v>Normal</v>
      </c>
      <c r="I558" s="8" t="str">
        <f>IF(OR(E558&lt;outliers!$C$28,E558&gt;outliers!$B$27),"Outlier","Normal")</f>
        <v>Normal</v>
      </c>
      <c r="J558" s="8">
        <f t="shared" si="16"/>
        <v>2019</v>
      </c>
      <c r="K558">
        <f t="shared" si="17"/>
        <v>12</v>
      </c>
    </row>
    <row r="559" spans="1:11" x14ac:dyDescent="0.35">
      <c r="A559" s="13">
        <v>43817</v>
      </c>
      <c r="B559" s="8">
        <v>21.6</v>
      </c>
      <c r="C559" s="8">
        <v>17</v>
      </c>
      <c r="D559" s="8">
        <v>26.2</v>
      </c>
      <c r="E559" s="8">
        <v>0</v>
      </c>
      <c r="F559" s="8" t="str">
        <f>IF(OR(B559&lt;outliers!$B$7,B559&gt;outliers!$B$6),"Outlier","Normal")</f>
        <v>Normal</v>
      </c>
      <c r="G559" s="8" t="str">
        <f>IF(OR(C559&lt;outliers!$B$14,C559&gt;outliers!$B$13),"Outlier","Normal")</f>
        <v>Normal</v>
      </c>
      <c r="H559" s="8" t="str">
        <f>IF(OR(D559&lt;outliers!$B$21,D559&gt;outliers!$B$20),"Outlier","Normal")</f>
        <v>Normal</v>
      </c>
      <c r="I559" s="8" t="str">
        <f>IF(OR(E559&lt;outliers!$C$28,E559&gt;outliers!$B$27),"Outlier","Normal")</f>
        <v>Normal</v>
      </c>
      <c r="J559" s="8">
        <f t="shared" si="16"/>
        <v>2019</v>
      </c>
      <c r="K559">
        <f t="shared" si="17"/>
        <v>12</v>
      </c>
    </row>
    <row r="560" spans="1:11" x14ac:dyDescent="0.35">
      <c r="A560" s="13">
        <v>43834</v>
      </c>
      <c r="B560" s="8">
        <v>23.6</v>
      </c>
      <c r="C560" s="8">
        <v>18.600000000000001</v>
      </c>
      <c r="D560" s="8">
        <v>30.5</v>
      </c>
      <c r="E560" s="8">
        <v>0</v>
      </c>
      <c r="F560" s="8" t="str">
        <f>IF(OR(B560&lt;outliers!$B$7,B560&gt;outliers!$B$6),"Outlier","Normal")</f>
        <v>Normal</v>
      </c>
      <c r="G560" s="8" t="str">
        <f>IF(OR(C560&lt;outliers!$B$14,C560&gt;outliers!$B$13),"Outlier","Normal")</f>
        <v>Normal</v>
      </c>
      <c r="H560" s="8" t="str">
        <f>IF(OR(D560&lt;outliers!$B$21,D560&gt;outliers!$B$20),"Outlier","Normal")</f>
        <v>Normal</v>
      </c>
      <c r="I560" s="8" t="str">
        <f>IF(OR(E560&lt;outliers!$C$28,E560&gt;outliers!$B$27),"Outlier","Normal")</f>
        <v>Normal</v>
      </c>
      <c r="J560" s="8">
        <f t="shared" si="16"/>
        <v>2020</v>
      </c>
      <c r="K560">
        <f t="shared" si="17"/>
        <v>1</v>
      </c>
    </row>
    <row r="561" spans="1:11" x14ac:dyDescent="0.35">
      <c r="A561" s="13">
        <v>43836</v>
      </c>
      <c r="B561" s="8">
        <v>22.1</v>
      </c>
      <c r="C561" s="8">
        <v>20.399999999999999</v>
      </c>
      <c r="D561" s="8">
        <v>30.8</v>
      </c>
      <c r="E561" s="8">
        <v>0.3</v>
      </c>
      <c r="F561" s="8" t="str">
        <f>IF(OR(B561&lt;outliers!$B$7,B561&gt;outliers!$B$6),"Outlier","Normal")</f>
        <v>Normal</v>
      </c>
      <c r="G561" s="8" t="str">
        <f>IF(OR(C561&lt;outliers!$B$14,C561&gt;outliers!$B$13),"Outlier","Normal")</f>
        <v>Normal</v>
      </c>
      <c r="H561" s="8" t="str">
        <f>IF(OR(D561&lt;outliers!$B$21,D561&gt;outliers!$B$20),"Outlier","Normal")</f>
        <v>Normal</v>
      </c>
      <c r="I561" s="8" t="str">
        <f>IF(OR(E561&lt;outliers!$C$28,E561&gt;outliers!$B$27),"Outlier","Normal")</f>
        <v>Normal</v>
      </c>
      <c r="J561" s="8">
        <f t="shared" si="16"/>
        <v>2020</v>
      </c>
      <c r="K561">
        <f t="shared" si="17"/>
        <v>1</v>
      </c>
    </row>
    <row r="562" spans="1:11" x14ac:dyDescent="0.35">
      <c r="A562" s="13">
        <v>43837</v>
      </c>
      <c r="B562" s="8">
        <v>22.2</v>
      </c>
      <c r="C562" s="8">
        <v>18.8</v>
      </c>
      <c r="D562" s="8">
        <v>26.2</v>
      </c>
      <c r="E562" s="8">
        <v>0</v>
      </c>
      <c r="F562" s="8" t="str">
        <f>IF(OR(B562&lt;outliers!$B$7,B562&gt;outliers!$B$6),"Outlier","Normal")</f>
        <v>Normal</v>
      </c>
      <c r="G562" s="8" t="str">
        <f>IF(OR(C562&lt;outliers!$B$14,C562&gt;outliers!$B$13),"Outlier","Normal")</f>
        <v>Normal</v>
      </c>
      <c r="H562" s="8" t="str">
        <f>IF(OR(D562&lt;outliers!$B$21,D562&gt;outliers!$B$20),"Outlier","Normal")</f>
        <v>Normal</v>
      </c>
      <c r="I562" s="8" t="str">
        <f>IF(OR(E562&lt;outliers!$C$28,E562&gt;outliers!$B$27),"Outlier","Normal")</f>
        <v>Normal</v>
      </c>
      <c r="J562" s="8">
        <f t="shared" si="16"/>
        <v>2020</v>
      </c>
      <c r="K562">
        <f t="shared" si="17"/>
        <v>1</v>
      </c>
    </row>
    <row r="563" spans="1:11" x14ac:dyDescent="0.35">
      <c r="A563" s="13">
        <v>43893</v>
      </c>
      <c r="B563" s="8">
        <v>25.8</v>
      </c>
      <c r="C563" s="8">
        <v>20</v>
      </c>
      <c r="D563" s="8">
        <v>30.6</v>
      </c>
      <c r="E563" s="8">
        <v>0</v>
      </c>
      <c r="F563" s="8" t="str">
        <f>IF(OR(B563&lt;outliers!$B$7,B563&gt;outliers!$B$6),"Outlier","Normal")</f>
        <v>Normal</v>
      </c>
      <c r="G563" s="8" t="str">
        <f>IF(OR(C563&lt;outliers!$B$14,C563&gt;outliers!$B$13),"Outlier","Normal")</f>
        <v>Normal</v>
      </c>
      <c r="H563" s="8" t="str">
        <f>IF(OR(D563&lt;outliers!$B$21,D563&gt;outliers!$B$20),"Outlier","Normal")</f>
        <v>Normal</v>
      </c>
      <c r="I563" s="8" t="str">
        <f>IF(OR(E563&lt;outliers!$C$28,E563&gt;outliers!$B$27),"Outlier","Normal")</f>
        <v>Normal</v>
      </c>
      <c r="J563" s="8">
        <f t="shared" si="16"/>
        <v>2020</v>
      </c>
      <c r="K563">
        <f t="shared" si="17"/>
        <v>3</v>
      </c>
    </row>
    <row r="564" spans="1:11" x14ac:dyDescent="0.35">
      <c r="A564" s="13">
        <v>43894</v>
      </c>
      <c r="B564" s="8">
        <v>26.4</v>
      </c>
      <c r="C564" s="8">
        <v>21.4</v>
      </c>
      <c r="D564" s="8">
        <v>33</v>
      </c>
      <c r="E564" s="8">
        <v>1</v>
      </c>
      <c r="F564" s="8" t="str">
        <f>IF(OR(B564&lt;outliers!$B$7,B564&gt;outliers!$B$6),"Outlier","Normal")</f>
        <v>Normal</v>
      </c>
      <c r="G564" s="8" t="str">
        <f>IF(OR(C564&lt;outliers!$B$14,C564&gt;outliers!$B$13),"Outlier","Normal")</f>
        <v>Normal</v>
      </c>
      <c r="H564" s="8" t="str">
        <f>IF(OR(D564&lt;outliers!$B$21,D564&gt;outliers!$B$20),"Outlier","Normal")</f>
        <v>Normal</v>
      </c>
      <c r="I564" s="8" t="str">
        <f>IF(OR(E564&lt;outliers!$C$28,E564&gt;outliers!$B$27),"Outlier","Normal")</f>
        <v>Normal</v>
      </c>
      <c r="J564" s="8">
        <f t="shared" si="16"/>
        <v>2020</v>
      </c>
      <c r="K564">
        <f t="shared" si="17"/>
        <v>3</v>
      </c>
    </row>
    <row r="565" spans="1:11" x14ac:dyDescent="0.35">
      <c r="A565" s="13">
        <v>43895</v>
      </c>
      <c r="B565" s="8">
        <v>27.4</v>
      </c>
      <c r="C565" s="8">
        <v>21.6</v>
      </c>
      <c r="D565" s="8">
        <v>32.4</v>
      </c>
      <c r="E565" s="8">
        <v>0</v>
      </c>
      <c r="F565" s="8" t="str">
        <f>IF(OR(B565&lt;outliers!$B$7,B565&gt;outliers!$B$6),"Outlier","Normal")</f>
        <v>Normal</v>
      </c>
      <c r="G565" s="8" t="str">
        <f>IF(OR(C565&lt;outliers!$B$14,C565&gt;outliers!$B$13),"Outlier","Normal")</f>
        <v>Normal</v>
      </c>
      <c r="H565" s="8" t="str">
        <f>IF(OR(D565&lt;outliers!$B$21,D565&gt;outliers!$B$20),"Outlier","Normal")</f>
        <v>Normal</v>
      </c>
      <c r="I565" s="8" t="str">
        <f>IF(OR(E565&lt;outliers!$C$28,E565&gt;outliers!$B$27),"Outlier","Normal")</f>
        <v>Normal</v>
      </c>
      <c r="J565" s="8">
        <f t="shared" si="16"/>
        <v>2020</v>
      </c>
      <c r="K565">
        <f t="shared" si="17"/>
        <v>3</v>
      </c>
    </row>
    <row r="566" spans="1:11" x14ac:dyDescent="0.35">
      <c r="A566" s="13">
        <v>43897</v>
      </c>
      <c r="B566" s="8">
        <v>26.1</v>
      </c>
      <c r="C566" s="8">
        <v>22.3</v>
      </c>
      <c r="D566" s="8">
        <v>33.4</v>
      </c>
      <c r="E566" s="8">
        <v>1</v>
      </c>
      <c r="F566" s="8" t="str">
        <f>IF(OR(B566&lt;outliers!$B$7,B566&gt;outliers!$B$6),"Outlier","Normal")</f>
        <v>Normal</v>
      </c>
      <c r="G566" s="8" t="str">
        <f>IF(OR(C566&lt;outliers!$B$14,C566&gt;outliers!$B$13),"Outlier","Normal")</f>
        <v>Normal</v>
      </c>
      <c r="H566" s="8" t="str">
        <f>IF(OR(D566&lt;outliers!$B$21,D566&gt;outliers!$B$20),"Outlier","Normal")</f>
        <v>Normal</v>
      </c>
      <c r="I566" s="8" t="str">
        <f>IF(OR(E566&lt;outliers!$C$28,E566&gt;outliers!$B$27),"Outlier","Normal")</f>
        <v>Normal</v>
      </c>
      <c r="J566" s="8">
        <f t="shared" si="16"/>
        <v>2020</v>
      </c>
      <c r="K566">
        <f t="shared" si="17"/>
        <v>3</v>
      </c>
    </row>
    <row r="567" spans="1:11" x14ac:dyDescent="0.35">
      <c r="A567" s="13">
        <v>43898</v>
      </c>
      <c r="B567" s="8">
        <v>26.4</v>
      </c>
      <c r="C567" s="8">
        <v>21.2</v>
      </c>
      <c r="D567" s="8">
        <v>32.299999999999997</v>
      </c>
      <c r="E567" s="8">
        <v>0</v>
      </c>
      <c r="F567" s="8" t="str">
        <f>IF(OR(B567&lt;outliers!$B$7,B567&gt;outliers!$B$6),"Outlier","Normal")</f>
        <v>Normal</v>
      </c>
      <c r="G567" s="8" t="str">
        <f>IF(OR(C567&lt;outliers!$B$14,C567&gt;outliers!$B$13),"Outlier","Normal")</f>
        <v>Normal</v>
      </c>
      <c r="H567" s="8" t="str">
        <f>IF(OR(D567&lt;outliers!$B$21,D567&gt;outliers!$B$20),"Outlier","Normal")</f>
        <v>Normal</v>
      </c>
      <c r="I567" s="8" t="str">
        <f>IF(OR(E567&lt;outliers!$C$28,E567&gt;outliers!$B$27),"Outlier","Normal")</f>
        <v>Normal</v>
      </c>
      <c r="J567" s="8">
        <f t="shared" si="16"/>
        <v>2020</v>
      </c>
      <c r="K567">
        <f t="shared" si="17"/>
        <v>3</v>
      </c>
    </row>
    <row r="568" spans="1:11" x14ac:dyDescent="0.35">
      <c r="A568" s="13">
        <v>43911</v>
      </c>
      <c r="B568" s="8">
        <v>27.4</v>
      </c>
      <c r="C568" s="8">
        <v>22</v>
      </c>
      <c r="D568" s="8">
        <v>34.1</v>
      </c>
      <c r="E568" s="8">
        <v>1</v>
      </c>
      <c r="F568" s="8" t="str">
        <f>IF(OR(B568&lt;outliers!$B$7,B568&gt;outliers!$B$6),"Outlier","Normal")</f>
        <v>Normal</v>
      </c>
      <c r="G568" s="8" t="str">
        <f>IF(OR(C568&lt;outliers!$B$14,C568&gt;outliers!$B$13),"Outlier","Normal")</f>
        <v>Normal</v>
      </c>
      <c r="H568" s="8" t="str">
        <f>IF(OR(D568&lt;outliers!$B$21,D568&gt;outliers!$B$20),"Outlier","Normal")</f>
        <v>Normal</v>
      </c>
      <c r="I568" s="8" t="str">
        <f>IF(OR(E568&lt;outliers!$C$28,E568&gt;outliers!$B$27),"Outlier","Normal")</f>
        <v>Normal</v>
      </c>
      <c r="J568" s="8">
        <f t="shared" si="16"/>
        <v>2020</v>
      </c>
      <c r="K568">
        <f t="shared" si="17"/>
        <v>3</v>
      </c>
    </row>
    <row r="569" spans="1:11" x14ac:dyDescent="0.35">
      <c r="A569" s="13">
        <v>43912</v>
      </c>
      <c r="B569" s="8">
        <v>27.8</v>
      </c>
      <c r="C569" s="8">
        <v>22.8</v>
      </c>
      <c r="D569" s="8">
        <v>35.4</v>
      </c>
      <c r="E569" s="8">
        <v>0</v>
      </c>
      <c r="F569" s="8" t="str">
        <f>IF(OR(B569&lt;outliers!$B$7,B569&gt;outliers!$B$6),"Outlier","Normal")</f>
        <v>Normal</v>
      </c>
      <c r="G569" s="8" t="str">
        <f>IF(OR(C569&lt;outliers!$B$14,C569&gt;outliers!$B$13),"Outlier","Normal")</f>
        <v>Normal</v>
      </c>
      <c r="H569" s="8" t="str">
        <f>IF(OR(D569&lt;outliers!$B$21,D569&gt;outliers!$B$20),"Outlier","Normal")</f>
        <v>Normal</v>
      </c>
      <c r="I569" s="8" t="str">
        <f>IF(OR(E569&lt;outliers!$C$28,E569&gt;outliers!$B$27),"Outlier","Normal")</f>
        <v>Normal</v>
      </c>
      <c r="J569" s="8">
        <f t="shared" si="16"/>
        <v>2020</v>
      </c>
      <c r="K569">
        <f t="shared" si="17"/>
        <v>3</v>
      </c>
    </row>
    <row r="570" spans="1:11" x14ac:dyDescent="0.35">
      <c r="A570" s="13">
        <v>43913</v>
      </c>
      <c r="B570" s="8">
        <v>25.3</v>
      </c>
      <c r="C570" s="8">
        <v>22.8</v>
      </c>
      <c r="D570" s="8">
        <v>34.4</v>
      </c>
      <c r="E570" s="8">
        <v>0</v>
      </c>
      <c r="F570" s="8" t="str">
        <f>IF(OR(B570&lt;outliers!$B$7,B570&gt;outliers!$B$6),"Outlier","Normal")</f>
        <v>Normal</v>
      </c>
      <c r="G570" s="8" t="str">
        <f>IF(OR(C570&lt;outliers!$B$14,C570&gt;outliers!$B$13),"Outlier","Normal")</f>
        <v>Normal</v>
      </c>
      <c r="H570" s="8" t="str">
        <f>IF(OR(D570&lt;outliers!$B$21,D570&gt;outliers!$B$20),"Outlier","Normal")</f>
        <v>Normal</v>
      </c>
      <c r="I570" s="8" t="str">
        <f>IF(OR(E570&lt;outliers!$C$28,E570&gt;outliers!$B$27),"Outlier","Normal")</f>
        <v>Normal</v>
      </c>
      <c r="J570" s="8">
        <f t="shared" si="16"/>
        <v>2020</v>
      </c>
      <c r="K570">
        <f t="shared" si="17"/>
        <v>3</v>
      </c>
    </row>
    <row r="571" spans="1:11" x14ac:dyDescent="0.35">
      <c r="A571" s="13">
        <v>43914</v>
      </c>
      <c r="B571" s="8">
        <v>27.4</v>
      </c>
      <c r="C571" s="8">
        <v>20.8</v>
      </c>
      <c r="D571" s="8">
        <v>34.4</v>
      </c>
      <c r="E571" s="8">
        <v>5.0999999999999996</v>
      </c>
      <c r="F571" s="8" t="str">
        <f>IF(OR(B571&lt;outliers!$B$7,B571&gt;outliers!$B$6),"Outlier","Normal")</f>
        <v>Normal</v>
      </c>
      <c r="G571" s="8" t="str">
        <f>IF(OR(C571&lt;outliers!$B$14,C571&gt;outliers!$B$13),"Outlier","Normal")</f>
        <v>Normal</v>
      </c>
      <c r="H571" s="8" t="str">
        <f>IF(OR(D571&lt;outliers!$B$21,D571&gt;outliers!$B$20),"Outlier","Normal")</f>
        <v>Normal</v>
      </c>
      <c r="I571" s="8" t="str">
        <f>IF(OR(E571&lt;outliers!$C$28,E571&gt;outliers!$B$27),"Outlier","Normal")</f>
        <v>Normal</v>
      </c>
      <c r="J571" s="8">
        <f t="shared" si="16"/>
        <v>2020</v>
      </c>
      <c r="K571">
        <f t="shared" si="17"/>
        <v>3</v>
      </c>
    </row>
    <row r="572" spans="1:11" x14ac:dyDescent="0.35">
      <c r="A572" s="13">
        <v>43915</v>
      </c>
      <c r="B572" s="8">
        <v>26.8</v>
      </c>
      <c r="C572" s="8">
        <v>21</v>
      </c>
      <c r="D572" s="8">
        <v>34.700000000000003</v>
      </c>
      <c r="E572" s="8">
        <v>0</v>
      </c>
      <c r="F572" s="8" t="str">
        <f>IF(OR(B572&lt;outliers!$B$7,B572&gt;outliers!$B$6),"Outlier","Normal")</f>
        <v>Normal</v>
      </c>
      <c r="G572" s="8" t="str">
        <f>IF(OR(C572&lt;outliers!$B$14,C572&gt;outliers!$B$13),"Outlier","Normal")</f>
        <v>Normal</v>
      </c>
      <c r="H572" s="8" t="str">
        <f>IF(OR(D572&lt;outliers!$B$21,D572&gt;outliers!$B$20),"Outlier","Normal")</f>
        <v>Normal</v>
      </c>
      <c r="I572" s="8" t="str">
        <f>IF(OR(E572&lt;outliers!$C$28,E572&gt;outliers!$B$27),"Outlier","Normal")</f>
        <v>Normal</v>
      </c>
      <c r="J572" s="8">
        <f t="shared" si="16"/>
        <v>2020</v>
      </c>
      <c r="K572">
        <f t="shared" si="17"/>
        <v>3</v>
      </c>
    </row>
    <row r="573" spans="1:11" hidden="1" x14ac:dyDescent="0.35">
      <c r="A573" s="13">
        <v>43927</v>
      </c>
      <c r="B573" s="8">
        <v>27.7</v>
      </c>
      <c r="C573" s="8">
        <v>21.8</v>
      </c>
      <c r="D573" s="8">
        <v>36.4</v>
      </c>
      <c r="E573" s="8">
        <v>0</v>
      </c>
      <c r="F573" s="8" t="str">
        <f>IF(OR(B573&lt;outliers!$B$7,B573&gt;outliers!$B$6),"Outlier","Normal")</f>
        <v>Normal</v>
      </c>
      <c r="G573" s="8" t="str">
        <f>IF(OR(C573&lt;outliers!$B$14,C573&gt;outliers!$B$13),"Outlier","Normal")</f>
        <v>Normal</v>
      </c>
      <c r="H573" s="8" t="str">
        <f>IF(OR(D573&lt;outliers!$B$21,D573&gt;outliers!$B$20),"Outlier","Normal")</f>
        <v>Outlier</v>
      </c>
      <c r="I573" s="8" t="str">
        <f>IF(OR(E573&lt;outliers!$C$28,E573&gt;outliers!$B$27),"Outlier","Normal")</f>
        <v>Normal</v>
      </c>
      <c r="J573" s="8">
        <f t="shared" si="16"/>
        <v>2020</v>
      </c>
      <c r="K573">
        <f t="shared" si="17"/>
        <v>4</v>
      </c>
    </row>
    <row r="574" spans="1:11" hidden="1" x14ac:dyDescent="0.35">
      <c r="A574" s="13">
        <v>43928</v>
      </c>
      <c r="B574" s="8">
        <v>25</v>
      </c>
      <c r="C574" s="8">
        <v>21</v>
      </c>
      <c r="D574" s="8">
        <v>35.6</v>
      </c>
      <c r="E574" s="8">
        <v>30</v>
      </c>
      <c r="F574" s="8" t="str">
        <f>IF(OR(B574&lt;outliers!$B$7,B574&gt;outliers!$B$6),"Outlier","Normal")</f>
        <v>Normal</v>
      </c>
      <c r="G574" s="8" t="str">
        <f>IF(OR(C574&lt;outliers!$B$14,C574&gt;outliers!$B$13),"Outlier","Normal")</f>
        <v>Normal</v>
      </c>
      <c r="H574" s="8" t="str">
        <f>IF(OR(D574&lt;outliers!$B$21,D574&gt;outliers!$B$20),"Outlier","Normal")</f>
        <v>Normal</v>
      </c>
      <c r="I574" s="8" t="str">
        <f>IF(OR(E574&lt;outliers!$C$28,E574&gt;outliers!$B$27),"Outlier","Normal")</f>
        <v>Outlier</v>
      </c>
      <c r="J574" s="8">
        <f t="shared" si="16"/>
        <v>2020</v>
      </c>
      <c r="K574">
        <f t="shared" si="17"/>
        <v>4</v>
      </c>
    </row>
    <row r="575" spans="1:11" x14ac:dyDescent="0.35">
      <c r="A575" s="13">
        <v>43929</v>
      </c>
      <c r="B575" s="8">
        <v>26.8</v>
      </c>
      <c r="C575" s="8">
        <v>21</v>
      </c>
      <c r="D575" s="8">
        <v>32.799999999999997</v>
      </c>
      <c r="E575" s="8">
        <v>0</v>
      </c>
      <c r="F575" s="8" t="str">
        <f>IF(OR(B575&lt;outliers!$B$7,B575&gt;outliers!$B$6),"Outlier","Normal")</f>
        <v>Normal</v>
      </c>
      <c r="G575" s="8" t="str">
        <f>IF(OR(C575&lt;outliers!$B$14,C575&gt;outliers!$B$13),"Outlier","Normal")</f>
        <v>Normal</v>
      </c>
      <c r="H575" s="8" t="str">
        <f>IF(OR(D575&lt;outliers!$B$21,D575&gt;outliers!$B$20),"Outlier","Normal")</f>
        <v>Normal</v>
      </c>
      <c r="I575" s="8" t="str">
        <f>IF(OR(E575&lt;outliers!$C$28,E575&gt;outliers!$B$27),"Outlier","Normal")</f>
        <v>Normal</v>
      </c>
      <c r="J575" s="8">
        <f t="shared" si="16"/>
        <v>2020</v>
      </c>
      <c r="K575">
        <f t="shared" si="17"/>
        <v>4</v>
      </c>
    </row>
    <row r="576" spans="1:11" x14ac:dyDescent="0.35">
      <c r="A576" s="13">
        <v>43930</v>
      </c>
      <c r="B576" s="8">
        <v>24.9</v>
      </c>
      <c r="C576" s="8">
        <v>19.8</v>
      </c>
      <c r="D576" s="8">
        <v>33.700000000000003</v>
      </c>
      <c r="E576" s="8">
        <v>0</v>
      </c>
      <c r="F576" s="8" t="str">
        <f>IF(OR(B576&lt;outliers!$B$7,B576&gt;outliers!$B$6),"Outlier","Normal")</f>
        <v>Normal</v>
      </c>
      <c r="G576" s="8" t="str">
        <f>IF(OR(C576&lt;outliers!$B$14,C576&gt;outliers!$B$13),"Outlier","Normal")</f>
        <v>Normal</v>
      </c>
      <c r="H576" s="8" t="str">
        <f>IF(OR(D576&lt;outliers!$B$21,D576&gt;outliers!$B$20),"Outlier","Normal")</f>
        <v>Normal</v>
      </c>
      <c r="I576" s="8" t="str">
        <f>IF(OR(E576&lt;outliers!$C$28,E576&gt;outliers!$B$27),"Outlier","Normal")</f>
        <v>Normal</v>
      </c>
      <c r="J576" s="8">
        <f t="shared" si="16"/>
        <v>2020</v>
      </c>
      <c r="K576">
        <f t="shared" si="17"/>
        <v>4</v>
      </c>
    </row>
    <row r="577" spans="1:11" hidden="1" x14ac:dyDescent="0.35">
      <c r="A577" s="13">
        <v>43931</v>
      </c>
      <c r="B577" s="8">
        <v>24.7</v>
      </c>
      <c r="C577" s="8">
        <v>18.600000000000001</v>
      </c>
      <c r="D577" s="8">
        <v>33.4</v>
      </c>
      <c r="E577" s="8">
        <v>33.299999999999997</v>
      </c>
      <c r="F577" s="8" t="str">
        <f>IF(OR(B577&lt;outliers!$B$7,B577&gt;outliers!$B$6),"Outlier","Normal")</f>
        <v>Normal</v>
      </c>
      <c r="G577" s="8" t="str">
        <f>IF(OR(C577&lt;outliers!$B$14,C577&gt;outliers!$B$13),"Outlier","Normal")</f>
        <v>Normal</v>
      </c>
      <c r="H577" s="8" t="str">
        <f>IF(OR(D577&lt;outliers!$B$21,D577&gt;outliers!$B$20),"Outlier","Normal")</f>
        <v>Normal</v>
      </c>
      <c r="I577" s="8" t="str">
        <f>IF(OR(E577&lt;outliers!$C$28,E577&gt;outliers!$B$27),"Outlier","Normal")</f>
        <v>Outlier</v>
      </c>
      <c r="J577" s="8">
        <f t="shared" si="16"/>
        <v>2020</v>
      </c>
      <c r="K577">
        <f t="shared" si="17"/>
        <v>4</v>
      </c>
    </row>
    <row r="578" spans="1:11" x14ac:dyDescent="0.35">
      <c r="A578" s="13">
        <v>43932</v>
      </c>
      <c r="B578" s="8">
        <v>26.6</v>
      </c>
      <c r="C578" s="8">
        <v>21</v>
      </c>
      <c r="D578" s="8">
        <v>31.8</v>
      </c>
      <c r="E578" s="8">
        <v>0</v>
      </c>
      <c r="F578" s="8" t="str">
        <f>IF(OR(B578&lt;outliers!$B$7,B578&gt;outliers!$B$6),"Outlier","Normal")</f>
        <v>Normal</v>
      </c>
      <c r="G578" s="8" t="str">
        <f>IF(OR(C578&lt;outliers!$B$14,C578&gt;outliers!$B$13),"Outlier","Normal")</f>
        <v>Normal</v>
      </c>
      <c r="H578" s="8" t="str">
        <f>IF(OR(D578&lt;outliers!$B$21,D578&gt;outliers!$B$20),"Outlier","Normal")</f>
        <v>Normal</v>
      </c>
      <c r="I578" s="8" t="str">
        <f>IF(OR(E578&lt;outliers!$C$28,E578&gt;outliers!$B$27),"Outlier","Normal")</f>
        <v>Normal</v>
      </c>
      <c r="J578" s="8">
        <f t="shared" si="16"/>
        <v>2020</v>
      </c>
      <c r="K578">
        <f t="shared" si="17"/>
        <v>4</v>
      </c>
    </row>
    <row r="579" spans="1:11" hidden="1" x14ac:dyDescent="0.35">
      <c r="A579" s="13">
        <v>43945</v>
      </c>
      <c r="B579" s="8">
        <v>25.7</v>
      </c>
      <c r="C579" s="8">
        <v>20.5</v>
      </c>
      <c r="D579" s="8">
        <v>36</v>
      </c>
      <c r="E579" s="8">
        <v>23.1</v>
      </c>
      <c r="F579" s="8" t="str">
        <f>IF(OR(B579&lt;outliers!$B$7,B579&gt;outliers!$B$6),"Outlier","Normal")</f>
        <v>Normal</v>
      </c>
      <c r="G579" s="8" t="str">
        <f>IF(OR(C579&lt;outliers!$B$14,C579&gt;outliers!$B$13),"Outlier","Normal")</f>
        <v>Normal</v>
      </c>
      <c r="H579" s="8" t="str">
        <f>IF(OR(D579&lt;outliers!$B$21,D579&gt;outliers!$B$20),"Outlier","Normal")</f>
        <v>Normal</v>
      </c>
      <c r="I579" s="8" t="str">
        <f>IF(OR(E579&lt;outliers!$C$28,E579&gt;outliers!$B$27),"Outlier","Normal")</f>
        <v>Outlier</v>
      </c>
      <c r="J579" s="8">
        <f t="shared" si="16"/>
        <v>2020</v>
      </c>
      <c r="K579">
        <f t="shared" si="17"/>
        <v>4</v>
      </c>
    </row>
    <row r="580" spans="1:11" x14ac:dyDescent="0.35">
      <c r="A580" s="13">
        <v>43946</v>
      </c>
      <c r="B580" s="8">
        <v>25.8</v>
      </c>
      <c r="C580" s="8">
        <v>22.7</v>
      </c>
      <c r="D580" s="8">
        <v>30.8</v>
      </c>
      <c r="E580" s="8">
        <v>0</v>
      </c>
      <c r="F580" s="8" t="str">
        <f>IF(OR(B580&lt;outliers!$B$7,B580&gt;outliers!$B$6),"Outlier","Normal")</f>
        <v>Normal</v>
      </c>
      <c r="G580" s="8" t="str">
        <f>IF(OR(C580&lt;outliers!$B$14,C580&gt;outliers!$B$13),"Outlier","Normal")</f>
        <v>Normal</v>
      </c>
      <c r="H580" s="8" t="str">
        <f>IF(OR(D580&lt;outliers!$B$21,D580&gt;outliers!$B$20),"Outlier","Normal")</f>
        <v>Normal</v>
      </c>
      <c r="I580" s="8" t="str">
        <f>IF(OR(E580&lt;outliers!$C$28,E580&gt;outliers!$B$27),"Outlier","Normal")</f>
        <v>Normal</v>
      </c>
      <c r="J580" s="8">
        <f t="shared" ref="J580:J643" si="18">YEAR(A580)</f>
        <v>2020</v>
      </c>
      <c r="K580">
        <f t="shared" ref="K580:K643" si="19">MONTH(A580)</f>
        <v>4</v>
      </c>
    </row>
    <row r="581" spans="1:11" x14ac:dyDescent="0.35">
      <c r="A581" s="13">
        <v>43947</v>
      </c>
      <c r="B581" s="8">
        <v>26.7</v>
      </c>
      <c r="C581" s="8">
        <v>22.6</v>
      </c>
      <c r="D581" s="8">
        <v>32</v>
      </c>
      <c r="E581" s="8">
        <v>0</v>
      </c>
      <c r="F581" s="8" t="str">
        <f>IF(OR(B581&lt;outliers!$B$7,B581&gt;outliers!$B$6),"Outlier","Normal")</f>
        <v>Normal</v>
      </c>
      <c r="G581" s="8" t="str">
        <f>IF(OR(C581&lt;outliers!$B$14,C581&gt;outliers!$B$13),"Outlier","Normal")</f>
        <v>Normal</v>
      </c>
      <c r="H581" s="8" t="str">
        <f>IF(OR(D581&lt;outliers!$B$21,D581&gt;outliers!$B$20),"Outlier","Normal")</f>
        <v>Normal</v>
      </c>
      <c r="I581" s="8" t="str">
        <f>IF(OR(E581&lt;outliers!$C$28,E581&gt;outliers!$B$27),"Outlier","Normal")</f>
        <v>Normal</v>
      </c>
      <c r="J581" s="8">
        <f t="shared" si="18"/>
        <v>2020</v>
      </c>
      <c r="K581">
        <f t="shared" si="19"/>
        <v>4</v>
      </c>
    </row>
    <row r="582" spans="1:11" x14ac:dyDescent="0.35">
      <c r="A582" s="13">
        <v>43948</v>
      </c>
      <c r="B582" s="8">
        <v>26.7</v>
      </c>
      <c r="C582" s="8">
        <v>22.4</v>
      </c>
      <c r="D582" s="8">
        <v>31.6</v>
      </c>
      <c r="E582" s="8">
        <v>0</v>
      </c>
      <c r="F582" s="8" t="str">
        <f>IF(OR(B582&lt;outliers!$B$7,B582&gt;outliers!$B$6),"Outlier","Normal")</f>
        <v>Normal</v>
      </c>
      <c r="G582" s="8" t="str">
        <f>IF(OR(C582&lt;outliers!$B$14,C582&gt;outliers!$B$13),"Outlier","Normal")</f>
        <v>Normal</v>
      </c>
      <c r="H582" s="8" t="str">
        <f>IF(OR(D582&lt;outliers!$B$21,D582&gt;outliers!$B$20),"Outlier","Normal")</f>
        <v>Normal</v>
      </c>
      <c r="I582" s="8" t="str">
        <f>IF(OR(E582&lt;outliers!$C$28,E582&gt;outliers!$B$27),"Outlier","Normal")</f>
        <v>Normal</v>
      </c>
      <c r="J582" s="8">
        <f t="shared" si="18"/>
        <v>2020</v>
      </c>
      <c r="K582">
        <f t="shared" si="19"/>
        <v>4</v>
      </c>
    </row>
    <row r="583" spans="1:11" x14ac:dyDescent="0.35">
      <c r="A583" s="13">
        <v>43949</v>
      </c>
      <c r="B583" s="8">
        <v>27.2</v>
      </c>
      <c r="C583" s="8">
        <v>23</v>
      </c>
      <c r="D583" s="8">
        <v>34.799999999999997</v>
      </c>
      <c r="E583" s="8">
        <v>3</v>
      </c>
      <c r="F583" s="8" t="str">
        <f>IF(OR(B583&lt;outliers!$B$7,B583&gt;outliers!$B$6),"Outlier","Normal")</f>
        <v>Normal</v>
      </c>
      <c r="G583" s="8" t="str">
        <f>IF(OR(C583&lt;outliers!$B$14,C583&gt;outliers!$B$13),"Outlier","Normal")</f>
        <v>Normal</v>
      </c>
      <c r="H583" s="8" t="str">
        <f>IF(OR(D583&lt;outliers!$B$21,D583&gt;outliers!$B$20),"Outlier","Normal")</f>
        <v>Normal</v>
      </c>
      <c r="I583" s="8" t="str">
        <f>IF(OR(E583&lt;outliers!$C$28,E583&gt;outliers!$B$27),"Outlier","Normal")</f>
        <v>Normal</v>
      </c>
      <c r="J583" s="8">
        <f t="shared" si="18"/>
        <v>2020</v>
      </c>
      <c r="K583">
        <f t="shared" si="19"/>
        <v>4</v>
      </c>
    </row>
    <row r="584" spans="1:11" hidden="1" x14ac:dyDescent="0.35">
      <c r="A584" s="13">
        <v>43950</v>
      </c>
      <c r="B584" s="8">
        <v>23.2</v>
      </c>
      <c r="C584" s="8">
        <v>19.600000000000001</v>
      </c>
      <c r="D584" s="8">
        <v>34</v>
      </c>
      <c r="E584" s="8">
        <v>30.7</v>
      </c>
      <c r="F584" s="8" t="str">
        <f>IF(OR(B584&lt;outliers!$B$7,B584&gt;outliers!$B$6),"Outlier","Normal")</f>
        <v>Normal</v>
      </c>
      <c r="G584" s="8" t="str">
        <f>IF(OR(C584&lt;outliers!$B$14,C584&gt;outliers!$B$13),"Outlier","Normal")</f>
        <v>Normal</v>
      </c>
      <c r="H584" s="8" t="str">
        <f>IF(OR(D584&lt;outliers!$B$21,D584&gt;outliers!$B$20),"Outlier","Normal")</f>
        <v>Normal</v>
      </c>
      <c r="I584" s="8" t="str">
        <f>IF(OR(E584&lt;outliers!$C$28,E584&gt;outliers!$B$27),"Outlier","Normal")</f>
        <v>Outlier</v>
      </c>
      <c r="J584" s="8">
        <f t="shared" si="18"/>
        <v>2020</v>
      </c>
      <c r="K584">
        <f t="shared" si="19"/>
        <v>4</v>
      </c>
    </row>
    <row r="585" spans="1:11" x14ac:dyDescent="0.35">
      <c r="A585" s="13">
        <v>43951</v>
      </c>
      <c r="B585" s="8">
        <v>26.5</v>
      </c>
      <c r="C585" s="8">
        <v>21</v>
      </c>
      <c r="D585" s="8">
        <v>33.799999999999997</v>
      </c>
      <c r="E585" s="8">
        <v>1</v>
      </c>
      <c r="F585" s="8" t="str">
        <f>IF(OR(B585&lt;outliers!$B$7,B585&gt;outliers!$B$6),"Outlier","Normal")</f>
        <v>Normal</v>
      </c>
      <c r="G585" s="8" t="str">
        <f>IF(OR(C585&lt;outliers!$B$14,C585&gt;outliers!$B$13),"Outlier","Normal")</f>
        <v>Normal</v>
      </c>
      <c r="H585" s="8" t="str">
        <f>IF(OR(D585&lt;outliers!$B$21,D585&gt;outliers!$B$20),"Outlier","Normal")</f>
        <v>Normal</v>
      </c>
      <c r="I585" s="8" t="str">
        <f>IF(OR(E585&lt;outliers!$C$28,E585&gt;outliers!$B$27),"Outlier","Normal")</f>
        <v>Normal</v>
      </c>
      <c r="J585" s="8">
        <f t="shared" si="18"/>
        <v>2020</v>
      </c>
      <c r="K585">
        <f t="shared" si="19"/>
        <v>4</v>
      </c>
    </row>
    <row r="586" spans="1:11" hidden="1" x14ac:dyDescent="0.35">
      <c r="A586" s="13">
        <v>43969</v>
      </c>
      <c r="B586" s="8">
        <v>25.3</v>
      </c>
      <c r="C586" s="8">
        <v>21.2</v>
      </c>
      <c r="D586" s="8">
        <v>35.6</v>
      </c>
      <c r="E586" s="8">
        <v>10.9</v>
      </c>
      <c r="F586" s="8" t="str">
        <f>IF(OR(B586&lt;outliers!$B$7,B586&gt;outliers!$B$6),"Outlier","Normal")</f>
        <v>Normal</v>
      </c>
      <c r="G586" s="8" t="str">
        <f>IF(OR(C586&lt;outliers!$B$14,C586&gt;outliers!$B$13),"Outlier","Normal")</f>
        <v>Normal</v>
      </c>
      <c r="H586" s="8" t="str">
        <f>IF(OR(D586&lt;outliers!$B$21,D586&gt;outliers!$B$20),"Outlier","Normal")</f>
        <v>Normal</v>
      </c>
      <c r="I586" s="8" t="str">
        <f>IF(OR(E586&lt;outliers!$C$28,E586&gt;outliers!$B$27),"Outlier","Normal")</f>
        <v>Outlier</v>
      </c>
      <c r="J586" s="8">
        <f t="shared" si="18"/>
        <v>2020</v>
      </c>
      <c r="K586">
        <f t="shared" si="19"/>
        <v>5</v>
      </c>
    </row>
    <row r="587" spans="1:11" x14ac:dyDescent="0.35">
      <c r="A587" s="13">
        <v>43970</v>
      </c>
      <c r="B587" s="8">
        <v>26.7</v>
      </c>
      <c r="C587" s="8">
        <v>22.6</v>
      </c>
      <c r="D587" s="8">
        <v>31.5</v>
      </c>
      <c r="E587" s="8">
        <v>0</v>
      </c>
      <c r="F587" s="8" t="str">
        <f>IF(OR(B587&lt;outliers!$B$7,B587&gt;outliers!$B$6),"Outlier","Normal")</f>
        <v>Normal</v>
      </c>
      <c r="G587" s="8" t="str">
        <f>IF(OR(C587&lt;outliers!$B$14,C587&gt;outliers!$B$13),"Outlier","Normal")</f>
        <v>Normal</v>
      </c>
      <c r="H587" s="8" t="str">
        <f>IF(OR(D587&lt;outliers!$B$21,D587&gt;outliers!$B$20),"Outlier","Normal")</f>
        <v>Normal</v>
      </c>
      <c r="I587" s="8" t="str">
        <f>IF(OR(E587&lt;outliers!$C$28,E587&gt;outliers!$B$27),"Outlier","Normal")</f>
        <v>Normal</v>
      </c>
      <c r="J587" s="8">
        <f t="shared" si="18"/>
        <v>2020</v>
      </c>
      <c r="K587">
        <f t="shared" si="19"/>
        <v>5</v>
      </c>
    </row>
    <row r="588" spans="1:11" hidden="1" x14ac:dyDescent="0.35">
      <c r="A588" s="13">
        <v>43973</v>
      </c>
      <c r="B588" s="8">
        <v>28.6</v>
      </c>
      <c r="C588" s="8">
        <v>22.1</v>
      </c>
      <c r="D588" s="8">
        <v>34.6</v>
      </c>
      <c r="E588" s="8">
        <v>0</v>
      </c>
      <c r="F588" s="8" t="str">
        <f>IF(OR(B588&lt;outliers!$B$7,B588&gt;outliers!$B$6),"Outlier","Normal")</f>
        <v>Outlier</v>
      </c>
      <c r="G588" s="8" t="str">
        <f>IF(OR(C588&lt;outliers!$B$14,C588&gt;outliers!$B$13),"Outlier","Normal")</f>
        <v>Normal</v>
      </c>
      <c r="H588" s="8" t="str">
        <f>IF(OR(D588&lt;outliers!$B$21,D588&gt;outliers!$B$20),"Outlier","Normal")</f>
        <v>Normal</v>
      </c>
      <c r="I588" s="8" t="str">
        <f>IF(OR(E588&lt;outliers!$C$28,E588&gt;outliers!$B$27),"Outlier","Normal")</f>
        <v>Normal</v>
      </c>
      <c r="J588" s="8">
        <f t="shared" si="18"/>
        <v>2020</v>
      </c>
      <c r="K588">
        <f t="shared" si="19"/>
        <v>5</v>
      </c>
    </row>
    <row r="589" spans="1:11" x14ac:dyDescent="0.35">
      <c r="A589" s="13">
        <v>43975</v>
      </c>
      <c r="B589" s="8">
        <v>25.6</v>
      </c>
      <c r="C589" s="8">
        <v>21.8</v>
      </c>
      <c r="D589" s="8">
        <v>35.6</v>
      </c>
      <c r="E589" s="8">
        <v>0</v>
      </c>
      <c r="F589" s="8" t="str">
        <f>IF(OR(B589&lt;outliers!$B$7,B589&gt;outliers!$B$6),"Outlier","Normal")</f>
        <v>Normal</v>
      </c>
      <c r="G589" s="8" t="str">
        <f>IF(OR(C589&lt;outliers!$B$14,C589&gt;outliers!$B$13),"Outlier","Normal")</f>
        <v>Normal</v>
      </c>
      <c r="H589" s="8" t="str">
        <f>IF(OR(D589&lt;outliers!$B$21,D589&gt;outliers!$B$20),"Outlier","Normal")</f>
        <v>Normal</v>
      </c>
      <c r="I589" s="8" t="str">
        <f>IF(OR(E589&lt;outliers!$C$28,E589&gt;outliers!$B$27),"Outlier","Normal")</f>
        <v>Normal</v>
      </c>
      <c r="J589" s="8">
        <f t="shared" si="18"/>
        <v>2020</v>
      </c>
      <c r="K589">
        <f t="shared" si="19"/>
        <v>5</v>
      </c>
    </row>
    <row r="590" spans="1:11" hidden="1" x14ac:dyDescent="0.35">
      <c r="A590" s="13">
        <v>43976</v>
      </c>
      <c r="B590" s="8">
        <v>26.7</v>
      </c>
      <c r="C590" s="8">
        <v>22</v>
      </c>
      <c r="D590" s="8">
        <v>34.4</v>
      </c>
      <c r="E590" s="8">
        <v>35.299999999999997</v>
      </c>
      <c r="F590" s="8" t="str">
        <f>IF(OR(B590&lt;outliers!$B$7,B590&gt;outliers!$B$6),"Outlier","Normal")</f>
        <v>Normal</v>
      </c>
      <c r="G590" s="8" t="str">
        <f>IF(OR(C590&lt;outliers!$B$14,C590&gt;outliers!$B$13),"Outlier","Normal")</f>
        <v>Normal</v>
      </c>
      <c r="H590" s="8" t="str">
        <f>IF(OR(D590&lt;outliers!$B$21,D590&gt;outliers!$B$20),"Outlier","Normal")</f>
        <v>Normal</v>
      </c>
      <c r="I590" s="8" t="str">
        <f>IF(OR(E590&lt;outliers!$C$28,E590&gt;outliers!$B$27),"Outlier","Normal")</f>
        <v>Outlier</v>
      </c>
      <c r="J590" s="8">
        <f t="shared" si="18"/>
        <v>2020</v>
      </c>
      <c r="K590">
        <f t="shared" si="19"/>
        <v>5</v>
      </c>
    </row>
    <row r="591" spans="1:11" x14ac:dyDescent="0.35">
      <c r="A591" s="13">
        <v>43977</v>
      </c>
      <c r="B591" s="8">
        <v>25.6</v>
      </c>
      <c r="C591" s="8">
        <v>20.399999999999999</v>
      </c>
      <c r="D591" s="8">
        <v>33.4</v>
      </c>
      <c r="E591" s="8">
        <v>0</v>
      </c>
      <c r="F591" s="8" t="str">
        <f>IF(OR(B591&lt;outliers!$B$7,B591&gt;outliers!$B$6),"Outlier","Normal")</f>
        <v>Normal</v>
      </c>
      <c r="G591" s="8" t="str">
        <f>IF(OR(C591&lt;outliers!$B$14,C591&gt;outliers!$B$13),"Outlier","Normal")</f>
        <v>Normal</v>
      </c>
      <c r="H591" s="8" t="str">
        <f>IF(OR(D591&lt;outliers!$B$21,D591&gt;outliers!$B$20),"Outlier","Normal")</f>
        <v>Normal</v>
      </c>
      <c r="I591" s="8" t="str">
        <f>IF(OR(E591&lt;outliers!$C$28,E591&gt;outliers!$B$27),"Outlier","Normal")</f>
        <v>Normal</v>
      </c>
      <c r="J591" s="8">
        <f t="shared" si="18"/>
        <v>2020</v>
      </c>
      <c r="K591">
        <f t="shared" si="19"/>
        <v>5</v>
      </c>
    </row>
    <row r="592" spans="1:11" hidden="1" x14ac:dyDescent="0.35">
      <c r="A592" s="13">
        <v>43978</v>
      </c>
      <c r="B592" s="8">
        <v>24.1</v>
      </c>
      <c r="C592" s="8">
        <v>20.9</v>
      </c>
      <c r="D592" s="8">
        <v>32.9</v>
      </c>
      <c r="E592" s="8">
        <v>31</v>
      </c>
      <c r="F592" s="8" t="str">
        <f>IF(OR(B592&lt;outliers!$B$7,B592&gt;outliers!$B$6),"Outlier","Normal")</f>
        <v>Normal</v>
      </c>
      <c r="G592" s="8" t="str">
        <f>IF(OR(C592&lt;outliers!$B$14,C592&gt;outliers!$B$13),"Outlier","Normal")</f>
        <v>Normal</v>
      </c>
      <c r="H592" s="8" t="str">
        <f>IF(OR(D592&lt;outliers!$B$21,D592&gt;outliers!$B$20),"Outlier","Normal")</f>
        <v>Normal</v>
      </c>
      <c r="I592" s="8" t="str">
        <f>IF(OR(E592&lt;outliers!$C$28,E592&gt;outliers!$B$27),"Outlier","Normal")</f>
        <v>Outlier</v>
      </c>
      <c r="J592" s="8">
        <f t="shared" si="18"/>
        <v>2020</v>
      </c>
      <c r="K592">
        <f t="shared" si="19"/>
        <v>5</v>
      </c>
    </row>
    <row r="593" spans="1:11" x14ac:dyDescent="0.35">
      <c r="A593" s="13">
        <v>43979</v>
      </c>
      <c r="B593" s="8">
        <v>24.9</v>
      </c>
      <c r="C593" s="8">
        <v>20.8</v>
      </c>
      <c r="D593" s="8">
        <v>32.6</v>
      </c>
      <c r="E593" s="8">
        <v>0</v>
      </c>
      <c r="F593" s="8" t="str">
        <f>IF(OR(B593&lt;outliers!$B$7,B593&gt;outliers!$B$6),"Outlier","Normal")</f>
        <v>Normal</v>
      </c>
      <c r="G593" s="8" t="str">
        <f>IF(OR(C593&lt;outliers!$B$14,C593&gt;outliers!$B$13),"Outlier","Normal")</f>
        <v>Normal</v>
      </c>
      <c r="H593" s="8" t="str">
        <f>IF(OR(D593&lt;outliers!$B$21,D593&gt;outliers!$B$20),"Outlier","Normal")</f>
        <v>Normal</v>
      </c>
      <c r="I593" s="8" t="str">
        <f>IF(OR(E593&lt;outliers!$C$28,E593&gt;outliers!$B$27),"Outlier","Normal")</f>
        <v>Normal</v>
      </c>
      <c r="J593" s="8">
        <f t="shared" si="18"/>
        <v>2020</v>
      </c>
      <c r="K593">
        <f t="shared" si="19"/>
        <v>5</v>
      </c>
    </row>
    <row r="594" spans="1:11" x14ac:dyDescent="0.35">
      <c r="A594" s="13">
        <v>43980</v>
      </c>
      <c r="B594" s="8">
        <v>24.1</v>
      </c>
      <c r="C594" s="8">
        <v>20.6</v>
      </c>
      <c r="D594" s="8">
        <v>32.4</v>
      </c>
      <c r="E594" s="8">
        <v>4.3</v>
      </c>
      <c r="F594" s="8" t="str">
        <f>IF(OR(B594&lt;outliers!$B$7,B594&gt;outliers!$B$6),"Outlier","Normal")</f>
        <v>Normal</v>
      </c>
      <c r="G594" s="8" t="str">
        <f>IF(OR(C594&lt;outliers!$B$14,C594&gt;outliers!$B$13),"Outlier","Normal")</f>
        <v>Normal</v>
      </c>
      <c r="H594" s="8" t="str">
        <f>IF(OR(D594&lt;outliers!$B$21,D594&gt;outliers!$B$20),"Outlier","Normal")</f>
        <v>Normal</v>
      </c>
      <c r="I594" s="8" t="str">
        <f>IF(OR(E594&lt;outliers!$C$28,E594&gt;outliers!$B$27),"Outlier","Normal")</f>
        <v>Normal</v>
      </c>
      <c r="J594" s="8">
        <f t="shared" si="18"/>
        <v>2020</v>
      </c>
      <c r="K594">
        <f t="shared" si="19"/>
        <v>5</v>
      </c>
    </row>
    <row r="595" spans="1:11" hidden="1" x14ac:dyDescent="0.35">
      <c r="A595" s="13">
        <v>43981</v>
      </c>
      <c r="B595" s="8">
        <v>24.6</v>
      </c>
      <c r="C595" s="8">
        <v>20.2</v>
      </c>
      <c r="D595" s="8">
        <v>32.6</v>
      </c>
      <c r="E595" s="8">
        <v>24.4</v>
      </c>
      <c r="F595" s="8" t="str">
        <f>IF(OR(B595&lt;outliers!$B$7,B595&gt;outliers!$B$6),"Outlier","Normal")</f>
        <v>Normal</v>
      </c>
      <c r="G595" s="8" t="str">
        <f>IF(OR(C595&lt;outliers!$B$14,C595&gt;outliers!$B$13),"Outlier","Normal")</f>
        <v>Normal</v>
      </c>
      <c r="H595" s="8" t="str">
        <f>IF(OR(D595&lt;outliers!$B$21,D595&gt;outliers!$B$20),"Outlier","Normal")</f>
        <v>Normal</v>
      </c>
      <c r="I595" s="8" t="str">
        <f>IF(OR(E595&lt;outliers!$C$28,E595&gt;outliers!$B$27),"Outlier","Normal")</f>
        <v>Outlier</v>
      </c>
      <c r="J595" s="8">
        <f t="shared" si="18"/>
        <v>2020</v>
      </c>
      <c r="K595">
        <f t="shared" si="19"/>
        <v>5</v>
      </c>
    </row>
    <row r="596" spans="1:11" x14ac:dyDescent="0.35">
      <c r="A596" s="13">
        <v>43982</v>
      </c>
      <c r="B596" s="8">
        <v>26.3</v>
      </c>
      <c r="C596" s="8">
        <v>22.4</v>
      </c>
      <c r="D596" s="8">
        <v>31.9</v>
      </c>
      <c r="E596" s="8">
        <v>0.3</v>
      </c>
      <c r="F596" s="8" t="str">
        <f>IF(OR(B596&lt;outliers!$B$7,B596&gt;outliers!$B$6),"Outlier","Normal")</f>
        <v>Normal</v>
      </c>
      <c r="G596" s="8" t="str">
        <f>IF(OR(C596&lt;outliers!$B$14,C596&gt;outliers!$B$13),"Outlier","Normal")</f>
        <v>Normal</v>
      </c>
      <c r="H596" s="8" t="str">
        <f>IF(OR(D596&lt;outliers!$B$21,D596&gt;outliers!$B$20),"Outlier","Normal")</f>
        <v>Normal</v>
      </c>
      <c r="I596" s="8" t="str">
        <f>IF(OR(E596&lt;outliers!$C$28,E596&gt;outliers!$B$27),"Outlier","Normal")</f>
        <v>Normal</v>
      </c>
      <c r="J596" s="8">
        <f t="shared" si="18"/>
        <v>2020</v>
      </c>
      <c r="K596">
        <f t="shared" si="19"/>
        <v>5</v>
      </c>
    </row>
    <row r="597" spans="1:11" x14ac:dyDescent="0.35">
      <c r="A597" s="13">
        <v>43983</v>
      </c>
      <c r="B597" s="8">
        <v>25.9</v>
      </c>
      <c r="C597" s="8">
        <v>22.4</v>
      </c>
      <c r="D597" s="8">
        <v>32.799999999999997</v>
      </c>
      <c r="E597" s="8">
        <v>0</v>
      </c>
      <c r="F597" s="8" t="str">
        <f>IF(OR(B597&lt;outliers!$B$7,B597&gt;outliers!$B$6),"Outlier","Normal")</f>
        <v>Normal</v>
      </c>
      <c r="G597" s="8" t="str">
        <f>IF(OR(C597&lt;outliers!$B$14,C597&gt;outliers!$B$13),"Outlier","Normal")</f>
        <v>Normal</v>
      </c>
      <c r="H597" s="8" t="str">
        <f>IF(OR(D597&lt;outliers!$B$21,D597&gt;outliers!$B$20),"Outlier","Normal")</f>
        <v>Normal</v>
      </c>
      <c r="I597" s="8" t="str">
        <f>IF(OR(E597&lt;outliers!$C$28,E597&gt;outliers!$B$27),"Outlier","Normal")</f>
        <v>Normal</v>
      </c>
      <c r="J597" s="8">
        <f t="shared" si="18"/>
        <v>2020</v>
      </c>
      <c r="K597">
        <f t="shared" si="19"/>
        <v>6</v>
      </c>
    </row>
    <row r="598" spans="1:11" x14ac:dyDescent="0.35">
      <c r="A598" s="13">
        <v>43984</v>
      </c>
      <c r="B598" s="8">
        <v>24.4</v>
      </c>
      <c r="C598" s="8">
        <v>20.3</v>
      </c>
      <c r="D598" s="8">
        <v>32</v>
      </c>
      <c r="E598" s="8">
        <v>0</v>
      </c>
      <c r="F598" s="8" t="str">
        <f>IF(OR(B598&lt;outliers!$B$7,B598&gt;outliers!$B$6),"Outlier","Normal")</f>
        <v>Normal</v>
      </c>
      <c r="G598" s="8" t="str">
        <f>IF(OR(C598&lt;outliers!$B$14,C598&gt;outliers!$B$13),"Outlier","Normal")</f>
        <v>Normal</v>
      </c>
      <c r="H598" s="8" t="str">
        <f>IF(OR(D598&lt;outliers!$B$21,D598&gt;outliers!$B$20),"Outlier","Normal")</f>
        <v>Normal</v>
      </c>
      <c r="I598" s="8" t="str">
        <f>IF(OR(E598&lt;outliers!$C$28,E598&gt;outliers!$B$27),"Outlier","Normal")</f>
        <v>Normal</v>
      </c>
      <c r="J598" s="8">
        <f t="shared" si="18"/>
        <v>2020</v>
      </c>
      <c r="K598">
        <f t="shared" si="19"/>
        <v>6</v>
      </c>
    </row>
    <row r="599" spans="1:11" x14ac:dyDescent="0.35">
      <c r="A599" s="13">
        <v>43985</v>
      </c>
      <c r="B599" s="8">
        <v>24.7</v>
      </c>
      <c r="C599" s="8">
        <v>21.2</v>
      </c>
      <c r="D599" s="8">
        <v>28.8</v>
      </c>
      <c r="E599" s="8">
        <v>0</v>
      </c>
      <c r="F599" s="8" t="str">
        <f>IF(OR(B599&lt;outliers!$B$7,B599&gt;outliers!$B$6),"Outlier","Normal")</f>
        <v>Normal</v>
      </c>
      <c r="G599" s="8" t="str">
        <f>IF(OR(C599&lt;outliers!$B$14,C599&gt;outliers!$B$13),"Outlier","Normal")</f>
        <v>Normal</v>
      </c>
      <c r="H599" s="8" t="str">
        <f>IF(OR(D599&lt;outliers!$B$21,D599&gt;outliers!$B$20),"Outlier","Normal")</f>
        <v>Normal</v>
      </c>
      <c r="I599" s="8" t="str">
        <f>IF(OR(E599&lt;outliers!$C$28,E599&gt;outliers!$B$27),"Outlier","Normal")</f>
        <v>Normal</v>
      </c>
      <c r="J599" s="8">
        <f t="shared" si="18"/>
        <v>2020</v>
      </c>
      <c r="K599">
        <f t="shared" si="19"/>
        <v>6</v>
      </c>
    </row>
    <row r="600" spans="1:11" x14ac:dyDescent="0.35">
      <c r="A600" s="13">
        <v>43986</v>
      </c>
      <c r="B600" s="8">
        <v>25.4</v>
      </c>
      <c r="C600" s="8">
        <v>21.8</v>
      </c>
      <c r="D600" s="8">
        <v>29.4</v>
      </c>
      <c r="E600" s="8">
        <v>0</v>
      </c>
      <c r="F600" s="8" t="str">
        <f>IF(OR(B600&lt;outliers!$B$7,B600&gt;outliers!$B$6),"Outlier","Normal")</f>
        <v>Normal</v>
      </c>
      <c r="G600" s="8" t="str">
        <f>IF(OR(C600&lt;outliers!$B$14,C600&gt;outliers!$B$13),"Outlier","Normal")</f>
        <v>Normal</v>
      </c>
      <c r="H600" s="8" t="str">
        <f>IF(OR(D600&lt;outliers!$B$21,D600&gt;outliers!$B$20),"Outlier","Normal")</f>
        <v>Normal</v>
      </c>
      <c r="I600" s="8" t="str">
        <f>IF(OR(E600&lt;outliers!$C$28,E600&gt;outliers!$B$27),"Outlier","Normal")</f>
        <v>Normal</v>
      </c>
      <c r="J600" s="8">
        <f t="shared" si="18"/>
        <v>2020</v>
      </c>
      <c r="K600">
        <f t="shared" si="19"/>
        <v>6</v>
      </c>
    </row>
    <row r="601" spans="1:11" x14ac:dyDescent="0.35">
      <c r="A601" s="13">
        <v>43987</v>
      </c>
      <c r="B601" s="8">
        <v>25.7</v>
      </c>
      <c r="C601" s="8">
        <v>21.6</v>
      </c>
      <c r="D601" s="8">
        <v>31.2</v>
      </c>
      <c r="E601" s="8">
        <v>0</v>
      </c>
      <c r="F601" s="8" t="str">
        <f>IF(OR(B601&lt;outliers!$B$7,B601&gt;outliers!$B$6),"Outlier","Normal")</f>
        <v>Normal</v>
      </c>
      <c r="G601" s="8" t="str">
        <f>IF(OR(C601&lt;outliers!$B$14,C601&gt;outliers!$B$13),"Outlier","Normal")</f>
        <v>Normal</v>
      </c>
      <c r="H601" s="8" t="str">
        <f>IF(OR(D601&lt;outliers!$B$21,D601&gt;outliers!$B$20),"Outlier","Normal")</f>
        <v>Normal</v>
      </c>
      <c r="I601" s="8" t="str">
        <f>IF(OR(E601&lt;outliers!$C$28,E601&gt;outliers!$B$27),"Outlier","Normal")</f>
        <v>Normal</v>
      </c>
      <c r="J601" s="8">
        <f t="shared" si="18"/>
        <v>2020</v>
      </c>
      <c r="K601">
        <f t="shared" si="19"/>
        <v>6</v>
      </c>
    </row>
    <row r="602" spans="1:11" x14ac:dyDescent="0.35">
      <c r="A602" s="13">
        <v>43988</v>
      </c>
      <c r="B602" s="8">
        <v>24.6</v>
      </c>
      <c r="C602" s="8">
        <v>20.399999999999999</v>
      </c>
      <c r="D602" s="8">
        <v>31.4</v>
      </c>
      <c r="E602" s="8">
        <v>0</v>
      </c>
      <c r="F602" s="8" t="str">
        <f>IF(OR(B602&lt;outliers!$B$7,B602&gt;outliers!$B$6),"Outlier","Normal")</f>
        <v>Normal</v>
      </c>
      <c r="G602" s="8" t="str">
        <f>IF(OR(C602&lt;outliers!$B$14,C602&gt;outliers!$B$13),"Outlier","Normal")</f>
        <v>Normal</v>
      </c>
      <c r="H602" s="8" t="str">
        <f>IF(OR(D602&lt;outliers!$B$21,D602&gt;outliers!$B$20),"Outlier","Normal")</f>
        <v>Normal</v>
      </c>
      <c r="I602" s="8" t="str">
        <f>IF(OR(E602&lt;outliers!$C$28,E602&gt;outliers!$B$27),"Outlier","Normal")</f>
        <v>Normal</v>
      </c>
      <c r="J602" s="8">
        <f t="shared" si="18"/>
        <v>2020</v>
      </c>
      <c r="K602">
        <f t="shared" si="19"/>
        <v>6</v>
      </c>
    </row>
    <row r="603" spans="1:11" hidden="1" x14ac:dyDescent="0.35">
      <c r="A603" s="13">
        <v>43989</v>
      </c>
      <c r="B603" s="8">
        <v>24.5</v>
      </c>
      <c r="C603" s="8">
        <v>20.8</v>
      </c>
      <c r="D603" s="8">
        <v>30.4</v>
      </c>
      <c r="E603" s="8">
        <v>20.3</v>
      </c>
      <c r="F603" s="8" t="str">
        <f>IF(OR(B603&lt;outliers!$B$7,B603&gt;outliers!$B$6),"Outlier","Normal")</f>
        <v>Normal</v>
      </c>
      <c r="G603" s="8" t="str">
        <f>IF(OR(C603&lt;outliers!$B$14,C603&gt;outliers!$B$13),"Outlier","Normal")</f>
        <v>Normal</v>
      </c>
      <c r="H603" s="8" t="str">
        <f>IF(OR(D603&lt;outliers!$B$21,D603&gt;outliers!$B$20),"Outlier","Normal")</f>
        <v>Normal</v>
      </c>
      <c r="I603" s="8" t="str">
        <f>IF(OR(E603&lt;outliers!$C$28,E603&gt;outliers!$B$27),"Outlier","Normal")</f>
        <v>Outlier</v>
      </c>
      <c r="J603" s="8">
        <f t="shared" si="18"/>
        <v>2020</v>
      </c>
      <c r="K603">
        <f t="shared" si="19"/>
        <v>6</v>
      </c>
    </row>
    <row r="604" spans="1:11" x14ac:dyDescent="0.35">
      <c r="A604" s="13">
        <v>43990</v>
      </c>
      <c r="B604" s="8">
        <v>26.2</v>
      </c>
      <c r="C604" s="8">
        <v>21.2</v>
      </c>
      <c r="D604" s="8">
        <v>31.8</v>
      </c>
      <c r="E604" s="8">
        <v>0</v>
      </c>
      <c r="F604" s="8" t="str">
        <f>IF(OR(B604&lt;outliers!$B$7,B604&gt;outliers!$B$6),"Outlier","Normal")</f>
        <v>Normal</v>
      </c>
      <c r="G604" s="8" t="str">
        <f>IF(OR(C604&lt;outliers!$B$14,C604&gt;outliers!$B$13),"Outlier","Normal")</f>
        <v>Normal</v>
      </c>
      <c r="H604" s="8" t="str">
        <f>IF(OR(D604&lt;outliers!$B$21,D604&gt;outliers!$B$20),"Outlier","Normal")</f>
        <v>Normal</v>
      </c>
      <c r="I604" s="8" t="str">
        <f>IF(OR(E604&lt;outliers!$C$28,E604&gt;outliers!$B$27),"Outlier","Normal")</f>
        <v>Normal</v>
      </c>
      <c r="J604" s="8">
        <f t="shared" si="18"/>
        <v>2020</v>
      </c>
      <c r="K604">
        <f t="shared" si="19"/>
        <v>6</v>
      </c>
    </row>
    <row r="605" spans="1:11" x14ac:dyDescent="0.35">
      <c r="A605" s="13">
        <v>43991</v>
      </c>
      <c r="B605" s="8">
        <v>25.4</v>
      </c>
      <c r="C605" s="8">
        <v>21.6</v>
      </c>
      <c r="D605" s="8">
        <v>32.5</v>
      </c>
      <c r="E605" s="8">
        <v>0</v>
      </c>
      <c r="F605" s="8" t="str">
        <f>IF(OR(B605&lt;outliers!$B$7,B605&gt;outliers!$B$6),"Outlier","Normal")</f>
        <v>Normal</v>
      </c>
      <c r="G605" s="8" t="str">
        <f>IF(OR(C605&lt;outliers!$B$14,C605&gt;outliers!$B$13),"Outlier","Normal")</f>
        <v>Normal</v>
      </c>
      <c r="H605" s="8" t="str">
        <f>IF(OR(D605&lt;outliers!$B$21,D605&gt;outliers!$B$20),"Outlier","Normal")</f>
        <v>Normal</v>
      </c>
      <c r="I605" s="8" t="str">
        <f>IF(OR(E605&lt;outliers!$C$28,E605&gt;outliers!$B$27),"Outlier","Normal")</f>
        <v>Normal</v>
      </c>
      <c r="J605" s="8">
        <f t="shared" si="18"/>
        <v>2020</v>
      </c>
      <c r="K605">
        <f t="shared" si="19"/>
        <v>6</v>
      </c>
    </row>
    <row r="606" spans="1:11" x14ac:dyDescent="0.35">
      <c r="A606" s="13">
        <v>43993</v>
      </c>
      <c r="B606" s="8">
        <v>23.1</v>
      </c>
      <c r="C606" s="8">
        <v>19.8</v>
      </c>
      <c r="D606" s="8">
        <v>30.5</v>
      </c>
      <c r="E606" s="8">
        <v>1</v>
      </c>
      <c r="F606" s="8" t="str">
        <f>IF(OR(B606&lt;outliers!$B$7,B606&gt;outliers!$B$6),"Outlier","Normal")</f>
        <v>Normal</v>
      </c>
      <c r="G606" s="8" t="str">
        <f>IF(OR(C606&lt;outliers!$B$14,C606&gt;outliers!$B$13),"Outlier","Normal")</f>
        <v>Normal</v>
      </c>
      <c r="H606" s="8" t="str">
        <f>IF(OR(D606&lt;outliers!$B$21,D606&gt;outliers!$B$20),"Outlier","Normal")</f>
        <v>Normal</v>
      </c>
      <c r="I606" s="8" t="str">
        <f>IF(OR(E606&lt;outliers!$C$28,E606&gt;outliers!$B$27),"Outlier","Normal")</f>
        <v>Normal</v>
      </c>
      <c r="J606" s="8">
        <f t="shared" si="18"/>
        <v>2020</v>
      </c>
      <c r="K606">
        <f t="shared" si="19"/>
        <v>6</v>
      </c>
    </row>
    <row r="607" spans="1:11" hidden="1" x14ac:dyDescent="0.35">
      <c r="A607" s="13">
        <v>43994</v>
      </c>
      <c r="B607" s="8">
        <v>23</v>
      </c>
      <c r="C607" s="8">
        <v>19.8</v>
      </c>
      <c r="D607" s="8">
        <v>27.6</v>
      </c>
      <c r="E607" s="8">
        <v>20.6</v>
      </c>
      <c r="F607" s="8" t="str">
        <f>IF(OR(B607&lt;outliers!$B$7,B607&gt;outliers!$B$6),"Outlier","Normal")</f>
        <v>Normal</v>
      </c>
      <c r="G607" s="8" t="str">
        <f>IF(OR(C607&lt;outliers!$B$14,C607&gt;outliers!$B$13),"Outlier","Normal")</f>
        <v>Normal</v>
      </c>
      <c r="H607" s="8" t="str">
        <f>IF(OR(D607&lt;outliers!$B$21,D607&gt;outliers!$B$20),"Outlier","Normal")</f>
        <v>Normal</v>
      </c>
      <c r="I607" s="8" t="str">
        <f>IF(OR(E607&lt;outliers!$C$28,E607&gt;outliers!$B$27),"Outlier","Normal")</f>
        <v>Outlier</v>
      </c>
      <c r="J607" s="8">
        <f t="shared" si="18"/>
        <v>2020</v>
      </c>
      <c r="K607">
        <f t="shared" si="19"/>
        <v>6</v>
      </c>
    </row>
    <row r="608" spans="1:11" x14ac:dyDescent="0.35">
      <c r="A608" s="13">
        <v>43995</v>
      </c>
      <c r="B608" s="8">
        <v>23.3</v>
      </c>
      <c r="C608" s="8">
        <v>20</v>
      </c>
      <c r="D608" s="8">
        <v>28.4</v>
      </c>
      <c r="E608" s="8">
        <v>0</v>
      </c>
      <c r="F608" s="8" t="str">
        <f>IF(OR(B608&lt;outliers!$B$7,B608&gt;outliers!$B$6),"Outlier","Normal")</f>
        <v>Normal</v>
      </c>
      <c r="G608" s="8" t="str">
        <f>IF(OR(C608&lt;outliers!$B$14,C608&gt;outliers!$B$13),"Outlier","Normal")</f>
        <v>Normal</v>
      </c>
      <c r="H608" s="8" t="str">
        <f>IF(OR(D608&lt;outliers!$B$21,D608&gt;outliers!$B$20),"Outlier","Normal")</f>
        <v>Normal</v>
      </c>
      <c r="I608" s="8" t="str">
        <f>IF(OR(E608&lt;outliers!$C$28,E608&gt;outliers!$B$27),"Outlier","Normal")</f>
        <v>Normal</v>
      </c>
      <c r="J608" s="8">
        <f t="shared" si="18"/>
        <v>2020</v>
      </c>
      <c r="K608">
        <f t="shared" si="19"/>
        <v>6</v>
      </c>
    </row>
    <row r="609" spans="1:11" x14ac:dyDescent="0.35">
      <c r="A609" s="13">
        <v>43996</v>
      </c>
      <c r="B609" s="8">
        <v>23.9</v>
      </c>
      <c r="C609" s="8">
        <v>21</v>
      </c>
      <c r="D609" s="8">
        <v>29.8</v>
      </c>
      <c r="E609" s="8">
        <v>1.8</v>
      </c>
      <c r="F609" s="8" t="str">
        <f>IF(OR(B609&lt;outliers!$B$7,B609&gt;outliers!$B$6),"Outlier","Normal")</f>
        <v>Normal</v>
      </c>
      <c r="G609" s="8" t="str">
        <f>IF(OR(C609&lt;outliers!$B$14,C609&gt;outliers!$B$13),"Outlier","Normal")</f>
        <v>Normal</v>
      </c>
      <c r="H609" s="8" t="str">
        <f>IF(OR(D609&lt;outliers!$B$21,D609&gt;outliers!$B$20),"Outlier","Normal")</f>
        <v>Normal</v>
      </c>
      <c r="I609" s="8" t="str">
        <f>IF(OR(E609&lt;outliers!$C$28,E609&gt;outliers!$B$27),"Outlier","Normal")</f>
        <v>Normal</v>
      </c>
      <c r="J609" s="8">
        <f t="shared" si="18"/>
        <v>2020</v>
      </c>
      <c r="K609">
        <f t="shared" si="19"/>
        <v>6</v>
      </c>
    </row>
    <row r="610" spans="1:11" x14ac:dyDescent="0.35">
      <c r="A610" s="13">
        <v>43997</v>
      </c>
      <c r="B610" s="8">
        <v>25</v>
      </c>
      <c r="C610" s="8">
        <v>21.2</v>
      </c>
      <c r="D610" s="8">
        <v>28.9</v>
      </c>
      <c r="E610" s="8">
        <v>0</v>
      </c>
      <c r="F610" s="8" t="str">
        <f>IF(OR(B610&lt;outliers!$B$7,B610&gt;outliers!$B$6),"Outlier","Normal")</f>
        <v>Normal</v>
      </c>
      <c r="G610" s="8" t="str">
        <f>IF(OR(C610&lt;outliers!$B$14,C610&gt;outliers!$B$13),"Outlier","Normal")</f>
        <v>Normal</v>
      </c>
      <c r="H610" s="8" t="str">
        <f>IF(OR(D610&lt;outliers!$B$21,D610&gt;outliers!$B$20),"Outlier","Normal")</f>
        <v>Normal</v>
      </c>
      <c r="I610" s="8" t="str">
        <f>IF(OR(E610&lt;outliers!$C$28,E610&gt;outliers!$B$27),"Outlier","Normal")</f>
        <v>Normal</v>
      </c>
      <c r="J610" s="8">
        <f t="shared" si="18"/>
        <v>2020</v>
      </c>
      <c r="K610">
        <f t="shared" si="19"/>
        <v>6</v>
      </c>
    </row>
    <row r="611" spans="1:11" x14ac:dyDescent="0.35">
      <c r="A611" s="13">
        <v>43998</v>
      </c>
      <c r="B611" s="8">
        <v>24.8</v>
      </c>
      <c r="C611" s="8">
        <v>20.6</v>
      </c>
      <c r="D611" s="8">
        <v>34.299999999999997</v>
      </c>
      <c r="E611" s="8">
        <v>2</v>
      </c>
      <c r="F611" s="8" t="str">
        <f>IF(OR(B611&lt;outliers!$B$7,B611&gt;outliers!$B$6),"Outlier","Normal")</f>
        <v>Normal</v>
      </c>
      <c r="G611" s="8" t="str">
        <f>IF(OR(C611&lt;outliers!$B$14,C611&gt;outliers!$B$13),"Outlier","Normal")</f>
        <v>Normal</v>
      </c>
      <c r="H611" s="8" t="str">
        <f>IF(OR(D611&lt;outliers!$B$21,D611&gt;outliers!$B$20),"Outlier","Normal")</f>
        <v>Normal</v>
      </c>
      <c r="I611" s="8" t="str">
        <f>IF(OR(E611&lt;outliers!$C$28,E611&gt;outliers!$B$27),"Outlier","Normal")</f>
        <v>Normal</v>
      </c>
      <c r="J611" s="8">
        <f t="shared" si="18"/>
        <v>2020</v>
      </c>
      <c r="K611">
        <f t="shared" si="19"/>
        <v>6</v>
      </c>
    </row>
    <row r="612" spans="1:11" x14ac:dyDescent="0.35">
      <c r="A612" s="13">
        <v>43999</v>
      </c>
      <c r="B612" s="8">
        <v>23.4</v>
      </c>
      <c r="C612" s="8">
        <v>21.4</v>
      </c>
      <c r="D612" s="8">
        <v>28</v>
      </c>
      <c r="E612" s="8">
        <v>0</v>
      </c>
      <c r="F612" s="8" t="str">
        <f>IF(OR(B612&lt;outliers!$B$7,B612&gt;outliers!$B$6),"Outlier","Normal")</f>
        <v>Normal</v>
      </c>
      <c r="G612" s="8" t="str">
        <f>IF(OR(C612&lt;outliers!$B$14,C612&gt;outliers!$B$13),"Outlier","Normal")</f>
        <v>Normal</v>
      </c>
      <c r="H612" s="8" t="str">
        <f>IF(OR(D612&lt;outliers!$B$21,D612&gt;outliers!$B$20),"Outlier","Normal")</f>
        <v>Normal</v>
      </c>
      <c r="I612" s="8" t="str">
        <f>IF(OR(E612&lt;outliers!$C$28,E612&gt;outliers!$B$27),"Outlier","Normal")</f>
        <v>Normal</v>
      </c>
      <c r="J612" s="8">
        <f t="shared" si="18"/>
        <v>2020</v>
      </c>
      <c r="K612">
        <f t="shared" si="19"/>
        <v>6</v>
      </c>
    </row>
    <row r="613" spans="1:11" x14ac:dyDescent="0.35">
      <c r="A613" s="13">
        <v>44000</v>
      </c>
      <c r="B613" s="8">
        <v>23.3</v>
      </c>
      <c r="C613" s="8">
        <v>20.6</v>
      </c>
      <c r="D613" s="8">
        <v>27.2</v>
      </c>
      <c r="E613" s="8">
        <v>0</v>
      </c>
      <c r="F613" s="8" t="str">
        <f>IF(OR(B613&lt;outliers!$B$7,B613&gt;outliers!$B$6),"Outlier","Normal")</f>
        <v>Normal</v>
      </c>
      <c r="G613" s="8" t="str">
        <f>IF(OR(C613&lt;outliers!$B$14,C613&gt;outliers!$B$13),"Outlier","Normal")</f>
        <v>Normal</v>
      </c>
      <c r="H613" s="8" t="str">
        <f>IF(OR(D613&lt;outliers!$B$21,D613&gt;outliers!$B$20),"Outlier","Normal")</f>
        <v>Normal</v>
      </c>
      <c r="I613" s="8" t="str">
        <f>IF(OR(E613&lt;outliers!$C$28,E613&gt;outliers!$B$27),"Outlier","Normal")</f>
        <v>Normal</v>
      </c>
      <c r="J613" s="8">
        <f t="shared" si="18"/>
        <v>2020</v>
      </c>
      <c r="K613">
        <f t="shared" si="19"/>
        <v>6</v>
      </c>
    </row>
    <row r="614" spans="1:11" x14ac:dyDescent="0.35">
      <c r="A614" s="13">
        <v>44001</v>
      </c>
      <c r="B614" s="8">
        <v>24.7</v>
      </c>
      <c r="C614" s="8">
        <v>20.7</v>
      </c>
      <c r="D614" s="8">
        <v>30.8</v>
      </c>
      <c r="E614" s="8">
        <v>0</v>
      </c>
      <c r="F614" s="8" t="str">
        <f>IF(OR(B614&lt;outliers!$B$7,B614&gt;outliers!$B$6),"Outlier","Normal")</f>
        <v>Normal</v>
      </c>
      <c r="G614" s="8" t="str">
        <f>IF(OR(C614&lt;outliers!$B$14,C614&gt;outliers!$B$13),"Outlier","Normal")</f>
        <v>Normal</v>
      </c>
      <c r="H614" s="8" t="str">
        <f>IF(OR(D614&lt;outliers!$B$21,D614&gt;outliers!$B$20),"Outlier","Normal")</f>
        <v>Normal</v>
      </c>
      <c r="I614" s="8" t="str">
        <f>IF(OR(E614&lt;outliers!$C$28,E614&gt;outliers!$B$27),"Outlier","Normal")</f>
        <v>Normal</v>
      </c>
      <c r="J614" s="8">
        <f t="shared" si="18"/>
        <v>2020</v>
      </c>
      <c r="K614">
        <f t="shared" si="19"/>
        <v>6</v>
      </c>
    </row>
    <row r="615" spans="1:11" x14ac:dyDescent="0.35">
      <c r="A615" s="13">
        <v>44002</v>
      </c>
      <c r="B615" s="8">
        <v>25.2</v>
      </c>
      <c r="C615" s="8">
        <v>21.2</v>
      </c>
      <c r="D615" s="8">
        <v>29.6</v>
      </c>
      <c r="E615" s="8">
        <v>0</v>
      </c>
      <c r="F615" s="8" t="str">
        <f>IF(OR(B615&lt;outliers!$B$7,B615&gt;outliers!$B$6),"Outlier","Normal")</f>
        <v>Normal</v>
      </c>
      <c r="G615" s="8" t="str">
        <f>IF(OR(C615&lt;outliers!$B$14,C615&gt;outliers!$B$13),"Outlier","Normal")</f>
        <v>Normal</v>
      </c>
      <c r="H615" s="8" t="str">
        <f>IF(OR(D615&lt;outliers!$B$21,D615&gt;outliers!$B$20),"Outlier","Normal")</f>
        <v>Normal</v>
      </c>
      <c r="I615" s="8" t="str">
        <f>IF(OR(E615&lt;outliers!$C$28,E615&gt;outliers!$B$27),"Outlier","Normal")</f>
        <v>Normal</v>
      </c>
      <c r="J615" s="8">
        <f t="shared" si="18"/>
        <v>2020</v>
      </c>
      <c r="K615">
        <f t="shared" si="19"/>
        <v>6</v>
      </c>
    </row>
    <row r="616" spans="1:11" x14ac:dyDescent="0.35">
      <c r="A616" s="13">
        <v>44003</v>
      </c>
      <c r="B616" s="8">
        <v>23.8</v>
      </c>
      <c r="C616" s="8">
        <v>21.1</v>
      </c>
      <c r="D616" s="8">
        <v>30.3</v>
      </c>
      <c r="E616" s="8">
        <v>0</v>
      </c>
      <c r="F616" s="8" t="str">
        <f>IF(OR(B616&lt;outliers!$B$7,B616&gt;outliers!$B$6),"Outlier","Normal")</f>
        <v>Normal</v>
      </c>
      <c r="G616" s="8" t="str">
        <f>IF(OR(C616&lt;outliers!$B$14,C616&gt;outliers!$B$13),"Outlier","Normal")</f>
        <v>Normal</v>
      </c>
      <c r="H616" s="8" t="str">
        <f>IF(OR(D616&lt;outliers!$B$21,D616&gt;outliers!$B$20),"Outlier","Normal")</f>
        <v>Normal</v>
      </c>
      <c r="I616" s="8" t="str">
        <f>IF(OR(E616&lt;outliers!$C$28,E616&gt;outliers!$B$27),"Outlier","Normal")</f>
        <v>Normal</v>
      </c>
      <c r="J616" s="8">
        <f t="shared" si="18"/>
        <v>2020</v>
      </c>
      <c r="K616">
        <f t="shared" si="19"/>
        <v>6</v>
      </c>
    </row>
    <row r="617" spans="1:11" x14ac:dyDescent="0.35">
      <c r="A617" s="13">
        <v>44004</v>
      </c>
      <c r="B617" s="8">
        <v>23.4</v>
      </c>
      <c r="C617" s="8">
        <v>21</v>
      </c>
      <c r="D617" s="8">
        <v>28.8</v>
      </c>
      <c r="E617" s="8">
        <v>0.3</v>
      </c>
      <c r="F617" s="8" t="str">
        <f>IF(OR(B617&lt;outliers!$B$7,B617&gt;outliers!$B$6),"Outlier","Normal")</f>
        <v>Normal</v>
      </c>
      <c r="G617" s="8" t="str">
        <f>IF(OR(C617&lt;outliers!$B$14,C617&gt;outliers!$B$13),"Outlier","Normal")</f>
        <v>Normal</v>
      </c>
      <c r="H617" s="8" t="str">
        <f>IF(OR(D617&lt;outliers!$B$21,D617&gt;outliers!$B$20),"Outlier","Normal")</f>
        <v>Normal</v>
      </c>
      <c r="I617" s="8" t="str">
        <f>IF(OR(E617&lt;outliers!$C$28,E617&gt;outliers!$B$27),"Outlier","Normal")</f>
        <v>Normal</v>
      </c>
      <c r="J617" s="8">
        <f t="shared" si="18"/>
        <v>2020</v>
      </c>
      <c r="K617">
        <f t="shared" si="19"/>
        <v>6</v>
      </c>
    </row>
    <row r="618" spans="1:11" x14ac:dyDescent="0.35">
      <c r="A618" s="13">
        <v>44005</v>
      </c>
      <c r="B618" s="8">
        <v>25.3</v>
      </c>
      <c r="C618" s="8">
        <v>20.6</v>
      </c>
      <c r="D618" s="8">
        <v>30.8</v>
      </c>
      <c r="E618" s="8">
        <v>2.2999999999999998</v>
      </c>
      <c r="F618" s="8" t="str">
        <f>IF(OR(B618&lt;outliers!$B$7,B618&gt;outliers!$B$6),"Outlier","Normal")</f>
        <v>Normal</v>
      </c>
      <c r="G618" s="8" t="str">
        <f>IF(OR(C618&lt;outliers!$B$14,C618&gt;outliers!$B$13),"Outlier","Normal")</f>
        <v>Normal</v>
      </c>
      <c r="H618" s="8" t="str">
        <f>IF(OR(D618&lt;outliers!$B$21,D618&gt;outliers!$B$20),"Outlier","Normal")</f>
        <v>Normal</v>
      </c>
      <c r="I618" s="8" t="str">
        <f>IF(OR(E618&lt;outliers!$C$28,E618&gt;outliers!$B$27),"Outlier","Normal")</f>
        <v>Normal</v>
      </c>
      <c r="J618" s="8">
        <f t="shared" si="18"/>
        <v>2020</v>
      </c>
      <c r="K618">
        <f t="shared" si="19"/>
        <v>6</v>
      </c>
    </row>
    <row r="619" spans="1:11" x14ac:dyDescent="0.35">
      <c r="A619" s="13">
        <v>44006</v>
      </c>
      <c r="B619" s="8">
        <v>24.2</v>
      </c>
      <c r="C619" s="8">
        <v>20.2</v>
      </c>
      <c r="D619" s="8">
        <v>30.4</v>
      </c>
      <c r="E619" s="8">
        <v>4.5999999999999996</v>
      </c>
      <c r="F619" s="8" t="str">
        <f>IF(OR(B619&lt;outliers!$B$7,B619&gt;outliers!$B$6),"Outlier","Normal")</f>
        <v>Normal</v>
      </c>
      <c r="G619" s="8" t="str">
        <f>IF(OR(C619&lt;outliers!$B$14,C619&gt;outliers!$B$13),"Outlier","Normal")</f>
        <v>Normal</v>
      </c>
      <c r="H619" s="8" t="str">
        <f>IF(OR(D619&lt;outliers!$B$21,D619&gt;outliers!$B$20),"Outlier","Normal")</f>
        <v>Normal</v>
      </c>
      <c r="I619" s="8" t="str">
        <f>IF(OR(E619&lt;outliers!$C$28,E619&gt;outliers!$B$27),"Outlier","Normal")</f>
        <v>Normal</v>
      </c>
      <c r="J619" s="8">
        <f t="shared" si="18"/>
        <v>2020</v>
      </c>
      <c r="K619">
        <f t="shared" si="19"/>
        <v>6</v>
      </c>
    </row>
    <row r="620" spans="1:11" hidden="1" x14ac:dyDescent="0.35">
      <c r="A620" s="13">
        <v>44007</v>
      </c>
      <c r="B620" s="8">
        <v>23.7</v>
      </c>
      <c r="C620" s="8">
        <v>19.3</v>
      </c>
      <c r="D620" s="8">
        <v>31.4</v>
      </c>
      <c r="E620" s="8">
        <v>22.1</v>
      </c>
      <c r="F620" s="8" t="str">
        <f>IF(OR(B620&lt;outliers!$B$7,B620&gt;outliers!$B$6),"Outlier","Normal")</f>
        <v>Normal</v>
      </c>
      <c r="G620" s="8" t="str">
        <f>IF(OR(C620&lt;outliers!$B$14,C620&gt;outliers!$B$13),"Outlier","Normal")</f>
        <v>Normal</v>
      </c>
      <c r="H620" s="8" t="str">
        <f>IF(OR(D620&lt;outliers!$B$21,D620&gt;outliers!$B$20),"Outlier","Normal")</f>
        <v>Normal</v>
      </c>
      <c r="I620" s="8" t="str">
        <f>IF(OR(E620&lt;outliers!$C$28,E620&gt;outliers!$B$27),"Outlier","Normal")</f>
        <v>Outlier</v>
      </c>
      <c r="J620" s="8">
        <f t="shared" si="18"/>
        <v>2020</v>
      </c>
      <c r="K620">
        <f t="shared" si="19"/>
        <v>6</v>
      </c>
    </row>
    <row r="621" spans="1:11" hidden="1" x14ac:dyDescent="0.35">
      <c r="A621" s="13">
        <v>44008</v>
      </c>
      <c r="B621" s="8">
        <v>24.2</v>
      </c>
      <c r="C621" s="8">
        <v>20.399999999999999</v>
      </c>
      <c r="D621" s="8">
        <v>30.4</v>
      </c>
      <c r="E621" s="8">
        <v>39.6</v>
      </c>
      <c r="F621" s="8" t="str">
        <f>IF(OR(B621&lt;outliers!$B$7,B621&gt;outliers!$B$6),"Outlier","Normal")</f>
        <v>Normal</v>
      </c>
      <c r="G621" s="8" t="str">
        <f>IF(OR(C621&lt;outliers!$B$14,C621&gt;outliers!$B$13),"Outlier","Normal")</f>
        <v>Normal</v>
      </c>
      <c r="H621" s="8" t="str">
        <f>IF(OR(D621&lt;outliers!$B$21,D621&gt;outliers!$B$20),"Outlier","Normal")</f>
        <v>Normal</v>
      </c>
      <c r="I621" s="8" t="str">
        <f>IF(OR(E621&lt;outliers!$C$28,E621&gt;outliers!$B$27),"Outlier","Normal")</f>
        <v>Outlier</v>
      </c>
      <c r="J621" s="8">
        <f t="shared" si="18"/>
        <v>2020</v>
      </c>
      <c r="K621">
        <f t="shared" si="19"/>
        <v>6</v>
      </c>
    </row>
    <row r="622" spans="1:11" x14ac:dyDescent="0.35">
      <c r="A622" s="13">
        <v>44009</v>
      </c>
      <c r="B622" s="8">
        <v>24.4</v>
      </c>
      <c r="C622" s="8">
        <v>21</v>
      </c>
      <c r="D622" s="8">
        <v>29.2</v>
      </c>
      <c r="E622" s="8">
        <v>0</v>
      </c>
      <c r="F622" s="8" t="str">
        <f>IF(OR(B622&lt;outliers!$B$7,B622&gt;outliers!$B$6),"Outlier","Normal")</f>
        <v>Normal</v>
      </c>
      <c r="G622" s="8" t="str">
        <f>IF(OR(C622&lt;outliers!$B$14,C622&gt;outliers!$B$13),"Outlier","Normal")</f>
        <v>Normal</v>
      </c>
      <c r="H622" s="8" t="str">
        <f>IF(OR(D622&lt;outliers!$B$21,D622&gt;outliers!$B$20),"Outlier","Normal")</f>
        <v>Normal</v>
      </c>
      <c r="I622" s="8" t="str">
        <f>IF(OR(E622&lt;outliers!$C$28,E622&gt;outliers!$B$27),"Outlier","Normal")</f>
        <v>Normal</v>
      </c>
      <c r="J622" s="8">
        <f t="shared" si="18"/>
        <v>2020</v>
      </c>
      <c r="K622">
        <f t="shared" si="19"/>
        <v>6</v>
      </c>
    </row>
    <row r="623" spans="1:11" x14ac:dyDescent="0.35">
      <c r="A623" s="13">
        <v>44010</v>
      </c>
      <c r="B623" s="8">
        <v>24.8</v>
      </c>
      <c r="C623" s="8">
        <v>21.4</v>
      </c>
      <c r="D623" s="8">
        <v>29</v>
      </c>
      <c r="E623" s="8">
        <v>2.2999999999999998</v>
      </c>
      <c r="F623" s="8" t="str">
        <f>IF(OR(B623&lt;outliers!$B$7,B623&gt;outliers!$B$6),"Outlier","Normal")</f>
        <v>Normal</v>
      </c>
      <c r="G623" s="8" t="str">
        <f>IF(OR(C623&lt;outliers!$B$14,C623&gt;outliers!$B$13),"Outlier","Normal")</f>
        <v>Normal</v>
      </c>
      <c r="H623" s="8" t="str">
        <f>IF(OR(D623&lt;outliers!$B$21,D623&gt;outliers!$B$20),"Outlier","Normal")</f>
        <v>Normal</v>
      </c>
      <c r="I623" s="8" t="str">
        <f>IF(OR(E623&lt;outliers!$C$28,E623&gt;outliers!$B$27),"Outlier","Normal")</f>
        <v>Normal</v>
      </c>
      <c r="J623" s="8">
        <f t="shared" si="18"/>
        <v>2020</v>
      </c>
      <c r="K623">
        <f t="shared" si="19"/>
        <v>6</v>
      </c>
    </row>
    <row r="624" spans="1:11" x14ac:dyDescent="0.35">
      <c r="A624" s="13">
        <v>44011</v>
      </c>
      <c r="B624" s="8">
        <v>23.6</v>
      </c>
      <c r="C624" s="8">
        <v>21.2</v>
      </c>
      <c r="D624" s="8">
        <v>30</v>
      </c>
      <c r="E624" s="8">
        <v>0</v>
      </c>
      <c r="F624" s="8" t="str">
        <f>IF(OR(B624&lt;outliers!$B$7,B624&gt;outliers!$B$6),"Outlier","Normal")</f>
        <v>Normal</v>
      </c>
      <c r="G624" s="8" t="str">
        <f>IF(OR(C624&lt;outliers!$B$14,C624&gt;outliers!$B$13),"Outlier","Normal")</f>
        <v>Normal</v>
      </c>
      <c r="H624" s="8" t="str">
        <f>IF(OR(D624&lt;outliers!$B$21,D624&gt;outliers!$B$20),"Outlier","Normal")</f>
        <v>Normal</v>
      </c>
      <c r="I624" s="8" t="str">
        <f>IF(OR(E624&lt;outliers!$C$28,E624&gt;outliers!$B$27),"Outlier","Normal")</f>
        <v>Normal</v>
      </c>
      <c r="J624" s="8">
        <f t="shared" si="18"/>
        <v>2020</v>
      </c>
      <c r="K624">
        <f t="shared" si="19"/>
        <v>6</v>
      </c>
    </row>
    <row r="625" spans="1:11" x14ac:dyDescent="0.35">
      <c r="A625" s="13">
        <v>44012</v>
      </c>
      <c r="B625" s="8">
        <v>24.6</v>
      </c>
      <c r="C625" s="8">
        <v>20.2</v>
      </c>
      <c r="D625" s="8">
        <v>29.8</v>
      </c>
      <c r="E625" s="8">
        <v>1.3</v>
      </c>
      <c r="F625" s="8" t="str">
        <f>IF(OR(B625&lt;outliers!$B$7,B625&gt;outliers!$B$6),"Outlier","Normal")</f>
        <v>Normal</v>
      </c>
      <c r="G625" s="8" t="str">
        <f>IF(OR(C625&lt;outliers!$B$14,C625&gt;outliers!$B$13),"Outlier","Normal")</f>
        <v>Normal</v>
      </c>
      <c r="H625" s="8" t="str">
        <f>IF(OR(D625&lt;outliers!$B$21,D625&gt;outliers!$B$20),"Outlier","Normal")</f>
        <v>Normal</v>
      </c>
      <c r="I625" s="8" t="str">
        <f>IF(OR(E625&lt;outliers!$C$28,E625&gt;outliers!$B$27),"Outlier","Normal")</f>
        <v>Normal</v>
      </c>
      <c r="J625" s="8">
        <f t="shared" si="18"/>
        <v>2020</v>
      </c>
      <c r="K625">
        <f t="shared" si="19"/>
        <v>6</v>
      </c>
    </row>
    <row r="626" spans="1:11" x14ac:dyDescent="0.35">
      <c r="A626" s="13">
        <v>44013</v>
      </c>
      <c r="B626" s="8">
        <v>24.7</v>
      </c>
      <c r="C626" s="8">
        <v>21.2</v>
      </c>
      <c r="D626" s="8">
        <v>29.4</v>
      </c>
      <c r="E626" s="8">
        <v>0</v>
      </c>
      <c r="F626" s="8" t="str">
        <f>IF(OR(B626&lt;outliers!$B$7,B626&gt;outliers!$B$6),"Outlier","Normal")</f>
        <v>Normal</v>
      </c>
      <c r="G626" s="8" t="str">
        <f>IF(OR(C626&lt;outliers!$B$14,C626&gt;outliers!$B$13),"Outlier","Normal")</f>
        <v>Normal</v>
      </c>
      <c r="H626" s="8" t="str">
        <f>IF(OR(D626&lt;outliers!$B$21,D626&gt;outliers!$B$20),"Outlier","Normal")</f>
        <v>Normal</v>
      </c>
      <c r="I626" s="8" t="str">
        <f>IF(OR(E626&lt;outliers!$C$28,E626&gt;outliers!$B$27),"Outlier","Normal")</f>
        <v>Normal</v>
      </c>
      <c r="J626" s="8">
        <f t="shared" si="18"/>
        <v>2020</v>
      </c>
      <c r="K626">
        <f t="shared" si="19"/>
        <v>7</v>
      </c>
    </row>
    <row r="627" spans="1:11" x14ac:dyDescent="0.35">
      <c r="A627" s="13">
        <v>44015</v>
      </c>
      <c r="B627" s="8">
        <v>22.6</v>
      </c>
      <c r="C627" s="8">
        <v>19.7</v>
      </c>
      <c r="D627" s="8">
        <v>26.5</v>
      </c>
      <c r="E627" s="8">
        <v>7.1</v>
      </c>
      <c r="F627" s="8" t="str">
        <f>IF(OR(B627&lt;outliers!$B$7,B627&gt;outliers!$B$6),"Outlier","Normal")</f>
        <v>Normal</v>
      </c>
      <c r="G627" s="8" t="str">
        <f>IF(OR(C627&lt;outliers!$B$14,C627&gt;outliers!$B$13),"Outlier","Normal")</f>
        <v>Normal</v>
      </c>
      <c r="H627" s="8" t="str">
        <f>IF(OR(D627&lt;outliers!$B$21,D627&gt;outliers!$B$20),"Outlier","Normal")</f>
        <v>Normal</v>
      </c>
      <c r="I627" s="8" t="str">
        <f>IF(OR(E627&lt;outliers!$C$28,E627&gt;outliers!$B$27),"Outlier","Normal")</f>
        <v>Normal</v>
      </c>
      <c r="J627" s="8">
        <f t="shared" si="18"/>
        <v>2020</v>
      </c>
      <c r="K627">
        <f t="shared" si="19"/>
        <v>7</v>
      </c>
    </row>
    <row r="628" spans="1:11" x14ac:dyDescent="0.35">
      <c r="A628" s="13">
        <v>44016</v>
      </c>
      <c r="B628" s="8">
        <v>22.8</v>
      </c>
      <c r="C628" s="8">
        <v>20</v>
      </c>
      <c r="D628" s="8">
        <v>28.4</v>
      </c>
      <c r="E628" s="8">
        <v>7.1</v>
      </c>
      <c r="F628" s="8" t="str">
        <f>IF(OR(B628&lt;outliers!$B$7,B628&gt;outliers!$B$6),"Outlier","Normal")</f>
        <v>Normal</v>
      </c>
      <c r="G628" s="8" t="str">
        <f>IF(OR(C628&lt;outliers!$B$14,C628&gt;outliers!$B$13),"Outlier","Normal")</f>
        <v>Normal</v>
      </c>
      <c r="H628" s="8" t="str">
        <f>IF(OR(D628&lt;outliers!$B$21,D628&gt;outliers!$B$20),"Outlier","Normal")</f>
        <v>Normal</v>
      </c>
      <c r="I628" s="8" t="str">
        <f>IF(OR(E628&lt;outliers!$C$28,E628&gt;outliers!$B$27),"Outlier","Normal")</f>
        <v>Normal</v>
      </c>
      <c r="J628" s="8">
        <f t="shared" si="18"/>
        <v>2020</v>
      </c>
      <c r="K628">
        <f t="shared" si="19"/>
        <v>7</v>
      </c>
    </row>
    <row r="629" spans="1:11" x14ac:dyDescent="0.35">
      <c r="A629" s="13">
        <v>44017</v>
      </c>
      <c r="B629" s="8">
        <v>23.3</v>
      </c>
      <c r="C629" s="8">
        <v>21</v>
      </c>
      <c r="D629" s="8">
        <v>27.2</v>
      </c>
      <c r="E629" s="8">
        <v>0</v>
      </c>
      <c r="F629" s="8" t="str">
        <f>IF(OR(B629&lt;outliers!$B$7,B629&gt;outliers!$B$6),"Outlier","Normal")</f>
        <v>Normal</v>
      </c>
      <c r="G629" s="8" t="str">
        <f>IF(OR(C629&lt;outliers!$B$14,C629&gt;outliers!$B$13),"Outlier","Normal")</f>
        <v>Normal</v>
      </c>
      <c r="H629" s="8" t="str">
        <f>IF(OR(D629&lt;outliers!$B$21,D629&gt;outliers!$B$20),"Outlier","Normal")</f>
        <v>Normal</v>
      </c>
      <c r="I629" s="8" t="str">
        <f>IF(OR(E629&lt;outliers!$C$28,E629&gt;outliers!$B$27),"Outlier","Normal")</f>
        <v>Normal</v>
      </c>
      <c r="J629" s="8">
        <f t="shared" si="18"/>
        <v>2020</v>
      </c>
      <c r="K629">
        <f t="shared" si="19"/>
        <v>7</v>
      </c>
    </row>
    <row r="630" spans="1:11" x14ac:dyDescent="0.35">
      <c r="A630" s="13">
        <v>44018</v>
      </c>
      <c r="B630" s="8">
        <v>23.1</v>
      </c>
      <c r="C630" s="8">
        <v>20.6</v>
      </c>
      <c r="D630" s="8">
        <v>27.6</v>
      </c>
      <c r="E630" s="8">
        <v>0.5</v>
      </c>
      <c r="F630" s="8" t="str">
        <f>IF(OR(B630&lt;outliers!$B$7,B630&gt;outliers!$B$6),"Outlier","Normal")</f>
        <v>Normal</v>
      </c>
      <c r="G630" s="8" t="str">
        <f>IF(OR(C630&lt;outliers!$B$14,C630&gt;outliers!$B$13),"Outlier","Normal")</f>
        <v>Normal</v>
      </c>
      <c r="H630" s="8" t="str">
        <f>IF(OR(D630&lt;outliers!$B$21,D630&gt;outliers!$B$20),"Outlier","Normal")</f>
        <v>Normal</v>
      </c>
      <c r="I630" s="8" t="str">
        <f>IF(OR(E630&lt;outliers!$C$28,E630&gt;outliers!$B$27),"Outlier","Normal")</f>
        <v>Normal</v>
      </c>
      <c r="J630" s="8">
        <f t="shared" si="18"/>
        <v>2020</v>
      </c>
      <c r="K630">
        <f t="shared" si="19"/>
        <v>7</v>
      </c>
    </row>
    <row r="631" spans="1:11" x14ac:dyDescent="0.35">
      <c r="A631" s="13">
        <v>44019</v>
      </c>
      <c r="B631" s="8">
        <v>23.4</v>
      </c>
      <c r="C631" s="8">
        <v>20.8</v>
      </c>
      <c r="D631" s="8">
        <v>30</v>
      </c>
      <c r="E631" s="8">
        <v>0</v>
      </c>
      <c r="F631" s="8" t="str">
        <f>IF(OR(B631&lt;outliers!$B$7,B631&gt;outliers!$B$6),"Outlier","Normal")</f>
        <v>Normal</v>
      </c>
      <c r="G631" s="8" t="str">
        <f>IF(OR(C631&lt;outliers!$B$14,C631&gt;outliers!$B$13),"Outlier","Normal")</f>
        <v>Normal</v>
      </c>
      <c r="H631" s="8" t="str">
        <f>IF(OR(D631&lt;outliers!$B$21,D631&gt;outliers!$B$20),"Outlier","Normal")</f>
        <v>Normal</v>
      </c>
      <c r="I631" s="8" t="str">
        <f>IF(OR(E631&lt;outliers!$C$28,E631&gt;outliers!$B$27),"Outlier","Normal")</f>
        <v>Normal</v>
      </c>
      <c r="J631" s="8">
        <f t="shared" si="18"/>
        <v>2020</v>
      </c>
      <c r="K631">
        <f t="shared" si="19"/>
        <v>7</v>
      </c>
    </row>
    <row r="632" spans="1:11" x14ac:dyDescent="0.35">
      <c r="A632" s="13">
        <v>44020</v>
      </c>
      <c r="B632" s="8">
        <v>22.9</v>
      </c>
      <c r="C632" s="8">
        <v>20.6</v>
      </c>
      <c r="D632" s="8">
        <v>28.6</v>
      </c>
      <c r="E632" s="8">
        <v>7.4</v>
      </c>
      <c r="F632" s="8" t="str">
        <f>IF(OR(B632&lt;outliers!$B$7,B632&gt;outliers!$B$6),"Outlier","Normal")</f>
        <v>Normal</v>
      </c>
      <c r="G632" s="8" t="str">
        <f>IF(OR(C632&lt;outliers!$B$14,C632&gt;outliers!$B$13),"Outlier","Normal")</f>
        <v>Normal</v>
      </c>
      <c r="H632" s="8" t="str">
        <f>IF(OR(D632&lt;outliers!$B$21,D632&gt;outliers!$B$20),"Outlier","Normal")</f>
        <v>Normal</v>
      </c>
      <c r="I632" s="8" t="str">
        <f>IF(OR(E632&lt;outliers!$C$28,E632&gt;outliers!$B$27),"Outlier","Normal")</f>
        <v>Normal</v>
      </c>
      <c r="J632" s="8">
        <f t="shared" si="18"/>
        <v>2020</v>
      </c>
      <c r="K632">
        <f t="shared" si="19"/>
        <v>7</v>
      </c>
    </row>
    <row r="633" spans="1:11" hidden="1" x14ac:dyDescent="0.35">
      <c r="A633" s="13">
        <v>44021</v>
      </c>
      <c r="B633" s="8">
        <v>23.7</v>
      </c>
      <c r="C633" s="8">
        <v>20.2</v>
      </c>
      <c r="D633" s="8">
        <v>29.4</v>
      </c>
      <c r="E633" s="8">
        <v>24.4</v>
      </c>
      <c r="F633" s="8" t="str">
        <f>IF(OR(B633&lt;outliers!$B$7,B633&gt;outliers!$B$6),"Outlier","Normal")</f>
        <v>Normal</v>
      </c>
      <c r="G633" s="8" t="str">
        <f>IF(OR(C633&lt;outliers!$B$14,C633&gt;outliers!$B$13),"Outlier","Normal")</f>
        <v>Normal</v>
      </c>
      <c r="H633" s="8" t="str">
        <f>IF(OR(D633&lt;outliers!$B$21,D633&gt;outliers!$B$20),"Outlier","Normal")</f>
        <v>Normal</v>
      </c>
      <c r="I633" s="8" t="str">
        <f>IF(OR(E633&lt;outliers!$C$28,E633&gt;outliers!$B$27),"Outlier","Normal")</f>
        <v>Outlier</v>
      </c>
      <c r="J633" s="8">
        <f t="shared" si="18"/>
        <v>2020</v>
      </c>
      <c r="K633">
        <f t="shared" si="19"/>
        <v>7</v>
      </c>
    </row>
    <row r="634" spans="1:11" hidden="1" x14ac:dyDescent="0.35">
      <c r="A634" s="13">
        <v>44022</v>
      </c>
      <c r="B634" s="8">
        <v>23.1</v>
      </c>
      <c r="C634" s="8">
        <v>20.6</v>
      </c>
      <c r="D634" s="8">
        <v>28.8</v>
      </c>
      <c r="E634" s="8">
        <v>29.2</v>
      </c>
      <c r="F634" s="8" t="str">
        <f>IF(OR(B634&lt;outliers!$B$7,B634&gt;outliers!$B$6),"Outlier","Normal")</f>
        <v>Normal</v>
      </c>
      <c r="G634" s="8" t="str">
        <f>IF(OR(C634&lt;outliers!$B$14,C634&gt;outliers!$B$13),"Outlier","Normal")</f>
        <v>Normal</v>
      </c>
      <c r="H634" s="8" t="str">
        <f>IF(OR(D634&lt;outliers!$B$21,D634&gt;outliers!$B$20),"Outlier","Normal")</f>
        <v>Normal</v>
      </c>
      <c r="I634" s="8" t="str">
        <f>IF(OR(E634&lt;outliers!$C$28,E634&gt;outliers!$B$27),"Outlier","Normal")</f>
        <v>Outlier</v>
      </c>
      <c r="J634" s="8">
        <f t="shared" si="18"/>
        <v>2020</v>
      </c>
      <c r="K634">
        <f t="shared" si="19"/>
        <v>7</v>
      </c>
    </row>
    <row r="635" spans="1:11" x14ac:dyDescent="0.35">
      <c r="A635" s="13">
        <v>44023</v>
      </c>
      <c r="B635" s="8">
        <v>24.6</v>
      </c>
      <c r="C635" s="8">
        <v>21</v>
      </c>
      <c r="D635" s="8">
        <v>28.8</v>
      </c>
      <c r="E635" s="8">
        <v>0.5</v>
      </c>
      <c r="F635" s="8" t="str">
        <f>IF(OR(B635&lt;outliers!$B$7,B635&gt;outliers!$B$6),"Outlier","Normal")</f>
        <v>Normal</v>
      </c>
      <c r="G635" s="8" t="str">
        <f>IF(OR(C635&lt;outliers!$B$14,C635&gt;outliers!$B$13),"Outlier","Normal")</f>
        <v>Normal</v>
      </c>
      <c r="H635" s="8" t="str">
        <f>IF(OR(D635&lt;outliers!$B$21,D635&gt;outliers!$B$20),"Outlier","Normal")</f>
        <v>Normal</v>
      </c>
      <c r="I635" s="8" t="str">
        <f>IF(OR(E635&lt;outliers!$C$28,E635&gt;outliers!$B$27),"Outlier","Normal")</f>
        <v>Normal</v>
      </c>
      <c r="J635" s="8">
        <f t="shared" si="18"/>
        <v>2020</v>
      </c>
      <c r="K635">
        <f t="shared" si="19"/>
        <v>7</v>
      </c>
    </row>
    <row r="636" spans="1:11" x14ac:dyDescent="0.35">
      <c r="A636" s="13">
        <v>44024</v>
      </c>
      <c r="B636" s="8">
        <v>25.1</v>
      </c>
      <c r="C636" s="8">
        <v>21</v>
      </c>
      <c r="D636" s="8">
        <v>29.4</v>
      </c>
      <c r="E636" s="8">
        <v>0.3</v>
      </c>
      <c r="F636" s="8" t="str">
        <f>IF(OR(B636&lt;outliers!$B$7,B636&gt;outliers!$B$6),"Outlier","Normal")</f>
        <v>Normal</v>
      </c>
      <c r="G636" s="8" t="str">
        <f>IF(OR(C636&lt;outliers!$B$14,C636&gt;outliers!$B$13),"Outlier","Normal")</f>
        <v>Normal</v>
      </c>
      <c r="H636" s="8" t="str">
        <f>IF(OR(D636&lt;outliers!$B$21,D636&gt;outliers!$B$20),"Outlier","Normal")</f>
        <v>Normal</v>
      </c>
      <c r="I636" s="8" t="str">
        <f>IF(OR(E636&lt;outliers!$C$28,E636&gt;outliers!$B$27),"Outlier","Normal")</f>
        <v>Normal</v>
      </c>
      <c r="J636" s="8">
        <f t="shared" si="18"/>
        <v>2020</v>
      </c>
      <c r="K636">
        <f t="shared" si="19"/>
        <v>7</v>
      </c>
    </row>
    <row r="637" spans="1:11" x14ac:dyDescent="0.35">
      <c r="A637" s="13">
        <v>44025</v>
      </c>
      <c r="B637" s="8">
        <v>24.3</v>
      </c>
      <c r="C637" s="8">
        <v>21.5</v>
      </c>
      <c r="D637" s="8">
        <v>29.3</v>
      </c>
      <c r="E637" s="8">
        <v>0</v>
      </c>
      <c r="F637" s="8" t="str">
        <f>IF(OR(B637&lt;outliers!$B$7,B637&gt;outliers!$B$6),"Outlier","Normal")</f>
        <v>Normal</v>
      </c>
      <c r="G637" s="8" t="str">
        <f>IF(OR(C637&lt;outliers!$B$14,C637&gt;outliers!$B$13),"Outlier","Normal")</f>
        <v>Normal</v>
      </c>
      <c r="H637" s="8" t="str">
        <f>IF(OR(D637&lt;outliers!$B$21,D637&gt;outliers!$B$20),"Outlier","Normal")</f>
        <v>Normal</v>
      </c>
      <c r="I637" s="8" t="str">
        <f>IF(OR(E637&lt;outliers!$C$28,E637&gt;outliers!$B$27),"Outlier","Normal")</f>
        <v>Normal</v>
      </c>
      <c r="J637" s="8">
        <f t="shared" si="18"/>
        <v>2020</v>
      </c>
      <c r="K637">
        <f t="shared" si="19"/>
        <v>7</v>
      </c>
    </row>
    <row r="638" spans="1:11" x14ac:dyDescent="0.35">
      <c r="A638" s="13">
        <v>44026</v>
      </c>
      <c r="B638" s="8">
        <v>23.8</v>
      </c>
      <c r="C638" s="8">
        <v>21.4</v>
      </c>
      <c r="D638" s="8">
        <v>29.4</v>
      </c>
      <c r="E638" s="8">
        <v>0</v>
      </c>
      <c r="F638" s="8" t="str">
        <f>IF(OR(B638&lt;outliers!$B$7,B638&gt;outliers!$B$6),"Outlier","Normal")</f>
        <v>Normal</v>
      </c>
      <c r="G638" s="8" t="str">
        <f>IF(OR(C638&lt;outliers!$B$14,C638&gt;outliers!$B$13),"Outlier","Normal")</f>
        <v>Normal</v>
      </c>
      <c r="H638" s="8" t="str">
        <f>IF(OR(D638&lt;outliers!$B$21,D638&gt;outliers!$B$20),"Outlier","Normal")</f>
        <v>Normal</v>
      </c>
      <c r="I638" s="8" t="str">
        <f>IF(OR(E638&lt;outliers!$C$28,E638&gt;outliers!$B$27),"Outlier","Normal")</f>
        <v>Normal</v>
      </c>
      <c r="J638" s="8">
        <f t="shared" si="18"/>
        <v>2020</v>
      </c>
      <c r="K638">
        <f t="shared" si="19"/>
        <v>7</v>
      </c>
    </row>
    <row r="639" spans="1:11" x14ac:dyDescent="0.35">
      <c r="A639" s="13">
        <v>44027</v>
      </c>
      <c r="B639" s="8">
        <v>22.4</v>
      </c>
      <c r="C639" s="8">
        <v>21.8</v>
      </c>
      <c r="D639" s="8">
        <v>26.2</v>
      </c>
      <c r="E639" s="8">
        <v>0</v>
      </c>
      <c r="F639" s="8" t="str">
        <f>IF(OR(B639&lt;outliers!$B$7,B639&gt;outliers!$B$6),"Outlier","Normal")</f>
        <v>Normal</v>
      </c>
      <c r="G639" s="8" t="str">
        <f>IF(OR(C639&lt;outliers!$B$14,C639&gt;outliers!$B$13),"Outlier","Normal")</f>
        <v>Normal</v>
      </c>
      <c r="H639" s="8" t="str">
        <f>IF(OR(D639&lt;outliers!$B$21,D639&gt;outliers!$B$20),"Outlier","Normal")</f>
        <v>Normal</v>
      </c>
      <c r="I639" s="8" t="str">
        <f>IF(OR(E639&lt;outliers!$C$28,E639&gt;outliers!$B$27),"Outlier","Normal")</f>
        <v>Normal</v>
      </c>
      <c r="J639" s="8">
        <f t="shared" si="18"/>
        <v>2020</v>
      </c>
      <c r="K639">
        <f t="shared" si="19"/>
        <v>7</v>
      </c>
    </row>
    <row r="640" spans="1:11" x14ac:dyDescent="0.35">
      <c r="A640" s="13">
        <v>44028</v>
      </c>
      <c r="B640" s="8">
        <v>21.8</v>
      </c>
      <c r="C640" s="8">
        <v>20.6</v>
      </c>
      <c r="D640" s="8">
        <v>26</v>
      </c>
      <c r="E640" s="8">
        <v>6.6</v>
      </c>
      <c r="F640" s="8" t="str">
        <f>IF(OR(B640&lt;outliers!$B$7,B640&gt;outliers!$B$6),"Outlier","Normal")</f>
        <v>Normal</v>
      </c>
      <c r="G640" s="8" t="str">
        <f>IF(OR(C640&lt;outliers!$B$14,C640&gt;outliers!$B$13),"Outlier","Normal")</f>
        <v>Normal</v>
      </c>
      <c r="H640" s="8" t="str">
        <f>IF(OR(D640&lt;outliers!$B$21,D640&gt;outliers!$B$20),"Outlier","Normal")</f>
        <v>Normal</v>
      </c>
      <c r="I640" s="8" t="str">
        <f>IF(OR(E640&lt;outliers!$C$28,E640&gt;outliers!$B$27),"Outlier","Normal")</f>
        <v>Normal</v>
      </c>
      <c r="J640" s="8">
        <f t="shared" si="18"/>
        <v>2020</v>
      </c>
      <c r="K640">
        <f t="shared" si="19"/>
        <v>7</v>
      </c>
    </row>
    <row r="641" spans="1:11" hidden="1" x14ac:dyDescent="0.35">
      <c r="A641" s="13">
        <v>44029</v>
      </c>
      <c r="B641" s="8">
        <v>22.2</v>
      </c>
      <c r="C641" s="8">
        <v>20.399999999999999</v>
      </c>
      <c r="D641" s="8">
        <v>25.2</v>
      </c>
      <c r="E641" s="8">
        <v>10.9</v>
      </c>
      <c r="F641" s="8" t="str">
        <f>IF(OR(B641&lt;outliers!$B$7,B641&gt;outliers!$B$6),"Outlier","Normal")</f>
        <v>Normal</v>
      </c>
      <c r="G641" s="8" t="str">
        <f>IF(OR(C641&lt;outliers!$B$14,C641&gt;outliers!$B$13),"Outlier","Normal")</f>
        <v>Normal</v>
      </c>
      <c r="H641" s="8" t="str">
        <f>IF(OR(D641&lt;outliers!$B$21,D641&gt;outliers!$B$20),"Outlier","Normal")</f>
        <v>Normal</v>
      </c>
      <c r="I641" s="8" t="str">
        <f>IF(OR(E641&lt;outliers!$C$28,E641&gt;outliers!$B$27),"Outlier","Normal")</f>
        <v>Outlier</v>
      </c>
      <c r="J641" s="8">
        <f t="shared" si="18"/>
        <v>2020</v>
      </c>
      <c r="K641">
        <f t="shared" si="19"/>
        <v>7</v>
      </c>
    </row>
    <row r="642" spans="1:11" x14ac:dyDescent="0.35">
      <c r="A642" s="13">
        <v>44030</v>
      </c>
      <c r="B642" s="8">
        <v>23.4</v>
      </c>
      <c r="C642" s="8">
        <v>20.9</v>
      </c>
      <c r="D642" s="8">
        <v>27.8</v>
      </c>
      <c r="E642" s="8">
        <v>0</v>
      </c>
      <c r="F642" s="8" t="str">
        <f>IF(OR(B642&lt;outliers!$B$7,B642&gt;outliers!$B$6),"Outlier","Normal")</f>
        <v>Normal</v>
      </c>
      <c r="G642" s="8" t="str">
        <f>IF(OR(C642&lt;outliers!$B$14,C642&gt;outliers!$B$13),"Outlier","Normal")</f>
        <v>Normal</v>
      </c>
      <c r="H642" s="8" t="str">
        <f>IF(OR(D642&lt;outliers!$B$21,D642&gt;outliers!$B$20),"Outlier","Normal")</f>
        <v>Normal</v>
      </c>
      <c r="I642" s="8" t="str">
        <f>IF(OR(E642&lt;outliers!$C$28,E642&gt;outliers!$B$27),"Outlier","Normal")</f>
        <v>Normal</v>
      </c>
      <c r="J642" s="8">
        <f t="shared" si="18"/>
        <v>2020</v>
      </c>
      <c r="K642">
        <f t="shared" si="19"/>
        <v>7</v>
      </c>
    </row>
    <row r="643" spans="1:11" x14ac:dyDescent="0.35">
      <c r="A643" s="13">
        <v>44031</v>
      </c>
      <c r="B643" s="8">
        <v>24.4</v>
      </c>
      <c r="C643" s="8">
        <v>21.4</v>
      </c>
      <c r="D643" s="8">
        <v>29.8</v>
      </c>
      <c r="E643" s="8">
        <v>0.8</v>
      </c>
      <c r="F643" s="8" t="str">
        <f>IF(OR(B643&lt;outliers!$B$7,B643&gt;outliers!$B$6),"Outlier","Normal")</f>
        <v>Normal</v>
      </c>
      <c r="G643" s="8" t="str">
        <f>IF(OR(C643&lt;outliers!$B$14,C643&gt;outliers!$B$13),"Outlier","Normal")</f>
        <v>Normal</v>
      </c>
      <c r="H643" s="8" t="str">
        <f>IF(OR(D643&lt;outliers!$B$21,D643&gt;outliers!$B$20),"Outlier","Normal")</f>
        <v>Normal</v>
      </c>
      <c r="I643" s="8" t="str">
        <f>IF(OR(E643&lt;outliers!$C$28,E643&gt;outliers!$B$27),"Outlier","Normal")</f>
        <v>Normal</v>
      </c>
      <c r="J643" s="8">
        <f t="shared" si="18"/>
        <v>2020</v>
      </c>
      <c r="K643">
        <f t="shared" si="19"/>
        <v>7</v>
      </c>
    </row>
    <row r="644" spans="1:11" hidden="1" x14ac:dyDescent="0.35">
      <c r="A644" s="13">
        <v>44032</v>
      </c>
      <c r="B644" s="8">
        <v>23.4</v>
      </c>
      <c r="C644" s="8">
        <v>21.8</v>
      </c>
      <c r="D644" s="8">
        <v>29.6</v>
      </c>
      <c r="E644" s="8">
        <v>11.2</v>
      </c>
      <c r="F644" s="8" t="str">
        <f>IF(OR(B644&lt;outliers!$B$7,B644&gt;outliers!$B$6),"Outlier","Normal")</f>
        <v>Normal</v>
      </c>
      <c r="G644" s="8" t="str">
        <f>IF(OR(C644&lt;outliers!$B$14,C644&gt;outliers!$B$13),"Outlier","Normal")</f>
        <v>Normal</v>
      </c>
      <c r="H644" s="8" t="str">
        <f>IF(OR(D644&lt;outliers!$B$21,D644&gt;outliers!$B$20),"Outlier","Normal")</f>
        <v>Normal</v>
      </c>
      <c r="I644" s="8" t="str">
        <f>IF(OR(E644&lt;outliers!$C$28,E644&gt;outliers!$B$27),"Outlier","Normal")</f>
        <v>Outlier</v>
      </c>
      <c r="J644" s="8">
        <f t="shared" ref="J644:J707" si="20">YEAR(A644)</f>
        <v>2020</v>
      </c>
      <c r="K644">
        <f t="shared" ref="K644:K707" si="21">MONTH(A644)</f>
        <v>7</v>
      </c>
    </row>
    <row r="645" spans="1:11" hidden="1" x14ac:dyDescent="0.35">
      <c r="A645" s="13">
        <v>44033</v>
      </c>
      <c r="B645" s="8">
        <v>24.5</v>
      </c>
      <c r="C645" s="8">
        <v>19</v>
      </c>
      <c r="D645" s="8">
        <v>29.6</v>
      </c>
      <c r="E645" s="8">
        <v>24.1</v>
      </c>
      <c r="F645" s="8" t="str">
        <f>IF(OR(B645&lt;outliers!$B$7,B645&gt;outliers!$B$6),"Outlier","Normal")</f>
        <v>Normal</v>
      </c>
      <c r="G645" s="8" t="str">
        <f>IF(OR(C645&lt;outliers!$B$14,C645&gt;outliers!$B$13),"Outlier","Normal")</f>
        <v>Normal</v>
      </c>
      <c r="H645" s="8" t="str">
        <f>IF(OR(D645&lt;outliers!$B$21,D645&gt;outliers!$B$20),"Outlier","Normal")</f>
        <v>Normal</v>
      </c>
      <c r="I645" s="8" t="str">
        <f>IF(OR(E645&lt;outliers!$C$28,E645&gt;outliers!$B$27),"Outlier","Normal")</f>
        <v>Outlier</v>
      </c>
      <c r="J645" s="8">
        <f t="shared" si="20"/>
        <v>2020</v>
      </c>
      <c r="K645">
        <f t="shared" si="21"/>
        <v>7</v>
      </c>
    </row>
    <row r="646" spans="1:11" x14ac:dyDescent="0.35">
      <c r="A646" s="13">
        <v>44034</v>
      </c>
      <c r="B646" s="8">
        <v>25.8</v>
      </c>
      <c r="C646" s="8">
        <v>22</v>
      </c>
      <c r="D646" s="8">
        <v>30.4</v>
      </c>
      <c r="E646" s="8">
        <v>0</v>
      </c>
      <c r="F646" s="8" t="str">
        <f>IF(OR(B646&lt;outliers!$B$7,B646&gt;outliers!$B$6),"Outlier","Normal")</f>
        <v>Normal</v>
      </c>
      <c r="G646" s="8" t="str">
        <f>IF(OR(C646&lt;outliers!$B$14,C646&gt;outliers!$B$13),"Outlier","Normal")</f>
        <v>Normal</v>
      </c>
      <c r="H646" s="8" t="str">
        <f>IF(OR(D646&lt;outliers!$B$21,D646&gt;outliers!$B$20),"Outlier","Normal")</f>
        <v>Normal</v>
      </c>
      <c r="I646" s="8" t="str">
        <f>IF(OR(E646&lt;outliers!$C$28,E646&gt;outliers!$B$27),"Outlier","Normal")</f>
        <v>Normal</v>
      </c>
      <c r="J646" s="8">
        <f t="shared" si="20"/>
        <v>2020</v>
      </c>
      <c r="K646">
        <f t="shared" si="21"/>
        <v>7</v>
      </c>
    </row>
    <row r="647" spans="1:11" x14ac:dyDescent="0.35">
      <c r="A647" s="13">
        <v>44036</v>
      </c>
      <c r="B647" s="8">
        <v>23.8</v>
      </c>
      <c r="C647" s="8">
        <v>21.5</v>
      </c>
      <c r="D647" s="8">
        <v>30.8</v>
      </c>
      <c r="E647" s="8">
        <v>4.3</v>
      </c>
      <c r="F647" s="8" t="str">
        <f>IF(OR(B647&lt;outliers!$B$7,B647&gt;outliers!$B$6),"Outlier","Normal")</f>
        <v>Normal</v>
      </c>
      <c r="G647" s="8" t="str">
        <f>IF(OR(C647&lt;outliers!$B$14,C647&gt;outliers!$B$13),"Outlier","Normal")</f>
        <v>Normal</v>
      </c>
      <c r="H647" s="8" t="str">
        <f>IF(OR(D647&lt;outliers!$B$21,D647&gt;outliers!$B$20),"Outlier","Normal")</f>
        <v>Normal</v>
      </c>
      <c r="I647" s="8" t="str">
        <f>IF(OR(E647&lt;outliers!$C$28,E647&gt;outliers!$B$27),"Outlier","Normal")</f>
        <v>Normal</v>
      </c>
      <c r="J647" s="8">
        <f t="shared" si="20"/>
        <v>2020</v>
      </c>
      <c r="K647">
        <f t="shared" si="21"/>
        <v>7</v>
      </c>
    </row>
    <row r="648" spans="1:11" x14ac:dyDescent="0.35">
      <c r="A648" s="13">
        <v>44037</v>
      </c>
      <c r="B648" s="8">
        <v>23.7</v>
      </c>
      <c r="C648" s="8">
        <v>20.5</v>
      </c>
      <c r="D648" s="8">
        <v>29.8</v>
      </c>
      <c r="E648" s="8">
        <v>0</v>
      </c>
      <c r="F648" s="8" t="str">
        <f>IF(OR(B648&lt;outliers!$B$7,B648&gt;outliers!$B$6),"Outlier","Normal")</f>
        <v>Normal</v>
      </c>
      <c r="G648" s="8" t="str">
        <f>IF(OR(C648&lt;outliers!$B$14,C648&gt;outliers!$B$13),"Outlier","Normal")</f>
        <v>Normal</v>
      </c>
      <c r="H648" s="8" t="str">
        <f>IF(OR(D648&lt;outliers!$B$21,D648&gt;outliers!$B$20),"Outlier","Normal")</f>
        <v>Normal</v>
      </c>
      <c r="I648" s="8" t="str">
        <f>IF(OR(E648&lt;outliers!$C$28,E648&gt;outliers!$B$27),"Outlier","Normal")</f>
        <v>Normal</v>
      </c>
      <c r="J648" s="8">
        <f t="shared" si="20"/>
        <v>2020</v>
      </c>
      <c r="K648">
        <f t="shared" si="21"/>
        <v>7</v>
      </c>
    </row>
    <row r="649" spans="1:11" x14ac:dyDescent="0.35">
      <c r="A649" s="13">
        <v>44038</v>
      </c>
      <c r="B649" s="8">
        <v>23.6</v>
      </c>
      <c r="C649" s="8">
        <v>20.399999999999999</v>
      </c>
      <c r="D649" s="8">
        <v>29.4</v>
      </c>
      <c r="E649" s="8">
        <v>4.0999999999999996</v>
      </c>
      <c r="F649" s="8" t="str">
        <f>IF(OR(B649&lt;outliers!$B$7,B649&gt;outliers!$B$6),"Outlier","Normal")</f>
        <v>Normal</v>
      </c>
      <c r="G649" s="8" t="str">
        <f>IF(OR(C649&lt;outliers!$B$14,C649&gt;outliers!$B$13),"Outlier","Normal")</f>
        <v>Normal</v>
      </c>
      <c r="H649" s="8" t="str">
        <f>IF(OR(D649&lt;outliers!$B$21,D649&gt;outliers!$B$20),"Outlier","Normal")</f>
        <v>Normal</v>
      </c>
      <c r="I649" s="8" t="str">
        <f>IF(OR(E649&lt;outliers!$C$28,E649&gt;outliers!$B$27),"Outlier","Normal")</f>
        <v>Normal</v>
      </c>
      <c r="J649" s="8">
        <f t="shared" si="20"/>
        <v>2020</v>
      </c>
      <c r="K649">
        <f t="shared" si="21"/>
        <v>7</v>
      </c>
    </row>
    <row r="650" spans="1:11" x14ac:dyDescent="0.35">
      <c r="A650" s="13">
        <v>44039</v>
      </c>
      <c r="B650" s="8">
        <v>24.1</v>
      </c>
      <c r="C650" s="8">
        <v>20.399999999999999</v>
      </c>
      <c r="D650" s="8">
        <v>28.8</v>
      </c>
      <c r="E650" s="8">
        <v>0</v>
      </c>
      <c r="F650" s="8" t="str">
        <f>IF(OR(B650&lt;outliers!$B$7,B650&gt;outliers!$B$6),"Outlier","Normal")</f>
        <v>Normal</v>
      </c>
      <c r="G650" s="8" t="str">
        <f>IF(OR(C650&lt;outliers!$B$14,C650&gt;outliers!$B$13),"Outlier","Normal")</f>
        <v>Normal</v>
      </c>
      <c r="H650" s="8" t="str">
        <f>IF(OR(D650&lt;outliers!$B$21,D650&gt;outliers!$B$20),"Outlier","Normal")</f>
        <v>Normal</v>
      </c>
      <c r="I650" s="8" t="str">
        <f>IF(OR(E650&lt;outliers!$C$28,E650&gt;outliers!$B$27),"Outlier","Normal")</f>
        <v>Normal</v>
      </c>
      <c r="J650" s="8">
        <f t="shared" si="20"/>
        <v>2020</v>
      </c>
      <c r="K650">
        <f t="shared" si="21"/>
        <v>7</v>
      </c>
    </row>
    <row r="651" spans="1:11" x14ac:dyDescent="0.35">
      <c r="A651" s="13">
        <v>44040</v>
      </c>
      <c r="B651" s="8">
        <v>24.7</v>
      </c>
      <c r="C651" s="8">
        <v>20.6</v>
      </c>
      <c r="D651" s="8">
        <v>29</v>
      </c>
      <c r="E651" s="8">
        <v>2.2999999999999998</v>
      </c>
      <c r="F651" s="8" t="str">
        <f>IF(OR(B651&lt;outliers!$B$7,B651&gt;outliers!$B$6),"Outlier","Normal")</f>
        <v>Normal</v>
      </c>
      <c r="G651" s="8" t="str">
        <f>IF(OR(C651&lt;outliers!$B$14,C651&gt;outliers!$B$13),"Outlier","Normal")</f>
        <v>Normal</v>
      </c>
      <c r="H651" s="8" t="str">
        <f>IF(OR(D651&lt;outliers!$B$21,D651&gt;outliers!$B$20),"Outlier","Normal")</f>
        <v>Normal</v>
      </c>
      <c r="I651" s="8" t="str">
        <f>IF(OR(E651&lt;outliers!$C$28,E651&gt;outliers!$B$27),"Outlier","Normal")</f>
        <v>Normal</v>
      </c>
      <c r="J651" s="8">
        <f t="shared" si="20"/>
        <v>2020</v>
      </c>
      <c r="K651">
        <f t="shared" si="21"/>
        <v>7</v>
      </c>
    </row>
    <row r="652" spans="1:11" x14ac:dyDescent="0.35">
      <c r="A652" s="13">
        <v>44041</v>
      </c>
      <c r="B652" s="8">
        <v>22.9</v>
      </c>
      <c r="C652" s="8">
        <v>21.2</v>
      </c>
      <c r="D652" s="8">
        <v>29.5</v>
      </c>
      <c r="E652" s="8">
        <v>7.9</v>
      </c>
      <c r="F652" s="8" t="str">
        <f>IF(OR(B652&lt;outliers!$B$7,B652&gt;outliers!$B$6),"Outlier","Normal")</f>
        <v>Normal</v>
      </c>
      <c r="G652" s="8" t="str">
        <f>IF(OR(C652&lt;outliers!$B$14,C652&gt;outliers!$B$13),"Outlier","Normal")</f>
        <v>Normal</v>
      </c>
      <c r="H652" s="8" t="str">
        <f>IF(OR(D652&lt;outliers!$B$21,D652&gt;outliers!$B$20),"Outlier","Normal")</f>
        <v>Normal</v>
      </c>
      <c r="I652" s="8" t="str">
        <f>IF(OR(E652&lt;outliers!$C$28,E652&gt;outliers!$B$27),"Outlier","Normal")</f>
        <v>Normal</v>
      </c>
      <c r="J652" s="8">
        <f t="shared" si="20"/>
        <v>2020</v>
      </c>
      <c r="K652">
        <f t="shared" si="21"/>
        <v>7</v>
      </c>
    </row>
    <row r="653" spans="1:11" x14ac:dyDescent="0.35">
      <c r="A653" s="13">
        <v>44042</v>
      </c>
      <c r="B653" s="8">
        <v>23.5</v>
      </c>
      <c r="C653" s="8">
        <v>20.2</v>
      </c>
      <c r="D653" s="8">
        <v>28.8</v>
      </c>
      <c r="E653" s="8">
        <v>1.3</v>
      </c>
      <c r="F653" s="8" t="str">
        <f>IF(OR(B653&lt;outliers!$B$7,B653&gt;outliers!$B$6),"Outlier","Normal")</f>
        <v>Normal</v>
      </c>
      <c r="G653" s="8" t="str">
        <f>IF(OR(C653&lt;outliers!$B$14,C653&gt;outliers!$B$13),"Outlier","Normal")</f>
        <v>Normal</v>
      </c>
      <c r="H653" s="8" t="str">
        <f>IF(OR(D653&lt;outliers!$B$21,D653&gt;outliers!$B$20),"Outlier","Normal")</f>
        <v>Normal</v>
      </c>
      <c r="I653" s="8" t="str">
        <f>IF(OR(E653&lt;outliers!$C$28,E653&gt;outliers!$B$27),"Outlier","Normal")</f>
        <v>Normal</v>
      </c>
      <c r="J653" s="8">
        <f t="shared" si="20"/>
        <v>2020</v>
      </c>
      <c r="K653">
        <f t="shared" si="21"/>
        <v>7</v>
      </c>
    </row>
    <row r="654" spans="1:11" x14ac:dyDescent="0.35">
      <c r="A654" s="13">
        <v>44043</v>
      </c>
      <c r="B654" s="8">
        <v>23.9</v>
      </c>
      <c r="C654" s="8">
        <v>21.4</v>
      </c>
      <c r="D654" s="8">
        <v>28.6</v>
      </c>
      <c r="E654" s="8">
        <v>4.0999999999999996</v>
      </c>
      <c r="F654" s="8" t="str">
        <f>IF(OR(B654&lt;outliers!$B$7,B654&gt;outliers!$B$6),"Outlier","Normal")</f>
        <v>Normal</v>
      </c>
      <c r="G654" s="8" t="str">
        <f>IF(OR(C654&lt;outliers!$B$14,C654&gt;outliers!$B$13),"Outlier","Normal")</f>
        <v>Normal</v>
      </c>
      <c r="H654" s="8" t="str">
        <f>IF(OR(D654&lt;outliers!$B$21,D654&gt;outliers!$B$20),"Outlier","Normal")</f>
        <v>Normal</v>
      </c>
      <c r="I654" s="8" t="str">
        <f>IF(OR(E654&lt;outliers!$C$28,E654&gt;outliers!$B$27),"Outlier","Normal")</f>
        <v>Normal</v>
      </c>
      <c r="J654" s="8">
        <f t="shared" si="20"/>
        <v>2020</v>
      </c>
      <c r="K654">
        <f t="shared" si="21"/>
        <v>7</v>
      </c>
    </row>
    <row r="655" spans="1:11" x14ac:dyDescent="0.35">
      <c r="A655" s="13">
        <v>44044</v>
      </c>
      <c r="B655" s="8">
        <v>23</v>
      </c>
      <c r="C655" s="8">
        <v>20.399999999999999</v>
      </c>
      <c r="D655" s="8">
        <v>29.6</v>
      </c>
      <c r="E655" s="8">
        <v>2</v>
      </c>
      <c r="F655" s="8" t="str">
        <f>IF(OR(B655&lt;outliers!$B$7,B655&gt;outliers!$B$6),"Outlier","Normal")</f>
        <v>Normal</v>
      </c>
      <c r="G655" s="8" t="str">
        <f>IF(OR(C655&lt;outliers!$B$14,C655&gt;outliers!$B$13),"Outlier","Normal")</f>
        <v>Normal</v>
      </c>
      <c r="H655" s="8" t="str">
        <f>IF(OR(D655&lt;outliers!$B$21,D655&gt;outliers!$B$20),"Outlier","Normal")</f>
        <v>Normal</v>
      </c>
      <c r="I655" s="8" t="str">
        <f>IF(OR(E655&lt;outliers!$C$28,E655&gt;outliers!$B$27),"Outlier","Normal")</f>
        <v>Normal</v>
      </c>
      <c r="J655" s="8">
        <f t="shared" si="20"/>
        <v>2020</v>
      </c>
      <c r="K655">
        <f t="shared" si="21"/>
        <v>8</v>
      </c>
    </row>
    <row r="656" spans="1:11" x14ac:dyDescent="0.35">
      <c r="A656" s="13">
        <v>44045</v>
      </c>
      <c r="B656" s="8">
        <v>22.8</v>
      </c>
      <c r="C656" s="8">
        <v>19.600000000000001</v>
      </c>
      <c r="D656" s="8">
        <v>28</v>
      </c>
      <c r="E656" s="8">
        <v>3.3</v>
      </c>
      <c r="F656" s="8" t="str">
        <f>IF(OR(B656&lt;outliers!$B$7,B656&gt;outliers!$B$6),"Outlier","Normal")</f>
        <v>Normal</v>
      </c>
      <c r="G656" s="8" t="str">
        <f>IF(OR(C656&lt;outliers!$B$14,C656&gt;outliers!$B$13),"Outlier","Normal")</f>
        <v>Normal</v>
      </c>
      <c r="H656" s="8" t="str">
        <f>IF(OR(D656&lt;outliers!$B$21,D656&gt;outliers!$B$20),"Outlier","Normal")</f>
        <v>Normal</v>
      </c>
      <c r="I656" s="8" t="str">
        <f>IF(OR(E656&lt;outliers!$C$28,E656&gt;outliers!$B$27),"Outlier","Normal")</f>
        <v>Normal</v>
      </c>
      <c r="J656" s="8">
        <f t="shared" si="20"/>
        <v>2020</v>
      </c>
      <c r="K656">
        <f t="shared" si="21"/>
        <v>8</v>
      </c>
    </row>
    <row r="657" spans="1:11" x14ac:dyDescent="0.35">
      <c r="A657" s="13">
        <v>44046</v>
      </c>
      <c r="B657" s="8">
        <v>22.9</v>
      </c>
      <c r="C657" s="8">
        <v>20.399999999999999</v>
      </c>
      <c r="D657" s="8">
        <v>27.8</v>
      </c>
      <c r="E657" s="8">
        <v>2.5</v>
      </c>
      <c r="F657" s="8" t="str">
        <f>IF(OR(B657&lt;outliers!$B$7,B657&gt;outliers!$B$6),"Outlier","Normal")</f>
        <v>Normal</v>
      </c>
      <c r="G657" s="8" t="str">
        <f>IF(OR(C657&lt;outliers!$B$14,C657&gt;outliers!$B$13),"Outlier","Normal")</f>
        <v>Normal</v>
      </c>
      <c r="H657" s="8" t="str">
        <f>IF(OR(D657&lt;outliers!$B$21,D657&gt;outliers!$B$20),"Outlier","Normal")</f>
        <v>Normal</v>
      </c>
      <c r="I657" s="8" t="str">
        <f>IF(OR(E657&lt;outliers!$C$28,E657&gt;outliers!$B$27),"Outlier","Normal")</f>
        <v>Normal</v>
      </c>
      <c r="J657" s="8">
        <f t="shared" si="20"/>
        <v>2020</v>
      </c>
      <c r="K657">
        <f t="shared" si="21"/>
        <v>8</v>
      </c>
    </row>
    <row r="658" spans="1:11" x14ac:dyDescent="0.35">
      <c r="A658" s="13">
        <v>44047</v>
      </c>
      <c r="B658" s="8">
        <v>21.9</v>
      </c>
      <c r="C658" s="8">
        <v>19.8</v>
      </c>
      <c r="D658" s="8">
        <v>26</v>
      </c>
      <c r="E658" s="8">
        <v>1.5</v>
      </c>
      <c r="F658" s="8" t="str">
        <f>IF(OR(B658&lt;outliers!$B$7,B658&gt;outliers!$B$6),"Outlier","Normal")</f>
        <v>Normal</v>
      </c>
      <c r="G658" s="8" t="str">
        <f>IF(OR(C658&lt;outliers!$B$14,C658&gt;outliers!$B$13),"Outlier","Normal")</f>
        <v>Normal</v>
      </c>
      <c r="H658" s="8" t="str">
        <f>IF(OR(D658&lt;outliers!$B$21,D658&gt;outliers!$B$20),"Outlier","Normal")</f>
        <v>Normal</v>
      </c>
      <c r="I658" s="8" t="str">
        <f>IF(OR(E658&lt;outliers!$C$28,E658&gt;outliers!$B$27),"Outlier","Normal")</f>
        <v>Normal</v>
      </c>
      <c r="J658" s="8">
        <f t="shared" si="20"/>
        <v>2020</v>
      </c>
      <c r="K658">
        <f t="shared" si="21"/>
        <v>8</v>
      </c>
    </row>
    <row r="659" spans="1:11" x14ac:dyDescent="0.35">
      <c r="A659" s="13">
        <v>44048</v>
      </c>
      <c r="B659" s="8">
        <v>22.1</v>
      </c>
      <c r="C659" s="8">
        <v>19.8</v>
      </c>
      <c r="D659" s="8">
        <v>25.8</v>
      </c>
      <c r="E659" s="8">
        <v>1.8</v>
      </c>
      <c r="F659" s="8" t="str">
        <f>IF(OR(B659&lt;outliers!$B$7,B659&gt;outliers!$B$6),"Outlier","Normal")</f>
        <v>Normal</v>
      </c>
      <c r="G659" s="8" t="str">
        <f>IF(OR(C659&lt;outliers!$B$14,C659&gt;outliers!$B$13),"Outlier","Normal")</f>
        <v>Normal</v>
      </c>
      <c r="H659" s="8" t="str">
        <f>IF(OR(D659&lt;outliers!$B$21,D659&gt;outliers!$B$20),"Outlier","Normal")</f>
        <v>Normal</v>
      </c>
      <c r="I659" s="8" t="str">
        <f>IF(OR(E659&lt;outliers!$C$28,E659&gt;outliers!$B$27),"Outlier","Normal")</f>
        <v>Normal</v>
      </c>
      <c r="J659" s="8">
        <f t="shared" si="20"/>
        <v>2020</v>
      </c>
      <c r="K659">
        <f t="shared" si="21"/>
        <v>8</v>
      </c>
    </row>
    <row r="660" spans="1:11" x14ac:dyDescent="0.35">
      <c r="A660" s="13">
        <v>44049</v>
      </c>
      <c r="B660" s="8">
        <v>23.4</v>
      </c>
      <c r="C660" s="8">
        <v>20.8</v>
      </c>
      <c r="D660" s="8">
        <v>29.8</v>
      </c>
      <c r="E660" s="8">
        <v>2.8</v>
      </c>
      <c r="F660" s="8" t="str">
        <f>IF(OR(B660&lt;outliers!$B$7,B660&gt;outliers!$B$6),"Outlier","Normal")</f>
        <v>Normal</v>
      </c>
      <c r="G660" s="8" t="str">
        <f>IF(OR(C660&lt;outliers!$B$14,C660&gt;outliers!$B$13),"Outlier","Normal")</f>
        <v>Normal</v>
      </c>
      <c r="H660" s="8" t="str">
        <f>IF(OR(D660&lt;outliers!$B$21,D660&gt;outliers!$B$20),"Outlier","Normal")</f>
        <v>Normal</v>
      </c>
      <c r="I660" s="8" t="str">
        <f>IF(OR(E660&lt;outliers!$C$28,E660&gt;outliers!$B$27),"Outlier","Normal")</f>
        <v>Normal</v>
      </c>
      <c r="J660" s="8">
        <f t="shared" si="20"/>
        <v>2020</v>
      </c>
      <c r="K660">
        <f t="shared" si="21"/>
        <v>8</v>
      </c>
    </row>
    <row r="661" spans="1:11" x14ac:dyDescent="0.35">
      <c r="A661" s="13">
        <v>44050</v>
      </c>
      <c r="B661" s="8">
        <v>23.4</v>
      </c>
      <c r="C661" s="8">
        <v>21.4</v>
      </c>
      <c r="D661" s="8">
        <v>27.8</v>
      </c>
      <c r="E661" s="8">
        <v>1.3</v>
      </c>
      <c r="F661" s="8" t="str">
        <f>IF(OR(B661&lt;outliers!$B$7,B661&gt;outliers!$B$6),"Outlier","Normal")</f>
        <v>Normal</v>
      </c>
      <c r="G661" s="8" t="str">
        <f>IF(OR(C661&lt;outliers!$B$14,C661&gt;outliers!$B$13),"Outlier","Normal")</f>
        <v>Normal</v>
      </c>
      <c r="H661" s="8" t="str">
        <f>IF(OR(D661&lt;outliers!$B$21,D661&gt;outliers!$B$20),"Outlier","Normal")</f>
        <v>Normal</v>
      </c>
      <c r="I661" s="8" t="str">
        <f>IF(OR(E661&lt;outliers!$C$28,E661&gt;outliers!$B$27),"Outlier","Normal")</f>
        <v>Normal</v>
      </c>
      <c r="J661" s="8">
        <f t="shared" si="20"/>
        <v>2020</v>
      </c>
      <c r="K661">
        <f t="shared" si="21"/>
        <v>8</v>
      </c>
    </row>
    <row r="662" spans="1:11" x14ac:dyDescent="0.35">
      <c r="A662" s="13">
        <v>44051</v>
      </c>
      <c r="B662" s="8">
        <v>22.4</v>
      </c>
      <c r="C662" s="8">
        <v>20.3</v>
      </c>
      <c r="D662" s="8">
        <v>27.2</v>
      </c>
      <c r="E662" s="8">
        <v>0</v>
      </c>
      <c r="F662" s="8" t="str">
        <f>IF(OR(B662&lt;outliers!$B$7,B662&gt;outliers!$B$6),"Outlier","Normal")</f>
        <v>Normal</v>
      </c>
      <c r="G662" s="8" t="str">
        <f>IF(OR(C662&lt;outliers!$B$14,C662&gt;outliers!$B$13),"Outlier","Normal")</f>
        <v>Normal</v>
      </c>
      <c r="H662" s="8" t="str">
        <f>IF(OR(D662&lt;outliers!$B$21,D662&gt;outliers!$B$20),"Outlier","Normal")</f>
        <v>Normal</v>
      </c>
      <c r="I662" s="8" t="str">
        <f>IF(OR(E662&lt;outliers!$C$28,E662&gt;outliers!$B$27),"Outlier","Normal")</f>
        <v>Normal</v>
      </c>
      <c r="J662" s="8">
        <f t="shared" si="20"/>
        <v>2020</v>
      </c>
      <c r="K662">
        <f t="shared" si="21"/>
        <v>8</v>
      </c>
    </row>
    <row r="663" spans="1:11" x14ac:dyDescent="0.35">
      <c r="A663" s="13">
        <v>44052</v>
      </c>
      <c r="B663" s="8">
        <v>21.8</v>
      </c>
      <c r="C663" s="8">
        <v>20.2</v>
      </c>
      <c r="D663" s="8">
        <v>27.4</v>
      </c>
      <c r="E663" s="8">
        <v>2.2999999999999998</v>
      </c>
      <c r="F663" s="8" t="str">
        <f>IF(OR(B663&lt;outliers!$B$7,B663&gt;outliers!$B$6),"Outlier","Normal")</f>
        <v>Normal</v>
      </c>
      <c r="G663" s="8" t="str">
        <f>IF(OR(C663&lt;outliers!$B$14,C663&gt;outliers!$B$13),"Outlier","Normal")</f>
        <v>Normal</v>
      </c>
      <c r="H663" s="8" t="str">
        <f>IF(OR(D663&lt;outliers!$B$21,D663&gt;outliers!$B$20),"Outlier","Normal")</f>
        <v>Normal</v>
      </c>
      <c r="I663" s="8" t="str">
        <f>IF(OR(E663&lt;outliers!$C$28,E663&gt;outliers!$B$27),"Outlier","Normal")</f>
        <v>Normal</v>
      </c>
      <c r="J663" s="8">
        <f t="shared" si="20"/>
        <v>2020</v>
      </c>
      <c r="K663">
        <f t="shared" si="21"/>
        <v>8</v>
      </c>
    </row>
    <row r="664" spans="1:11" hidden="1" x14ac:dyDescent="0.35">
      <c r="A664" s="13">
        <v>44053</v>
      </c>
      <c r="B664" s="8">
        <v>21.9</v>
      </c>
      <c r="C664" s="8">
        <v>19.5</v>
      </c>
      <c r="D664" s="8">
        <v>26</v>
      </c>
      <c r="E664" s="8">
        <v>12.2</v>
      </c>
      <c r="F664" s="8" t="str">
        <f>IF(OR(B664&lt;outliers!$B$7,B664&gt;outliers!$B$6),"Outlier","Normal")</f>
        <v>Normal</v>
      </c>
      <c r="G664" s="8" t="str">
        <f>IF(OR(C664&lt;outliers!$B$14,C664&gt;outliers!$B$13),"Outlier","Normal")</f>
        <v>Normal</v>
      </c>
      <c r="H664" s="8" t="str">
        <f>IF(OR(D664&lt;outliers!$B$21,D664&gt;outliers!$B$20),"Outlier","Normal")</f>
        <v>Normal</v>
      </c>
      <c r="I664" s="8" t="str">
        <f>IF(OR(E664&lt;outliers!$C$28,E664&gt;outliers!$B$27),"Outlier","Normal")</f>
        <v>Outlier</v>
      </c>
      <c r="J664" s="8">
        <f t="shared" si="20"/>
        <v>2020</v>
      </c>
      <c r="K664">
        <f t="shared" si="21"/>
        <v>8</v>
      </c>
    </row>
    <row r="665" spans="1:11" x14ac:dyDescent="0.35">
      <c r="A665" s="13">
        <v>44054</v>
      </c>
      <c r="B665" s="8">
        <v>22.8</v>
      </c>
      <c r="C665" s="8">
        <v>20.6</v>
      </c>
      <c r="D665" s="8">
        <v>27.8</v>
      </c>
      <c r="E665" s="8">
        <v>0</v>
      </c>
      <c r="F665" s="8" t="str">
        <f>IF(OR(B665&lt;outliers!$B$7,B665&gt;outliers!$B$6),"Outlier","Normal")</f>
        <v>Normal</v>
      </c>
      <c r="G665" s="8" t="str">
        <f>IF(OR(C665&lt;outliers!$B$14,C665&gt;outliers!$B$13),"Outlier","Normal")</f>
        <v>Normal</v>
      </c>
      <c r="H665" s="8" t="str">
        <f>IF(OR(D665&lt;outliers!$B$21,D665&gt;outliers!$B$20),"Outlier","Normal")</f>
        <v>Normal</v>
      </c>
      <c r="I665" s="8" t="str">
        <f>IF(OR(E665&lt;outliers!$C$28,E665&gt;outliers!$B$27),"Outlier","Normal")</f>
        <v>Normal</v>
      </c>
      <c r="J665" s="8">
        <f t="shared" si="20"/>
        <v>2020</v>
      </c>
      <c r="K665">
        <f t="shared" si="21"/>
        <v>8</v>
      </c>
    </row>
    <row r="666" spans="1:11" x14ac:dyDescent="0.35">
      <c r="A666" s="13">
        <v>44055</v>
      </c>
      <c r="B666" s="8">
        <v>23.4</v>
      </c>
      <c r="C666" s="8">
        <v>20.5</v>
      </c>
      <c r="D666" s="8">
        <v>28</v>
      </c>
      <c r="E666" s="8">
        <v>5.0999999999999996</v>
      </c>
      <c r="F666" s="8" t="str">
        <f>IF(OR(B666&lt;outliers!$B$7,B666&gt;outliers!$B$6),"Outlier","Normal")</f>
        <v>Normal</v>
      </c>
      <c r="G666" s="8" t="str">
        <f>IF(OR(C666&lt;outliers!$B$14,C666&gt;outliers!$B$13),"Outlier","Normal")</f>
        <v>Normal</v>
      </c>
      <c r="H666" s="8" t="str">
        <f>IF(OR(D666&lt;outliers!$B$21,D666&gt;outliers!$B$20),"Outlier","Normal")</f>
        <v>Normal</v>
      </c>
      <c r="I666" s="8" t="str">
        <f>IF(OR(E666&lt;outliers!$C$28,E666&gt;outliers!$B$27),"Outlier","Normal")</f>
        <v>Normal</v>
      </c>
      <c r="J666" s="8">
        <f t="shared" si="20"/>
        <v>2020</v>
      </c>
      <c r="K666">
        <f t="shared" si="21"/>
        <v>8</v>
      </c>
    </row>
    <row r="667" spans="1:11" x14ac:dyDescent="0.35">
      <c r="A667" s="13">
        <v>44056</v>
      </c>
      <c r="B667" s="8">
        <v>23.7</v>
      </c>
      <c r="C667" s="8">
        <v>20.6</v>
      </c>
      <c r="D667" s="8">
        <v>27.9</v>
      </c>
      <c r="E667" s="8">
        <v>0</v>
      </c>
      <c r="F667" s="8" t="str">
        <f>IF(OR(B667&lt;outliers!$B$7,B667&gt;outliers!$B$6),"Outlier","Normal")</f>
        <v>Normal</v>
      </c>
      <c r="G667" s="8" t="str">
        <f>IF(OR(C667&lt;outliers!$B$14,C667&gt;outliers!$B$13),"Outlier","Normal")</f>
        <v>Normal</v>
      </c>
      <c r="H667" s="8" t="str">
        <f>IF(OR(D667&lt;outliers!$B$21,D667&gt;outliers!$B$20),"Outlier","Normal")</f>
        <v>Normal</v>
      </c>
      <c r="I667" s="8" t="str">
        <f>IF(OR(E667&lt;outliers!$C$28,E667&gt;outliers!$B$27),"Outlier","Normal")</f>
        <v>Normal</v>
      </c>
      <c r="J667" s="8">
        <f t="shared" si="20"/>
        <v>2020</v>
      </c>
      <c r="K667">
        <f t="shared" si="21"/>
        <v>8</v>
      </c>
    </row>
    <row r="668" spans="1:11" x14ac:dyDescent="0.35">
      <c r="A668" s="13">
        <v>44057</v>
      </c>
      <c r="B668" s="8">
        <v>22.7</v>
      </c>
      <c r="C668" s="8">
        <v>20.2</v>
      </c>
      <c r="D668" s="8">
        <v>28</v>
      </c>
      <c r="E668" s="8">
        <v>0</v>
      </c>
      <c r="F668" s="8" t="str">
        <f>IF(OR(B668&lt;outliers!$B$7,B668&gt;outliers!$B$6),"Outlier","Normal")</f>
        <v>Normal</v>
      </c>
      <c r="G668" s="8" t="str">
        <f>IF(OR(C668&lt;outliers!$B$14,C668&gt;outliers!$B$13),"Outlier","Normal")</f>
        <v>Normal</v>
      </c>
      <c r="H668" s="8" t="str">
        <f>IF(OR(D668&lt;outliers!$B$21,D668&gt;outliers!$B$20),"Outlier","Normal")</f>
        <v>Normal</v>
      </c>
      <c r="I668" s="8" t="str">
        <f>IF(OR(E668&lt;outliers!$C$28,E668&gt;outliers!$B$27),"Outlier","Normal")</f>
        <v>Normal</v>
      </c>
      <c r="J668" s="8">
        <f t="shared" si="20"/>
        <v>2020</v>
      </c>
      <c r="K668">
        <f t="shared" si="21"/>
        <v>8</v>
      </c>
    </row>
    <row r="669" spans="1:11" x14ac:dyDescent="0.35">
      <c r="A669" s="13">
        <v>44058</v>
      </c>
      <c r="B669" s="8">
        <v>22.4</v>
      </c>
      <c r="C669" s="8">
        <v>20.399999999999999</v>
      </c>
      <c r="D669" s="8">
        <v>25.6</v>
      </c>
      <c r="E669" s="8">
        <v>0</v>
      </c>
      <c r="F669" s="8" t="str">
        <f>IF(OR(B669&lt;outliers!$B$7,B669&gt;outliers!$B$6),"Outlier","Normal")</f>
        <v>Normal</v>
      </c>
      <c r="G669" s="8" t="str">
        <f>IF(OR(C669&lt;outliers!$B$14,C669&gt;outliers!$B$13),"Outlier","Normal")</f>
        <v>Normal</v>
      </c>
      <c r="H669" s="8" t="str">
        <f>IF(OR(D669&lt;outliers!$B$21,D669&gt;outliers!$B$20),"Outlier","Normal")</f>
        <v>Normal</v>
      </c>
      <c r="I669" s="8" t="str">
        <f>IF(OR(E669&lt;outliers!$C$28,E669&gt;outliers!$B$27),"Outlier","Normal")</f>
        <v>Normal</v>
      </c>
      <c r="J669" s="8">
        <f t="shared" si="20"/>
        <v>2020</v>
      </c>
      <c r="K669">
        <f t="shared" si="21"/>
        <v>8</v>
      </c>
    </row>
    <row r="670" spans="1:11" x14ac:dyDescent="0.35">
      <c r="A670" s="13">
        <v>44060</v>
      </c>
      <c r="B670" s="8">
        <v>22.2</v>
      </c>
      <c r="C670" s="8">
        <v>20.100000000000001</v>
      </c>
      <c r="D670" s="8">
        <v>26.8</v>
      </c>
      <c r="E670" s="8">
        <v>0.3</v>
      </c>
      <c r="F670" s="8" t="str">
        <f>IF(OR(B670&lt;outliers!$B$7,B670&gt;outliers!$B$6),"Outlier","Normal")</f>
        <v>Normal</v>
      </c>
      <c r="G670" s="8" t="str">
        <f>IF(OR(C670&lt;outliers!$B$14,C670&gt;outliers!$B$13),"Outlier","Normal")</f>
        <v>Normal</v>
      </c>
      <c r="H670" s="8" t="str">
        <f>IF(OR(D670&lt;outliers!$B$21,D670&gt;outliers!$B$20),"Outlier","Normal")</f>
        <v>Normal</v>
      </c>
      <c r="I670" s="8" t="str">
        <f>IF(OR(E670&lt;outliers!$C$28,E670&gt;outliers!$B$27),"Outlier","Normal")</f>
        <v>Normal</v>
      </c>
      <c r="J670" s="8">
        <f t="shared" si="20"/>
        <v>2020</v>
      </c>
      <c r="K670">
        <f t="shared" si="21"/>
        <v>8</v>
      </c>
    </row>
    <row r="671" spans="1:11" x14ac:dyDescent="0.35">
      <c r="A671" s="13">
        <v>44061</v>
      </c>
      <c r="B671" s="8">
        <v>23</v>
      </c>
      <c r="C671" s="8">
        <v>20.6</v>
      </c>
      <c r="D671" s="8">
        <v>26.2</v>
      </c>
      <c r="E671" s="8">
        <v>1</v>
      </c>
      <c r="F671" s="8" t="str">
        <f>IF(OR(B671&lt;outliers!$B$7,B671&gt;outliers!$B$6),"Outlier","Normal")</f>
        <v>Normal</v>
      </c>
      <c r="G671" s="8" t="str">
        <f>IF(OR(C671&lt;outliers!$B$14,C671&gt;outliers!$B$13),"Outlier","Normal")</f>
        <v>Normal</v>
      </c>
      <c r="H671" s="8" t="str">
        <f>IF(OR(D671&lt;outliers!$B$21,D671&gt;outliers!$B$20),"Outlier","Normal")</f>
        <v>Normal</v>
      </c>
      <c r="I671" s="8" t="str">
        <f>IF(OR(E671&lt;outliers!$C$28,E671&gt;outliers!$B$27),"Outlier","Normal")</f>
        <v>Normal</v>
      </c>
      <c r="J671" s="8">
        <f t="shared" si="20"/>
        <v>2020</v>
      </c>
      <c r="K671">
        <f t="shared" si="21"/>
        <v>8</v>
      </c>
    </row>
    <row r="672" spans="1:11" x14ac:dyDescent="0.35">
      <c r="A672" s="13">
        <v>44062</v>
      </c>
      <c r="B672" s="8">
        <v>23.1</v>
      </c>
      <c r="C672" s="8">
        <v>20.399999999999999</v>
      </c>
      <c r="D672" s="8">
        <v>26.4</v>
      </c>
      <c r="E672" s="8">
        <v>0</v>
      </c>
      <c r="F672" s="8" t="str">
        <f>IF(OR(B672&lt;outliers!$B$7,B672&gt;outliers!$B$6),"Outlier","Normal")</f>
        <v>Normal</v>
      </c>
      <c r="G672" s="8" t="str">
        <f>IF(OR(C672&lt;outliers!$B$14,C672&gt;outliers!$B$13),"Outlier","Normal")</f>
        <v>Normal</v>
      </c>
      <c r="H672" s="8" t="str">
        <f>IF(OR(D672&lt;outliers!$B$21,D672&gt;outliers!$B$20),"Outlier","Normal")</f>
        <v>Normal</v>
      </c>
      <c r="I672" s="8" t="str">
        <f>IF(OR(E672&lt;outliers!$C$28,E672&gt;outliers!$B$27),"Outlier","Normal")</f>
        <v>Normal</v>
      </c>
      <c r="J672" s="8">
        <f t="shared" si="20"/>
        <v>2020</v>
      </c>
      <c r="K672">
        <f t="shared" si="21"/>
        <v>8</v>
      </c>
    </row>
    <row r="673" spans="1:11" x14ac:dyDescent="0.35">
      <c r="A673" s="13">
        <v>44067</v>
      </c>
      <c r="B673" s="8">
        <v>24.1</v>
      </c>
      <c r="C673" s="8">
        <v>20.9</v>
      </c>
      <c r="D673" s="8">
        <v>27.8</v>
      </c>
      <c r="E673" s="8">
        <v>2</v>
      </c>
      <c r="F673" s="8" t="str">
        <f>IF(OR(B673&lt;outliers!$B$7,B673&gt;outliers!$B$6),"Outlier","Normal")</f>
        <v>Normal</v>
      </c>
      <c r="G673" s="8" t="str">
        <f>IF(OR(C673&lt;outliers!$B$14,C673&gt;outliers!$B$13),"Outlier","Normal")</f>
        <v>Normal</v>
      </c>
      <c r="H673" s="8" t="str">
        <f>IF(OR(D673&lt;outliers!$B$21,D673&gt;outliers!$B$20),"Outlier","Normal")</f>
        <v>Normal</v>
      </c>
      <c r="I673" s="8" t="str">
        <f>IF(OR(E673&lt;outliers!$C$28,E673&gt;outliers!$B$27),"Outlier","Normal")</f>
        <v>Normal</v>
      </c>
      <c r="J673" s="8">
        <f t="shared" si="20"/>
        <v>2020</v>
      </c>
      <c r="K673">
        <f t="shared" si="21"/>
        <v>8</v>
      </c>
    </row>
    <row r="674" spans="1:11" x14ac:dyDescent="0.35">
      <c r="A674" s="13">
        <v>44068</v>
      </c>
      <c r="B674" s="8">
        <v>25</v>
      </c>
      <c r="C674" s="8">
        <v>20.5</v>
      </c>
      <c r="D674" s="8">
        <v>29.8</v>
      </c>
      <c r="E674" s="8">
        <v>0</v>
      </c>
      <c r="F674" s="8" t="str">
        <f>IF(OR(B674&lt;outliers!$B$7,B674&gt;outliers!$B$6),"Outlier","Normal")</f>
        <v>Normal</v>
      </c>
      <c r="G674" s="8" t="str">
        <f>IF(OR(C674&lt;outliers!$B$14,C674&gt;outliers!$B$13),"Outlier","Normal")</f>
        <v>Normal</v>
      </c>
      <c r="H674" s="8" t="str">
        <f>IF(OR(D674&lt;outliers!$B$21,D674&gt;outliers!$B$20),"Outlier","Normal")</f>
        <v>Normal</v>
      </c>
      <c r="I674" s="8" t="str">
        <f>IF(OR(E674&lt;outliers!$C$28,E674&gt;outliers!$B$27),"Outlier","Normal")</f>
        <v>Normal</v>
      </c>
      <c r="J674" s="8">
        <f t="shared" si="20"/>
        <v>2020</v>
      </c>
      <c r="K674">
        <f t="shared" si="21"/>
        <v>8</v>
      </c>
    </row>
    <row r="675" spans="1:11" x14ac:dyDescent="0.35">
      <c r="A675" s="13">
        <v>44069</v>
      </c>
      <c r="B675" s="8">
        <v>25.6</v>
      </c>
      <c r="C675" s="8">
        <v>22</v>
      </c>
      <c r="D675" s="8">
        <v>30.2</v>
      </c>
      <c r="E675" s="8">
        <v>0</v>
      </c>
      <c r="F675" s="8" t="str">
        <f>IF(OR(B675&lt;outliers!$B$7,B675&gt;outliers!$B$6),"Outlier","Normal")</f>
        <v>Normal</v>
      </c>
      <c r="G675" s="8" t="str">
        <f>IF(OR(C675&lt;outliers!$B$14,C675&gt;outliers!$B$13),"Outlier","Normal")</f>
        <v>Normal</v>
      </c>
      <c r="H675" s="8" t="str">
        <f>IF(OR(D675&lt;outliers!$B$21,D675&gt;outliers!$B$20),"Outlier","Normal")</f>
        <v>Normal</v>
      </c>
      <c r="I675" s="8" t="str">
        <f>IF(OR(E675&lt;outliers!$C$28,E675&gt;outliers!$B$27),"Outlier","Normal")</f>
        <v>Normal</v>
      </c>
      <c r="J675" s="8">
        <f t="shared" si="20"/>
        <v>2020</v>
      </c>
      <c r="K675">
        <f t="shared" si="21"/>
        <v>8</v>
      </c>
    </row>
    <row r="676" spans="1:11" x14ac:dyDescent="0.35">
      <c r="A676" s="13">
        <v>44071</v>
      </c>
      <c r="B676" s="8">
        <v>25.3</v>
      </c>
      <c r="C676" s="8">
        <v>20.399999999999999</v>
      </c>
      <c r="D676" s="8">
        <v>30.8</v>
      </c>
      <c r="E676" s="8">
        <v>0</v>
      </c>
      <c r="F676" s="8" t="str">
        <f>IF(OR(B676&lt;outliers!$B$7,B676&gt;outliers!$B$6),"Outlier","Normal")</f>
        <v>Normal</v>
      </c>
      <c r="G676" s="8" t="str">
        <f>IF(OR(C676&lt;outliers!$B$14,C676&gt;outliers!$B$13),"Outlier","Normal")</f>
        <v>Normal</v>
      </c>
      <c r="H676" s="8" t="str">
        <f>IF(OR(D676&lt;outliers!$B$21,D676&gt;outliers!$B$20),"Outlier","Normal")</f>
        <v>Normal</v>
      </c>
      <c r="I676" s="8" t="str">
        <f>IF(OR(E676&lt;outliers!$C$28,E676&gt;outliers!$B$27),"Outlier","Normal")</f>
        <v>Normal</v>
      </c>
      <c r="J676" s="8">
        <f t="shared" si="20"/>
        <v>2020</v>
      </c>
      <c r="K676">
        <f t="shared" si="21"/>
        <v>8</v>
      </c>
    </row>
    <row r="677" spans="1:11" hidden="1" x14ac:dyDescent="0.35">
      <c r="A677" s="13">
        <v>44074</v>
      </c>
      <c r="B677" s="8">
        <v>24.4</v>
      </c>
      <c r="C677" s="8">
        <v>19.399999999999999</v>
      </c>
      <c r="D677" s="8">
        <v>31.7</v>
      </c>
      <c r="E677" s="8">
        <v>23.1</v>
      </c>
      <c r="F677" s="8" t="str">
        <f>IF(OR(B677&lt;outliers!$B$7,B677&gt;outliers!$B$6),"Outlier","Normal")</f>
        <v>Normal</v>
      </c>
      <c r="G677" s="8" t="str">
        <f>IF(OR(C677&lt;outliers!$B$14,C677&gt;outliers!$B$13),"Outlier","Normal")</f>
        <v>Normal</v>
      </c>
      <c r="H677" s="8" t="str">
        <f>IF(OR(D677&lt;outliers!$B$21,D677&gt;outliers!$B$20),"Outlier","Normal")</f>
        <v>Normal</v>
      </c>
      <c r="I677" s="8" t="str">
        <f>IF(OR(E677&lt;outliers!$C$28,E677&gt;outliers!$B$27),"Outlier","Normal")</f>
        <v>Outlier</v>
      </c>
      <c r="J677" s="8">
        <f t="shared" si="20"/>
        <v>2020</v>
      </c>
      <c r="K677">
        <f t="shared" si="21"/>
        <v>8</v>
      </c>
    </row>
    <row r="678" spans="1:11" hidden="1" x14ac:dyDescent="0.35">
      <c r="A678" s="13">
        <v>44075</v>
      </c>
      <c r="B678" s="8">
        <v>24</v>
      </c>
      <c r="C678" s="8">
        <v>20</v>
      </c>
      <c r="D678" s="8">
        <v>29.8</v>
      </c>
      <c r="E678" s="8">
        <v>18.8</v>
      </c>
      <c r="F678" s="8" t="str">
        <f>IF(OR(B678&lt;outliers!$B$7,B678&gt;outliers!$B$6),"Outlier","Normal")</f>
        <v>Normal</v>
      </c>
      <c r="G678" s="8" t="str">
        <f>IF(OR(C678&lt;outliers!$B$14,C678&gt;outliers!$B$13),"Outlier","Normal")</f>
        <v>Normal</v>
      </c>
      <c r="H678" s="8" t="str">
        <f>IF(OR(D678&lt;outliers!$B$21,D678&gt;outliers!$B$20),"Outlier","Normal")</f>
        <v>Normal</v>
      </c>
      <c r="I678" s="8" t="str">
        <f>IF(OR(E678&lt;outliers!$C$28,E678&gt;outliers!$B$27),"Outlier","Normal")</f>
        <v>Outlier</v>
      </c>
      <c r="J678" s="8">
        <f t="shared" si="20"/>
        <v>2020</v>
      </c>
      <c r="K678">
        <f t="shared" si="21"/>
        <v>9</v>
      </c>
    </row>
    <row r="679" spans="1:11" x14ac:dyDescent="0.35">
      <c r="A679" s="13">
        <v>44076</v>
      </c>
      <c r="B679" s="8">
        <v>22.9</v>
      </c>
      <c r="C679" s="8">
        <v>20.6</v>
      </c>
      <c r="D679" s="8">
        <v>28.4</v>
      </c>
      <c r="E679" s="8">
        <v>2</v>
      </c>
      <c r="F679" s="8" t="str">
        <f>IF(OR(B679&lt;outliers!$B$7,B679&gt;outliers!$B$6),"Outlier","Normal")</f>
        <v>Normal</v>
      </c>
      <c r="G679" s="8" t="str">
        <f>IF(OR(C679&lt;outliers!$B$14,C679&gt;outliers!$B$13),"Outlier","Normal")</f>
        <v>Normal</v>
      </c>
      <c r="H679" s="8" t="str">
        <f>IF(OR(D679&lt;outliers!$B$21,D679&gt;outliers!$B$20),"Outlier","Normal")</f>
        <v>Normal</v>
      </c>
      <c r="I679" s="8" t="str">
        <f>IF(OR(E679&lt;outliers!$C$28,E679&gt;outliers!$B$27),"Outlier","Normal")</f>
        <v>Normal</v>
      </c>
      <c r="J679" s="8">
        <f t="shared" si="20"/>
        <v>2020</v>
      </c>
      <c r="K679">
        <f t="shared" si="21"/>
        <v>9</v>
      </c>
    </row>
    <row r="680" spans="1:11" hidden="1" x14ac:dyDescent="0.35">
      <c r="A680" s="13">
        <v>44077</v>
      </c>
      <c r="B680" s="8">
        <v>23.8</v>
      </c>
      <c r="C680" s="8">
        <v>20.5</v>
      </c>
      <c r="D680" s="8">
        <v>27.8</v>
      </c>
      <c r="E680" s="8">
        <v>29.7</v>
      </c>
      <c r="F680" s="8" t="str">
        <f>IF(OR(B680&lt;outliers!$B$7,B680&gt;outliers!$B$6),"Outlier","Normal")</f>
        <v>Normal</v>
      </c>
      <c r="G680" s="8" t="str">
        <f>IF(OR(C680&lt;outliers!$B$14,C680&gt;outliers!$B$13),"Outlier","Normal")</f>
        <v>Normal</v>
      </c>
      <c r="H680" s="8" t="str">
        <f>IF(OR(D680&lt;outliers!$B$21,D680&gt;outliers!$B$20),"Outlier","Normal")</f>
        <v>Normal</v>
      </c>
      <c r="I680" s="8" t="str">
        <f>IF(OR(E680&lt;outliers!$C$28,E680&gt;outliers!$B$27),"Outlier","Normal")</f>
        <v>Outlier</v>
      </c>
      <c r="J680" s="8">
        <f t="shared" si="20"/>
        <v>2020</v>
      </c>
      <c r="K680">
        <f t="shared" si="21"/>
        <v>9</v>
      </c>
    </row>
    <row r="681" spans="1:11" x14ac:dyDescent="0.35">
      <c r="A681" s="13">
        <v>44078</v>
      </c>
      <c r="B681" s="8">
        <v>24.9</v>
      </c>
      <c r="C681" s="8">
        <v>21</v>
      </c>
      <c r="D681" s="8">
        <v>29.2</v>
      </c>
      <c r="E681" s="8">
        <v>9.6999999999999993</v>
      </c>
      <c r="F681" s="8" t="str">
        <f>IF(OR(B681&lt;outliers!$B$7,B681&gt;outliers!$B$6),"Outlier","Normal")</f>
        <v>Normal</v>
      </c>
      <c r="G681" s="8" t="str">
        <f>IF(OR(C681&lt;outliers!$B$14,C681&gt;outliers!$B$13),"Outlier","Normal")</f>
        <v>Normal</v>
      </c>
      <c r="H681" s="8" t="str">
        <f>IF(OR(D681&lt;outliers!$B$21,D681&gt;outliers!$B$20),"Outlier","Normal")</f>
        <v>Normal</v>
      </c>
      <c r="I681" s="8" t="str">
        <f>IF(OR(E681&lt;outliers!$C$28,E681&gt;outliers!$B$27),"Outlier","Normal")</f>
        <v>Normal</v>
      </c>
      <c r="J681" s="8">
        <f t="shared" si="20"/>
        <v>2020</v>
      </c>
      <c r="K681">
        <f t="shared" si="21"/>
        <v>9</v>
      </c>
    </row>
    <row r="682" spans="1:11" x14ac:dyDescent="0.35">
      <c r="A682" s="13">
        <v>44079</v>
      </c>
      <c r="B682" s="8">
        <v>24.8</v>
      </c>
      <c r="C682" s="8">
        <v>22.3</v>
      </c>
      <c r="D682" s="8">
        <v>29.2</v>
      </c>
      <c r="E682" s="8">
        <v>0</v>
      </c>
      <c r="F682" s="8" t="str">
        <f>IF(OR(B682&lt;outliers!$B$7,B682&gt;outliers!$B$6),"Outlier","Normal")</f>
        <v>Normal</v>
      </c>
      <c r="G682" s="8" t="str">
        <f>IF(OR(C682&lt;outliers!$B$14,C682&gt;outliers!$B$13),"Outlier","Normal")</f>
        <v>Normal</v>
      </c>
      <c r="H682" s="8" t="str">
        <f>IF(OR(D682&lt;outliers!$B$21,D682&gt;outliers!$B$20),"Outlier","Normal")</f>
        <v>Normal</v>
      </c>
      <c r="I682" s="8" t="str">
        <f>IF(OR(E682&lt;outliers!$C$28,E682&gt;outliers!$B$27),"Outlier","Normal")</f>
        <v>Normal</v>
      </c>
      <c r="J682" s="8">
        <f t="shared" si="20"/>
        <v>2020</v>
      </c>
      <c r="K682">
        <f t="shared" si="21"/>
        <v>9</v>
      </c>
    </row>
    <row r="683" spans="1:11" x14ac:dyDescent="0.35">
      <c r="A683" s="13">
        <v>44080</v>
      </c>
      <c r="B683" s="8">
        <v>25.5</v>
      </c>
      <c r="C683" s="8">
        <v>22.2</v>
      </c>
      <c r="D683" s="8">
        <v>29.6</v>
      </c>
      <c r="E683" s="8">
        <v>0</v>
      </c>
      <c r="F683" s="8" t="str">
        <f>IF(OR(B683&lt;outliers!$B$7,B683&gt;outliers!$B$6),"Outlier","Normal")</f>
        <v>Normal</v>
      </c>
      <c r="G683" s="8" t="str">
        <f>IF(OR(C683&lt;outliers!$B$14,C683&gt;outliers!$B$13),"Outlier","Normal")</f>
        <v>Normal</v>
      </c>
      <c r="H683" s="8" t="str">
        <f>IF(OR(D683&lt;outliers!$B$21,D683&gt;outliers!$B$20),"Outlier","Normal")</f>
        <v>Normal</v>
      </c>
      <c r="I683" s="8" t="str">
        <f>IF(OR(E683&lt;outliers!$C$28,E683&gt;outliers!$B$27),"Outlier","Normal")</f>
        <v>Normal</v>
      </c>
      <c r="J683" s="8">
        <f t="shared" si="20"/>
        <v>2020</v>
      </c>
      <c r="K683">
        <f t="shared" si="21"/>
        <v>9</v>
      </c>
    </row>
    <row r="684" spans="1:11" x14ac:dyDescent="0.35">
      <c r="A684" s="13">
        <v>44081</v>
      </c>
      <c r="B684" s="8">
        <v>24.4</v>
      </c>
      <c r="C684" s="8">
        <v>20.5</v>
      </c>
      <c r="D684" s="8">
        <v>30.5</v>
      </c>
      <c r="E684" s="8">
        <v>0</v>
      </c>
      <c r="F684" s="8" t="str">
        <f>IF(OR(B684&lt;outliers!$B$7,B684&gt;outliers!$B$6),"Outlier","Normal")</f>
        <v>Normal</v>
      </c>
      <c r="G684" s="8" t="str">
        <f>IF(OR(C684&lt;outliers!$B$14,C684&gt;outliers!$B$13),"Outlier","Normal")</f>
        <v>Normal</v>
      </c>
      <c r="H684" s="8" t="str">
        <f>IF(OR(D684&lt;outliers!$B$21,D684&gt;outliers!$B$20),"Outlier","Normal")</f>
        <v>Normal</v>
      </c>
      <c r="I684" s="8" t="str">
        <f>IF(OR(E684&lt;outliers!$C$28,E684&gt;outliers!$B$27),"Outlier","Normal")</f>
        <v>Normal</v>
      </c>
      <c r="J684" s="8">
        <f t="shared" si="20"/>
        <v>2020</v>
      </c>
      <c r="K684">
        <f t="shared" si="21"/>
        <v>9</v>
      </c>
    </row>
    <row r="685" spans="1:11" x14ac:dyDescent="0.35">
      <c r="A685" s="13">
        <v>44082</v>
      </c>
      <c r="B685" s="8">
        <v>24.4</v>
      </c>
      <c r="C685" s="8">
        <v>21.2</v>
      </c>
      <c r="D685" s="8">
        <v>29.8</v>
      </c>
      <c r="E685" s="8">
        <v>2</v>
      </c>
      <c r="F685" s="8" t="str">
        <f>IF(OR(B685&lt;outliers!$B$7,B685&gt;outliers!$B$6),"Outlier","Normal")</f>
        <v>Normal</v>
      </c>
      <c r="G685" s="8" t="str">
        <f>IF(OR(C685&lt;outliers!$B$14,C685&gt;outliers!$B$13),"Outlier","Normal")</f>
        <v>Normal</v>
      </c>
      <c r="H685" s="8" t="str">
        <f>IF(OR(D685&lt;outliers!$B$21,D685&gt;outliers!$B$20),"Outlier","Normal")</f>
        <v>Normal</v>
      </c>
      <c r="I685" s="8" t="str">
        <f>IF(OR(E685&lt;outliers!$C$28,E685&gt;outliers!$B$27),"Outlier","Normal")</f>
        <v>Normal</v>
      </c>
      <c r="J685" s="8">
        <f t="shared" si="20"/>
        <v>2020</v>
      </c>
      <c r="K685">
        <f t="shared" si="21"/>
        <v>9</v>
      </c>
    </row>
    <row r="686" spans="1:11" hidden="1" x14ac:dyDescent="0.35">
      <c r="A686" s="13">
        <v>44083</v>
      </c>
      <c r="B686" s="8">
        <v>23.9</v>
      </c>
      <c r="C686" s="8">
        <v>19.399999999999999</v>
      </c>
      <c r="D686" s="8">
        <v>30.2</v>
      </c>
      <c r="E686" s="8">
        <v>61</v>
      </c>
      <c r="F686" s="8" t="str">
        <f>IF(OR(B686&lt;outliers!$B$7,B686&gt;outliers!$B$6),"Outlier","Normal")</f>
        <v>Normal</v>
      </c>
      <c r="G686" s="8" t="str">
        <f>IF(OR(C686&lt;outliers!$B$14,C686&gt;outliers!$B$13),"Outlier","Normal")</f>
        <v>Normal</v>
      </c>
      <c r="H686" s="8" t="str">
        <f>IF(OR(D686&lt;outliers!$B$21,D686&gt;outliers!$B$20),"Outlier","Normal")</f>
        <v>Normal</v>
      </c>
      <c r="I686" s="8" t="str">
        <f>IF(OR(E686&lt;outliers!$C$28,E686&gt;outliers!$B$27),"Outlier","Normal")</f>
        <v>Outlier</v>
      </c>
      <c r="J686" s="8">
        <f t="shared" si="20"/>
        <v>2020</v>
      </c>
      <c r="K686">
        <f t="shared" si="21"/>
        <v>9</v>
      </c>
    </row>
    <row r="687" spans="1:11" hidden="1" x14ac:dyDescent="0.35">
      <c r="A687" s="13">
        <v>44084</v>
      </c>
      <c r="B687" s="8">
        <v>22.7</v>
      </c>
      <c r="C687" s="8">
        <v>19.2</v>
      </c>
      <c r="D687" s="8">
        <v>30.6</v>
      </c>
      <c r="E687" s="8">
        <v>65</v>
      </c>
      <c r="F687" s="8" t="str">
        <f>IF(OR(B687&lt;outliers!$B$7,B687&gt;outliers!$B$6),"Outlier","Normal")</f>
        <v>Normal</v>
      </c>
      <c r="G687" s="8" t="str">
        <f>IF(OR(C687&lt;outliers!$B$14,C687&gt;outliers!$B$13),"Outlier","Normal")</f>
        <v>Normal</v>
      </c>
      <c r="H687" s="8" t="str">
        <f>IF(OR(D687&lt;outliers!$B$21,D687&gt;outliers!$B$20),"Outlier","Normal")</f>
        <v>Normal</v>
      </c>
      <c r="I687" s="8" t="str">
        <f>IF(OR(E687&lt;outliers!$C$28,E687&gt;outliers!$B$27),"Outlier","Normal")</f>
        <v>Outlier</v>
      </c>
      <c r="J687" s="8">
        <f t="shared" si="20"/>
        <v>2020</v>
      </c>
      <c r="K687">
        <f t="shared" si="21"/>
        <v>9</v>
      </c>
    </row>
    <row r="688" spans="1:11" x14ac:dyDescent="0.35">
      <c r="A688" s="13">
        <v>44085</v>
      </c>
      <c r="B688" s="8">
        <v>22.1</v>
      </c>
      <c r="C688" s="8">
        <v>19.899999999999999</v>
      </c>
      <c r="D688" s="8">
        <v>27.6</v>
      </c>
      <c r="E688" s="8">
        <v>0</v>
      </c>
      <c r="F688" s="8" t="str">
        <f>IF(OR(B688&lt;outliers!$B$7,B688&gt;outliers!$B$6),"Outlier","Normal")</f>
        <v>Normal</v>
      </c>
      <c r="G688" s="8" t="str">
        <f>IF(OR(C688&lt;outliers!$B$14,C688&gt;outliers!$B$13),"Outlier","Normal")</f>
        <v>Normal</v>
      </c>
      <c r="H688" s="8" t="str">
        <f>IF(OR(D688&lt;outliers!$B$21,D688&gt;outliers!$B$20),"Outlier","Normal")</f>
        <v>Normal</v>
      </c>
      <c r="I688" s="8" t="str">
        <f>IF(OR(E688&lt;outliers!$C$28,E688&gt;outliers!$B$27),"Outlier","Normal")</f>
        <v>Normal</v>
      </c>
      <c r="J688" s="8">
        <f t="shared" si="20"/>
        <v>2020</v>
      </c>
      <c r="K688">
        <f t="shared" si="21"/>
        <v>9</v>
      </c>
    </row>
    <row r="689" spans="1:11" x14ac:dyDescent="0.35">
      <c r="A689" s="13">
        <v>44086</v>
      </c>
      <c r="B689" s="8">
        <v>21.5</v>
      </c>
      <c r="C689" s="8">
        <v>18.7</v>
      </c>
      <c r="D689" s="8">
        <v>25.8</v>
      </c>
      <c r="E689" s="8">
        <v>1.3</v>
      </c>
      <c r="F689" s="8" t="str">
        <f>IF(OR(B689&lt;outliers!$B$7,B689&gt;outliers!$B$6),"Outlier","Normal")</f>
        <v>Normal</v>
      </c>
      <c r="G689" s="8" t="str">
        <f>IF(OR(C689&lt;outliers!$B$14,C689&gt;outliers!$B$13),"Outlier","Normal")</f>
        <v>Normal</v>
      </c>
      <c r="H689" s="8" t="str">
        <f>IF(OR(D689&lt;outliers!$B$21,D689&gt;outliers!$B$20),"Outlier","Normal")</f>
        <v>Normal</v>
      </c>
      <c r="I689" s="8" t="str">
        <f>IF(OR(E689&lt;outliers!$C$28,E689&gt;outliers!$B$27),"Outlier","Normal")</f>
        <v>Normal</v>
      </c>
      <c r="J689" s="8">
        <f t="shared" si="20"/>
        <v>2020</v>
      </c>
      <c r="K689">
        <f t="shared" si="21"/>
        <v>9</v>
      </c>
    </row>
    <row r="690" spans="1:11" hidden="1" x14ac:dyDescent="0.35">
      <c r="A690" s="13">
        <v>44087</v>
      </c>
      <c r="B690" s="8">
        <v>21.6</v>
      </c>
      <c r="C690" s="8">
        <v>19.7</v>
      </c>
      <c r="D690" s="8">
        <v>25.5</v>
      </c>
      <c r="E690" s="8">
        <v>17.5</v>
      </c>
      <c r="F690" s="8" t="str">
        <f>IF(OR(B690&lt;outliers!$B$7,B690&gt;outliers!$B$6),"Outlier","Normal")</f>
        <v>Normal</v>
      </c>
      <c r="G690" s="8" t="str">
        <f>IF(OR(C690&lt;outliers!$B$14,C690&gt;outliers!$B$13),"Outlier","Normal")</f>
        <v>Normal</v>
      </c>
      <c r="H690" s="8" t="str">
        <f>IF(OR(D690&lt;outliers!$B$21,D690&gt;outliers!$B$20),"Outlier","Normal")</f>
        <v>Normal</v>
      </c>
      <c r="I690" s="8" t="str">
        <f>IF(OR(E690&lt;outliers!$C$28,E690&gt;outliers!$B$27),"Outlier","Normal")</f>
        <v>Outlier</v>
      </c>
      <c r="J690" s="8">
        <f t="shared" si="20"/>
        <v>2020</v>
      </c>
      <c r="K690">
        <f t="shared" si="21"/>
        <v>9</v>
      </c>
    </row>
    <row r="691" spans="1:11" x14ac:dyDescent="0.35">
      <c r="A691" s="13">
        <v>44088</v>
      </c>
      <c r="B691" s="8">
        <v>22.5</v>
      </c>
      <c r="C691" s="8">
        <v>20.399999999999999</v>
      </c>
      <c r="D691" s="8">
        <v>26.4</v>
      </c>
      <c r="E691" s="8">
        <v>1</v>
      </c>
      <c r="F691" s="8" t="str">
        <f>IF(OR(B691&lt;outliers!$B$7,B691&gt;outliers!$B$6),"Outlier","Normal")</f>
        <v>Normal</v>
      </c>
      <c r="G691" s="8" t="str">
        <f>IF(OR(C691&lt;outliers!$B$14,C691&gt;outliers!$B$13),"Outlier","Normal")</f>
        <v>Normal</v>
      </c>
      <c r="H691" s="8" t="str">
        <f>IF(OR(D691&lt;outliers!$B$21,D691&gt;outliers!$B$20),"Outlier","Normal")</f>
        <v>Normal</v>
      </c>
      <c r="I691" s="8" t="str">
        <f>IF(OR(E691&lt;outliers!$C$28,E691&gt;outliers!$B$27),"Outlier","Normal")</f>
        <v>Normal</v>
      </c>
      <c r="J691" s="8">
        <f t="shared" si="20"/>
        <v>2020</v>
      </c>
      <c r="K691">
        <f t="shared" si="21"/>
        <v>9</v>
      </c>
    </row>
    <row r="692" spans="1:11" x14ac:dyDescent="0.35">
      <c r="A692" s="13">
        <v>44089</v>
      </c>
      <c r="B692" s="8">
        <v>22.8</v>
      </c>
      <c r="C692" s="8">
        <v>20.2</v>
      </c>
      <c r="D692" s="8">
        <v>26.5</v>
      </c>
      <c r="E692" s="8">
        <v>0</v>
      </c>
      <c r="F692" s="8" t="str">
        <f>IF(OR(B692&lt;outliers!$B$7,B692&gt;outliers!$B$6),"Outlier","Normal")</f>
        <v>Normal</v>
      </c>
      <c r="G692" s="8" t="str">
        <f>IF(OR(C692&lt;outliers!$B$14,C692&gt;outliers!$B$13),"Outlier","Normal")</f>
        <v>Normal</v>
      </c>
      <c r="H692" s="8" t="str">
        <f>IF(OR(D692&lt;outliers!$B$21,D692&gt;outliers!$B$20),"Outlier","Normal")</f>
        <v>Normal</v>
      </c>
      <c r="I692" s="8" t="str">
        <f>IF(OR(E692&lt;outliers!$C$28,E692&gt;outliers!$B$27),"Outlier","Normal")</f>
        <v>Normal</v>
      </c>
      <c r="J692" s="8">
        <f t="shared" si="20"/>
        <v>2020</v>
      </c>
      <c r="K692">
        <f t="shared" si="21"/>
        <v>9</v>
      </c>
    </row>
    <row r="693" spans="1:11" x14ac:dyDescent="0.35">
      <c r="A693" s="13">
        <v>44090</v>
      </c>
      <c r="B693" s="8">
        <v>23.3</v>
      </c>
      <c r="C693" s="8">
        <v>20.2</v>
      </c>
      <c r="D693" s="8">
        <v>26.2</v>
      </c>
      <c r="E693" s="8">
        <v>0.3</v>
      </c>
      <c r="F693" s="8" t="str">
        <f>IF(OR(B693&lt;outliers!$B$7,B693&gt;outliers!$B$6),"Outlier","Normal")</f>
        <v>Normal</v>
      </c>
      <c r="G693" s="8" t="str">
        <f>IF(OR(C693&lt;outliers!$B$14,C693&gt;outliers!$B$13),"Outlier","Normal")</f>
        <v>Normal</v>
      </c>
      <c r="H693" s="8" t="str">
        <f>IF(OR(D693&lt;outliers!$B$21,D693&gt;outliers!$B$20),"Outlier","Normal")</f>
        <v>Normal</v>
      </c>
      <c r="I693" s="8" t="str">
        <f>IF(OR(E693&lt;outliers!$C$28,E693&gt;outliers!$B$27),"Outlier","Normal")</f>
        <v>Normal</v>
      </c>
      <c r="J693" s="8">
        <f t="shared" si="20"/>
        <v>2020</v>
      </c>
      <c r="K693">
        <f t="shared" si="21"/>
        <v>9</v>
      </c>
    </row>
    <row r="694" spans="1:11" x14ac:dyDescent="0.35">
      <c r="A694" s="13">
        <v>44091</v>
      </c>
      <c r="B694" s="8">
        <v>23.8</v>
      </c>
      <c r="C694" s="8">
        <v>21</v>
      </c>
      <c r="D694" s="8">
        <v>27</v>
      </c>
      <c r="E694" s="8">
        <v>0</v>
      </c>
      <c r="F694" s="8" t="str">
        <f>IF(OR(B694&lt;outliers!$B$7,B694&gt;outliers!$B$6),"Outlier","Normal")</f>
        <v>Normal</v>
      </c>
      <c r="G694" s="8" t="str">
        <f>IF(OR(C694&lt;outliers!$B$14,C694&gt;outliers!$B$13),"Outlier","Normal")</f>
        <v>Normal</v>
      </c>
      <c r="H694" s="8" t="str">
        <f>IF(OR(D694&lt;outliers!$B$21,D694&gt;outliers!$B$20),"Outlier","Normal")</f>
        <v>Normal</v>
      </c>
      <c r="I694" s="8" t="str">
        <f>IF(OR(E694&lt;outliers!$C$28,E694&gt;outliers!$B$27),"Outlier","Normal")</f>
        <v>Normal</v>
      </c>
      <c r="J694" s="8">
        <f t="shared" si="20"/>
        <v>2020</v>
      </c>
      <c r="K694">
        <f t="shared" si="21"/>
        <v>9</v>
      </c>
    </row>
    <row r="695" spans="1:11" x14ac:dyDescent="0.35">
      <c r="A695" s="13">
        <v>44092</v>
      </c>
      <c r="B695" s="8">
        <v>24</v>
      </c>
      <c r="C695" s="8">
        <v>19.8</v>
      </c>
      <c r="D695" s="8">
        <v>28.2</v>
      </c>
      <c r="E695" s="8">
        <v>0.3</v>
      </c>
      <c r="F695" s="8" t="str">
        <f>IF(OR(B695&lt;outliers!$B$7,B695&gt;outliers!$B$6),"Outlier","Normal")</f>
        <v>Normal</v>
      </c>
      <c r="G695" s="8" t="str">
        <f>IF(OR(C695&lt;outliers!$B$14,C695&gt;outliers!$B$13),"Outlier","Normal")</f>
        <v>Normal</v>
      </c>
      <c r="H695" s="8" t="str">
        <f>IF(OR(D695&lt;outliers!$B$21,D695&gt;outliers!$B$20),"Outlier","Normal")</f>
        <v>Normal</v>
      </c>
      <c r="I695" s="8" t="str">
        <f>IF(OR(E695&lt;outliers!$C$28,E695&gt;outliers!$B$27),"Outlier","Normal")</f>
        <v>Normal</v>
      </c>
      <c r="J695" s="8">
        <f t="shared" si="20"/>
        <v>2020</v>
      </c>
      <c r="K695">
        <f t="shared" si="21"/>
        <v>9</v>
      </c>
    </row>
    <row r="696" spans="1:11" x14ac:dyDescent="0.35">
      <c r="A696" s="13">
        <v>44093</v>
      </c>
      <c r="B696" s="8">
        <v>22.1</v>
      </c>
      <c r="C696" s="8">
        <v>19.3</v>
      </c>
      <c r="D696" s="8">
        <v>28.4</v>
      </c>
      <c r="E696" s="8">
        <v>0</v>
      </c>
      <c r="F696" s="8" t="str">
        <f>IF(OR(B696&lt;outliers!$B$7,B696&gt;outliers!$B$6),"Outlier","Normal")</f>
        <v>Normal</v>
      </c>
      <c r="G696" s="8" t="str">
        <f>IF(OR(C696&lt;outliers!$B$14,C696&gt;outliers!$B$13),"Outlier","Normal")</f>
        <v>Normal</v>
      </c>
      <c r="H696" s="8" t="str">
        <f>IF(OR(D696&lt;outliers!$B$21,D696&gt;outliers!$B$20),"Outlier","Normal")</f>
        <v>Normal</v>
      </c>
      <c r="I696" s="8" t="str">
        <f>IF(OR(E696&lt;outliers!$C$28,E696&gt;outliers!$B$27),"Outlier","Normal")</f>
        <v>Normal</v>
      </c>
      <c r="J696" s="8">
        <f t="shared" si="20"/>
        <v>2020</v>
      </c>
      <c r="K696">
        <f t="shared" si="21"/>
        <v>9</v>
      </c>
    </row>
    <row r="697" spans="1:11" hidden="1" x14ac:dyDescent="0.35">
      <c r="A697" s="13">
        <v>44094</v>
      </c>
      <c r="B697" s="8">
        <v>20.399999999999999</v>
      </c>
      <c r="C697" s="8">
        <v>18.600000000000001</v>
      </c>
      <c r="D697" s="8">
        <v>25.8</v>
      </c>
      <c r="E697" s="8">
        <v>20.8</v>
      </c>
      <c r="F697" s="8" t="str">
        <f>IF(OR(B697&lt;outliers!$B$7,B697&gt;outliers!$B$6),"Outlier","Normal")</f>
        <v>Normal</v>
      </c>
      <c r="G697" s="8" t="str">
        <f>IF(OR(C697&lt;outliers!$B$14,C697&gt;outliers!$B$13),"Outlier","Normal")</f>
        <v>Normal</v>
      </c>
      <c r="H697" s="8" t="str">
        <f>IF(OR(D697&lt;outliers!$B$21,D697&gt;outliers!$B$20),"Outlier","Normal")</f>
        <v>Normal</v>
      </c>
      <c r="I697" s="8" t="str">
        <f>IF(OR(E697&lt;outliers!$C$28,E697&gt;outliers!$B$27),"Outlier","Normal")</f>
        <v>Outlier</v>
      </c>
      <c r="J697" s="8">
        <f t="shared" si="20"/>
        <v>2020</v>
      </c>
      <c r="K697">
        <f t="shared" si="21"/>
        <v>9</v>
      </c>
    </row>
    <row r="698" spans="1:11" hidden="1" x14ac:dyDescent="0.35">
      <c r="A698" s="13">
        <v>44095</v>
      </c>
      <c r="B698" s="8">
        <v>22.1</v>
      </c>
      <c r="C698" s="8">
        <v>19</v>
      </c>
      <c r="D698" s="8">
        <v>27.8</v>
      </c>
      <c r="E698" s="8">
        <v>11.4</v>
      </c>
      <c r="F698" s="8" t="str">
        <f>IF(OR(B698&lt;outliers!$B$7,B698&gt;outliers!$B$6),"Outlier","Normal")</f>
        <v>Normal</v>
      </c>
      <c r="G698" s="8" t="str">
        <f>IF(OR(C698&lt;outliers!$B$14,C698&gt;outliers!$B$13),"Outlier","Normal")</f>
        <v>Normal</v>
      </c>
      <c r="H698" s="8" t="str">
        <f>IF(OR(D698&lt;outliers!$B$21,D698&gt;outliers!$B$20),"Outlier","Normal")</f>
        <v>Normal</v>
      </c>
      <c r="I698" s="8" t="str">
        <f>IF(OR(E698&lt;outliers!$C$28,E698&gt;outliers!$B$27),"Outlier","Normal")</f>
        <v>Outlier</v>
      </c>
      <c r="J698" s="8">
        <f t="shared" si="20"/>
        <v>2020</v>
      </c>
      <c r="K698">
        <f t="shared" si="21"/>
        <v>9</v>
      </c>
    </row>
    <row r="699" spans="1:11" x14ac:dyDescent="0.35">
      <c r="A699" s="13">
        <v>44096</v>
      </c>
      <c r="B699" s="8">
        <v>21.7</v>
      </c>
      <c r="C699" s="8">
        <v>18.600000000000001</v>
      </c>
      <c r="D699" s="8">
        <v>26.6</v>
      </c>
      <c r="E699" s="8">
        <v>0</v>
      </c>
      <c r="F699" s="8" t="str">
        <f>IF(OR(B699&lt;outliers!$B$7,B699&gt;outliers!$B$6),"Outlier","Normal")</f>
        <v>Normal</v>
      </c>
      <c r="G699" s="8" t="str">
        <f>IF(OR(C699&lt;outliers!$B$14,C699&gt;outliers!$B$13),"Outlier","Normal")</f>
        <v>Normal</v>
      </c>
      <c r="H699" s="8" t="str">
        <f>IF(OR(D699&lt;outliers!$B$21,D699&gt;outliers!$B$20),"Outlier","Normal")</f>
        <v>Normal</v>
      </c>
      <c r="I699" s="8" t="str">
        <f>IF(OR(E699&lt;outliers!$C$28,E699&gt;outliers!$B$27),"Outlier","Normal")</f>
        <v>Normal</v>
      </c>
      <c r="J699" s="8">
        <f t="shared" si="20"/>
        <v>2020</v>
      </c>
      <c r="K699">
        <f t="shared" si="21"/>
        <v>9</v>
      </c>
    </row>
    <row r="700" spans="1:11" x14ac:dyDescent="0.35">
      <c r="A700" s="13">
        <v>44097</v>
      </c>
      <c r="B700" s="8">
        <v>22.8</v>
      </c>
      <c r="C700" s="8">
        <v>18.600000000000001</v>
      </c>
      <c r="D700" s="8">
        <v>27.8</v>
      </c>
      <c r="E700" s="8">
        <v>0</v>
      </c>
      <c r="F700" s="8" t="str">
        <f>IF(OR(B700&lt;outliers!$B$7,B700&gt;outliers!$B$6),"Outlier","Normal")</f>
        <v>Normal</v>
      </c>
      <c r="G700" s="8" t="str">
        <f>IF(OR(C700&lt;outliers!$B$14,C700&gt;outliers!$B$13),"Outlier","Normal")</f>
        <v>Normal</v>
      </c>
      <c r="H700" s="8" t="str">
        <f>IF(OR(D700&lt;outliers!$B$21,D700&gt;outliers!$B$20),"Outlier","Normal")</f>
        <v>Normal</v>
      </c>
      <c r="I700" s="8" t="str">
        <f>IF(OR(E700&lt;outliers!$C$28,E700&gt;outliers!$B$27),"Outlier","Normal")</f>
        <v>Normal</v>
      </c>
      <c r="J700" s="8">
        <f t="shared" si="20"/>
        <v>2020</v>
      </c>
      <c r="K700">
        <f t="shared" si="21"/>
        <v>9</v>
      </c>
    </row>
    <row r="701" spans="1:11" x14ac:dyDescent="0.35">
      <c r="A701" s="13">
        <v>44099</v>
      </c>
      <c r="B701" s="8">
        <v>24.3</v>
      </c>
      <c r="C701" s="8">
        <v>20.9</v>
      </c>
      <c r="D701" s="8">
        <v>29.8</v>
      </c>
      <c r="E701" s="8">
        <v>0.3</v>
      </c>
      <c r="F701" s="8" t="str">
        <f>IF(OR(B701&lt;outliers!$B$7,B701&gt;outliers!$B$6),"Outlier","Normal")</f>
        <v>Normal</v>
      </c>
      <c r="G701" s="8" t="str">
        <f>IF(OR(C701&lt;outliers!$B$14,C701&gt;outliers!$B$13),"Outlier","Normal")</f>
        <v>Normal</v>
      </c>
      <c r="H701" s="8" t="str">
        <f>IF(OR(D701&lt;outliers!$B$21,D701&gt;outliers!$B$20),"Outlier","Normal")</f>
        <v>Normal</v>
      </c>
      <c r="I701" s="8" t="str">
        <f>IF(OR(E701&lt;outliers!$C$28,E701&gt;outliers!$B$27),"Outlier","Normal")</f>
        <v>Normal</v>
      </c>
      <c r="J701" s="8">
        <f t="shared" si="20"/>
        <v>2020</v>
      </c>
      <c r="K701">
        <f t="shared" si="21"/>
        <v>9</v>
      </c>
    </row>
    <row r="702" spans="1:11" x14ac:dyDescent="0.35">
      <c r="A702" s="13">
        <v>44100</v>
      </c>
      <c r="B702" s="8">
        <v>22.8</v>
      </c>
      <c r="C702" s="8">
        <v>20.6</v>
      </c>
      <c r="D702" s="8">
        <v>29.6</v>
      </c>
      <c r="E702" s="8">
        <v>3</v>
      </c>
      <c r="F702" s="8" t="str">
        <f>IF(OR(B702&lt;outliers!$B$7,B702&gt;outliers!$B$6),"Outlier","Normal")</f>
        <v>Normal</v>
      </c>
      <c r="G702" s="8" t="str">
        <f>IF(OR(C702&lt;outliers!$B$14,C702&gt;outliers!$B$13),"Outlier","Normal")</f>
        <v>Normal</v>
      </c>
      <c r="H702" s="8" t="str">
        <f>IF(OR(D702&lt;outliers!$B$21,D702&gt;outliers!$B$20),"Outlier","Normal")</f>
        <v>Normal</v>
      </c>
      <c r="I702" s="8" t="str">
        <f>IF(OR(E702&lt;outliers!$C$28,E702&gt;outliers!$B$27),"Outlier","Normal")</f>
        <v>Normal</v>
      </c>
      <c r="J702" s="8">
        <f t="shared" si="20"/>
        <v>2020</v>
      </c>
      <c r="K702">
        <f t="shared" si="21"/>
        <v>9</v>
      </c>
    </row>
    <row r="703" spans="1:11" x14ac:dyDescent="0.35">
      <c r="A703" s="13">
        <v>44101</v>
      </c>
      <c r="B703" s="8">
        <v>23.3</v>
      </c>
      <c r="C703" s="8">
        <v>20.5</v>
      </c>
      <c r="D703" s="8">
        <v>27.8</v>
      </c>
      <c r="E703" s="8">
        <v>0</v>
      </c>
      <c r="F703" s="8" t="str">
        <f>IF(OR(B703&lt;outliers!$B$7,B703&gt;outliers!$B$6),"Outlier","Normal")</f>
        <v>Normal</v>
      </c>
      <c r="G703" s="8" t="str">
        <f>IF(OR(C703&lt;outliers!$B$14,C703&gt;outliers!$B$13),"Outlier","Normal")</f>
        <v>Normal</v>
      </c>
      <c r="H703" s="8" t="str">
        <f>IF(OR(D703&lt;outliers!$B$21,D703&gt;outliers!$B$20),"Outlier","Normal")</f>
        <v>Normal</v>
      </c>
      <c r="I703" s="8" t="str">
        <f>IF(OR(E703&lt;outliers!$C$28,E703&gt;outliers!$B$27),"Outlier","Normal")</f>
        <v>Normal</v>
      </c>
      <c r="J703" s="8">
        <f t="shared" si="20"/>
        <v>2020</v>
      </c>
      <c r="K703">
        <f t="shared" si="21"/>
        <v>9</v>
      </c>
    </row>
    <row r="704" spans="1:11" x14ac:dyDescent="0.35">
      <c r="A704" s="13">
        <v>44102</v>
      </c>
      <c r="B704" s="8">
        <v>24.1</v>
      </c>
      <c r="C704" s="8">
        <v>20.6</v>
      </c>
      <c r="D704" s="8">
        <v>27</v>
      </c>
      <c r="E704" s="8">
        <v>0</v>
      </c>
      <c r="F704" s="8" t="str">
        <f>IF(OR(B704&lt;outliers!$B$7,B704&gt;outliers!$B$6),"Outlier","Normal")</f>
        <v>Normal</v>
      </c>
      <c r="G704" s="8" t="str">
        <f>IF(OR(C704&lt;outliers!$B$14,C704&gt;outliers!$B$13),"Outlier","Normal")</f>
        <v>Normal</v>
      </c>
      <c r="H704" s="8" t="str">
        <f>IF(OR(D704&lt;outliers!$B$21,D704&gt;outliers!$B$20),"Outlier","Normal")</f>
        <v>Normal</v>
      </c>
      <c r="I704" s="8" t="str">
        <f>IF(OR(E704&lt;outliers!$C$28,E704&gt;outliers!$B$27),"Outlier","Normal")</f>
        <v>Normal</v>
      </c>
      <c r="J704" s="8">
        <f t="shared" si="20"/>
        <v>2020</v>
      </c>
      <c r="K704">
        <f t="shared" si="21"/>
        <v>9</v>
      </c>
    </row>
    <row r="705" spans="1:11" x14ac:dyDescent="0.35">
      <c r="A705" s="13">
        <v>44103</v>
      </c>
      <c r="B705" s="8">
        <v>22.4</v>
      </c>
      <c r="C705" s="8">
        <v>19.8</v>
      </c>
      <c r="D705" s="8">
        <v>28.1</v>
      </c>
      <c r="E705" s="8">
        <v>0</v>
      </c>
      <c r="F705" s="8" t="str">
        <f>IF(OR(B705&lt;outliers!$B$7,B705&gt;outliers!$B$6),"Outlier","Normal")</f>
        <v>Normal</v>
      </c>
      <c r="G705" s="8" t="str">
        <f>IF(OR(C705&lt;outliers!$B$14,C705&gt;outliers!$B$13),"Outlier","Normal")</f>
        <v>Normal</v>
      </c>
      <c r="H705" s="8" t="str">
        <f>IF(OR(D705&lt;outliers!$B$21,D705&gt;outliers!$B$20),"Outlier","Normal")</f>
        <v>Normal</v>
      </c>
      <c r="I705" s="8" t="str">
        <f>IF(OR(E705&lt;outliers!$C$28,E705&gt;outliers!$B$27),"Outlier","Normal")</f>
        <v>Normal</v>
      </c>
      <c r="J705" s="8">
        <f t="shared" si="20"/>
        <v>2020</v>
      </c>
      <c r="K705">
        <f t="shared" si="21"/>
        <v>9</v>
      </c>
    </row>
    <row r="706" spans="1:11" hidden="1" x14ac:dyDescent="0.35">
      <c r="A706" s="13">
        <v>44104</v>
      </c>
      <c r="B706" s="8">
        <v>22.3</v>
      </c>
      <c r="C706" s="8">
        <v>19</v>
      </c>
      <c r="D706" s="8">
        <v>27.8</v>
      </c>
      <c r="E706" s="8">
        <v>54.4</v>
      </c>
      <c r="F706" s="8" t="str">
        <f>IF(OR(B706&lt;outliers!$B$7,B706&gt;outliers!$B$6),"Outlier","Normal")</f>
        <v>Normal</v>
      </c>
      <c r="G706" s="8" t="str">
        <f>IF(OR(C706&lt;outliers!$B$14,C706&gt;outliers!$B$13),"Outlier","Normal")</f>
        <v>Normal</v>
      </c>
      <c r="H706" s="8" t="str">
        <f>IF(OR(D706&lt;outliers!$B$21,D706&gt;outliers!$B$20),"Outlier","Normal")</f>
        <v>Normal</v>
      </c>
      <c r="I706" s="8" t="str">
        <f>IF(OR(E706&lt;outliers!$C$28,E706&gt;outliers!$B$27),"Outlier","Normal")</f>
        <v>Outlier</v>
      </c>
      <c r="J706" s="8">
        <f t="shared" si="20"/>
        <v>2020</v>
      </c>
      <c r="K706">
        <f t="shared" si="21"/>
        <v>9</v>
      </c>
    </row>
    <row r="707" spans="1:11" x14ac:dyDescent="0.35">
      <c r="A707" s="13">
        <v>44105</v>
      </c>
      <c r="B707" s="8">
        <v>23.5</v>
      </c>
      <c r="C707" s="8">
        <v>19.5</v>
      </c>
      <c r="D707" s="8">
        <v>27.1</v>
      </c>
      <c r="E707" s="8">
        <v>0</v>
      </c>
      <c r="F707" s="8" t="str">
        <f>IF(OR(B707&lt;outliers!$B$7,B707&gt;outliers!$B$6),"Outlier","Normal")</f>
        <v>Normal</v>
      </c>
      <c r="G707" s="8" t="str">
        <f>IF(OR(C707&lt;outliers!$B$14,C707&gt;outliers!$B$13),"Outlier","Normal")</f>
        <v>Normal</v>
      </c>
      <c r="H707" s="8" t="str">
        <f>IF(OR(D707&lt;outliers!$B$21,D707&gt;outliers!$B$20),"Outlier","Normal")</f>
        <v>Normal</v>
      </c>
      <c r="I707" s="8" t="str">
        <f>IF(OR(E707&lt;outliers!$C$28,E707&gt;outliers!$B$27),"Outlier","Normal")</f>
        <v>Normal</v>
      </c>
      <c r="J707" s="8">
        <f t="shared" si="20"/>
        <v>2020</v>
      </c>
      <c r="K707">
        <f t="shared" si="21"/>
        <v>10</v>
      </c>
    </row>
    <row r="708" spans="1:11" x14ac:dyDescent="0.35">
      <c r="A708" s="13">
        <v>44106</v>
      </c>
      <c r="B708" s="8">
        <v>24.7</v>
      </c>
      <c r="C708" s="8">
        <v>21</v>
      </c>
      <c r="D708" s="8">
        <v>28.5</v>
      </c>
      <c r="E708" s="8">
        <v>0</v>
      </c>
      <c r="F708" s="8" t="str">
        <f>IF(OR(B708&lt;outliers!$B$7,B708&gt;outliers!$B$6),"Outlier","Normal")</f>
        <v>Normal</v>
      </c>
      <c r="G708" s="8" t="str">
        <f>IF(OR(C708&lt;outliers!$B$14,C708&gt;outliers!$B$13),"Outlier","Normal")</f>
        <v>Normal</v>
      </c>
      <c r="H708" s="8" t="str">
        <f>IF(OR(D708&lt;outliers!$B$21,D708&gt;outliers!$B$20),"Outlier","Normal")</f>
        <v>Normal</v>
      </c>
      <c r="I708" s="8" t="str">
        <f>IF(OR(E708&lt;outliers!$C$28,E708&gt;outliers!$B$27),"Outlier","Normal")</f>
        <v>Normal</v>
      </c>
      <c r="J708" s="8">
        <f t="shared" ref="J708:J771" si="22">YEAR(A708)</f>
        <v>2020</v>
      </c>
      <c r="K708">
        <f t="shared" ref="K708:K771" si="23">MONTH(A708)</f>
        <v>10</v>
      </c>
    </row>
    <row r="709" spans="1:11" x14ac:dyDescent="0.35">
      <c r="A709" s="13">
        <v>44107</v>
      </c>
      <c r="B709" s="8">
        <v>23.5</v>
      </c>
      <c r="C709" s="8">
        <v>19.600000000000001</v>
      </c>
      <c r="D709" s="8">
        <v>29.6</v>
      </c>
      <c r="E709" s="8">
        <v>0.5</v>
      </c>
      <c r="F709" s="8" t="str">
        <f>IF(OR(B709&lt;outliers!$B$7,B709&gt;outliers!$B$6),"Outlier","Normal")</f>
        <v>Normal</v>
      </c>
      <c r="G709" s="8" t="str">
        <f>IF(OR(C709&lt;outliers!$B$14,C709&gt;outliers!$B$13),"Outlier","Normal")</f>
        <v>Normal</v>
      </c>
      <c r="H709" s="8" t="str">
        <f>IF(OR(D709&lt;outliers!$B$21,D709&gt;outliers!$B$20),"Outlier","Normal")</f>
        <v>Normal</v>
      </c>
      <c r="I709" s="8" t="str">
        <f>IF(OR(E709&lt;outliers!$C$28,E709&gt;outliers!$B$27),"Outlier","Normal")</f>
        <v>Normal</v>
      </c>
      <c r="J709" s="8">
        <f t="shared" si="22"/>
        <v>2020</v>
      </c>
      <c r="K709">
        <f t="shared" si="23"/>
        <v>10</v>
      </c>
    </row>
    <row r="710" spans="1:11" x14ac:dyDescent="0.35">
      <c r="A710" s="13">
        <v>44108</v>
      </c>
      <c r="B710" s="8">
        <v>22.5</v>
      </c>
      <c r="C710" s="8">
        <v>20</v>
      </c>
      <c r="D710" s="8">
        <v>28.4</v>
      </c>
      <c r="E710" s="8">
        <v>0</v>
      </c>
      <c r="F710" s="8" t="str">
        <f>IF(OR(B710&lt;outliers!$B$7,B710&gt;outliers!$B$6),"Outlier","Normal")</f>
        <v>Normal</v>
      </c>
      <c r="G710" s="8" t="str">
        <f>IF(OR(C710&lt;outliers!$B$14,C710&gt;outliers!$B$13),"Outlier","Normal")</f>
        <v>Normal</v>
      </c>
      <c r="H710" s="8" t="str">
        <f>IF(OR(D710&lt;outliers!$B$21,D710&gt;outliers!$B$20),"Outlier","Normal")</f>
        <v>Normal</v>
      </c>
      <c r="I710" s="8" t="str">
        <f>IF(OR(E710&lt;outliers!$C$28,E710&gt;outliers!$B$27),"Outlier","Normal")</f>
        <v>Normal</v>
      </c>
      <c r="J710" s="8">
        <f t="shared" si="22"/>
        <v>2020</v>
      </c>
      <c r="K710">
        <f t="shared" si="23"/>
        <v>10</v>
      </c>
    </row>
    <row r="711" spans="1:11" x14ac:dyDescent="0.35">
      <c r="A711" s="13">
        <v>44109</v>
      </c>
      <c r="B711" s="8">
        <v>23.6</v>
      </c>
      <c r="C711" s="8">
        <v>19</v>
      </c>
      <c r="D711" s="8">
        <v>28.8</v>
      </c>
      <c r="E711" s="8">
        <v>0.3</v>
      </c>
      <c r="F711" s="8" t="str">
        <f>IF(OR(B711&lt;outliers!$B$7,B711&gt;outliers!$B$6),"Outlier","Normal")</f>
        <v>Normal</v>
      </c>
      <c r="G711" s="8" t="str">
        <f>IF(OR(C711&lt;outliers!$B$14,C711&gt;outliers!$B$13),"Outlier","Normal")</f>
        <v>Normal</v>
      </c>
      <c r="H711" s="8" t="str">
        <f>IF(OR(D711&lt;outliers!$B$21,D711&gt;outliers!$B$20),"Outlier","Normal")</f>
        <v>Normal</v>
      </c>
      <c r="I711" s="8" t="str">
        <f>IF(OR(E711&lt;outliers!$C$28,E711&gt;outliers!$B$27),"Outlier","Normal")</f>
        <v>Normal</v>
      </c>
      <c r="J711" s="8">
        <f t="shared" si="22"/>
        <v>2020</v>
      </c>
      <c r="K711">
        <f t="shared" si="23"/>
        <v>10</v>
      </c>
    </row>
    <row r="712" spans="1:11" x14ac:dyDescent="0.35">
      <c r="A712" s="13">
        <v>44110</v>
      </c>
      <c r="B712" s="8">
        <v>25.1</v>
      </c>
      <c r="C712" s="8">
        <v>20.2</v>
      </c>
      <c r="D712" s="8">
        <v>30.8</v>
      </c>
      <c r="E712" s="8">
        <v>0</v>
      </c>
      <c r="F712" s="8" t="str">
        <f>IF(OR(B712&lt;outliers!$B$7,B712&gt;outliers!$B$6),"Outlier","Normal")</f>
        <v>Normal</v>
      </c>
      <c r="G712" s="8" t="str">
        <f>IF(OR(C712&lt;outliers!$B$14,C712&gt;outliers!$B$13),"Outlier","Normal")</f>
        <v>Normal</v>
      </c>
      <c r="H712" s="8" t="str">
        <f>IF(OR(D712&lt;outliers!$B$21,D712&gt;outliers!$B$20),"Outlier","Normal")</f>
        <v>Normal</v>
      </c>
      <c r="I712" s="8" t="str">
        <f>IF(OR(E712&lt;outliers!$C$28,E712&gt;outliers!$B$27),"Outlier","Normal")</f>
        <v>Normal</v>
      </c>
      <c r="J712" s="8">
        <f t="shared" si="22"/>
        <v>2020</v>
      </c>
      <c r="K712">
        <f t="shared" si="23"/>
        <v>10</v>
      </c>
    </row>
    <row r="713" spans="1:11" x14ac:dyDescent="0.35">
      <c r="A713" s="13">
        <v>44113</v>
      </c>
      <c r="B713" s="8">
        <v>23.7</v>
      </c>
      <c r="C713" s="8">
        <v>20.399999999999999</v>
      </c>
      <c r="D713" s="8">
        <v>31.2</v>
      </c>
      <c r="E713" s="8">
        <v>0</v>
      </c>
      <c r="F713" s="8" t="str">
        <f>IF(OR(B713&lt;outliers!$B$7,B713&gt;outliers!$B$6),"Outlier","Normal")</f>
        <v>Normal</v>
      </c>
      <c r="G713" s="8" t="str">
        <f>IF(OR(C713&lt;outliers!$B$14,C713&gt;outliers!$B$13),"Outlier","Normal")</f>
        <v>Normal</v>
      </c>
      <c r="H713" s="8" t="str">
        <f>IF(OR(D713&lt;outliers!$B$21,D713&gt;outliers!$B$20),"Outlier","Normal")</f>
        <v>Normal</v>
      </c>
      <c r="I713" s="8" t="str">
        <f>IF(OR(E713&lt;outliers!$C$28,E713&gt;outliers!$B$27),"Outlier","Normal")</f>
        <v>Normal</v>
      </c>
      <c r="J713" s="8">
        <f t="shared" si="22"/>
        <v>2020</v>
      </c>
      <c r="K713">
        <f t="shared" si="23"/>
        <v>10</v>
      </c>
    </row>
    <row r="714" spans="1:11" hidden="1" x14ac:dyDescent="0.35">
      <c r="A714" s="13">
        <v>44114</v>
      </c>
      <c r="B714" s="8">
        <v>23.1</v>
      </c>
      <c r="C714" s="8">
        <v>18.600000000000001</v>
      </c>
      <c r="D714" s="8">
        <v>30</v>
      </c>
      <c r="E714" s="8">
        <v>23.6</v>
      </c>
      <c r="F714" s="8" t="str">
        <f>IF(OR(B714&lt;outliers!$B$7,B714&gt;outliers!$B$6),"Outlier","Normal")</f>
        <v>Normal</v>
      </c>
      <c r="G714" s="8" t="str">
        <f>IF(OR(C714&lt;outliers!$B$14,C714&gt;outliers!$B$13),"Outlier","Normal")</f>
        <v>Normal</v>
      </c>
      <c r="H714" s="8" t="str">
        <f>IF(OR(D714&lt;outliers!$B$21,D714&gt;outliers!$B$20),"Outlier","Normal")</f>
        <v>Normal</v>
      </c>
      <c r="I714" s="8" t="str">
        <f>IF(OR(E714&lt;outliers!$C$28,E714&gt;outliers!$B$27),"Outlier","Normal")</f>
        <v>Outlier</v>
      </c>
      <c r="J714" s="8">
        <f t="shared" si="22"/>
        <v>2020</v>
      </c>
      <c r="K714">
        <f t="shared" si="23"/>
        <v>10</v>
      </c>
    </row>
    <row r="715" spans="1:11" hidden="1" x14ac:dyDescent="0.35">
      <c r="A715" s="13">
        <v>44115</v>
      </c>
      <c r="B715" s="8">
        <v>21.7</v>
      </c>
      <c r="C715" s="8">
        <v>19.2</v>
      </c>
      <c r="D715" s="8">
        <v>28.2</v>
      </c>
      <c r="E715" s="8">
        <v>51.1</v>
      </c>
      <c r="F715" s="8" t="str">
        <f>IF(OR(B715&lt;outliers!$B$7,B715&gt;outliers!$B$6),"Outlier","Normal")</f>
        <v>Normal</v>
      </c>
      <c r="G715" s="8" t="str">
        <f>IF(OR(C715&lt;outliers!$B$14,C715&gt;outliers!$B$13),"Outlier","Normal")</f>
        <v>Normal</v>
      </c>
      <c r="H715" s="8" t="str">
        <f>IF(OR(D715&lt;outliers!$B$21,D715&gt;outliers!$B$20),"Outlier","Normal")</f>
        <v>Normal</v>
      </c>
      <c r="I715" s="8" t="str">
        <f>IF(OR(E715&lt;outliers!$C$28,E715&gt;outliers!$B$27),"Outlier","Normal")</f>
        <v>Outlier</v>
      </c>
      <c r="J715" s="8">
        <f t="shared" si="22"/>
        <v>2020</v>
      </c>
      <c r="K715">
        <f t="shared" si="23"/>
        <v>10</v>
      </c>
    </row>
    <row r="716" spans="1:11" x14ac:dyDescent="0.35">
      <c r="A716" s="13">
        <v>44116</v>
      </c>
      <c r="B716" s="8">
        <v>21.8</v>
      </c>
      <c r="C716" s="8">
        <v>20</v>
      </c>
      <c r="D716" s="8">
        <v>25.6</v>
      </c>
      <c r="E716" s="8">
        <v>3</v>
      </c>
      <c r="F716" s="8" t="str">
        <f>IF(OR(B716&lt;outliers!$B$7,B716&gt;outliers!$B$6),"Outlier","Normal")</f>
        <v>Normal</v>
      </c>
      <c r="G716" s="8" t="str">
        <f>IF(OR(C716&lt;outliers!$B$14,C716&gt;outliers!$B$13),"Outlier","Normal")</f>
        <v>Normal</v>
      </c>
      <c r="H716" s="8" t="str">
        <f>IF(OR(D716&lt;outliers!$B$21,D716&gt;outliers!$B$20),"Outlier","Normal")</f>
        <v>Normal</v>
      </c>
      <c r="I716" s="8" t="str">
        <f>IF(OR(E716&lt;outliers!$C$28,E716&gt;outliers!$B$27),"Outlier","Normal")</f>
        <v>Normal</v>
      </c>
      <c r="J716" s="8">
        <f t="shared" si="22"/>
        <v>2020</v>
      </c>
      <c r="K716">
        <f t="shared" si="23"/>
        <v>10</v>
      </c>
    </row>
    <row r="717" spans="1:11" x14ac:dyDescent="0.35">
      <c r="A717" s="13">
        <v>44117</v>
      </c>
      <c r="B717" s="8">
        <v>21.2</v>
      </c>
      <c r="C717" s="8">
        <v>19.8</v>
      </c>
      <c r="D717" s="8">
        <v>25.4</v>
      </c>
      <c r="E717" s="8">
        <v>5.0999999999999996</v>
      </c>
      <c r="F717" s="8" t="str">
        <f>IF(OR(B717&lt;outliers!$B$7,B717&gt;outliers!$B$6),"Outlier","Normal")</f>
        <v>Normal</v>
      </c>
      <c r="G717" s="8" t="str">
        <f>IF(OR(C717&lt;outliers!$B$14,C717&gt;outliers!$B$13),"Outlier","Normal")</f>
        <v>Normal</v>
      </c>
      <c r="H717" s="8" t="str">
        <f>IF(OR(D717&lt;outliers!$B$21,D717&gt;outliers!$B$20),"Outlier","Normal")</f>
        <v>Normal</v>
      </c>
      <c r="I717" s="8" t="str">
        <f>IF(OR(E717&lt;outliers!$C$28,E717&gt;outliers!$B$27),"Outlier","Normal")</f>
        <v>Normal</v>
      </c>
      <c r="J717" s="8">
        <f t="shared" si="22"/>
        <v>2020</v>
      </c>
      <c r="K717">
        <f t="shared" si="23"/>
        <v>10</v>
      </c>
    </row>
    <row r="718" spans="1:11" x14ac:dyDescent="0.35">
      <c r="A718" s="13">
        <v>44118</v>
      </c>
      <c r="B718" s="8">
        <v>21.5</v>
      </c>
      <c r="C718" s="8">
        <v>19.8</v>
      </c>
      <c r="D718" s="8">
        <v>25.8</v>
      </c>
      <c r="E718" s="8">
        <v>0.5</v>
      </c>
      <c r="F718" s="8" t="str">
        <f>IF(OR(B718&lt;outliers!$B$7,B718&gt;outliers!$B$6),"Outlier","Normal")</f>
        <v>Normal</v>
      </c>
      <c r="G718" s="8" t="str">
        <f>IF(OR(C718&lt;outliers!$B$14,C718&gt;outliers!$B$13),"Outlier","Normal")</f>
        <v>Normal</v>
      </c>
      <c r="H718" s="8" t="str">
        <f>IF(OR(D718&lt;outliers!$B$21,D718&gt;outliers!$B$20),"Outlier","Normal")</f>
        <v>Normal</v>
      </c>
      <c r="I718" s="8" t="str">
        <f>IF(OR(E718&lt;outliers!$C$28,E718&gt;outliers!$B$27),"Outlier","Normal")</f>
        <v>Normal</v>
      </c>
      <c r="J718" s="8">
        <f t="shared" si="22"/>
        <v>2020</v>
      </c>
      <c r="K718">
        <f t="shared" si="23"/>
        <v>10</v>
      </c>
    </row>
    <row r="719" spans="1:11" x14ac:dyDescent="0.35">
      <c r="A719" s="13">
        <v>44119</v>
      </c>
      <c r="B719" s="8">
        <v>22.5</v>
      </c>
      <c r="C719" s="8">
        <v>19.2</v>
      </c>
      <c r="D719" s="8">
        <v>26.6</v>
      </c>
      <c r="E719" s="8">
        <v>0</v>
      </c>
      <c r="F719" s="8" t="str">
        <f>IF(OR(B719&lt;outliers!$B$7,B719&gt;outliers!$B$6),"Outlier","Normal")</f>
        <v>Normal</v>
      </c>
      <c r="G719" s="8" t="str">
        <f>IF(OR(C719&lt;outliers!$B$14,C719&gt;outliers!$B$13),"Outlier","Normal")</f>
        <v>Normal</v>
      </c>
      <c r="H719" s="8" t="str">
        <f>IF(OR(D719&lt;outliers!$B$21,D719&gt;outliers!$B$20),"Outlier","Normal")</f>
        <v>Normal</v>
      </c>
      <c r="I719" s="8" t="str">
        <f>IF(OR(E719&lt;outliers!$C$28,E719&gt;outliers!$B$27),"Outlier","Normal")</f>
        <v>Normal</v>
      </c>
      <c r="J719" s="8">
        <f t="shared" si="22"/>
        <v>2020</v>
      </c>
      <c r="K719">
        <f t="shared" si="23"/>
        <v>10</v>
      </c>
    </row>
    <row r="720" spans="1:11" x14ac:dyDescent="0.35">
      <c r="A720" s="13">
        <v>44120</v>
      </c>
      <c r="B720" s="8">
        <v>23.4</v>
      </c>
      <c r="C720" s="8">
        <v>17.600000000000001</v>
      </c>
      <c r="D720" s="8">
        <v>28.8</v>
      </c>
      <c r="E720" s="8">
        <v>0</v>
      </c>
      <c r="F720" s="8" t="str">
        <f>IF(OR(B720&lt;outliers!$B$7,B720&gt;outliers!$B$6),"Outlier","Normal")</f>
        <v>Normal</v>
      </c>
      <c r="G720" s="8" t="str">
        <f>IF(OR(C720&lt;outliers!$B$14,C720&gt;outliers!$B$13),"Outlier","Normal")</f>
        <v>Normal</v>
      </c>
      <c r="H720" s="8" t="str">
        <f>IF(OR(D720&lt;outliers!$B$21,D720&gt;outliers!$B$20),"Outlier","Normal")</f>
        <v>Normal</v>
      </c>
      <c r="I720" s="8" t="str">
        <f>IF(OR(E720&lt;outliers!$C$28,E720&gt;outliers!$B$27),"Outlier","Normal")</f>
        <v>Normal</v>
      </c>
      <c r="J720" s="8">
        <f t="shared" si="22"/>
        <v>2020</v>
      </c>
      <c r="K720">
        <f t="shared" si="23"/>
        <v>10</v>
      </c>
    </row>
    <row r="721" spans="1:11" x14ac:dyDescent="0.35">
      <c r="A721" s="13">
        <v>44122</v>
      </c>
      <c r="B721" s="8">
        <v>23.8</v>
      </c>
      <c r="C721" s="8">
        <v>20.8</v>
      </c>
      <c r="D721" s="8">
        <v>28</v>
      </c>
      <c r="E721" s="8">
        <v>0.3</v>
      </c>
      <c r="F721" s="8" t="str">
        <f>IF(OR(B721&lt;outliers!$B$7,B721&gt;outliers!$B$6),"Outlier","Normal")</f>
        <v>Normal</v>
      </c>
      <c r="G721" s="8" t="str">
        <f>IF(OR(C721&lt;outliers!$B$14,C721&gt;outliers!$B$13),"Outlier","Normal")</f>
        <v>Normal</v>
      </c>
      <c r="H721" s="8" t="str">
        <f>IF(OR(D721&lt;outliers!$B$21,D721&gt;outliers!$B$20),"Outlier","Normal")</f>
        <v>Normal</v>
      </c>
      <c r="I721" s="8" t="str">
        <f>IF(OR(E721&lt;outliers!$C$28,E721&gt;outliers!$B$27),"Outlier","Normal")</f>
        <v>Normal</v>
      </c>
      <c r="J721" s="8">
        <f t="shared" si="22"/>
        <v>2020</v>
      </c>
      <c r="K721">
        <f t="shared" si="23"/>
        <v>10</v>
      </c>
    </row>
    <row r="722" spans="1:11" x14ac:dyDescent="0.35">
      <c r="A722" s="13">
        <v>44123</v>
      </c>
      <c r="B722" s="8">
        <v>23.3</v>
      </c>
      <c r="C722" s="8">
        <v>21</v>
      </c>
      <c r="D722" s="8">
        <v>28</v>
      </c>
      <c r="E722" s="8">
        <v>1.8</v>
      </c>
      <c r="F722" s="8" t="str">
        <f>IF(OR(B722&lt;outliers!$B$7,B722&gt;outliers!$B$6),"Outlier","Normal")</f>
        <v>Normal</v>
      </c>
      <c r="G722" s="8" t="str">
        <f>IF(OR(C722&lt;outliers!$B$14,C722&gt;outliers!$B$13),"Outlier","Normal")</f>
        <v>Normal</v>
      </c>
      <c r="H722" s="8" t="str">
        <f>IF(OR(D722&lt;outliers!$B$21,D722&gt;outliers!$B$20),"Outlier","Normal")</f>
        <v>Normal</v>
      </c>
      <c r="I722" s="8" t="str">
        <f>IF(OR(E722&lt;outliers!$C$28,E722&gt;outliers!$B$27),"Outlier","Normal")</f>
        <v>Normal</v>
      </c>
      <c r="J722" s="8">
        <f t="shared" si="22"/>
        <v>2020</v>
      </c>
      <c r="K722">
        <f t="shared" si="23"/>
        <v>10</v>
      </c>
    </row>
    <row r="723" spans="1:11" x14ac:dyDescent="0.35">
      <c r="A723" s="13">
        <v>44124</v>
      </c>
      <c r="B723" s="8">
        <v>22.9</v>
      </c>
      <c r="C723" s="8">
        <v>20</v>
      </c>
      <c r="D723" s="8">
        <v>26.6</v>
      </c>
      <c r="E723" s="8">
        <v>3.8</v>
      </c>
      <c r="F723" s="8" t="str">
        <f>IF(OR(B723&lt;outliers!$B$7,B723&gt;outliers!$B$6),"Outlier","Normal")</f>
        <v>Normal</v>
      </c>
      <c r="G723" s="8" t="str">
        <f>IF(OR(C723&lt;outliers!$B$14,C723&gt;outliers!$B$13),"Outlier","Normal")</f>
        <v>Normal</v>
      </c>
      <c r="H723" s="8" t="str">
        <f>IF(OR(D723&lt;outliers!$B$21,D723&gt;outliers!$B$20),"Outlier","Normal")</f>
        <v>Normal</v>
      </c>
      <c r="I723" s="8" t="str">
        <f>IF(OR(E723&lt;outliers!$C$28,E723&gt;outliers!$B$27),"Outlier","Normal")</f>
        <v>Normal</v>
      </c>
      <c r="J723" s="8">
        <f t="shared" si="22"/>
        <v>2020</v>
      </c>
      <c r="K723">
        <f t="shared" si="23"/>
        <v>10</v>
      </c>
    </row>
    <row r="724" spans="1:11" hidden="1" x14ac:dyDescent="0.35">
      <c r="A724" s="13">
        <v>44125</v>
      </c>
      <c r="B724" s="8">
        <v>22.7</v>
      </c>
      <c r="C724" s="8">
        <v>20.399999999999999</v>
      </c>
      <c r="D724" s="8">
        <v>26.2</v>
      </c>
      <c r="E724" s="8">
        <v>67.099999999999994</v>
      </c>
      <c r="F724" s="8" t="str">
        <f>IF(OR(B724&lt;outliers!$B$7,B724&gt;outliers!$B$6),"Outlier","Normal")</f>
        <v>Normal</v>
      </c>
      <c r="G724" s="8" t="str">
        <f>IF(OR(C724&lt;outliers!$B$14,C724&gt;outliers!$B$13),"Outlier","Normal")</f>
        <v>Normal</v>
      </c>
      <c r="H724" s="8" t="str">
        <f>IF(OR(D724&lt;outliers!$B$21,D724&gt;outliers!$B$20),"Outlier","Normal")</f>
        <v>Normal</v>
      </c>
      <c r="I724" s="8" t="str">
        <f>IF(OR(E724&lt;outliers!$C$28,E724&gt;outliers!$B$27),"Outlier","Normal")</f>
        <v>Outlier</v>
      </c>
      <c r="J724" s="8">
        <f t="shared" si="22"/>
        <v>2020</v>
      </c>
      <c r="K724">
        <f t="shared" si="23"/>
        <v>10</v>
      </c>
    </row>
    <row r="725" spans="1:11" x14ac:dyDescent="0.35">
      <c r="A725" s="13">
        <v>44126</v>
      </c>
      <c r="B725" s="8">
        <v>22.2</v>
      </c>
      <c r="C725" s="8">
        <v>19.3</v>
      </c>
      <c r="D725" s="8">
        <v>26.4</v>
      </c>
      <c r="E725" s="8">
        <v>5.3</v>
      </c>
      <c r="F725" s="8" t="str">
        <f>IF(OR(B725&lt;outliers!$B$7,B725&gt;outliers!$B$6),"Outlier","Normal")</f>
        <v>Normal</v>
      </c>
      <c r="G725" s="8" t="str">
        <f>IF(OR(C725&lt;outliers!$B$14,C725&gt;outliers!$B$13),"Outlier","Normal")</f>
        <v>Normal</v>
      </c>
      <c r="H725" s="8" t="str">
        <f>IF(OR(D725&lt;outliers!$B$21,D725&gt;outliers!$B$20),"Outlier","Normal")</f>
        <v>Normal</v>
      </c>
      <c r="I725" s="8" t="str">
        <f>IF(OR(E725&lt;outliers!$C$28,E725&gt;outliers!$B$27),"Outlier","Normal")</f>
        <v>Normal</v>
      </c>
      <c r="J725" s="8">
        <f t="shared" si="22"/>
        <v>2020</v>
      </c>
      <c r="K725">
        <f t="shared" si="23"/>
        <v>10</v>
      </c>
    </row>
    <row r="726" spans="1:11" hidden="1" x14ac:dyDescent="0.35">
      <c r="A726" s="13">
        <v>44127</v>
      </c>
      <c r="B726" s="8">
        <v>21</v>
      </c>
      <c r="C726" s="8">
        <v>17.8</v>
      </c>
      <c r="D726" s="8">
        <v>27.5</v>
      </c>
      <c r="E726" s="8">
        <v>17.5</v>
      </c>
      <c r="F726" s="8" t="str">
        <f>IF(OR(B726&lt;outliers!$B$7,B726&gt;outliers!$B$6),"Outlier","Normal")</f>
        <v>Normal</v>
      </c>
      <c r="G726" s="8" t="str">
        <f>IF(OR(C726&lt;outliers!$B$14,C726&gt;outliers!$B$13),"Outlier","Normal")</f>
        <v>Normal</v>
      </c>
      <c r="H726" s="8" t="str">
        <f>IF(OR(D726&lt;outliers!$B$21,D726&gt;outliers!$B$20),"Outlier","Normal")</f>
        <v>Normal</v>
      </c>
      <c r="I726" s="8" t="str">
        <f>IF(OR(E726&lt;outliers!$C$28,E726&gt;outliers!$B$27),"Outlier","Normal")</f>
        <v>Outlier</v>
      </c>
      <c r="J726" s="8">
        <f t="shared" si="22"/>
        <v>2020</v>
      </c>
      <c r="K726">
        <f t="shared" si="23"/>
        <v>10</v>
      </c>
    </row>
    <row r="727" spans="1:11" hidden="1" x14ac:dyDescent="0.35">
      <c r="A727" s="13">
        <v>44128</v>
      </c>
      <c r="B727" s="8">
        <v>22</v>
      </c>
      <c r="C727" s="8">
        <v>17</v>
      </c>
      <c r="D727" s="8">
        <v>27</v>
      </c>
      <c r="E727" s="8">
        <v>17.3</v>
      </c>
      <c r="F727" s="8" t="str">
        <f>IF(OR(B727&lt;outliers!$B$7,B727&gt;outliers!$B$6),"Outlier","Normal")</f>
        <v>Normal</v>
      </c>
      <c r="G727" s="8" t="str">
        <f>IF(OR(C727&lt;outliers!$B$14,C727&gt;outliers!$B$13),"Outlier","Normal")</f>
        <v>Normal</v>
      </c>
      <c r="H727" s="8" t="str">
        <f>IF(OR(D727&lt;outliers!$B$21,D727&gt;outliers!$B$20),"Outlier","Normal")</f>
        <v>Normal</v>
      </c>
      <c r="I727" s="8" t="str">
        <f>IF(OR(E727&lt;outliers!$C$28,E727&gt;outliers!$B$27),"Outlier","Normal")</f>
        <v>Outlier</v>
      </c>
      <c r="J727" s="8">
        <f t="shared" si="22"/>
        <v>2020</v>
      </c>
      <c r="K727">
        <f t="shared" si="23"/>
        <v>10</v>
      </c>
    </row>
    <row r="728" spans="1:11" x14ac:dyDescent="0.35">
      <c r="A728" s="13">
        <v>44129</v>
      </c>
      <c r="B728" s="8">
        <v>23.5</v>
      </c>
      <c r="C728" s="8">
        <v>20.2</v>
      </c>
      <c r="D728" s="8">
        <v>29.8</v>
      </c>
      <c r="E728" s="8">
        <v>0</v>
      </c>
      <c r="F728" s="8" t="str">
        <f>IF(OR(B728&lt;outliers!$B$7,B728&gt;outliers!$B$6),"Outlier","Normal")</f>
        <v>Normal</v>
      </c>
      <c r="G728" s="8" t="str">
        <f>IF(OR(C728&lt;outliers!$B$14,C728&gt;outliers!$B$13),"Outlier","Normal")</f>
        <v>Normal</v>
      </c>
      <c r="H728" s="8" t="str">
        <f>IF(OR(D728&lt;outliers!$B$21,D728&gt;outliers!$B$20),"Outlier","Normal")</f>
        <v>Normal</v>
      </c>
      <c r="I728" s="8" t="str">
        <f>IF(OR(E728&lt;outliers!$C$28,E728&gt;outliers!$B$27),"Outlier","Normal")</f>
        <v>Normal</v>
      </c>
      <c r="J728" s="8">
        <f t="shared" si="22"/>
        <v>2020</v>
      </c>
      <c r="K728">
        <f t="shared" si="23"/>
        <v>10</v>
      </c>
    </row>
    <row r="729" spans="1:11" x14ac:dyDescent="0.35">
      <c r="A729" s="13">
        <v>44130</v>
      </c>
      <c r="B729" s="8">
        <v>23.6</v>
      </c>
      <c r="C729" s="8">
        <v>19.399999999999999</v>
      </c>
      <c r="D729" s="8">
        <v>29.4</v>
      </c>
      <c r="E729" s="8">
        <v>7.9</v>
      </c>
      <c r="F729" s="8" t="str">
        <f>IF(OR(B729&lt;outliers!$B$7,B729&gt;outliers!$B$6),"Outlier","Normal")</f>
        <v>Normal</v>
      </c>
      <c r="G729" s="8" t="str">
        <f>IF(OR(C729&lt;outliers!$B$14,C729&gt;outliers!$B$13),"Outlier","Normal")</f>
        <v>Normal</v>
      </c>
      <c r="H729" s="8" t="str">
        <f>IF(OR(D729&lt;outliers!$B$21,D729&gt;outliers!$B$20),"Outlier","Normal")</f>
        <v>Normal</v>
      </c>
      <c r="I729" s="8" t="str">
        <f>IF(OR(E729&lt;outliers!$C$28,E729&gt;outliers!$B$27),"Outlier","Normal")</f>
        <v>Normal</v>
      </c>
      <c r="J729" s="8">
        <f t="shared" si="22"/>
        <v>2020</v>
      </c>
      <c r="K729">
        <f t="shared" si="23"/>
        <v>10</v>
      </c>
    </row>
    <row r="730" spans="1:11" x14ac:dyDescent="0.35">
      <c r="A730" s="13">
        <v>44131</v>
      </c>
      <c r="B730" s="8">
        <v>23.7</v>
      </c>
      <c r="C730" s="8">
        <v>19</v>
      </c>
      <c r="D730" s="8">
        <v>30</v>
      </c>
      <c r="E730" s="8">
        <v>0</v>
      </c>
      <c r="F730" s="8" t="str">
        <f>IF(OR(B730&lt;outliers!$B$7,B730&gt;outliers!$B$6),"Outlier","Normal")</f>
        <v>Normal</v>
      </c>
      <c r="G730" s="8" t="str">
        <f>IF(OR(C730&lt;outliers!$B$14,C730&gt;outliers!$B$13),"Outlier","Normal")</f>
        <v>Normal</v>
      </c>
      <c r="H730" s="8" t="str">
        <f>IF(OR(D730&lt;outliers!$B$21,D730&gt;outliers!$B$20),"Outlier","Normal")</f>
        <v>Normal</v>
      </c>
      <c r="I730" s="8" t="str">
        <f>IF(OR(E730&lt;outliers!$C$28,E730&gt;outliers!$B$27),"Outlier","Normal")</f>
        <v>Normal</v>
      </c>
      <c r="J730" s="8">
        <f t="shared" si="22"/>
        <v>2020</v>
      </c>
      <c r="K730">
        <f t="shared" si="23"/>
        <v>10</v>
      </c>
    </row>
    <row r="731" spans="1:11" x14ac:dyDescent="0.35">
      <c r="A731" s="13">
        <v>44134</v>
      </c>
      <c r="B731" s="8">
        <v>22.9</v>
      </c>
      <c r="C731" s="8">
        <v>17.8</v>
      </c>
      <c r="D731" s="8">
        <v>28.3</v>
      </c>
      <c r="E731" s="8">
        <v>0</v>
      </c>
      <c r="F731" s="8" t="str">
        <f>IF(OR(B731&lt;outliers!$B$7,B731&gt;outliers!$B$6),"Outlier","Normal")</f>
        <v>Normal</v>
      </c>
      <c r="G731" s="8" t="str">
        <f>IF(OR(C731&lt;outliers!$B$14,C731&gt;outliers!$B$13),"Outlier","Normal")</f>
        <v>Normal</v>
      </c>
      <c r="H731" s="8" t="str">
        <f>IF(OR(D731&lt;outliers!$B$21,D731&gt;outliers!$B$20),"Outlier","Normal")</f>
        <v>Normal</v>
      </c>
      <c r="I731" s="8" t="str">
        <f>IF(OR(E731&lt;outliers!$C$28,E731&gt;outliers!$B$27),"Outlier","Normal")</f>
        <v>Normal</v>
      </c>
      <c r="J731" s="8">
        <f t="shared" si="22"/>
        <v>2020</v>
      </c>
      <c r="K731">
        <f t="shared" si="23"/>
        <v>10</v>
      </c>
    </row>
    <row r="732" spans="1:11" x14ac:dyDescent="0.35">
      <c r="A732" s="13">
        <v>44136</v>
      </c>
      <c r="B732" s="8">
        <v>24.8</v>
      </c>
      <c r="C732" s="8">
        <v>19</v>
      </c>
      <c r="D732" s="8">
        <v>29.1</v>
      </c>
      <c r="E732" s="8">
        <v>0</v>
      </c>
      <c r="F732" s="8" t="str">
        <f>IF(OR(B732&lt;outliers!$B$7,B732&gt;outliers!$B$6),"Outlier","Normal")</f>
        <v>Normal</v>
      </c>
      <c r="G732" s="8" t="str">
        <f>IF(OR(C732&lt;outliers!$B$14,C732&gt;outliers!$B$13),"Outlier","Normal")</f>
        <v>Normal</v>
      </c>
      <c r="H732" s="8" t="str">
        <f>IF(OR(D732&lt;outliers!$B$21,D732&gt;outliers!$B$20),"Outlier","Normal")</f>
        <v>Normal</v>
      </c>
      <c r="I732" s="8" t="str">
        <f>IF(OR(E732&lt;outliers!$C$28,E732&gt;outliers!$B$27),"Outlier","Normal")</f>
        <v>Normal</v>
      </c>
      <c r="J732" s="8">
        <f t="shared" si="22"/>
        <v>2020</v>
      </c>
      <c r="K732">
        <f t="shared" si="23"/>
        <v>11</v>
      </c>
    </row>
    <row r="733" spans="1:11" x14ac:dyDescent="0.35">
      <c r="A733" s="13">
        <v>44137</v>
      </c>
      <c r="B733" s="8">
        <v>24.3</v>
      </c>
      <c r="C733" s="8">
        <v>20.399999999999999</v>
      </c>
      <c r="D733" s="8">
        <v>31.5</v>
      </c>
      <c r="E733" s="8">
        <v>0.3</v>
      </c>
      <c r="F733" s="8" t="str">
        <f>IF(OR(B733&lt;outliers!$B$7,B733&gt;outliers!$B$6),"Outlier","Normal")</f>
        <v>Normal</v>
      </c>
      <c r="G733" s="8" t="str">
        <f>IF(OR(C733&lt;outliers!$B$14,C733&gt;outliers!$B$13),"Outlier","Normal")</f>
        <v>Normal</v>
      </c>
      <c r="H733" s="8" t="str">
        <f>IF(OR(D733&lt;outliers!$B$21,D733&gt;outliers!$B$20),"Outlier","Normal")</f>
        <v>Normal</v>
      </c>
      <c r="I733" s="8" t="str">
        <f>IF(OR(E733&lt;outliers!$C$28,E733&gt;outliers!$B$27),"Outlier","Normal")</f>
        <v>Normal</v>
      </c>
      <c r="J733" s="8">
        <f t="shared" si="22"/>
        <v>2020</v>
      </c>
      <c r="K733">
        <f t="shared" si="23"/>
        <v>11</v>
      </c>
    </row>
    <row r="734" spans="1:11" x14ac:dyDescent="0.35">
      <c r="A734" s="13">
        <v>44138</v>
      </c>
      <c r="B734" s="8">
        <v>24.7</v>
      </c>
      <c r="C734" s="8">
        <v>19.8</v>
      </c>
      <c r="D734" s="8">
        <v>29</v>
      </c>
      <c r="E734" s="8">
        <v>0</v>
      </c>
      <c r="F734" s="8" t="str">
        <f>IF(OR(B734&lt;outliers!$B$7,B734&gt;outliers!$B$6),"Outlier","Normal")</f>
        <v>Normal</v>
      </c>
      <c r="G734" s="8" t="str">
        <f>IF(OR(C734&lt;outliers!$B$14,C734&gt;outliers!$B$13),"Outlier","Normal")</f>
        <v>Normal</v>
      </c>
      <c r="H734" s="8" t="str">
        <f>IF(OR(D734&lt;outliers!$B$21,D734&gt;outliers!$B$20),"Outlier","Normal")</f>
        <v>Normal</v>
      </c>
      <c r="I734" s="8" t="str">
        <f>IF(OR(E734&lt;outliers!$C$28,E734&gt;outliers!$B$27),"Outlier","Normal")</f>
        <v>Normal</v>
      </c>
      <c r="J734" s="8">
        <f t="shared" si="22"/>
        <v>2020</v>
      </c>
      <c r="K734">
        <f t="shared" si="23"/>
        <v>11</v>
      </c>
    </row>
    <row r="735" spans="1:11" hidden="1" x14ac:dyDescent="0.35">
      <c r="A735" s="13">
        <v>44141</v>
      </c>
      <c r="B735" s="8">
        <v>23.8</v>
      </c>
      <c r="C735" s="8">
        <v>20.8</v>
      </c>
      <c r="D735" s="8">
        <v>30.4</v>
      </c>
      <c r="E735" s="8">
        <v>22.9</v>
      </c>
      <c r="F735" s="8" t="str">
        <f>IF(OR(B735&lt;outliers!$B$7,B735&gt;outliers!$B$6),"Outlier","Normal")</f>
        <v>Normal</v>
      </c>
      <c r="G735" s="8" t="str">
        <f>IF(OR(C735&lt;outliers!$B$14,C735&gt;outliers!$B$13),"Outlier","Normal")</f>
        <v>Normal</v>
      </c>
      <c r="H735" s="8" t="str">
        <f>IF(OR(D735&lt;outliers!$B$21,D735&gt;outliers!$B$20),"Outlier","Normal")</f>
        <v>Normal</v>
      </c>
      <c r="I735" s="8" t="str">
        <f>IF(OR(E735&lt;outliers!$C$28,E735&gt;outliers!$B$27),"Outlier","Normal")</f>
        <v>Outlier</v>
      </c>
      <c r="J735" s="8">
        <f t="shared" si="22"/>
        <v>2020</v>
      </c>
      <c r="K735">
        <f t="shared" si="23"/>
        <v>11</v>
      </c>
    </row>
    <row r="736" spans="1:11" x14ac:dyDescent="0.35">
      <c r="A736" s="13">
        <v>44142</v>
      </c>
      <c r="B736" s="8">
        <v>23.4</v>
      </c>
      <c r="C736" s="8">
        <v>20.2</v>
      </c>
      <c r="D736" s="8">
        <v>29.2</v>
      </c>
      <c r="E736" s="8">
        <v>0</v>
      </c>
      <c r="F736" s="8" t="str">
        <f>IF(OR(B736&lt;outliers!$B$7,B736&gt;outliers!$B$6),"Outlier","Normal")</f>
        <v>Normal</v>
      </c>
      <c r="G736" s="8" t="str">
        <f>IF(OR(C736&lt;outliers!$B$14,C736&gt;outliers!$B$13),"Outlier","Normal")</f>
        <v>Normal</v>
      </c>
      <c r="H736" s="8" t="str">
        <f>IF(OR(D736&lt;outliers!$B$21,D736&gt;outliers!$B$20),"Outlier","Normal")</f>
        <v>Normal</v>
      </c>
      <c r="I736" s="8" t="str">
        <f>IF(OR(E736&lt;outliers!$C$28,E736&gt;outliers!$B$27),"Outlier","Normal")</f>
        <v>Normal</v>
      </c>
      <c r="J736" s="8">
        <f t="shared" si="22"/>
        <v>2020</v>
      </c>
      <c r="K736">
        <f t="shared" si="23"/>
        <v>11</v>
      </c>
    </row>
    <row r="737" spans="1:11" x14ac:dyDescent="0.35">
      <c r="A737" s="13">
        <v>44143</v>
      </c>
      <c r="B737" s="8">
        <v>23.4</v>
      </c>
      <c r="C737" s="8">
        <v>20.8</v>
      </c>
      <c r="D737" s="8">
        <v>30.2</v>
      </c>
      <c r="E737" s="8">
        <v>3.3</v>
      </c>
      <c r="F737" s="8" t="str">
        <f>IF(OR(B737&lt;outliers!$B$7,B737&gt;outliers!$B$6),"Outlier","Normal")</f>
        <v>Normal</v>
      </c>
      <c r="G737" s="8" t="str">
        <f>IF(OR(C737&lt;outliers!$B$14,C737&gt;outliers!$B$13),"Outlier","Normal")</f>
        <v>Normal</v>
      </c>
      <c r="H737" s="8" t="str">
        <f>IF(OR(D737&lt;outliers!$B$21,D737&gt;outliers!$B$20),"Outlier","Normal")</f>
        <v>Normal</v>
      </c>
      <c r="I737" s="8" t="str">
        <f>IF(OR(E737&lt;outliers!$C$28,E737&gt;outliers!$B$27),"Outlier","Normal")</f>
        <v>Normal</v>
      </c>
      <c r="J737" s="8">
        <f t="shared" si="22"/>
        <v>2020</v>
      </c>
      <c r="K737">
        <f t="shared" si="23"/>
        <v>11</v>
      </c>
    </row>
    <row r="738" spans="1:11" x14ac:dyDescent="0.35">
      <c r="A738" s="13">
        <v>44144</v>
      </c>
      <c r="B738" s="8">
        <v>22.7</v>
      </c>
      <c r="C738" s="8">
        <v>19.5</v>
      </c>
      <c r="D738" s="8">
        <v>27.8</v>
      </c>
      <c r="E738" s="8">
        <v>0</v>
      </c>
      <c r="F738" s="8" t="str">
        <f>IF(OR(B738&lt;outliers!$B$7,B738&gt;outliers!$B$6),"Outlier","Normal")</f>
        <v>Normal</v>
      </c>
      <c r="G738" s="8" t="str">
        <f>IF(OR(C738&lt;outliers!$B$14,C738&gt;outliers!$B$13),"Outlier","Normal")</f>
        <v>Normal</v>
      </c>
      <c r="H738" s="8" t="str">
        <f>IF(OR(D738&lt;outliers!$B$21,D738&gt;outliers!$B$20),"Outlier","Normal")</f>
        <v>Normal</v>
      </c>
      <c r="I738" s="8" t="str">
        <f>IF(OR(E738&lt;outliers!$C$28,E738&gt;outliers!$B$27),"Outlier","Normal")</f>
        <v>Normal</v>
      </c>
      <c r="J738" s="8">
        <f t="shared" si="22"/>
        <v>2020</v>
      </c>
      <c r="K738">
        <f t="shared" si="23"/>
        <v>11</v>
      </c>
    </row>
    <row r="739" spans="1:11" x14ac:dyDescent="0.35">
      <c r="A739" s="13">
        <v>44148</v>
      </c>
      <c r="B739" s="8">
        <v>22.1</v>
      </c>
      <c r="C739" s="8">
        <v>20.399999999999999</v>
      </c>
      <c r="D739" s="8">
        <v>28</v>
      </c>
      <c r="E739" s="8">
        <v>0</v>
      </c>
      <c r="F739" s="8" t="str">
        <f>IF(OR(B739&lt;outliers!$B$7,B739&gt;outliers!$B$6),"Outlier","Normal")</f>
        <v>Normal</v>
      </c>
      <c r="G739" s="8" t="str">
        <f>IF(OR(C739&lt;outliers!$B$14,C739&gt;outliers!$B$13),"Outlier","Normal")</f>
        <v>Normal</v>
      </c>
      <c r="H739" s="8" t="str">
        <f>IF(OR(D739&lt;outliers!$B$21,D739&gt;outliers!$B$20),"Outlier","Normal")</f>
        <v>Normal</v>
      </c>
      <c r="I739" s="8" t="str">
        <f>IF(OR(E739&lt;outliers!$C$28,E739&gt;outliers!$B$27),"Outlier","Normal")</f>
        <v>Normal</v>
      </c>
      <c r="J739" s="8">
        <f t="shared" si="22"/>
        <v>2020</v>
      </c>
      <c r="K739">
        <f t="shared" si="23"/>
        <v>11</v>
      </c>
    </row>
    <row r="740" spans="1:11" x14ac:dyDescent="0.35">
      <c r="A740" s="13">
        <v>44149</v>
      </c>
      <c r="B740" s="8">
        <v>22.8</v>
      </c>
      <c r="C740" s="8">
        <v>20</v>
      </c>
      <c r="D740" s="8">
        <v>27.8</v>
      </c>
      <c r="E740" s="8">
        <v>8.9</v>
      </c>
      <c r="F740" s="8" t="str">
        <f>IF(OR(B740&lt;outliers!$B$7,B740&gt;outliers!$B$6),"Outlier","Normal")</f>
        <v>Normal</v>
      </c>
      <c r="G740" s="8" t="str">
        <f>IF(OR(C740&lt;outliers!$B$14,C740&gt;outliers!$B$13),"Outlier","Normal")</f>
        <v>Normal</v>
      </c>
      <c r="H740" s="8" t="str">
        <f>IF(OR(D740&lt;outliers!$B$21,D740&gt;outliers!$B$20),"Outlier","Normal")</f>
        <v>Normal</v>
      </c>
      <c r="I740" s="8" t="str">
        <f>IF(OR(E740&lt;outliers!$C$28,E740&gt;outliers!$B$27),"Outlier","Normal")</f>
        <v>Normal</v>
      </c>
      <c r="J740" s="8">
        <f t="shared" si="22"/>
        <v>2020</v>
      </c>
      <c r="K740">
        <f t="shared" si="23"/>
        <v>11</v>
      </c>
    </row>
    <row r="741" spans="1:11" x14ac:dyDescent="0.35">
      <c r="A741" s="13">
        <v>44150</v>
      </c>
      <c r="B741" s="8">
        <v>21.6</v>
      </c>
      <c r="C741" s="8">
        <v>19.100000000000001</v>
      </c>
      <c r="D741" s="8">
        <v>28.2</v>
      </c>
      <c r="E741" s="8">
        <v>0</v>
      </c>
      <c r="F741" s="8" t="str">
        <f>IF(OR(B741&lt;outliers!$B$7,B741&gt;outliers!$B$6),"Outlier","Normal")</f>
        <v>Normal</v>
      </c>
      <c r="G741" s="8" t="str">
        <f>IF(OR(C741&lt;outliers!$B$14,C741&gt;outliers!$B$13),"Outlier","Normal")</f>
        <v>Normal</v>
      </c>
      <c r="H741" s="8" t="str">
        <f>IF(OR(D741&lt;outliers!$B$21,D741&gt;outliers!$B$20),"Outlier","Normal")</f>
        <v>Normal</v>
      </c>
      <c r="I741" s="8" t="str">
        <f>IF(OR(E741&lt;outliers!$C$28,E741&gt;outliers!$B$27),"Outlier","Normal")</f>
        <v>Normal</v>
      </c>
      <c r="J741" s="8">
        <f t="shared" si="22"/>
        <v>2020</v>
      </c>
      <c r="K741">
        <f t="shared" si="23"/>
        <v>11</v>
      </c>
    </row>
    <row r="742" spans="1:11" x14ac:dyDescent="0.35">
      <c r="A742" s="13">
        <v>44151</v>
      </c>
      <c r="B742" s="8">
        <v>21.6</v>
      </c>
      <c r="C742" s="8">
        <v>19.2</v>
      </c>
      <c r="D742" s="8">
        <v>25.8</v>
      </c>
      <c r="E742" s="8">
        <v>9.9</v>
      </c>
      <c r="F742" s="8" t="str">
        <f>IF(OR(B742&lt;outliers!$B$7,B742&gt;outliers!$B$6),"Outlier","Normal")</f>
        <v>Normal</v>
      </c>
      <c r="G742" s="8" t="str">
        <f>IF(OR(C742&lt;outliers!$B$14,C742&gt;outliers!$B$13),"Outlier","Normal")</f>
        <v>Normal</v>
      </c>
      <c r="H742" s="8" t="str">
        <f>IF(OR(D742&lt;outliers!$B$21,D742&gt;outliers!$B$20),"Outlier","Normal")</f>
        <v>Normal</v>
      </c>
      <c r="I742" s="8" t="str">
        <f>IF(OR(E742&lt;outliers!$C$28,E742&gt;outliers!$B$27),"Outlier","Normal")</f>
        <v>Normal</v>
      </c>
      <c r="J742" s="8">
        <f t="shared" si="22"/>
        <v>2020</v>
      </c>
      <c r="K742">
        <f t="shared" si="23"/>
        <v>11</v>
      </c>
    </row>
    <row r="743" spans="1:11" hidden="1" x14ac:dyDescent="0.35">
      <c r="A743" s="13">
        <v>44152</v>
      </c>
      <c r="B743" s="8">
        <v>22.2</v>
      </c>
      <c r="C743" s="8">
        <v>19.399999999999999</v>
      </c>
      <c r="D743" s="8">
        <v>25</v>
      </c>
      <c r="E743" s="8">
        <v>21.1</v>
      </c>
      <c r="F743" s="8" t="str">
        <f>IF(OR(B743&lt;outliers!$B$7,B743&gt;outliers!$B$6),"Outlier","Normal")</f>
        <v>Normal</v>
      </c>
      <c r="G743" s="8" t="str">
        <f>IF(OR(C743&lt;outliers!$B$14,C743&gt;outliers!$B$13),"Outlier","Normal")</f>
        <v>Normal</v>
      </c>
      <c r="H743" s="8" t="str">
        <f>IF(OR(D743&lt;outliers!$B$21,D743&gt;outliers!$B$20),"Outlier","Normal")</f>
        <v>Normal</v>
      </c>
      <c r="I743" s="8" t="str">
        <f>IF(OR(E743&lt;outliers!$C$28,E743&gt;outliers!$B$27),"Outlier","Normal")</f>
        <v>Outlier</v>
      </c>
      <c r="J743" s="8">
        <f t="shared" si="22"/>
        <v>2020</v>
      </c>
      <c r="K743">
        <f t="shared" si="23"/>
        <v>11</v>
      </c>
    </row>
    <row r="744" spans="1:11" x14ac:dyDescent="0.35">
      <c r="A744" s="13">
        <v>44153</v>
      </c>
      <c r="B744" s="8">
        <v>22.8</v>
      </c>
      <c r="C744" s="8">
        <v>19.2</v>
      </c>
      <c r="D744" s="8">
        <v>28.3</v>
      </c>
      <c r="E744" s="8">
        <v>0</v>
      </c>
      <c r="F744" s="8" t="str">
        <f>IF(OR(B744&lt;outliers!$B$7,B744&gt;outliers!$B$6),"Outlier","Normal")</f>
        <v>Normal</v>
      </c>
      <c r="G744" s="8" t="str">
        <f>IF(OR(C744&lt;outliers!$B$14,C744&gt;outliers!$B$13),"Outlier","Normal")</f>
        <v>Normal</v>
      </c>
      <c r="H744" s="8" t="str">
        <f>IF(OR(D744&lt;outliers!$B$21,D744&gt;outliers!$B$20),"Outlier","Normal")</f>
        <v>Normal</v>
      </c>
      <c r="I744" s="8" t="str">
        <f>IF(OR(E744&lt;outliers!$C$28,E744&gt;outliers!$B$27),"Outlier","Normal")</f>
        <v>Normal</v>
      </c>
      <c r="J744" s="8">
        <f t="shared" si="22"/>
        <v>2020</v>
      </c>
      <c r="K744">
        <f t="shared" si="23"/>
        <v>11</v>
      </c>
    </row>
    <row r="745" spans="1:11" x14ac:dyDescent="0.35">
      <c r="A745" s="13">
        <v>44154</v>
      </c>
      <c r="B745" s="8">
        <v>22.9</v>
      </c>
      <c r="C745" s="8">
        <v>20</v>
      </c>
      <c r="D745" s="8">
        <v>28.3</v>
      </c>
      <c r="E745" s="8">
        <v>0</v>
      </c>
      <c r="F745" s="8" t="str">
        <f>IF(OR(B745&lt;outliers!$B$7,B745&gt;outliers!$B$6),"Outlier","Normal")</f>
        <v>Normal</v>
      </c>
      <c r="G745" s="8" t="str">
        <f>IF(OR(C745&lt;outliers!$B$14,C745&gt;outliers!$B$13),"Outlier","Normal")</f>
        <v>Normal</v>
      </c>
      <c r="H745" s="8" t="str">
        <f>IF(OR(D745&lt;outliers!$B$21,D745&gt;outliers!$B$20),"Outlier","Normal")</f>
        <v>Normal</v>
      </c>
      <c r="I745" s="8" t="str">
        <f>IF(OR(E745&lt;outliers!$C$28,E745&gt;outliers!$B$27),"Outlier","Normal")</f>
        <v>Normal</v>
      </c>
      <c r="J745" s="8">
        <f t="shared" si="22"/>
        <v>2020</v>
      </c>
      <c r="K745">
        <f t="shared" si="23"/>
        <v>11</v>
      </c>
    </row>
    <row r="746" spans="1:11" x14ac:dyDescent="0.35">
      <c r="A746" s="13">
        <v>44161</v>
      </c>
      <c r="B746" s="8">
        <v>19.399999999999999</v>
      </c>
      <c r="C746" s="8">
        <v>17.8</v>
      </c>
      <c r="D746" s="8">
        <v>23.8</v>
      </c>
      <c r="E746" s="8">
        <v>2</v>
      </c>
      <c r="F746" s="8" t="str">
        <f>IF(OR(B746&lt;outliers!$B$7,B746&gt;outliers!$B$6),"Outlier","Normal")</f>
        <v>Normal</v>
      </c>
      <c r="G746" s="8" t="str">
        <f>IF(OR(C746&lt;outliers!$B$14,C746&gt;outliers!$B$13),"Outlier","Normal")</f>
        <v>Normal</v>
      </c>
      <c r="H746" s="8" t="str">
        <f>IF(OR(D746&lt;outliers!$B$21,D746&gt;outliers!$B$20),"Outlier","Normal")</f>
        <v>Normal</v>
      </c>
      <c r="I746" s="8" t="str">
        <f>IF(OR(E746&lt;outliers!$C$28,E746&gt;outliers!$B$27),"Outlier","Normal")</f>
        <v>Normal</v>
      </c>
      <c r="J746" s="8">
        <f t="shared" si="22"/>
        <v>2020</v>
      </c>
      <c r="K746">
        <f t="shared" si="23"/>
        <v>11</v>
      </c>
    </row>
    <row r="747" spans="1:11" hidden="1" x14ac:dyDescent="0.35">
      <c r="A747" s="13">
        <v>44162</v>
      </c>
      <c r="B747" s="8">
        <v>19.7</v>
      </c>
      <c r="C747" s="8">
        <v>17.8</v>
      </c>
      <c r="D747" s="8">
        <v>21.8</v>
      </c>
      <c r="E747" s="8">
        <v>13.2</v>
      </c>
      <c r="F747" s="8" t="str">
        <f>IF(OR(B747&lt;outliers!$B$7,B747&gt;outliers!$B$6),"Outlier","Normal")</f>
        <v>Normal</v>
      </c>
      <c r="G747" s="8" t="str">
        <f>IF(OR(C747&lt;outliers!$B$14,C747&gt;outliers!$B$13),"Outlier","Normal")</f>
        <v>Normal</v>
      </c>
      <c r="H747" s="8" t="str">
        <f>IF(OR(D747&lt;outliers!$B$21,D747&gt;outliers!$B$20),"Outlier","Normal")</f>
        <v>Outlier</v>
      </c>
      <c r="I747" s="8" t="str">
        <f>IF(OR(E747&lt;outliers!$C$28,E747&gt;outliers!$B$27),"Outlier","Normal")</f>
        <v>Outlier</v>
      </c>
      <c r="J747" s="8">
        <f t="shared" si="22"/>
        <v>2020</v>
      </c>
      <c r="K747">
        <f t="shared" si="23"/>
        <v>11</v>
      </c>
    </row>
    <row r="748" spans="1:11" x14ac:dyDescent="0.35">
      <c r="A748" s="13">
        <v>44163</v>
      </c>
      <c r="B748" s="8">
        <v>21.5</v>
      </c>
      <c r="C748" s="8">
        <v>17</v>
      </c>
      <c r="D748" s="8">
        <v>25.9</v>
      </c>
      <c r="E748" s="8">
        <v>0.3</v>
      </c>
      <c r="F748" s="8" t="str">
        <f>IF(OR(B748&lt;outliers!$B$7,B748&gt;outliers!$B$6),"Outlier","Normal")</f>
        <v>Normal</v>
      </c>
      <c r="G748" s="8" t="str">
        <f>IF(OR(C748&lt;outliers!$B$14,C748&gt;outliers!$B$13),"Outlier","Normal")</f>
        <v>Normal</v>
      </c>
      <c r="H748" s="8" t="str">
        <f>IF(OR(D748&lt;outliers!$B$21,D748&gt;outliers!$B$20),"Outlier","Normal")</f>
        <v>Normal</v>
      </c>
      <c r="I748" s="8" t="str">
        <f>IF(OR(E748&lt;outliers!$C$28,E748&gt;outliers!$B$27),"Outlier","Normal")</f>
        <v>Normal</v>
      </c>
      <c r="J748" s="8">
        <f t="shared" si="22"/>
        <v>2020</v>
      </c>
      <c r="K748">
        <f t="shared" si="23"/>
        <v>11</v>
      </c>
    </row>
    <row r="749" spans="1:11" x14ac:dyDescent="0.35">
      <c r="A749" s="13">
        <v>44164</v>
      </c>
      <c r="B749" s="8">
        <v>21.6</v>
      </c>
      <c r="C749" s="8">
        <v>19</v>
      </c>
      <c r="D749" s="8">
        <v>25.6</v>
      </c>
      <c r="E749" s="8">
        <v>0</v>
      </c>
      <c r="F749" s="8" t="str">
        <f>IF(OR(B749&lt;outliers!$B$7,B749&gt;outliers!$B$6),"Outlier","Normal")</f>
        <v>Normal</v>
      </c>
      <c r="G749" s="8" t="str">
        <f>IF(OR(C749&lt;outliers!$B$14,C749&gt;outliers!$B$13),"Outlier","Normal")</f>
        <v>Normal</v>
      </c>
      <c r="H749" s="8" t="str">
        <f>IF(OR(D749&lt;outliers!$B$21,D749&gt;outliers!$B$20),"Outlier","Normal")</f>
        <v>Normal</v>
      </c>
      <c r="I749" s="8" t="str">
        <f>IF(OR(E749&lt;outliers!$C$28,E749&gt;outliers!$B$27),"Outlier","Normal")</f>
        <v>Normal</v>
      </c>
      <c r="J749" s="8">
        <f t="shared" si="22"/>
        <v>2020</v>
      </c>
      <c r="K749">
        <f t="shared" si="23"/>
        <v>11</v>
      </c>
    </row>
    <row r="750" spans="1:11" x14ac:dyDescent="0.35">
      <c r="A750" s="13">
        <v>44165</v>
      </c>
      <c r="B750" s="8">
        <v>21.9</v>
      </c>
      <c r="C750" s="8">
        <v>18</v>
      </c>
      <c r="D750" s="8">
        <v>26.8</v>
      </c>
      <c r="E750" s="8">
        <v>0</v>
      </c>
      <c r="F750" s="8" t="str">
        <f>IF(OR(B750&lt;outliers!$B$7,B750&gt;outliers!$B$6),"Outlier","Normal")</f>
        <v>Normal</v>
      </c>
      <c r="G750" s="8" t="str">
        <f>IF(OR(C750&lt;outliers!$B$14,C750&gt;outliers!$B$13),"Outlier","Normal")</f>
        <v>Normal</v>
      </c>
      <c r="H750" s="8" t="str">
        <f>IF(OR(D750&lt;outliers!$B$21,D750&gt;outliers!$B$20),"Outlier","Normal")</f>
        <v>Normal</v>
      </c>
      <c r="I750" s="8" t="str">
        <f>IF(OR(E750&lt;outliers!$C$28,E750&gt;outliers!$B$27),"Outlier","Normal")</f>
        <v>Normal</v>
      </c>
      <c r="J750" s="8">
        <f t="shared" si="22"/>
        <v>2020</v>
      </c>
      <c r="K750">
        <f t="shared" si="23"/>
        <v>11</v>
      </c>
    </row>
    <row r="751" spans="1:11" x14ac:dyDescent="0.35">
      <c r="A751" s="13">
        <v>44168</v>
      </c>
      <c r="B751" s="8">
        <v>19.899999999999999</v>
      </c>
      <c r="C751" s="8">
        <v>18</v>
      </c>
      <c r="D751" s="8">
        <v>26.4</v>
      </c>
      <c r="E751" s="8">
        <v>2.2999999999999998</v>
      </c>
      <c r="F751" s="8" t="str">
        <f>IF(OR(B751&lt;outliers!$B$7,B751&gt;outliers!$B$6),"Outlier","Normal")</f>
        <v>Normal</v>
      </c>
      <c r="G751" s="8" t="str">
        <f>IF(OR(C751&lt;outliers!$B$14,C751&gt;outliers!$B$13),"Outlier","Normal")</f>
        <v>Normal</v>
      </c>
      <c r="H751" s="8" t="str">
        <f>IF(OR(D751&lt;outliers!$B$21,D751&gt;outliers!$B$20),"Outlier","Normal")</f>
        <v>Normal</v>
      </c>
      <c r="I751" s="8" t="str">
        <f>IF(OR(E751&lt;outliers!$C$28,E751&gt;outliers!$B$27),"Outlier","Normal")</f>
        <v>Normal</v>
      </c>
      <c r="J751" s="8">
        <f t="shared" si="22"/>
        <v>2020</v>
      </c>
      <c r="K751">
        <f t="shared" si="23"/>
        <v>12</v>
      </c>
    </row>
    <row r="752" spans="1:11" x14ac:dyDescent="0.35">
      <c r="A752" s="13">
        <v>44169</v>
      </c>
      <c r="B752" s="8">
        <v>20.8</v>
      </c>
      <c r="C752" s="8">
        <v>19.2</v>
      </c>
      <c r="D752" s="8">
        <v>22.8</v>
      </c>
      <c r="E752" s="8">
        <v>1.8</v>
      </c>
      <c r="F752" s="8" t="str">
        <f>IF(OR(B752&lt;outliers!$B$7,B752&gt;outliers!$B$6),"Outlier","Normal")</f>
        <v>Normal</v>
      </c>
      <c r="G752" s="8" t="str">
        <f>IF(OR(C752&lt;outliers!$B$14,C752&gt;outliers!$B$13),"Outlier","Normal")</f>
        <v>Normal</v>
      </c>
      <c r="H752" s="8" t="str">
        <f>IF(OR(D752&lt;outliers!$B$21,D752&gt;outliers!$B$20),"Outlier","Normal")</f>
        <v>Normal</v>
      </c>
      <c r="I752" s="8" t="str">
        <f>IF(OR(E752&lt;outliers!$C$28,E752&gt;outliers!$B$27),"Outlier","Normal")</f>
        <v>Normal</v>
      </c>
      <c r="J752" s="8">
        <f t="shared" si="22"/>
        <v>2020</v>
      </c>
      <c r="K752">
        <f t="shared" si="23"/>
        <v>12</v>
      </c>
    </row>
    <row r="753" spans="1:11" x14ac:dyDescent="0.35">
      <c r="A753" s="13">
        <v>44170</v>
      </c>
      <c r="B753" s="8">
        <v>21</v>
      </c>
      <c r="C753" s="8">
        <v>19.399999999999999</v>
      </c>
      <c r="D753" s="8">
        <v>23.2</v>
      </c>
      <c r="E753" s="8">
        <v>0.8</v>
      </c>
      <c r="F753" s="8" t="str">
        <f>IF(OR(B753&lt;outliers!$B$7,B753&gt;outliers!$B$6),"Outlier","Normal")</f>
        <v>Normal</v>
      </c>
      <c r="G753" s="8" t="str">
        <f>IF(OR(C753&lt;outliers!$B$14,C753&gt;outliers!$B$13),"Outlier","Normal")</f>
        <v>Normal</v>
      </c>
      <c r="H753" s="8" t="str">
        <f>IF(OR(D753&lt;outliers!$B$21,D753&gt;outliers!$B$20),"Outlier","Normal")</f>
        <v>Normal</v>
      </c>
      <c r="I753" s="8" t="str">
        <f>IF(OR(E753&lt;outliers!$C$28,E753&gt;outliers!$B$27),"Outlier","Normal")</f>
        <v>Normal</v>
      </c>
      <c r="J753" s="8">
        <f t="shared" si="22"/>
        <v>2020</v>
      </c>
      <c r="K753">
        <f t="shared" si="23"/>
        <v>12</v>
      </c>
    </row>
    <row r="754" spans="1:11" x14ac:dyDescent="0.35">
      <c r="A754" s="13">
        <v>44171</v>
      </c>
      <c r="B754" s="8">
        <v>20.9</v>
      </c>
      <c r="C754" s="8">
        <v>18.5</v>
      </c>
      <c r="D754" s="8">
        <v>24</v>
      </c>
      <c r="E754" s="8">
        <v>1.3</v>
      </c>
      <c r="F754" s="8" t="str">
        <f>IF(OR(B754&lt;outliers!$B$7,B754&gt;outliers!$B$6),"Outlier","Normal")</f>
        <v>Normal</v>
      </c>
      <c r="G754" s="8" t="str">
        <f>IF(OR(C754&lt;outliers!$B$14,C754&gt;outliers!$B$13),"Outlier","Normal")</f>
        <v>Normal</v>
      </c>
      <c r="H754" s="8" t="str">
        <f>IF(OR(D754&lt;outliers!$B$21,D754&gt;outliers!$B$20),"Outlier","Normal")</f>
        <v>Normal</v>
      </c>
      <c r="I754" s="8" t="str">
        <f>IF(OR(E754&lt;outliers!$C$28,E754&gt;outliers!$B$27),"Outlier","Normal")</f>
        <v>Normal</v>
      </c>
      <c r="J754" s="8">
        <f t="shared" si="22"/>
        <v>2020</v>
      </c>
      <c r="K754">
        <f t="shared" si="23"/>
        <v>12</v>
      </c>
    </row>
    <row r="755" spans="1:11" x14ac:dyDescent="0.35">
      <c r="A755" s="13">
        <v>44172</v>
      </c>
      <c r="B755" s="8">
        <v>21.7</v>
      </c>
      <c r="C755" s="8">
        <v>19.399999999999999</v>
      </c>
      <c r="D755" s="8">
        <v>24.8</v>
      </c>
      <c r="E755" s="8">
        <v>7.6</v>
      </c>
      <c r="F755" s="8" t="str">
        <f>IF(OR(B755&lt;outliers!$B$7,B755&gt;outliers!$B$6),"Outlier","Normal")</f>
        <v>Normal</v>
      </c>
      <c r="G755" s="8" t="str">
        <f>IF(OR(C755&lt;outliers!$B$14,C755&gt;outliers!$B$13),"Outlier","Normal")</f>
        <v>Normal</v>
      </c>
      <c r="H755" s="8" t="str">
        <f>IF(OR(D755&lt;outliers!$B$21,D755&gt;outliers!$B$20),"Outlier","Normal")</f>
        <v>Normal</v>
      </c>
      <c r="I755" s="8" t="str">
        <f>IF(OR(E755&lt;outliers!$C$28,E755&gt;outliers!$B$27),"Outlier","Normal")</f>
        <v>Normal</v>
      </c>
      <c r="J755" s="8">
        <f t="shared" si="22"/>
        <v>2020</v>
      </c>
      <c r="K755">
        <f t="shared" si="23"/>
        <v>12</v>
      </c>
    </row>
    <row r="756" spans="1:11" x14ac:dyDescent="0.35">
      <c r="A756" s="13">
        <v>44173</v>
      </c>
      <c r="B756" s="8">
        <v>21.3</v>
      </c>
      <c r="C756" s="8">
        <v>19.5</v>
      </c>
      <c r="D756" s="8">
        <v>26.2</v>
      </c>
      <c r="E756" s="8">
        <v>5.6</v>
      </c>
      <c r="F756" s="8" t="str">
        <f>IF(OR(B756&lt;outliers!$B$7,B756&gt;outliers!$B$6),"Outlier","Normal")</f>
        <v>Normal</v>
      </c>
      <c r="G756" s="8" t="str">
        <f>IF(OR(C756&lt;outliers!$B$14,C756&gt;outliers!$B$13),"Outlier","Normal")</f>
        <v>Normal</v>
      </c>
      <c r="H756" s="8" t="str">
        <f>IF(OR(D756&lt;outliers!$B$21,D756&gt;outliers!$B$20),"Outlier","Normal")</f>
        <v>Normal</v>
      </c>
      <c r="I756" s="8" t="str">
        <f>IF(OR(E756&lt;outliers!$C$28,E756&gt;outliers!$B$27),"Outlier","Normal")</f>
        <v>Normal</v>
      </c>
      <c r="J756" s="8">
        <f t="shared" si="22"/>
        <v>2020</v>
      </c>
      <c r="K756">
        <f t="shared" si="23"/>
        <v>12</v>
      </c>
    </row>
    <row r="757" spans="1:11" x14ac:dyDescent="0.35">
      <c r="A757" s="13">
        <v>44174</v>
      </c>
      <c r="B757" s="8">
        <v>21.7</v>
      </c>
      <c r="C757" s="8">
        <v>19.399999999999999</v>
      </c>
      <c r="D757" s="8">
        <v>25</v>
      </c>
      <c r="E757" s="8">
        <v>0.8</v>
      </c>
      <c r="F757" s="8" t="str">
        <f>IF(OR(B757&lt;outliers!$B$7,B757&gt;outliers!$B$6),"Outlier","Normal")</f>
        <v>Normal</v>
      </c>
      <c r="G757" s="8" t="str">
        <f>IF(OR(C757&lt;outliers!$B$14,C757&gt;outliers!$B$13),"Outlier","Normal")</f>
        <v>Normal</v>
      </c>
      <c r="H757" s="8" t="str">
        <f>IF(OR(D757&lt;outliers!$B$21,D757&gt;outliers!$B$20),"Outlier","Normal")</f>
        <v>Normal</v>
      </c>
      <c r="I757" s="8" t="str">
        <f>IF(OR(E757&lt;outliers!$C$28,E757&gt;outliers!$B$27),"Outlier","Normal")</f>
        <v>Normal</v>
      </c>
      <c r="J757" s="8">
        <f t="shared" si="22"/>
        <v>2020</v>
      </c>
      <c r="K757">
        <f t="shared" si="23"/>
        <v>12</v>
      </c>
    </row>
    <row r="758" spans="1:11" hidden="1" x14ac:dyDescent="0.35">
      <c r="A758" s="13">
        <v>44175</v>
      </c>
      <c r="B758" s="8">
        <v>21.3</v>
      </c>
      <c r="C758" s="8">
        <v>16.399999999999999</v>
      </c>
      <c r="D758" s="8">
        <v>26.8</v>
      </c>
      <c r="E758" s="8">
        <v>0</v>
      </c>
      <c r="F758" s="8" t="str">
        <f>IF(OR(B758&lt;outliers!$B$7,B758&gt;outliers!$B$6),"Outlier","Normal")</f>
        <v>Normal</v>
      </c>
      <c r="G758" s="8" t="str">
        <f>IF(OR(C758&lt;outliers!$B$14,C758&gt;outliers!$B$13),"Outlier","Normal")</f>
        <v>Outlier</v>
      </c>
      <c r="H758" s="8" t="str">
        <f>IF(OR(D758&lt;outliers!$B$21,D758&gt;outliers!$B$20),"Outlier","Normal")</f>
        <v>Normal</v>
      </c>
      <c r="I758" s="8" t="str">
        <f>IF(OR(E758&lt;outliers!$C$28,E758&gt;outliers!$B$27),"Outlier","Normal")</f>
        <v>Normal</v>
      </c>
      <c r="J758" s="8">
        <f t="shared" si="22"/>
        <v>2020</v>
      </c>
      <c r="K758">
        <f t="shared" si="23"/>
        <v>12</v>
      </c>
    </row>
    <row r="759" spans="1:11" hidden="1" x14ac:dyDescent="0.35">
      <c r="A759" s="13">
        <v>44176</v>
      </c>
      <c r="B759" s="8">
        <v>21.2</v>
      </c>
      <c r="C759" s="8">
        <v>16.600000000000001</v>
      </c>
      <c r="D759" s="8">
        <v>28.4</v>
      </c>
      <c r="E759" s="8">
        <v>0</v>
      </c>
      <c r="F759" s="8" t="str">
        <f>IF(OR(B759&lt;outliers!$B$7,B759&gt;outliers!$B$6),"Outlier","Normal")</f>
        <v>Normal</v>
      </c>
      <c r="G759" s="8" t="str">
        <f>IF(OR(C759&lt;outliers!$B$14,C759&gt;outliers!$B$13),"Outlier","Normal")</f>
        <v>Outlier</v>
      </c>
      <c r="H759" s="8" t="str">
        <f>IF(OR(D759&lt;outliers!$B$21,D759&gt;outliers!$B$20),"Outlier","Normal")</f>
        <v>Normal</v>
      </c>
      <c r="I759" s="8" t="str">
        <f>IF(OR(E759&lt;outliers!$C$28,E759&gt;outliers!$B$27),"Outlier","Normal")</f>
        <v>Normal</v>
      </c>
      <c r="J759" s="8">
        <f t="shared" si="22"/>
        <v>2020</v>
      </c>
      <c r="K759">
        <f t="shared" si="23"/>
        <v>12</v>
      </c>
    </row>
    <row r="760" spans="1:11" x14ac:dyDescent="0.35">
      <c r="A760" s="13">
        <v>44182</v>
      </c>
      <c r="B760" s="8">
        <v>21.7</v>
      </c>
      <c r="C760" s="8">
        <v>19.5</v>
      </c>
      <c r="D760" s="8">
        <v>26.8</v>
      </c>
      <c r="E760" s="8">
        <v>0.3</v>
      </c>
      <c r="F760" s="8" t="str">
        <f>IF(OR(B760&lt;outliers!$B$7,B760&gt;outliers!$B$6),"Outlier","Normal")</f>
        <v>Normal</v>
      </c>
      <c r="G760" s="8" t="str">
        <f>IF(OR(C760&lt;outliers!$B$14,C760&gt;outliers!$B$13),"Outlier","Normal")</f>
        <v>Normal</v>
      </c>
      <c r="H760" s="8" t="str">
        <f>IF(OR(D760&lt;outliers!$B$21,D760&gt;outliers!$B$20),"Outlier","Normal")</f>
        <v>Normal</v>
      </c>
      <c r="I760" s="8" t="str">
        <f>IF(OR(E760&lt;outliers!$C$28,E760&gt;outliers!$B$27),"Outlier","Normal")</f>
        <v>Normal</v>
      </c>
      <c r="J760" s="8">
        <f t="shared" si="22"/>
        <v>2020</v>
      </c>
      <c r="K760">
        <f t="shared" si="23"/>
        <v>12</v>
      </c>
    </row>
    <row r="761" spans="1:11" x14ac:dyDescent="0.35">
      <c r="A761" s="13">
        <v>44183</v>
      </c>
      <c r="B761" s="8">
        <v>22.1</v>
      </c>
      <c r="C761" s="8">
        <v>18.399999999999999</v>
      </c>
      <c r="D761" s="8">
        <v>26.6</v>
      </c>
      <c r="E761" s="8">
        <v>0</v>
      </c>
      <c r="F761" s="8" t="str">
        <f>IF(OR(B761&lt;outliers!$B$7,B761&gt;outliers!$B$6),"Outlier","Normal")</f>
        <v>Normal</v>
      </c>
      <c r="G761" s="8" t="str">
        <f>IF(OR(C761&lt;outliers!$B$14,C761&gt;outliers!$B$13),"Outlier","Normal")</f>
        <v>Normal</v>
      </c>
      <c r="H761" s="8" t="str">
        <f>IF(OR(D761&lt;outliers!$B$21,D761&gt;outliers!$B$20),"Outlier","Normal")</f>
        <v>Normal</v>
      </c>
      <c r="I761" s="8" t="str">
        <f>IF(OR(E761&lt;outliers!$C$28,E761&gt;outliers!$B$27),"Outlier","Normal")</f>
        <v>Normal</v>
      </c>
      <c r="J761" s="8">
        <f t="shared" si="22"/>
        <v>2020</v>
      </c>
      <c r="K761">
        <f t="shared" si="23"/>
        <v>12</v>
      </c>
    </row>
    <row r="762" spans="1:11" x14ac:dyDescent="0.35">
      <c r="A762" s="13">
        <v>44196</v>
      </c>
      <c r="B762" s="8">
        <v>21.1</v>
      </c>
      <c r="C762" s="8">
        <v>18.8</v>
      </c>
      <c r="D762" s="8">
        <v>29.6</v>
      </c>
      <c r="E762" s="8">
        <v>0</v>
      </c>
      <c r="F762" s="8" t="str">
        <f>IF(OR(B762&lt;outliers!$B$7,B762&gt;outliers!$B$6),"Outlier","Normal")</f>
        <v>Normal</v>
      </c>
      <c r="G762" s="8" t="str">
        <f>IF(OR(C762&lt;outliers!$B$14,C762&gt;outliers!$B$13),"Outlier","Normal")</f>
        <v>Normal</v>
      </c>
      <c r="H762" s="8" t="str">
        <f>IF(OR(D762&lt;outliers!$B$21,D762&gt;outliers!$B$20),"Outlier","Normal")</f>
        <v>Normal</v>
      </c>
      <c r="I762" s="8" t="str">
        <f>IF(OR(E762&lt;outliers!$C$28,E762&gt;outliers!$B$27),"Outlier","Normal")</f>
        <v>Normal</v>
      </c>
      <c r="J762" s="8">
        <f t="shared" si="22"/>
        <v>2020</v>
      </c>
      <c r="K762">
        <f t="shared" si="23"/>
        <v>12</v>
      </c>
    </row>
    <row r="763" spans="1:11" hidden="1" x14ac:dyDescent="0.35">
      <c r="A763" s="13">
        <v>44197</v>
      </c>
      <c r="B763" s="8">
        <v>20.6</v>
      </c>
      <c r="C763" s="8">
        <v>16.600000000000001</v>
      </c>
      <c r="D763" s="8">
        <v>25.3</v>
      </c>
      <c r="E763" s="8">
        <v>0.5</v>
      </c>
      <c r="F763" s="8" t="str">
        <f>IF(OR(B763&lt;outliers!$B$7,B763&gt;outliers!$B$6),"Outlier","Normal")</f>
        <v>Normal</v>
      </c>
      <c r="G763" s="8" t="str">
        <f>IF(OR(C763&lt;outliers!$B$14,C763&gt;outliers!$B$13),"Outlier","Normal")</f>
        <v>Outlier</v>
      </c>
      <c r="H763" s="8" t="str">
        <f>IF(OR(D763&lt;outliers!$B$21,D763&gt;outliers!$B$20),"Outlier","Normal")</f>
        <v>Normal</v>
      </c>
      <c r="I763" s="8" t="str">
        <f>IF(OR(E763&lt;outliers!$C$28,E763&gt;outliers!$B$27),"Outlier","Normal")</f>
        <v>Normal</v>
      </c>
      <c r="J763" s="8">
        <f t="shared" si="22"/>
        <v>2021</v>
      </c>
      <c r="K763">
        <f t="shared" si="23"/>
        <v>1</v>
      </c>
    </row>
    <row r="764" spans="1:11" hidden="1" x14ac:dyDescent="0.35">
      <c r="A764" s="13">
        <v>44198</v>
      </c>
      <c r="B764" s="8">
        <v>20.9</v>
      </c>
      <c r="C764" s="8">
        <v>16.600000000000001</v>
      </c>
      <c r="D764" s="8">
        <v>26</v>
      </c>
      <c r="E764" s="8">
        <v>0.4</v>
      </c>
      <c r="F764" s="8" t="str">
        <f>IF(OR(B764&lt;outliers!$B$7,B764&gt;outliers!$B$6),"Outlier","Normal")</f>
        <v>Normal</v>
      </c>
      <c r="G764" s="8" t="str">
        <f>IF(OR(C764&lt;outliers!$B$14,C764&gt;outliers!$B$13),"Outlier","Normal")</f>
        <v>Outlier</v>
      </c>
      <c r="H764" s="8" t="str">
        <f>IF(OR(D764&lt;outliers!$B$21,D764&gt;outliers!$B$20),"Outlier","Normal")</f>
        <v>Normal</v>
      </c>
      <c r="I764" s="8" t="str">
        <f>IF(OR(E764&lt;outliers!$C$28,E764&gt;outliers!$B$27),"Outlier","Normal")</f>
        <v>Normal</v>
      </c>
      <c r="J764" s="8">
        <f t="shared" si="22"/>
        <v>2021</v>
      </c>
      <c r="K764">
        <f t="shared" si="23"/>
        <v>1</v>
      </c>
    </row>
    <row r="765" spans="1:11" x14ac:dyDescent="0.35">
      <c r="A765" s="13">
        <v>44199</v>
      </c>
      <c r="B765" s="8">
        <v>21.9</v>
      </c>
      <c r="C765" s="8">
        <v>18.8</v>
      </c>
      <c r="D765" s="8">
        <v>26</v>
      </c>
      <c r="E765" s="8">
        <v>0</v>
      </c>
      <c r="F765" s="8" t="str">
        <f>IF(OR(B765&lt;outliers!$B$7,B765&gt;outliers!$B$6),"Outlier","Normal")</f>
        <v>Normal</v>
      </c>
      <c r="G765" s="8" t="str">
        <f>IF(OR(C765&lt;outliers!$B$14,C765&gt;outliers!$B$13),"Outlier","Normal")</f>
        <v>Normal</v>
      </c>
      <c r="H765" s="8" t="str">
        <f>IF(OR(D765&lt;outliers!$B$21,D765&gt;outliers!$B$20),"Outlier","Normal")</f>
        <v>Normal</v>
      </c>
      <c r="I765" s="8" t="str">
        <f>IF(OR(E765&lt;outliers!$C$28,E765&gt;outliers!$B$27),"Outlier","Normal")</f>
        <v>Normal</v>
      </c>
      <c r="J765" s="8">
        <f t="shared" si="22"/>
        <v>2021</v>
      </c>
      <c r="K765">
        <f t="shared" si="23"/>
        <v>1</v>
      </c>
    </row>
    <row r="766" spans="1:11" x14ac:dyDescent="0.35">
      <c r="A766" s="13">
        <v>44200</v>
      </c>
      <c r="B766" s="8">
        <v>20.8</v>
      </c>
      <c r="C766" s="8">
        <v>18.600000000000001</v>
      </c>
      <c r="D766" s="8">
        <v>27.6</v>
      </c>
      <c r="E766" s="8">
        <v>0</v>
      </c>
      <c r="F766" s="8" t="str">
        <f>IF(OR(B766&lt;outliers!$B$7,B766&gt;outliers!$B$6),"Outlier","Normal")</f>
        <v>Normal</v>
      </c>
      <c r="G766" s="8" t="str">
        <f>IF(OR(C766&lt;outliers!$B$14,C766&gt;outliers!$B$13),"Outlier","Normal")</f>
        <v>Normal</v>
      </c>
      <c r="H766" s="8" t="str">
        <f>IF(OR(D766&lt;outliers!$B$21,D766&gt;outliers!$B$20),"Outlier","Normal")</f>
        <v>Normal</v>
      </c>
      <c r="I766" s="8" t="str">
        <f>IF(OR(E766&lt;outliers!$C$28,E766&gt;outliers!$B$27),"Outlier","Normal")</f>
        <v>Normal</v>
      </c>
      <c r="J766" s="8">
        <f t="shared" si="22"/>
        <v>2021</v>
      </c>
      <c r="K766">
        <f t="shared" si="23"/>
        <v>1</v>
      </c>
    </row>
    <row r="767" spans="1:11" x14ac:dyDescent="0.35">
      <c r="A767" s="13">
        <v>44201</v>
      </c>
      <c r="B767" s="8">
        <v>21.9</v>
      </c>
      <c r="C767" s="8">
        <v>18.7</v>
      </c>
      <c r="D767" s="8">
        <v>26.2</v>
      </c>
      <c r="E767" s="8">
        <v>0</v>
      </c>
      <c r="F767" s="8" t="str">
        <f>IF(OR(B767&lt;outliers!$B$7,B767&gt;outliers!$B$6),"Outlier","Normal")</f>
        <v>Normal</v>
      </c>
      <c r="G767" s="8" t="str">
        <f>IF(OR(C767&lt;outliers!$B$14,C767&gt;outliers!$B$13),"Outlier","Normal")</f>
        <v>Normal</v>
      </c>
      <c r="H767" s="8" t="str">
        <f>IF(OR(D767&lt;outliers!$B$21,D767&gt;outliers!$B$20),"Outlier","Normal")</f>
        <v>Normal</v>
      </c>
      <c r="I767" s="8" t="str">
        <f>IF(OR(E767&lt;outliers!$C$28,E767&gt;outliers!$B$27),"Outlier","Normal")</f>
        <v>Normal</v>
      </c>
      <c r="J767" s="8">
        <f t="shared" si="22"/>
        <v>2021</v>
      </c>
      <c r="K767">
        <f t="shared" si="23"/>
        <v>1</v>
      </c>
    </row>
    <row r="768" spans="1:11" x14ac:dyDescent="0.35">
      <c r="A768" s="13">
        <v>44202</v>
      </c>
      <c r="B768" s="8">
        <v>21.2</v>
      </c>
      <c r="C768" s="8">
        <v>20</v>
      </c>
      <c r="D768" s="8">
        <v>27.3</v>
      </c>
      <c r="E768" s="8">
        <v>7.5</v>
      </c>
      <c r="F768" s="8" t="str">
        <f>IF(OR(B768&lt;outliers!$B$7,B768&gt;outliers!$B$6),"Outlier","Normal")</f>
        <v>Normal</v>
      </c>
      <c r="G768" s="8" t="str">
        <f>IF(OR(C768&lt;outliers!$B$14,C768&gt;outliers!$B$13),"Outlier","Normal")</f>
        <v>Normal</v>
      </c>
      <c r="H768" s="8" t="str">
        <f>IF(OR(D768&lt;outliers!$B$21,D768&gt;outliers!$B$20),"Outlier","Normal")</f>
        <v>Normal</v>
      </c>
      <c r="I768" s="8" t="str">
        <f>IF(OR(E768&lt;outliers!$C$28,E768&gt;outliers!$B$27),"Outlier","Normal")</f>
        <v>Normal</v>
      </c>
      <c r="J768" s="8">
        <f t="shared" si="22"/>
        <v>2021</v>
      </c>
      <c r="K768">
        <f t="shared" si="23"/>
        <v>1</v>
      </c>
    </row>
    <row r="769" spans="1:11" x14ac:dyDescent="0.35">
      <c r="A769" s="13">
        <v>44203</v>
      </c>
      <c r="B769" s="8">
        <v>21.6</v>
      </c>
      <c r="C769" s="8">
        <v>19.100000000000001</v>
      </c>
      <c r="D769" s="8">
        <v>25.4</v>
      </c>
      <c r="E769" s="8">
        <v>0.8</v>
      </c>
      <c r="F769" s="8" t="str">
        <f>IF(OR(B769&lt;outliers!$B$7,B769&gt;outliers!$B$6),"Outlier","Normal")</f>
        <v>Normal</v>
      </c>
      <c r="G769" s="8" t="str">
        <f>IF(OR(C769&lt;outliers!$B$14,C769&gt;outliers!$B$13),"Outlier","Normal")</f>
        <v>Normal</v>
      </c>
      <c r="H769" s="8" t="str">
        <f>IF(OR(D769&lt;outliers!$B$21,D769&gt;outliers!$B$20),"Outlier","Normal")</f>
        <v>Normal</v>
      </c>
      <c r="I769" s="8" t="str">
        <f>IF(OR(E769&lt;outliers!$C$28,E769&gt;outliers!$B$27),"Outlier","Normal")</f>
        <v>Normal</v>
      </c>
      <c r="J769" s="8">
        <f t="shared" si="22"/>
        <v>2021</v>
      </c>
      <c r="K769">
        <f t="shared" si="23"/>
        <v>1</v>
      </c>
    </row>
    <row r="770" spans="1:11" x14ac:dyDescent="0.35">
      <c r="A770" s="13">
        <v>44204</v>
      </c>
      <c r="B770" s="8">
        <v>22.3</v>
      </c>
      <c r="C770" s="8">
        <v>20</v>
      </c>
      <c r="D770" s="8">
        <v>27</v>
      </c>
      <c r="E770" s="8">
        <v>9</v>
      </c>
      <c r="F770" s="8" t="str">
        <f>IF(OR(B770&lt;outliers!$B$7,B770&gt;outliers!$B$6),"Outlier","Normal")</f>
        <v>Normal</v>
      </c>
      <c r="G770" s="8" t="str">
        <f>IF(OR(C770&lt;outliers!$B$14,C770&gt;outliers!$B$13),"Outlier","Normal")</f>
        <v>Normal</v>
      </c>
      <c r="H770" s="8" t="str">
        <f>IF(OR(D770&lt;outliers!$B$21,D770&gt;outliers!$B$20),"Outlier","Normal")</f>
        <v>Normal</v>
      </c>
      <c r="I770" s="8" t="str">
        <f>IF(OR(E770&lt;outliers!$C$28,E770&gt;outliers!$B$27),"Outlier","Normal")</f>
        <v>Normal</v>
      </c>
      <c r="J770" s="8">
        <f t="shared" si="22"/>
        <v>2021</v>
      </c>
      <c r="K770">
        <f t="shared" si="23"/>
        <v>1</v>
      </c>
    </row>
    <row r="771" spans="1:11" x14ac:dyDescent="0.35">
      <c r="A771" s="13">
        <v>44205</v>
      </c>
      <c r="B771" s="8">
        <v>21.4</v>
      </c>
      <c r="C771" s="8">
        <v>18.8</v>
      </c>
      <c r="D771" s="8">
        <v>27</v>
      </c>
      <c r="E771" s="8">
        <v>0</v>
      </c>
      <c r="F771" s="8" t="str">
        <f>IF(OR(B771&lt;outliers!$B$7,B771&gt;outliers!$B$6),"Outlier","Normal")</f>
        <v>Normal</v>
      </c>
      <c r="G771" s="8" t="str">
        <f>IF(OR(C771&lt;outliers!$B$14,C771&gt;outliers!$B$13),"Outlier","Normal")</f>
        <v>Normal</v>
      </c>
      <c r="H771" s="8" t="str">
        <f>IF(OR(D771&lt;outliers!$B$21,D771&gt;outliers!$B$20),"Outlier","Normal")</f>
        <v>Normal</v>
      </c>
      <c r="I771" s="8" t="str">
        <f>IF(OR(E771&lt;outliers!$C$28,E771&gt;outliers!$B$27),"Outlier","Normal")</f>
        <v>Normal</v>
      </c>
      <c r="J771" s="8">
        <f t="shared" si="22"/>
        <v>2021</v>
      </c>
      <c r="K771">
        <f t="shared" si="23"/>
        <v>1</v>
      </c>
    </row>
    <row r="772" spans="1:11" x14ac:dyDescent="0.35">
      <c r="A772" s="13">
        <v>44206</v>
      </c>
      <c r="B772" s="8">
        <v>22.2</v>
      </c>
      <c r="C772" s="8">
        <v>18.600000000000001</v>
      </c>
      <c r="D772" s="8">
        <v>26.2</v>
      </c>
      <c r="E772" s="8">
        <v>0</v>
      </c>
      <c r="F772" s="8" t="str">
        <f>IF(OR(B772&lt;outliers!$B$7,B772&gt;outliers!$B$6),"Outlier","Normal")</f>
        <v>Normal</v>
      </c>
      <c r="G772" s="8" t="str">
        <f>IF(OR(C772&lt;outliers!$B$14,C772&gt;outliers!$B$13),"Outlier","Normal")</f>
        <v>Normal</v>
      </c>
      <c r="H772" s="8" t="str">
        <f>IF(OR(D772&lt;outliers!$B$21,D772&gt;outliers!$B$20),"Outlier","Normal")</f>
        <v>Normal</v>
      </c>
      <c r="I772" s="8" t="str">
        <f>IF(OR(E772&lt;outliers!$C$28,E772&gt;outliers!$B$27),"Outlier","Normal")</f>
        <v>Normal</v>
      </c>
      <c r="J772" s="8">
        <f t="shared" ref="J772:J835" si="24">YEAR(A772)</f>
        <v>2021</v>
      </c>
      <c r="K772">
        <f t="shared" ref="K772:K835" si="25">MONTH(A772)</f>
        <v>1</v>
      </c>
    </row>
    <row r="773" spans="1:11" x14ac:dyDescent="0.35">
      <c r="A773" s="13">
        <v>44207</v>
      </c>
      <c r="B773" s="8">
        <v>21.6</v>
      </c>
      <c r="C773" s="8">
        <v>18.2</v>
      </c>
      <c r="D773" s="8">
        <v>26.9</v>
      </c>
      <c r="E773" s="8">
        <v>0</v>
      </c>
      <c r="F773" s="8" t="str">
        <f>IF(OR(B773&lt;outliers!$B$7,B773&gt;outliers!$B$6),"Outlier","Normal")</f>
        <v>Normal</v>
      </c>
      <c r="G773" s="8" t="str">
        <f>IF(OR(C773&lt;outliers!$B$14,C773&gt;outliers!$B$13),"Outlier","Normal")</f>
        <v>Normal</v>
      </c>
      <c r="H773" s="8" t="str">
        <f>IF(OR(D773&lt;outliers!$B$21,D773&gt;outliers!$B$20),"Outlier","Normal")</f>
        <v>Normal</v>
      </c>
      <c r="I773" s="8" t="str">
        <f>IF(OR(E773&lt;outliers!$C$28,E773&gt;outliers!$B$27),"Outlier","Normal")</f>
        <v>Normal</v>
      </c>
      <c r="J773" s="8">
        <f t="shared" si="24"/>
        <v>2021</v>
      </c>
      <c r="K773">
        <f t="shared" si="25"/>
        <v>1</v>
      </c>
    </row>
    <row r="774" spans="1:11" x14ac:dyDescent="0.35">
      <c r="A774" s="13">
        <v>44208</v>
      </c>
      <c r="B774" s="8">
        <v>20.399999999999999</v>
      </c>
      <c r="C774" s="8">
        <v>18.2</v>
      </c>
      <c r="D774" s="8">
        <v>25.4</v>
      </c>
      <c r="E774" s="8">
        <v>0</v>
      </c>
      <c r="F774" s="8" t="str">
        <f>IF(OR(B774&lt;outliers!$B$7,B774&gt;outliers!$B$6),"Outlier","Normal")</f>
        <v>Normal</v>
      </c>
      <c r="G774" s="8" t="str">
        <f>IF(OR(C774&lt;outliers!$B$14,C774&gt;outliers!$B$13),"Outlier","Normal")</f>
        <v>Normal</v>
      </c>
      <c r="H774" s="8" t="str">
        <f>IF(OR(D774&lt;outliers!$B$21,D774&gt;outliers!$B$20),"Outlier","Normal")</f>
        <v>Normal</v>
      </c>
      <c r="I774" s="8" t="str">
        <f>IF(OR(E774&lt;outliers!$C$28,E774&gt;outliers!$B$27),"Outlier","Normal")</f>
        <v>Normal</v>
      </c>
      <c r="J774" s="8">
        <f t="shared" si="24"/>
        <v>2021</v>
      </c>
      <c r="K774">
        <f t="shared" si="25"/>
        <v>1</v>
      </c>
    </row>
    <row r="775" spans="1:11" hidden="1" x14ac:dyDescent="0.35">
      <c r="A775" s="13">
        <v>44209</v>
      </c>
      <c r="B775" s="8">
        <v>21.3</v>
      </c>
      <c r="C775" s="8">
        <v>16.8</v>
      </c>
      <c r="D775" s="8">
        <v>26.3</v>
      </c>
      <c r="E775" s="8">
        <v>0</v>
      </c>
      <c r="F775" s="8" t="str">
        <f>IF(OR(B775&lt;outliers!$B$7,B775&gt;outliers!$B$6),"Outlier","Normal")</f>
        <v>Normal</v>
      </c>
      <c r="G775" s="8" t="str">
        <f>IF(OR(C775&lt;outliers!$B$14,C775&gt;outliers!$B$13),"Outlier","Normal")</f>
        <v>Outlier</v>
      </c>
      <c r="H775" s="8" t="str">
        <f>IF(OR(D775&lt;outliers!$B$21,D775&gt;outliers!$B$20),"Outlier","Normal")</f>
        <v>Normal</v>
      </c>
      <c r="I775" s="8" t="str">
        <f>IF(OR(E775&lt;outliers!$C$28,E775&gt;outliers!$B$27),"Outlier","Normal")</f>
        <v>Normal</v>
      </c>
      <c r="J775" s="8">
        <f t="shared" si="24"/>
        <v>2021</v>
      </c>
      <c r="K775">
        <f t="shared" si="25"/>
        <v>1</v>
      </c>
    </row>
    <row r="776" spans="1:11" hidden="1" x14ac:dyDescent="0.35">
      <c r="A776" s="13">
        <v>44210</v>
      </c>
      <c r="B776" s="8">
        <v>20.8</v>
      </c>
      <c r="C776" s="8">
        <v>16.399999999999999</v>
      </c>
      <c r="D776" s="8">
        <v>27.7</v>
      </c>
      <c r="E776" s="8">
        <v>0.2</v>
      </c>
      <c r="F776" s="8" t="str">
        <f>IF(OR(B776&lt;outliers!$B$7,B776&gt;outliers!$B$6),"Outlier","Normal")</f>
        <v>Normal</v>
      </c>
      <c r="G776" s="8" t="str">
        <f>IF(OR(C776&lt;outliers!$B$14,C776&gt;outliers!$B$13),"Outlier","Normal")</f>
        <v>Outlier</v>
      </c>
      <c r="H776" s="8" t="str">
        <f>IF(OR(D776&lt;outliers!$B$21,D776&gt;outliers!$B$20),"Outlier","Normal")</f>
        <v>Normal</v>
      </c>
      <c r="I776" s="8" t="str">
        <f>IF(OR(E776&lt;outliers!$C$28,E776&gt;outliers!$B$27),"Outlier","Normal")</f>
        <v>Normal</v>
      </c>
      <c r="J776" s="8">
        <f t="shared" si="24"/>
        <v>2021</v>
      </c>
      <c r="K776">
        <f t="shared" si="25"/>
        <v>1</v>
      </c>
    </row>
    <row r="777" spans="1:11" x14ac:dyDescent="0.35">
      <c r="A777" s="13">
        <v>44211</v>
      </c>
      <c r="B777" s="8">
        <v>21.8</v>
      </c>
      <c r="C777" s="8">
        <v>17.3</v>
      </c>
      <c r="D777" s="8">
        <v>26.3</v>
      </c>
      <c r="E777" s="8">
        <v>0</v>
      </c>
      <c r="F777" s="8" t="str">
        <f>IF(OR(B777&lt;outliers!$B$7,B777&gt;outliers!$B$6),"Outlier","Normal")</f>
        <v>Normal</v>
      </c>
      <c r="G777" s="8" t="str">
        <f>IF(OR(C777&lt;outliers!$B$14,C777&gt;outliers!$B$13),"Outlier","Normal")</f>
        <v>Normal</v>
      </c>
      <c r="H777" s="8" t="str">
        <f>IF(OR(D777&lt;outliers!$B$21,D777&gt;outliers!$B$20),"Outlier","Normal")</f>
        <v>Normal</v>
      </c>
      <c r="I777" s="8" t="str">
        <f>IF(OR(E777&lt;outliers!$C$28,E777&gt;outliers!$B$27),"Outlier","Normal")</f>
        <v>Normal</v>
      </c>
      <c r="J777" s="8">
        <f t="shared" si="24"/>
        <v>2021</v>
      </c>
      <c r="K777">
        <f t="shared" si="25"/>
        <v>1</v>
      </c>
    </row>
    <row r="778" spans="1:11" x14ac:dyDescent="0.35">
      <c r="A778" s="13">
        <v>44212</v>
      </c>
      <c r="B778" s="8">
        <v>22.2</v>
      </c>
      <c r="C778" s="8">
        <v>18.100000000000001</v>
      </c>
      <c r="D778" s="8">
        <v>27.4</v>
      </c>
      <c r="E778" s="8">
        <v>0</v>
      </c>
      <c r="F778" s="8" t="str">
        <f>IF(OR(B778&lt;outliers!$B$7,B778&gt;outliers!$B$6),"Outlier","Normal")</f>
        <v>Normal</v>
      </c>
      <c r="G778" s="8" t="str">
        <f>IF(OR(C778&lt;outliers!$B$14,C778&gt;outliers!$B$13),"Outlier","Normal")</f>
        <v>Normal</v>
      </c>
      <c r="H778" s="8" t="str">
        <f>IF(OR(D778&lt;outliers!$B$21,D778&gt;outliers!$B$20),"Outlier","Normal")</f>
        <v>Normal</v>
      </c>
      <c r="I778" s="8" t="str">
        <f>IF(OR(E778&lt;outliers!$C$28,E778&gt;outliers!$B$27),"Outlier","Normal")</f>
        <v>Normal</v>
      </c>
      <c r="J778" s="8">
        <f t="shared" si="24"/>
        <v>2021</v>
      </c>
      <c r="K778">
        <f t="shared" si="25"/>
        <v>1</v>
      </c>
    </row>
    <row r="779" spans="1:11" x14ac:dyDescent="0.35">
      <c r="A779" s="13">
        <v>44213</v>
      </c>
      <c r="B779" s="8">
        <v>22.2</v>
      </c>
      <c r="C779" s="8">
        <v>17</v>
      </c>
      <c r="D779" s="8">
        <v>29.2</v>
      </c>
      <c r="E779" s="8">
        <v>0</v>
      </c>
      <c r="F779" s="8" t="str">
        <f>IF(OR(B779&lt;outliers!$B$7,B779&gt;outliers!$B$6),"Outlier","Normal")</f>
        <v>Normal</v>
      </c>
      <c r="G779" s="8" t="str">
        <f>IF(OR(C779&lt;outliers!$B$14,C779&gt;outliers!$B$13),"Outlier","Normal")</f>
        <v>Normal</v>
      </c>
      <c r="H779" s="8" t="str">
        <f>IF(OR(D779&lt;outliers!$B$21,D779&gt;outliers!$B$20),"Outlier","Normal")</f>
        <v>Normal</v>
      </c>
      <c r="I779" s="8" t="str">
        <f>IF(OR(E779&lt;outliers!$C$28,E779&gt;outliers!$B$27),"Outlier","Normal")</f>
        <v>Normal</v>
      </c>
      <c r="J779" s="8">
        <f t="shared" si="24"/>
        <v>2021</v>
      </c>
      <c r="K779">
        <f t="shared" si="25"/>
        <v>1</v>
      </c>
    </row>
    <row r="780" spans="1:11" hidden="1" x14ac:dyDescent="0.35">
      <c r="A780" s="13">
        <v>44214</v>
      </c>
      <c r="B780" s="8">
        <v>21.8</v>
      </c>
      <c r="C780" s="8">
        <v>15.5</v>
      </c>
      <c r="D780" s="8">
        <v>29.6</v>
      </c>
      <c r="E780" s="8">
        <v>0</v>
      </c>
      <c r="F780" s="8" t="str">
        <f>IF(OR(B780&lt;outliers!$B$7,B780&gt;outliers!$B$6),"Outlier","Normal")</f>
        <v>Normal</v>
      </c>
      <c r="G780" s="8" t="str">
        <f>IF(OR(C780&lt;outliers!$B$14,C780&gt;outliers!$B$13),"Outlier","Normal")</f>
        <v>Outlier</v>
      </c>
      <c r="H780" s="8" t="str">
        <f>IF(OR(D780&lt;outliers!$B$21,D780&gt;outliers!$B$20),"Outlier","Normal")</f>
        <v>Normal</v>
      </c>
      <c r="I780" s="8" t="str">
        <f>IF(OR(E780&lt;outliers!$C$28,E780&gt;outliers!$B$27),"Outlier","Normal")</f>
        <v>Normal</v>
      </c>
      <c r="J780" s="8">
        <f t="shared" si="24"/>
        <v>2021</v>
      </c>
      <c r="K780">
        <f t="shared" si="25"/>
        <v>1</v>
      </c>
    </row>
    <row r="781" spans="1:11" hidden="1" x14ac:dyDescent="0.35">
      <c r="A781" s="13">
        <v>44215</v>
      </c>
      <c r="B781" s="8">
        <v>21.8</v>
      </c>
      <c r="C781" s="8">
        <v>16.100000000000001</v>
      </c>
      <c r="D781" s="8">
        <v>28.8</v>
      </c>
      <c r="E781" s="8">
        <v>0</v>
      </c>
      <c r="F781" s="8" t="str">
        <f>IF(OR(B781&lt;outliers!$B$7,B781&gt;outliers!$B$6),"Outlier","Normal")</f>
        <v>Normal</v>
      </c>
      <c r="G781" s="8" t="str">
        <f>IF(OR(C781&lt;outliers!$B$14,C781&gt;outliers!$B$13),"Outlier","Normal")</f>
        <v>Outlier</v>
      </c>
      <c r="H781" s="8" t="str">
        <f>IF(OR(D781&lt;outliers!$B$21,D781&gt;outliers!$B$20),"Outlier","Normal")</f>
        <v>Normal</v>
      </c>
      <c r="I781" s="8" t="str">
        <f>IF(OR(E781&lt;outliers!$C$28,E781&gt;outliers!$B$27),"Outlier","Normal")</f>
        <v>Normal</v>
      </c>
      <c r="J781" s="8">
        <f t="shared" si="24"/>
        <v>2021</v>
      </c>
      <c r="K781">
        <f t="shared" si="25"/>
        <v>1</v>
      </c>
    </row>
    <row r="782" spans="1:11" hidden="1" x14ac:dyDescent="0.35">
      <c r="A782" s="13">
        <v>44216</v>
      </c>
      <c r="B782" s="8">
        <v>22.7</v>
      </c>
      <c r="C782" s="8">
        <v>16</v>
      </c>
      <c r="D782" s="8">
        <v>28.4</v>
      </c>
      <c r="E782" s="8">
        <v>0</v>
      </c>
      <c r="F782" s="8" t="str">
        <f>IF(OR(B782&lt;outliers!$B$7,B782&gt;outliers!$B$6),"Outlier","Normal")</f>
        <v>Normal</v>
      </c>
      <c r="G782" s="8" t="str">
        <f>IF(OR(C782&lt;outliers!$B$14,C782&gt;outliers!$B$13),"Outlier","Normal")</f>
        <v>Outlier</v>
      </c>
      <c r="H782" s="8" t="str">
        <f>IF(OR(D782&lt;outliers!$B$21,D782&gt;outliers!$B$20),"Outlier","Normal")</f>
        <v>Normal</v>
      </c>
      <c r="I782" s="8" t="str">
        <f>IF(OR(E782&lt;outliers!$C$28,E782&gt;outliers!$B$27),"Outlier","Normal")</f>
        <v>Normal</v>
      </c>
      <c r="J782" s="8">
        <f t="shared" si="24"/>
        <v>2021</v>
      </c>
      <c r="K782">
        <f t="shared" si="25"/>
        <v>1</v>
      </c>
    </row>
    <row r="783" spans="1:11" x14ac:dyDescent="0.35">
      <c r="A783" s="13">
        <v>44217</v>
      </c>
      <c r="B783" s="8">
        <v>23.8</v>
      </c>
      <c r="C783" s="8">
        <v>17</v>
      </c>
      <c r="D783" s="8">
        <v>31.1</v>
      </c>
      <c r="E783" s="8">
        <v>0</v>
      </c>
      <c r="F783" s="8" t="str">
        <f>IF(OR(B783&lt;outliers!$B$7,B783&gt;outliers!$B$6),"Outlier","Normal")</f>
        <v>Normal</v>
      </c>
      <c r="G783" s="8" t="str">
        <f>IF(OR(C783&lt;outliers!$B$14,C783&gt;outliers!$B$13),"Outlier","Normal")</f>
        <v>Normal</v>
      </c>
      <c r="H783" s="8" t="str">
        <f>IF(OR(D783&lt;outliers!$B$21,D783&gt;outliers!$B$20),"Outlier","Normal")</f>
        <v>Normal</v>
      </c>
      <c r="I783" s="8" t="str">
        <f>IF(OR(E783&lt;outliers!$C$28,E783&gt;outliers!$B$27),"Outlier","Normal")</f>
        <v>Normal</v>
      </c>
      <c r="J783" s="8">
        <f t="shared" si="24"/>
        <v>2021</v>
      </c>
      <c r="K783">
        <f t="shared" si="25"/>
        <v>1</v>
      </c>
    </row>
    <row r="784" spans="1:11" x14ac:dyDescent="0.35">
      <c r="A784" s="13">
        <v>44218</v>
      </c>
      <c r="B784" s="8">
        <v>23.8</v>
      </c>
      <c r="C784" s="8">
        <v>18.399999999999999</v>
      </c>
      <c r="D784" s="8">
        <v>31.1</v>
      </c>
      <c r="E784" s="8">
        <v>0.1</v>
      </c>
      <c r="F784" s="8" t="str">
        <f>IF(OR(B784&lt;outliers!$B$7,B784&gt;outliers!$B$6),"Outlier","Normal")</f>
        <v>Normal</v>
      </c>
      <c r="G784" s="8" t="str">
        <f>IF(OR(C784&lt;outliers!$B$14,C784&gt;outliers!$B$13),"Outlier","Normal")</f>
        <v>Normal</v>
      </c>
      <c r="H784" s="8" t="str">
        <f>IF(OR(D784&lt;outliers!$B$21,D784&gt;outliers!$B$20),"Outlier","Normal")</f>
        <v>Normal</v>
      </c>
      <c r="I784" s="8" t="str">
        <f>IF(OR(E784&lt;outliers!$C$28,E784&gt;outliers!$B$27),"Outlier","Normal")</f>
        <v>Normal</v>
      </c>
      <c r="J784" s="8">
        <f t="shared" si="24"/>
        <v>2021</v>
      </c>
      <c r="K784">
        <f t="shared" si="25"/>
        <v>1</v>
      </c>
    </row>
    <row r="785" spans="1:11" x14ac:dyDescent="0.35">
      <c r="A785" s="13">
        <v>44219</v>
      </c>
      <c r="B785" s="8">
        <v>22.5</v>
      </c>
      <c r="C785" s="8">
        <v>18</v>
      </c>
      <c r="D785" s="8">
        <v>30.3</v>
      </c>
      <c r="E785" s="8">
        <v>0</v>
      </c>
      <c r="F785" s="8" t="str">
        <f>IF(OR(B785&lt;outliers!$B$7,B785&gt;outliers!$B$6),"Outlier","Normal")</f>
        <v>Normal</v>
      </c>
      <c r="G785" s="8" t="str">
        <f>IF(OR(C785&lt;outliers!$B$14,C785&gt;outliers!$B$13),"Outlier","Normal")</f>
        <v>Normal</v>
      </c>
      <c r="H785" s="8" t="str">
        <f>IF(OR(D785&lt;outliers!$B$21,D785&gt;outliers!$B$20),"Outlier","Normal")</f>
        <v>Normal</v>
      </c>
      <c r="I785" s="8" t="str">
        <f>IF(OR(E785&lt;outliers!$C$28,E785&gt;outliers!$B$27),"Outlier","Normal")</f>
        <v>Normal</v>
      </c>
      <c r="J785" s="8">
        <f t="shared" si="24"/>
        <v>2021</v>
      </c>
      <c r="K785">
        <f t="shared" si="25"/>
        <v>1</v>
      </c>
    </row>
    <row r="786" spans="1:11" x14ac:dyDescent="0.35">
      <c r="A786" s="13">
        <v>44220</v>
      </c>
      <c r="B786" s="8">
        <v>21.9</v>
      </c>
      <c r="C786" s="8">
        <v>17</v>
      </c>
      <c r="D786" s="8">
        <v>29.2</v>
      </c>
      <c r="E786" s="8">
        <v>0</v>
      </c>
      <c r="F786" s="8" t="str">
        <f>IF(OR(B786&lt;outliers!$B$7,B786&gt;outliers!$B$6),"Outlier","Normal")</f>
        <v>Normal</v>
      </c>
      <c r="G786" s="8" t="str">
        <f>IF(OR(C786&lt;outliers!$B$14,C786&gt;outliers!$B$13),"Outlier","Normal")</f>
        <v>Normal</v>
      </c>
      <c r="H786" s="8" t="str">
        <f>IF(OR(D786&lt;outliers!$B$21,D786&gt;outliers!$B$20),"Outlier","Normal")</f>
        <v>Normal</v>
      </c>
      <c r="I786" s="8" t="str">
        <f>IF(OR(E786&lt;outliers!$C$28,E786&gt;outliers!$B$27),"Outlier","Normal")</f>
        <v>Normal</v>
      </c>
      <c r="J786" s="8">
        <f t="shared" si="24"/>
        <v>2021</v>
      </c>
      <c r="K786">
        <f t="shared" si="25"/>
        <v>1</v>
      </c>
    </row>
    <row r="787" spans="1:11" hidden="1" x14ac:dyDescent="0.35">
      <c r="A787" s="13">
        <v>44221</v>
      </c>
      <c r="B787" s="8">
        <v>21.6</v>
      </c>
      <c r="C787" s="8">
        <v>16.3</v>
      </c>
      <c r="D787" s="8">
        <v>29.5</v>
      </c>
      <c r="E787" s="8">
        <v>0</v>
      </c>
      <c r="F787" s="8" t="str">
        <f>IF(OR(B787&lt;outliers!$B$7,B787&gt;outliers!$B$6),"Outlier","Normal")</f>
        <v>Normal</v>
      </c>
      <c r="G787" s="8" t="str">
        <f>IF(OR(C787&lt;outliers!$B$14,C787&gt;outliers!$B$13),"Outlier","Normal")</f>
        <v>Outlier</v>
      </c>
      <c r="H787" s="8" t="str">
        <f>IF(OR(D787&lt;outliers!$B$21,D787&gt;outliers!$B$20),"Outlier","Normal")</f>
        <v>Normal</v>
      </c>
      <c r="I787" s="8" t="str">
        <f>IF(OR(E787&lt;outliers!$C$28,E787&gt;outliers!$B$27),"Outlier","Normal")</f>
        <v>Normal</v>
      </c>
      <c r="J787" s="8">
        <f t="shared" si="24"/>
        <v>2021</v>
      </c>
      <c r="K787">
        <f t="shared" si="25"/>
        <v>1</v>
      </c>
    </row>
    <row r="788" spans="1:11" hidden="1" x14ac:dyDescent="0.35">
      <c r="A788" s="13">
        <v>44222</v>
      </c>
      <c r="B788" s="8">
        <v>21.9</v>
      </c>
      <c r="C788" s="8">
        <v>15.4</v>
      </c>
      <c r="D788" s="8">
        <v>29.4</v>
      </c>
      <c r="E788" s="8">
        <v>0</v>
      </c>
      <c r="F788" s="8" t="str">
        <f>IF(OR(B788&lt;outliers!$B$7,B788&gt;outliers!$B$6),"Outlier","Normal")</f>
        <v>Normal</v>
      </c>
      <c r="G788" s="8" t="str">
        <f>IF(OR(C788&lt;outliers!$B$14,C788&gt;outliers!$B$13),"Outlier","Normal")</f>
        <v>Outlier</v>
      </c>
      <c r="H788" s="8" t="str">
        <f>IF(OR(D788&lt;outliers!$B$21,D788&gt;outliers!$B$20),"Outlier","Normal")</f>
        <v>Normal</v>
      </c>
      <c r="I788" s="8" t="str">
        <f>IF(OR(E788&lt;outliers!$C$28,E788&gt;outliers!$B$27),"Outlier","Normal")</f>
        <v>Normal</v>
      </c>
      <c r="J788" s="8">
        <f t="shared" si="24"/>
        <v>2021</v>
      </c>
      <c r="K788">
        <f t="shared" si="25"/>
        <v>1</v>
      </c>
    </row>
    <row r="789" spans="1:11" hidden="1" x14ac:dyDescent="0.35">
      <c r="A789" s="13">
        <v>44223</v>
      </c>
      <c r="B789" s="8">
        <v>21.7</v>
      </c>
      <c r="C789" s="8">
        <v>15.4</v>
      </c>
      <c r="D789" s="8">
        <v>30.8</v>
      </c>
      <c r="E789" s="8">
        <v>0</v>
      </c>
      <c r="F789" s="8" t="str">
        <f>IF(OR(B789&lt;outliers!$B$7,B789&gt;outliers!$B$6),"Outlier","Normal")</f>
        <v>Normal</v>
      </c>
      <c r="G789" s="8" t="str">
        <f>IF(OR(C789&lt;outliers!$B$14,C789&gt;outliers!$B$13),"Outlier","Normal")</f>
        <v>Outlier</v>
      </c>
      <c r="H789" s="8" t="str">
        <f>IF(OR(D789&lt;outliers!$B$21,D789&gt;outliers!$B$20),"Outlier","Normal")</f>
        <v>Normal</v>
      </c>
      <c r="I789" s="8" t="str">
        <f>IF(OR(E789&lt;outliers!$C$28,E789&gt;outliers!$B$27),"Outlier","Normal")</f>
        <v>Normal</v>
      </c>
      <c r="J789" s="8">
        <f t="shared" si="24"/>
        <v>2021</v>
      </c>
      <c r="K789">
        <f t="shared" si="25"/>
        <v>1</v>
      </c>
    </row>
    <row r="790" spans="1:11" hidden="1" x14ac:dyDescent="0.35">
      <c r="A790" s="13">
        <v>44224</v>
      </c>
      <c r="B790" s="8">
        <v>21.6</v>
      </c>
      <c r="C790" s="8">
        <v>16</v>
      </c>
      <c r="D790" s="8">
        <v>30.2</v>
      </c>
      <c r="E790" s="8">
        <v>0</v>
      </c>
      <c r="F790" s="8" t="str">
        <f>IF(OR(B790&lt;outliers!$B$7,B790&gt;outliers!$B$6),"Outlier","Normal")</f>
        <v>Normal</v>
      </c>
      <c r="G790" s="8" t="str">
        <f>IF(OR(C790&lt;outliers!$B$14,C790&gt;outliers!$B$13),"Outlier","Normal")</f>
        <v>Outlier</v>
      </c>
      <c r="H790" s="8" t="str">
        <f>IF(OR(D790&lt;outliers!$B$21,D790&gt;outliers!$B$20),"Outlier","Normal")</f>
        <v>Normal</v>
      </c>
      <c r="I790" s="8" t="str">
        <f>IF(OR(E790&lt;outliers!$C$28,E790&gt;outliers!$B$27),"Outlier","Normal")</f>
        <v>Normal</v>
      </c>
      <c r="J790" s="8">
        <f t="shared" si="24"/>
        <v>2021</v>
      </c>
      <c r="K790">
        <f t="shared" si="25"/>
        <v>1</v>
      </c>
    </row>
    <row r="791" spans="1:11" x14ac:dyDescent="0.35">
      <c r="A791" s="13">
        <v>44225</v>
      </c>
      <c r="B791" s="8">
        <v>22.4</v>
      </c>
      <c r="C791" s="8">
        <v>18</v>
      </c>
      <c r="D791" s="8">
        <v>28.4</v>
      </c>
      <c r="E791" s="8">
        <v>0</v>
      </c>
      <c r="F791" s="8" t="str">
        <f>IF(OR(B791&lt;outliers!$B$7,B791&gt;outliers!$B$6),"Outlier","Normal")</f>
        <v>Normal</v>
      </c>
      <c r="G791" s="8" t="str">
        <f>IF(OR(C791&lt;outliers!$B$14,C791&gt;outliers!$B$13),"Outlier","Normal")</f>
        <v>Normal</v>
      </c>
      <c r="H791" s="8" t="str">
        <f>IF(OR(D791&lt;outliers!$B$21,D791&gt;outliers!$B$20),"Outlier","Normal")</f>
        <v>Normal</v>
      </c>
      <c r="I791" s="8" t="str">
        <f>IF(OR(E791&lt;outliers!$C$28,E791&gt;outliers!$B$27),"Outlier","Normal")</f>
        <v>Normal</v>
      </c>
      <c r="J791" s="8">
        <f t="shared" si="24"/>
        <v>2021</v>
      </c>
      <c r="K791">
        <f t="shared" si="25"/>
        <v>1</v>
      </c>
    </row>
    <row r="792" spans="1:11" x14ac:dyDescent="0.35">
      <c r="A792" s="13">
        <v>44226</v>
      </c>
      <c r="B792" s="8">
        <v>22.8</v>
      </c>
      <c r="C792" s="8">
        <v>17.399999999999999</v>
      </c>
      <c r="D792" s="8">
        <v>29.3</v>
      </c>
      <c r="E792" s="8">
        <v>0</v>
      </c>
      <c r="F792" s="8" t="str">
        <f>IF(OR(B792&lt;outliers!$B$7,B792&gt;outliers!$B$6),"Outlier","Normal")</f>
        <v>Normal</v>
      </c>
      <c r="G792" s="8" t="str">
        <f>IF(OR(C792&lt;outliers!$B$14,C792&gt;outliers!$B$13),"Outlier","Normal")</f>
        <v>Normal</v>
      </c>
      <c r="H792" s="8" t="str">
        <f>IF(OR(D792&lt;outliers!$B$21,D792&gt;outliers!$B$20),"Outlier","Normal")</f>
        <v>Normal</v>
      </c>
      <c r="I792" s="8" t="str">
        <f>IF(OR(E792&lt;outliers!$C$28,E792&gt;outliers!$B$27),"Outlier","Normal")</f>
        <v>Normal</v>
      </c>
      <c r="J792" s="8">
        <f t="shared" si="24"/>
        <v>2021</v>
      </c>
      <c r="K792">
        <f t="shared" si="25"/>
        <v>1</v>
      </c>
    </row>
    <row r="793" spans="1:11" x14ac:dyDescent="0.35">
      <c r="A793" s="13">
        <v>44227</v>
      </c>
      <c r="B793" s="8">
        <v>22.7</v>
      </c>
      <c r="C793" s="8">
        <v>17.2</v>
      </c>
      <c r="D793" s="8">
        <v>29.8</v>
      </c>
      <c r="E793" s="8">
        <v>0</v>
      </c>
      <c r="F793" s="8" t="str">
        <f>IF(OR(B793&lt;outliers!$B$7,B793&gt;outliers!$B$6),"Outlier","Normal")</f>
        <v>Normal</v>
      </c>
      <c r="G793" s="8" t="str">
        <f>IF(OR(C793&lt;outliers!$B$14,C793&gt;outliers!$B$13),"Outlier","Normal")</f>
        <v>Normal</v>
      </c>
      <c r="H793" s="8" t="str">
        <f>IF(OR(D793&lt;outliers!$B$21,D793&gt;outliers!$B$20),"Outlier","Normal")</f>
        <v>Normal</v>
      </c>
      <c r="I793" s="8" t="str">
        <f>IF(OR(E793&lt;outliers!$C$28,E793&gt;outliers!$B$27),"Outlier","Normal")</f>
        <v>Normal</v>
      </c>
      <c r="J793" s="8">
        <f t="shared" si="24"/>
        <v>2021</v>
      </c>
      <c r="K793">
        <f t="shared" si="25"/>
        <v>1</v>
      </c>
    </row>
    <row r="794" spans="1:11" hidden="1" x14ac:dyDescent="0.35">
      <c r="A794" s="13">
        <v>44228</v>
      </c>
      <c r="B794" s="8">
        <v>22.8</v>
      </c>
      <c r="C794" s="8">
        <v>16.8</v>
      </c>
      <c r="D794" s="8">
        <v>30.1</v>
      </c>
      <c r="E794" s="8">
        <v>0</v>
      </c>
      <c r="F794" s="8" t="str">
        <f>IF(OR(B794&lt;outliers!$B$7,B794&gt;outliers!$B$6),"Outlier","Normal")</f>
        <v>Normal</v>
      </c>
      <c r="G794" s="8" t="str">
        <f>IF(OR(C794&lt;outliers!$B$14,C794&gt;outliers!$B$13),"Outlier","Normal")</f>
        <v>Outlier</v>
      </c>
      <c r="H794" s="8" t="str">
        <f>IF(OR(D794&lt;outliers!$B$21,D794&gt;outliers!$B$20),"Outlier","Normal")</f>
        <v>Normal</v>
      </c>
      <c r="I794" s="8" t="str">
        <f>IF(OR(E794&lt;outliers!$C$28,E794&gt;outliers!$B$27),"Outlier","Normal")</f>
        <v>Normal</v>
      </c>
      <c r="J794" s="8">
        <f t="shared" si="24"/>
        <v>2021</v>
      </c>
      <c r="K794">
        <f t="shared" si="25"/>
        <v>2</v>
      </c>
    </row>
    <row r="795" spans="1:11" hidden="1" x14ac:dyDescent="0.35">
      <c r="A795" s="13">
        <v>44229</v>
      </c>
      <c r="B795" s="8">
        <v>22.1</v>
      </c>
      <c r="C795" s="8">
        <v>16.8</v>
      </c>
      <c r="D795" s="8">
        <v>29.6</v>
      </c>
      <c r="E795" s="8">
        <v>0</v>
      </c>
      <c r="F795" s="8" t="str">
        <f>IF(OR(B795&lt;outliers!$B$7,B795&gt;outliers!$B$6),"Outlier","Normal")</f>
        <v>Normal</v>
      </c>
      <c r="G795" s="8" t="str">
        <f>IF(OR(C795&lt;outliers!$B$14,C795&gt;outliers!$B$13),"Outlier","Normal")</f>
        <v>Outlier</v>
      </c>
      <c r="H795" s="8" t="str">
        <f>IF(OR(D795&lt;outliers!$B$21,D795&gt;outliers!$B$20),"Outlier","Normal")</f>
        <v>Normal</v>
      </c>
      <c r="I795" s="8" t="str">
        <f>IF(OR(E795&lt;outliers!$C$28,E795&gt;outliers!$B$27),"Outlier","Normal")</f>
        <v>Normal</v>
      </c>
      <c r="J795" s="8">
        <f t="shared" si="24"/>
        <v>2021</v>
      </c>
      <c r="K795">
        <f t="shared" si="25"/>
        <v>2</v>
      </c>
    </row>
    <row r="796" spans="1:11" x14ac:dyDescent="0.35">
      <c r="A796" s="13">
        <v>44230</v>
      </c>
      <c r="B796" s="8">
        <v>21.8</v>
      </c>
      <c r="C796" s="8">
        <v>17.899999999999999</v>
      </c>
      <c r="D796" s="8">
        <v>28.6</v>
      </c>
      <c r="E796" s="8">
        <v>0</v>
      </c>
      <c r="F796" s="8" t="str">
        <f>IF(OR(B796&lt;outliers!$B$7,B796&gt;outliers!$B$6),"Outlier","Normal")</f>
        <v>Normal</v>
      </c>
      <c r="G796" s="8" t="str">
        <f>IF(OR(C796&lt;outliers!$B$14,C796&gt;outliers!$B$13),"Outlier","Normal")</f>
        <v>Normal</v>
      </c>
      <c r="H796" s="8" t="str">
        <f>IF(OR(D796&lt;outliers!$B$21,D796&gt;outliers!$B$20),"Outlier","Normal")</f>
        <v>Normal</v>
      </c>
      <c r="I796" s="8" t="str">
        <f>IF(OR(E796&lt;outliers!$C$28,E796&gt;outliers!$B$27),"Outlier","Normal")</f>
        <v>Normal</v>
      </c>
      <c r="J796" s="8">
        <f t="shared" si="24"/>
        <v>2021</v>
      </c>
      <c r="K796">
        <f t="shared" si="25"/>
        <v>2</v>
      </c>
    </row>
    <row r="797" spans="1:11" hidden="1" x14ac:dyDescent="0.35">
      <c r="A797" s="13">
        <v>44231</v>
      </c>
      <c r="B797" s="8">
        <v>22.1</v>
      </c>
      <c r="C797" s="8">
        <v>16.100000000000001</v>
      </c>
      <c r="D797" s="8">
        <v>28.5</v>
      </c>
      <c r="E797" s="8">
        <v>0</v>
      </c>
      <c r="F797" s="8" t="str">
        <f>IF(OR(B797&lt;outliers!$B$7,B797&gt;outliers!$B$6),"Outlier","Normal")</f>
        <v>Normal</v>
      </c>
      <c r="G797" s="8" t="str">
        <f>IF(OR(C797&lt;outliers!$B$14,C797&gt;outliers!$B$13),"Outlier","Normal")</f>
        <v>Outlier</v>
      </c>
      <c r="H797" s="8" t="str">
        <f>IF(OR(D797&lt;outliers!$B$21,D797&gt;outliers!$B$20),"Outlier","Normal")</f>
        <v>Normal</v>
      </c>
      <c r="I797" s="8" t="str">
        <f>IF(OR(E797&lt;outliers!$C$28,E797&gt;outliers!$B$27),"Outlier","Normal")</f>
        <v>Normal</v>
      </c>
      <c r="J797" s="8">
        <f t="shared" si="24"/>
        <v>2021</v>
      </c>
      <c r="K797">
        <f t="shared" si="25"/>
        <v>2</v>
      </c>
    </row>
    <row r="798" spans="1:11" hidden="1" x14ac:dyDescent="0.35">
      <c r="A798" s="13">
        <v>44232</v>
      </c>
      <c r="B798" s="8">
        <v>22.2</v>
      </c>
      <c r="C798" s="8">
        <v>15.4</v>
      </c>
      <c r="D798" s="8">
        <v>29.4</v>
      </c>
      <c r="E798" s="8">
        <v>0</v>
      </c>
      <c r="F798" s="8" t="str">
        <f>IF(OR(B798&lt;outliers!$B$7,B798&gt;outliers!$B$6),"Outlier","Normal")</f>
        <v>Normal</v>
      </c>
      <c r="G798" s="8" t="str">
        <f>IF(OR(C798&lt;outliers!$B$14,C798&gt;outliers!$B$13),"Outlier","Normal")</f>
        <v>Outlier</v>
      </c>
      <c r="H798" s="8" t="str">
        <f>IF(OR(D798&lt;outliers!$B$21,D798&gt;outliers!$B$20),"Outlier","Normal")</f>
        <v>Normal</v>
      </c>
      <c r="I798" s="8" t="str">
        <f>IF(OR(E798&lt;outliers!$C$28,E798&gt;outliers!$B$27),"Outlier","Normal")</f>
        <v>Normal</v>
      </c>
      <c r="J798" s="8">
        <f t="shared" si="24"/>
        <v>2021</v>
      </c>
      <c r="K798">
        <f t="shared" si="25"/>
        <v>2</v>
      </c>
    </row>
    <row r="799" spans="1:11" hidden="1" x14ac:dyDescent="0.35">
      <c r="A799" s="13">
        <v>44233</v>
      </c>
      <c r="B799" s="8">
        <v>22.4</v>
      </c>
      <c r="C799" s="8">
        <v>15.6</v>
      </c>
      <c r="D799" s="8">
        <v>30.4</v>
      </c>
      <c r="E799" s="8">
        <v>0</v>
      </c>
      <c r="F799" s="8" t="str">
        <f>IF(OR(B799&lt;outliers!$B$7,B799&gt;outliers!$B$6),"Outlier","Normal")</f>
        <v>Normal</v>
      </c>
      <c r="G799" s="8" t="str">
        <f>IF(OR(C799&lt;outliers!$B$14,C799&gt;outliers!$B$13),"Outlier","Normal")</f>
        <v>Outlier</v>
      </c>
      <c r="H799" s="8" t="str">
        <f>IF(OR(D799&lt;outliers!$B$21,D799&gt;outliers!$B$20),"Outlier","Normal")</f>
        <v>Normal</v>
      </c>
      <c r="I799" s="8" t="str">
        <f>IF(OR(E799&lt;outliers!$C$28,E799&gt;outliers!$B$27),"Outlier","Normal")</f>
        <v>Normal</v>
      </c>
      <c r="J799" s="8">
        <f t="shared" si="24"/>
        <v>2021</v>
      </c>
      <c r="K799">
        <f t="shared" si="25"/>
        <v>2</v>
      </c>
    </row>
    <row r="800" spans="1:11" hidden="1" x14ac:dyDescent="0.35">
      <c r="A800" s="13">
        <v>44234</v>
      </c>
      <c r="B800" s="8">
        <v>22.3</v>
      </c>
      <c r="C800" s="8">
        <v>15</v>
      </c>
      <c r="D800" s="8">
        <v>30.4</v>
      </c>
      <c r="E800" s="8">
        <v>0</v>
      </c>
      <c r="F800" s="8" t="str">
        <f>IF(OR(B800&lt;outliers!$B$7,B800&gt;outliers!$B$6),"Outlier","Normal")</f>
        <v>Normal</v>
      </c>
      <c r="G800" s="8" t="str">
        <f>IF(OR(C800&lt;outliers!$B$14,C800&gt;outliers!$B$13),"Outlier","Normal")</f>
        <v>Outlier</v>
      </c>
      <c r="H800" s="8" t="str">
        <f>IF(OR(D800&lt;outliers!$B$21,D800&gt;outliers!$B$20),"Outlier","Normal")</f>
        <v>Normal</v>
      </c>
      <c r="I800" s="8" t="str">
        <f>IF(OR(E800&lt;outliers!$C$28,E800&gt;outliers!$B$27),"Outlier","Normal")</f>
        <v>Normal</v>
      </c>
      <c r="J800" s="8">
        <f t="shared" si="24"/>
        <v>2021</v>
      </c>
      <c r="K800">
        <f t="shared" si="25"/>
        <v>2</v>
      </c>
    </row>
    <row r="801" spans="1:11" hidden="1" x14ac:dyDescent="0.35">
      <c r="A801" s="13">
        <v>44235</v>
      </c>
      <c r="B801" s="8">
        <v>22.1</v>
      </c>
      <c r="C801" s="8">
        <v>16.100000000000001</v>
      </c>
      <c r="D801" s="8">
        <v>30.1</v>
      </c>
      <c r="E801" s="8">
        <v>0</v>
      </c>
      <c r="F801" s="8" t="str">
        <f>IF(OR(B801&lt;outliers!$B$7,B801&gt;outliers!$B$6),"Outlier","Normal")</f>
        <v>Normal</v>
      </c>
      <c r="G801" s="8" t="str">
        <f>IF(OR(C801&lt;outliers!$B$14,C801&gt;outliers!$B$13),"Outlier","Normal")</f>
        <v>Outlier</v>
      </c>
      <c r="H801" s="8" t="str">
        <f>IF(OR(D801&lt;outliers!$B$21,D801&gt;outliers!$B$20),"Outlier","Normal")</f>
        <v>Normal</v>
      </c>
      <c r="I801" s="8" t="str">
        <f>IF(OR(E801&lt;outliers!$C$28,E801&gt;outliers!$B$27),"Outlier","Normal")</f>
        <v>Normal</v>
      </c>
      <c r="J801" s="8">
        <f t="shared" si="24"/>
        <v>2021</v>
      </c>
      <c r="K801">
        <f t="shared" si="25"/>
        <v>2</v>
      </c>
    </row>
    <row r="802" spans="1:11" hidden="1" x14ac:dyDescent="0.35">
      <c r="A802" s="13">
        <v>44236</v>
      </c>
      <c r="B802" s="8">
        <v>20.6</v>
      </c>
      <c r="C802" s="8">
        <v>14.9</v>
      </c>
      <c r="D802" s="8">
        <v>29.8</v>
      </c>
      <c r="E802" s="8">
        <v>0</v>
      </c>
      <c r="F802" s="8" t="str">
        <f>IF(OR(B802&lt;outliers!$B$7,B802&gt;outliers!$B$6),"Outlier","Normal")</f>
        <v>Normal</v>
      </c>
      <c r="G802" s="8" t="str">
        <f>IF(OR(C802&lt;outliers!$B$14,C802&gt;outliers!$B$13),"Outlier","Normal")</f>
        <v>Outlier</v>
      </c>
      <c r="H802" s="8" t="str">
        <f>IF(OR(D802&lt;outliers!$B$21,D802&gt;outliers!$B$20),"Outlier","Normal")</f>
        <v>Normal</v>
      </c>
      <c r="I802" s="8" t="str">
        <f>IF(OR(E802&lt;outliers!$C$28,E802&gt;outliers!$B$27),"Outlier","Normal")</f>
        <v>Normal</v>
      </c>
      <c r="J802" s="8">
        <f t="shared" si="24"/>
        <v>2021</v>
      </c>
      <c r="K802">
        <f t="shared" si="25"/>
        <v>2</v>
      </c>
    </row>
    <row r="803" spans="1:11" hidden="1" x14ac:dyDescent="0.35">
      <c r="A803" s="13">
        <v>44237</v>
      </c>
      <c r="B803" s="8">
        <v>21.7</v>
      </c>
      <c r="C803" s="8">
        <v>14.4</v>
      </c>
      <c r="D803" s="8">
        <v>28.6</v>
      </c>
      <c r="E803" s="8">
        <v>0</v>
      </c>
      <c r="F803" s="8" t="str">
        <f>IF(OR(B803&lt;outliers!$B$7,B803&gt;outliers!$B$6),"Outlier","Normal")</f>
        <v>Normal</v>
      </c>
      <c r="G803" s="8" t="str">
        <f>IF(OR(C803&lt;outliers!$B$14,C803&gt;outliers!$B$13),"Outlier","Normal")</f>
        <v>Outlier</v>
      </c>
      <c r="H803" s="8" t="str">
        <f>IF(OR(D803&lt;outliers!$B$21,D803&gt;outliers!$B$20),"Outlier","Normal")</f>
        <v>Normal</v>
      </c>
      <c r="I803" s="8" t="str">
        <f>IF(OR(E803&lt;outliers!$C$28,E803&gt;outliers!$B$27),"Outlier","Normal")</f>
        <v>Normal</v>
      </c>
      <c r="J803" s="8">
        <f t="shared" si="24"/>
        <v>2021</v>
      </c>
      <c r="K803">
        <f t="shared" si="25"/>
        <v>2</v>
      </c>
    </row>
    <row r="804" spans="1:11" hidden="1" x14ac:dyDescent="0.35">
      <c r="A804" s="13">
        <v>44238</v>
      </c>
      <c r="B804" s="8">
        <v>20.3</v>
      </c>
      <c r="C804" s="8">
        <v>13.5</v>
      </c>
      <c r="D804" s="8">
        <v>28.1</v>
      </c>
      <c r="E804" s="8">
        <v>0</v>
      </c>
      <c r="F804" s="8" t="str">
        <f>IF(OR(B804&lt;outliers!$B$7,B804&gt;outliers!$B$6),"Outlier","Normal")</f>
        <v>Normal</v>
      </c>
      <c r="G804" s="8" t="str">
        <f>IF(OR(C804&lt;outliers!$B$14,C804&gt;outliers!$B$13),"Outlier","Normal")</f>
        <v>Outlier</v>
      </c>
      <c r="H804" s="8" t="str">
        <f>IF(OR(D804&lt;outliers!$B$21,D804&gt;outliers!$B$20),"Outlier","Normal")</f>
        <v>Normal</v>
      </c>
      <c r="I804" s="8" t="str">
        <f>IF(OR(E804&lt;outliers!$C$28,E804&gt;outliers!$B$27),"Outlier","Normal")</f>
        <v>Normal</v>
      </c>
      <c r="J804" s="8">
        <f t="shared" si="24"/>
        <v>2021</v>
      </c>
      <c r="K804">
        <f t="shared" si="25"/>
        <v>2</v>
      </c>
    </row>
    <row r="805" spans="1:11" hidden="1" x14ac:dyDescent="0.35">
      <c r="A805" s="13">
        <v>44239</v>
      </c>
      <c r="B805" s="8">
        <v>20.7</v>
      </c>
      <c r="C805" s="8">
        <v>12.2</v>
      </c>
      <c r="D805" s="8">
        <v>28.9</v>
      </c>
      <c r="E805" s="8">
        <v>0</v>
      </c>
      <c r="F805" s="8" t="str">
        <f>IF(OR(B805&lt;outliers!$B$7,B805&gt;outliers!$B$6),"Outlier","Normal")</f>
        <v>Normal</v>
      </c>
      <c r="G805" s="8" t="str">
        <f>IF(OR(C805&lt;outliers!$B$14,C805&gt;outliers!$B$13),"Outlier","Normal")</f>
        <v>Outlier</v>
      </c>
      <c r="H805" s="8" t="str">
        <f>IF(OR(D805&lt;outliers!$B$21,D805&gt;outliers!$B$20),"Outlier","Normal")</f>
        <v>Normal</v>
      </c>
      <c r="I805" s="8" t="str">
        <f>IF(OR(E805&lt;outliers!$C$28,E805&gt;outliers!$B$27),"Outlier","Normal")</f>
        <v>Normal</v>
      </c>
      <c r="J805" s="8">
        <f t="shared" si="24"/>
        <v>2021</v>
      </c>
      <c r="K805">
        <f t="shared" si="25"/>
        <v>2</v>
      </c>
    </row>
    <row r="806" spans="1:11" hidden="1" x14ac:dyDescent="0.35">
      <c r="A806" s="13">
        <v>44240</v>
      </c>
      <c r="B806" s="8">
        <v>20.6</v>
      </c>
      <c r="C806" s="8">
        <v>13</v>
      </c>
      <c r="D806" s="8">
        <v>29.8</v>
      </c>
      <c r="E806" s="8">
        <v>0</v>
      </c>
      <c r="F806" s="8" t="str">
        <f>IF(OR(B806&lt;outliers!$B$7,B806&gt;outliers!$B$6),"Outlier","Normal")</f>
        <v>Normal</v>
      </c>
      <c r="G806" s="8" t="str">
        <f>IF(OR(C806&lt;outliers!$B$14,C806&gt;outliers!$B$13),"Outlier","Normal")</f>
        <v>Outlier</v>
      </c>
      <c r="H806" s="8" t="str">
        <f>IF(OR(D806&lt;outliers!$B$21,D806&gt;outliers!$B$20),"Outlier","Normal")</f>
        <v>Normal</v>
      </c>
      <c r="I806" s="8" t="str">
        <f>IF(OR(E806&lt;outliers!$C$28,E806&gt;outliers!$B$27),"Outlier","Normal")</f>
        <v>Normal</v>
      </c>
      <c r="J806" s="8">
        <f t="shared" si="24"/>
        <v>2021</v>
      </c>
      <c r="K806">
        <f t="shared" si="25"/>
        <v>2</v>
      </c>
    </row>
    <row r="807" spans="1:11" hidden="1" x14ac:dyDescent="0.35">
      <c r="A807" s="13">
        <v>44241</v>
      </c>
      <c r="B807" s="8">
        <v>23</v>
      </c>
      <c r="C807" s="8">
        <v>16.2</v>
      </c>
      <c r="D807" s="8">
        <v>31</v>
      </c>
      <c r="E807" s="8">
        <v>0</v>
      </c>
      <c r="F807" s="8" t="str">
        <f>IF(OR(B807&lt;outliers!$B$7,B807&gt;outliers!$B$6),"Outlier","Normal")</f>
        <v>Normal</v>
      </c>
      <c r="G807" s="8" t="str">
        <f>IF(OR(C807&lt;outliers!$B$14,C807&gt;outliers!$B$13),"Outlier","Normal")</f>
        <v>Outlier</v>
      </c>
      <c r="H807" s="8" t="str">
        <f>IF(OR(D807&lt;outliers!$B$21,D807&gt;outliers!$B$20),"Outlier","Normal")</f>
        <v>Normal</v>
      </c>
      <c r="I807" s="8" t="str">
        <f>IF(OR(E807&lt;outliers!$C$28,E807&gt;outliers!$B$27),"Outlier","Normal")</f>
        <v>Normal</v>
      </c>
      <c r="J807" s="8">
        <f t="shared" si="24"/>
        <v>2021</v>
      </c>
      <c r="K807">
        <f t="shared" si="25"/>
        <v>2</v>
      </c>
    </row>
    <row r="808" spans="1:11" x14ac:dyDescent="0.35">
      <c r="A808" s="13">
        <v>44242</v>
      </c>
      <c r="B808" s="8">
        <v>24</v>
      </c>
      <c r="C808" s="8">
        <v>17.899999999999999</v>
      </c>
      <c r="D808" s="8">
        <v>31.5</v>
      </c>
      <c r="E808" s="8">
        <v>0</v>
      </c>
      <c r="F808" s="8" t="str">
        <f>IF(OR(B808&lt;outliers!$B$7,B808&gt;outliers!$B$6),"Outlier","Normal")</f>
        <v>Normal</v>
      </c>
      <c r="G808" s="8" t="str">
        <f>IF(OR(C808&lt;outliers!$B$14,C808&gt;outliers!$B$13),"Outlier","Normal")</f>
        <v>Normal</v>
      </c>
      <c r="H808" s="8" t="str">
        <f>IF(OR(D808&lt;outliers!$B$21,D808&gt;outliers!$B$20),"Outlier","Normal")</f>
        <v>Normal</v>
      </c>
      <c r="I808" s="8" t="str">
        <f>IF(OR(E808&lt;outliers!$C$28,E808&gt;outliers!$B$27),"Outlier","Normal")</f>
        <v>Normal</v>
      </c>
      <c r="J808" s="8">
        <f t="shared" si="24"/>
        <v>2021</v>
      </c>
      <c r="K808">
        <f t="shared" si="25"/>
        <v>2</v>
      </c>
    </row>
    <row r="809" spans="1:11" x14ac:dyDescent="0.35">
      <c r="A809" s="13">
        <v>44243</v>
      </c>
      <c r="B809" s="8">
        <v>23.9</v>
      </c>
      <c r="C809" s="8">
        <v>18.399999999999999</v>
      </c>
      <c r="D809" s="8">
        <v>32</v>
      </c>
      <c r="E809" s="8">
        <v>0</v>
      </c>
      <c r="F809" s="8" t="str">
        <f>IF(OR(B809&lt;outliers!$B$7,B809&gt;outliers!$B$6),"Outlier","Normal")</f>
        <v>Normal</v>
      </c>
      <c r="G809" s="8" t="str">
        <f>IF(OR(C809&lt;outliers!$B$14,C809&gt;outliers!$B$13),"Outlier","Normal")</f>
        <v>Normal</v>
      </c>
      <c r="H809" s="8" t="str">
        <f>IF(OR(D809&lt;outliers!$B$21,D809&gt;outliers!$B$20),"Outlier","Normal")</f>
        <v>Normal</v>
      </c>
      <c r="I809" s="8" t="str">
        <f>IF(OR(E809&lt;outliers!$C$28,E809&gt;outliers!$B$27),"Outlier","Normal")</f>
        <v>Normal</v>
      </c>
      <c r="J809" s="8">
        <f t="shared" si="24"/>
        <v>2021</v>
      </c>
      <c r="K809">
        <f t="shared" si="25"/>
        <v>2</v>
      </c>
    </row>
    <row r="810" spans="1:11" x14ac:dyDescent="0.35">
      <c r="A810" s="13">
        <v>44244</v>
      </c>
      <c r="B810" s="8">
        <v>23.8</v>
      </c>
      <c r="C810" s="8">
        <v>18.399999999999999</v>
      </c>
      <c r="D810" s="8">
        <v>31.4</v>
      </c>
      <c r="E810" s="8">
        <v>0</v>
      </c>
      <c r="F810" s="8" t="str">
        <f>IF(OR(B810&lt;outliers!$B$7,B810&gt;outliers!$B$6),"Outlier","Normal")</f>
        <v>Normal</v>
      </c>
      <c r="G810" s="8" t="str">
        <f>IF(OR(C810&lt;outliers!$B$14,C810&gt;outliers!$B$13),"Outlier","Normal")</f>
        <v>Normal</v>
      </c>
      <c r="H810" s="8" t="str">
        <f>IF(OR(D810&lt;outliers!$B$21,D810&gt;outliers!$B$20),"Outlier","Normal")</f>
        <v>Normal</v>
      </c>
      <c r="I810" s="8" t="str">
        <f>IF(OR(E810&lt;outliers!$C$28,E810&gt;outliers!$B$27),"Outlier","Normal")</f>
        <v>Normal</v>
      </c>
      <c r="J810" s="8">
        <f t="shared" si="24"/>
        <v>2021</v>
      </c>
      <c r="K810">
        <f t="shared" si="25"/>
        <v>2</v>
      </c>
    </row>
    <row r="811" spans="1:11" x14ac:dyDescent="0.35">
      <c r="A811" s="13">
        <v>44245</v>
      </c>
      <c r="B811" s="8">
        <v>22.8</v>
      </c>
      <c r="C811" s="8">
        <v>18</v>
      </c>
      <c r="D811" s="8">
        <v>31.2</v>
      </c>
      <c r="E811" s="8">
        <v>0.1</v>
      </c>
      <c r="F811" s="8" t="str">
        <f>IF(OR(B811&lt;outliers!$B$7,B811&gt;outliers!$B$6),"Outlier","Normal")</f>
        <v>Normal</v>
      </c>
      <c r="G811" s="8" t="str">
        <f>IF(OR(C811&lt;outliers!$B$14,C811&gt;outliers!$B$13),"Outlier","Normal")</f>
        <v>Normal</v>
      </c>
      <c r="H811" s="8" t="str">
        <f>IF(OR(D811&lt;outliers!$B$21,D811&gt;outliers!$B$20),"Outlier","Normal")</f>
        <v>Normal</v>
      </c>
      <c r="I811" s="8" t="str">
        <f>IF(OR(E811&lt;outliers!$C$28,E811&gt;outliers!$B$27),"Outlier","Normal")</f>
        <v>Normal</v>
      </c>
      <c r="J811" s="8">
        <f t="shared" si="24"/>
        <v>2021</v>
      </c>
      <c r="K811">
        <f t="shared" si="25"/>
        <v>2</v>
      </c>
    </row>
    <row r="812" spans="1:11" x14ac:dyDescent="0.35">
      <c r="A812" s="13">
        <v>44246</v>
      </c>
      <c r="B812" s="8">
        <v>22.8</v>
      </c>
      <c r="C812" s="8">
        <v>18.2</v>
      </c>
      <c r="D812" s="8">
        <v>29.3</v>
      </c>
      <c r="E812" s="8">
        <v>1.7</v>
      </c>
      <c r="F812" s="8" t="str">
        <f>IF(OR(B812&lt;outliers!$B$7,B812&gt;outliers!$B$6),"Outlier","Normal")</f>
        <v>Normal</v>
      </c>
      <c r="G812" s="8" t="str">
        <f>IF(OR(C812&lt;outliers!$B$14,C812&gt;outliers!$B$13),"Outlier","Normal")</f>
        <v>Normal</v>
      </c>
      <c r="H812" s="8" t="str">
        <f>IF(OR(D812&lt;outliers!$B$21,D812&gt;outliers!$B$20),"Outlier","Normal")</f>
        <v>Normal</v>
      </c>
      <c r="I812" s="8" t="str">
        <f>IF(OR(E812&lt;outliers!$C$28,E812&gt;outliers!$B$27),"Outlier","Normal")</f>
        <v>Normal</v>
      </c>
      <c r="J812" s="8">
        <f t="shared" si="24"/>
        <v>2021</v>
      </c>
      <c r="K812">
        <f t="shared" si="25"/>
        <v>2</v>
      </c>
    </row>
    <row r="813" spans="1:11" hidden="1" x14ac:dyDescent="0.35">
      <c r="A813" s="13">
        <v>44247</v>
      </c>
      <c r="B813" s="8">
        <v>19.8</v>
      </c>
      <c r="C813" s="8">
        <v>16.8</v>
      </c>
      <c r="D813" s="8">
        <v>24.5</v>
      </c>
      <c r="E813" s="8">
        <v>4.2</v>
      </c>
      <c r="F813" s="8" t="str">
        <f>IF(OR(B813&lt;outliers!$B$7,B813&gt;outliers!$B$6),"Outlier","Normal")</f>
        <v>Normal</v>
      </c>
      <c r="G813" s="8" t="str">
        <f>IF(OR(C813&lt;outliers!$B$14,C813&gt;outliers!$B$13),"Outlier","Normal")</f>
        <v>Outlier</v>
      </c>
      <c r="H813" s="8" t="str">
        <f>IF(OR(D813&lt;outliers!$B$21,D813&gt;outliers!$B$20),"Outlier","Normal")</f>
        <v>Normal</v>
      </c>
      <c r="I813" s="8" t="str">
        <f>IF(OR(E813&lt;outliers!$C$28,E813&gt;outliers!$B$27),"Outlier","Normal")</f>
        <v>Normal</v>
      </c>
      <c r="J813" s="8">
        <f t="shared" si="24"/>
        <v>2021</v>
      </c>
      <c r="K813">
        <f t="shared" si="25"/>
        <v>2</v>
      </c>
    </row>
    <row r="814" spans="1:11" x14ac:dyDescent="0.35">
      <c r="A814" s="13">
        <v>44248</v>
      </c>
      <c r="B814" s="8">
        <v>20.6</v>
      </c>
      <c r="C814" s="8">
        <v>17.100000000000001</v>
      </c>
      <c r="D814" s="8">
        <v>24.2</v>
      </c>
      <c r="E814" s="8">
        <v>4.7</v>
      </c>
      <c r="F814" s="8" t="str">
        <f>IF(OR(B814&lt;outliers!$B$7,B814&gt;outliers!$B$6),"Outlier","Normal")</f>
        <v>Normal</v>
      </c>
      <c r="G814" s="8" t="str">
        <f>IF(OR(C814&lt;outliers!$B$14,C814&gt;outliers!$B$13),"Outlier","Normal")</f>
        <v>Normal</v>
      </c>
      <c r="H814" s="8" t="str">
        <f>IF(OR(D814&lt;outliers!$B$21,D814&gt;outliers!$B$20),"Outlier","Normal")</f>
        <v>Normal</v>
      </c>
      <c r="I814" s="8" t="str">
        <f>IF(OR(E814&lt;outliers!$C$28,E814&gt;outliers!$B$27),"Outlier","Normal")</f>
        <v>Normal</v>
      </c>
      <c r="J814" s="8">
        <f t="shared" si="24"/>
        <v>2021</v>
      </c>
      <c r="K814">
        <f t="shared" si="25"/>
        <v>2</v>
      </c>
    </row>
    <row r="815" spans="1:11" x14ac:dyDescent="0.35">
      <c r="A815" s="13">
        <v>44249</v>
      </c>
      <c r="B815" s="8">
        <v>22.8</v>
      </c>
      <c r="C815" s="8">
        <v>18.100000000000001</v>
      </c>
      <c r="D815" s="8">
        <v>28</v>
      </c>
      <c r="E815" s="8">
        <v>0.4</v>
      </c>
      <c r="F815" s="8" t="str">
        <f>IF(OR(B815&lt;outliers!$B$7,B815&gt;outliers!$B$6),"Outlier","Normal")</f>
        <v>Normal</v>
      </c>
      <c r="G815" s="8" t="str">
        <f>IF(OR(C815&lt;outliers!$B$14,C815&gt;outliers!$B$13),"Outlier","Normal")</f>
        <v>Normal</v>
      </c>
      <c r="H815" s="8" t="str">
        <f>IF(OR(D815&lt;outliers!$B$21,D815&gt;outliers!$B$20),"Outlier","Normal")</f>
        <v>Normal</v>
      </c>
      <c r="I815" s="8" t="str">
        <f>IF(OR(E815&lt;outliers!$C$28,E815&gt;outliers!$B$27),"Outlier","Normal")</f>
        <v>Normal</v>
      </c>
      <c r="J815" s="8">
        <f t="shared" si="24"/>
        <v>2021</v>
      </c>
      <c r="K815">
        <f t="shared" si="25"/>
        <v>2</v>
      </c>
    </row>
    <row r="816" spans="1:11" x14ac:dyDescent="0.35">
      <c r="A816" s="13">
        <v>44250</v>
      </c>
      <c r="B816" s="8">
        <v>24.5</v>
      </c>
      <c r="C816" s="8">
        <v>18.2</v>
      </c>
      <c r="D816" s="8">
        <v>30.4</v>
      </c>
      <c r="E816" s="8">
        <v>0</v>
      </c>
      <c r="F816" s="8" t="str">
        <f>IF(OR(B816&lt;outliers!$B$7,B816&gt;outliers!$B$6),"Outlier","Normal")</f>
        <v>Normal</v>
      </c>
      <c r="G816" s="8" t="str">
        <f>IF(OR(C816&lt;outliers!$B$14,C816&gt;outliers!$B$13),"Outlier","Normal")</f>
        <v>Normal</v>
      </c>
      <c r="H816" s="8" t="str">
        <f>IF(OR(D816&lt;outliers!$B$21,D816&gt;outliers!$B$20),"Outlier","Normal")</f>
        <v>Normal</v>
      </c>
      <c r="I816" s="8" t="str">
        <f>IF(OR(E816&lt;outliers!$C$28,E816&gt;outliers!$B$27),"Outlier","Normal")</f>
        <v>Normal</v>
      </c>
      <c r="J816" s="8">
        <f t="shared" si="24"/>
        <v>2021</v>
      </c>
      <c r="K816">
        <f t="shared" si="25"/>
        <v>2</v>
      </c>
    </row>
    <row r="817" spans="1:11" x14ac:dyDescent="0.35">
      <c r="A817" s="13">
        <v>44251</v>
      </c>
      <c r="B817" s="8">
        <v>24.4</v>
      </c>
      <c r="C817" s="8">
        <v>18</v>
      </c>
      <c r="D817" s="8">
        <v>31.1</v>
      </c>
      <c r="E817" s="8">
        <v>0</v>
      </c>
      <c r="F817" s="8" t="str">
        <f>IF(OR(B817&lt;outliers!$B$7,B817&gt;outliers!$B$6),"Outlier","Normal")</f>
        <v>Normal</v>
      </c>
      <c r="G817" s="8" t="str">
        <f>IF(OR(C817&lt;outliers!$B$14,C817&gt;outliers!$B$13),"Outlier","Normal")</f>
        <v>Normal</v>
      </c>
      <c r="H817" s="8" t="str">
        <f>IF(OR(D817&lt;outliers!$B$21,D817&gt;outliers!$B$20),"Outlier","Normal")</f>
        <v>Normal</v>
      </c>
      <c r="I817" s="8" t="str">
        <f>IF(OR(E817&lt;outliers!$C$28,E817&gt;outliers!$B$27),"Outlier","Normal")</f>
        <v>Normal</v>
      </c>
      <c r="J817" s="8">
        <f t="shared" si="24"/>
        <v>2021</v>
      </c>
      <c r="K817">
        <f t="shared" si="25"/>
        <v>2</v>
      </c>
    </row>
    <row r="818" spans="1:11" x14ac:dyDescent="0.35">
      <c r="A818" s="13">
        <v>44252</v>
      </c>
      <c r="B818" s="8">
        <v>25.3</v>
      </c>
      <c r="C818" s="8">
        <v>17.399999999999999</v>
      </c>
      <c r="D818" s="8">
        <v>32</v>
      </c>
      <c r="E818" s="8">
        <v>0</v>
      </c>
      <c r="F818" s="8" t="str">
        <f>IF(OR(B818&lt;outliers!$B$7,B818&gt;outliers!$B$6),"Outlier","Normal")</f>
        <v>Normal</v>
      </c>
      <c r="G818" s="8" t="str">
        <f>IF(OR(C818&lt;outliers!$B$14,C818&gt;outliers!$B$13),"Outlier","Normal")</f>
        <v>Normal</v>
      </c>
      <c r="H818" s="8" t="str">
        <f>IF(OR(D818&lt;outliers!$B$21,D818&gt;outliers!$B$20),"Outlier","Normal")</f>
        <v>Normal</v>
      </c>
      <c r="I818" s="8" t="str">
        <f>IF(OR(E818&lt;outliers!$C$28,E818&gt;outliers!$B$27),"Outlier","Normal")</f>
        <v>Normal</v>
      </c>
      <c r="J818" s="8">
        <f t="shared" si="24"/>
        <v>2021</v>
      </c>
      <c r="K818">
        <f t="shared" si="25"/>
        <v>2</v>
      </c>
    </row>
    <row r="819" spans="1:11" x14ac:dyDescent="0.35">
      <c r="A819" s="13">
        <v>44253</v>
      </c>
      <c r="B819" s="8">
        <v>25.8</v>
      </c>
      <c r="C819" s="8">
        <v>18.399999999999999</v>
      </c>
      <c r="D819" s="8">
        <v>33</v>
      </c>
      <c r="E819" s="8">
        <v>0</v>
      </c>
      <c r="F819" s="8" t="str">
        <f>IF(OR(B819&lt;outliers!$B$7,B819&gt;outliers!$B$6),"Outlier","Normal")</f>
        <v>Normal</v>
      </c>
      <c r="G819" s="8" t="str">
        <f>IF(OR(C819&lt;outliers!$B$14,C819&gt;outliers!$B$13),"Outlier","Normal")</f>
        <v>Normal</v>
      </c>
      <c r="H819" s="8" t="str">
        <f>IF(OR(D819&lt;outliers!$B$21,D819&gt;outliers!$B$20),"Outlier","Normal")</f>
        <v>Normal</v>
      </c>
      <c r="I819" s="8" t="str">
        <f>IF(OR(E819&lt;outliers!$C$28,E819&gt;outliers!$B$27),"Outlier","Normal")</f>
        <v>Normal</v>
      </c>
      <c r="J819" s="8">
        <f t="shared" si="24"/>
        <v>2021</v>
      </c>
      <c r="K819">
        <f t="shared" si="25"/>
        <v>2</v>
      </c>
    </row>
    <row r="820" spans="1:11" x14ac:dyDescent="0.35">
      <c r="A820" s="13">
        <v>44254</v>
      </c>
      <c r="B820" s="8">
        <v>26.2</v>
      </c>
      <c r="C820" s="8">
        <v>19</v>
      </c>
      <c r="D820" s="8">
        <v>34.1</v>
      </c>
      <c r="E820" s="8">
        <v>0</v>
      </c>
      <c r="F820" s="8" t="str">
        <f>IF(OR(B820&lt;outliers!$B$7,B820&gt;outliers!$B$6),"Outlier","Normal")</f>
        <v>Normal</v>
      </c>
      <c r="G820" s="8" t="str">
        <f>IF(OR(C820&lt;outliers!$B$14,C820&gt;outliers!$B$13),"Outlier","Normal")</f>
        <v>Normal</v>
      </c>
      <c r="H820" s="8" t="str">
        <f>IF(OR(D820&lt;outliers!$B$21,D820&gt;outliers!$B$20),"Outlier","Normal")</f>
        <v>Normal</v>
      </c>
      <c r="I820" s="8" t="str">
        <f>IF(OR(E820&lt;outliers!$C$28,E820&gt;outliers!$B$27),"Outlier","Normal")</f>
        <v>Normal</v>
      </c>
      <c r="J820" s="8">
        <f t="shared" si="24"/>
        <v>2021</v>
      </c>
      <c r="K820">
        <f t="shared" si="25"/>
        <v>2</v>
      </c>
    </row>
    <row r="821" spans="1:11" x14ac:dyDescent="0.35">
      <c r="A821" s="13">
        <v>44255</v>
      </c>
      <c r="B821" s="8">
        <v>26</v>
      </c>
      <c r="C821" s="8">
        <v>20</v>
      </c>
      <c r="D821" s="8">
        <v>33.799999999999997</v>
      </c>
      <c r="E821" s="8">
        <v>0</v>
      </c>
      <c r="F821" s="8" t="str">
        <f>IF(OR(B821&lt;outliers!$B$7,B821&gt;outliers!$B$6),"Outlier","Normal")</f>
        <v>Normal</v>
      </c>
      <c r="G821" s="8" t="str">
        <f>IF(OR(C821&lt;outliers!$B$14,C821&gt;outliers!$B$13),"Outlier","Normal")</f>
        <v>Normal</v>
      </c>
      <c r="H821" s="8" t="str">
        <f>IF(OR(D821&lt;outliers!$B$21,D821&gt;outliers!$B$20),"Outlier","Normal")</f>
        <v>Normal</v>
      </c>
      <c r="I821" s="8" t="str">
        <f>IF(OR(E821&lt;outliers!$C$28,E821&gt;outliers!$B$27),"Outlier","Normal")</f>
        <v>Normal</v>
      </c>
      <c r="J821" s="8">
        <f t="shared" si="24"/>
        <v>2021</v>
      </c>
      <c r="K821">
        <f t="shared" si="25"/>
        <v>2</v>
      </c>
    </row>
    <row r="822" spans="1:11" x14ac:dyDescent="0.35">
      <c r="A822" s="13">
        <v>44256</v>
      </c>
      <c r="B822" s="8">
        <v>25.4</v>
      </c>
      <c r="C822" s="8">
        <v>17.399999999999999</v>
      </c>
      <c r="D822" s="8">
        <v>33.799999999999997</v>
      </c>
      <c r="E822" s="8">
        <v>0</v>
      </c>
      <c r="F822" s="8" t="str">
        <f>IF(OR(B822&lt;outliers!$B$7,B822&gt;outliers!$B$6),"Outlier","Normal")</f>
        <v>Normal</v>
      </c>
      <c r="G822" s="8" t="str">
        <f>IF(OR(C822&lt;outliers!$B$14,C822&gt;outliers!$B$13),"Outlier","Normal")</f>
        <v>Normal</v>
      </c>
      <c r="H822" s="8" t="str">
        <f>IF(OR(D822&lt;outliers!$B$21,D822&gt;outliers!$B$20),"Outlier","Normal")</f>
        <v>Normal</v>
      </c>
      <c r="I822" s="8" t="str">
        <f>IF(OR(E822&lt;outliers!$C$28,E822&gt;outliers!$B$27),"Outlier","Normal")</f>
        <v>Normal</v>
      </c>
      <c r="J822" s="8">
        <f t="shared" si="24"/>
        <v>2021</v>
      </c>
      <c r="K822">
        <f t="shared" si="25"/>
        <v>3</v>
      </c>
    </row>
    <row r="823" spans="1:11" x14ac:dyDescent="0.35">
      <c r="A823" s="13">
        <v>44257</v>
      </c>
      <c r="B823" s="8">
        <v>25.3</v>
      </c>
      <c r="C823" s="8">
        <v>18.399999999999999</v>
      </c>
      <c r="D823" s="8">
        <v>33.6</v>
      </c>
      <c r="E823" s="8">
        <v>0</v>
      </c>
      <c r="F823" s="8" t="str">
        <f>IF(OR(B823&lt;outliers!$B$7,B823&gt;outliers!$B$6),"Outlier","Normal")</f>
        <v>Normal</v>
      </c>
      <c r="G823" s="8" t="str">
        <f>IF(OR(C823&lt;outliers!$B$14,C823&gt;outliers!$B$13),"Outlier","Normal")</f>
        <v>Normal</v>
      </c>
      <c r="H823" s="8" t="str">
        <f>IF(OR(D823&lt;outliers!$B$21,D823&gt;outliers!$B$20),"Outlier","Normal")</f>
        <v>Normal</v>
      </c>
      <c r="I823" s="8" t="str">
        <f>IF(OR(E823&lt;outliers!$C$28,E823&gt;outliers!$B$27),"Outlier","Normal")</f>
        <v>Normal</v>
      </c>
      <c r="J823" s="8">
        <f t="shared" si="24"/>
        <v>2021</v>
      </c>
      <c r="K823">
        <f t="shared" si="25"/>
        <v>3</v>
      </c>
    </row>
    <row r="824" spans="1:11" x14ac:dyDescent="0.35">
      <c r="A824" s="13">
        <v>44258</v>
      </c>
      <c r="B824" s="8">
        <v>25</v>
      </c>
      <c r="C824" s="8">
        <v>18.2</v>
      </c>
      <c r="D824" s="8">
        <v>32.5</v>
      </c>
      <c r="E824" s="8">
        <v>0</v>
      </c>
      <c r="F824" s="8" t="str">
        <f>IF(OR(B824&lt;outliers!$B$7,B824&gt;outliers!$B$6),"Outlier","Normal")</f>
        <v>Normal</v>
      </c>
      <c r="G824" s="8" t="str">
        <f>IF(OR(C824&lt;outliers!$B$14,C824&gt;outliers!$B$13),"Outlier","Normal")</f>
        <v>Normal</v>
      </c>
      <c r="H824" s="8" t="str">
        <f>IF(OR(D824&lt;outliers!$B$21,D824&gt;outliers!$B$20),"Outlier","Normal")</f>
        <v>Normal</v>
      </c>
      <c r="I824" s="8" t="str">
        <f>IF(OR(E824&lt;outliers!$C$28,E824&gt;outliers!$B$27),"Outlier","Normal")</f>
        <v>Normal</v>
      </c>
      <c r="J824" s="8">
        <f t="shared" si="24"/>
        <v>2021</v>
      </c>
      <c r="K824">
        <f t="shared" si="25"/>
        <v>3</v>
      </c>
    </row>
    <row r="825" spans="1:11" hidden="1" x14ac:dyDescent="0.35">
      <c r="A825" s="13">
        <v>44259</v>
      </c>
      <c r="B825" s="8">
        <v>24.6</v>
      </c>
      <c r="C825" s="8">
        <v>16.5</v>
      </c>
      <c r="D825" s="8">
        <v>32.299999999999997</v>
      </c>
      <c r="E825" s="8">
        <v>0</v>
      </c>
      <c r="F825" s="8" t="str">
        <f>IF(OR(B825&lt;outliers!$B$7,B825&gt;outliers!$B$6),"Outlier","Normal")</f>
        <v>Normal</v>
      </c>
      <c r="G825" s="8" t="str">
        <f>IF(OR(C825&lt;outliers!$B$14,C825&gt;outliers!$B$13),"Outlier","Normal")</f>
        <v>Outlier</v>
      </c>
      <c r="H825" s="8" t="str">
        <f>IF(OR(D825&lt;outliers!$B$21,D825&gt;outliers!$B$20),"Outlier","Normal")</f>
        <v>Normal</v>
      </c>
      <c r="I825" s="8" t="str">
        <f>IF(OR(E825&lt;outliers!$C$28,E825&gt;outliers!$B$27),"Outlier","Normal")</f>
        <v>Normal</v>
      </c>
      <c r="J825" s="8">
        <f t="shared" si="24"/>
        <v>2021</v>
      </c>
      <c r="K825">
        <f t="shared" si="25"/>
        <v>3</v>
      </c>
    </row>
    <row r="826" spans="1:11" hidden="1" x14ac:dyDescent="0.35">
      <c r="A826" s="13">
        <v>44260</v>
      </c>
      <c r="B826" s="8">
        <v>24.9</v>
      </c>
      <c r="C826" s="8">
        <v>16.7</v>
      </c>
      <c r="D826" s="8">
        <v>32</v>
      </c>
      <c r="E826" s="8">
        <v>0</v>
      </c>
      <c r="F826" s="8" t="str">
        <f>IF(OR(B826&lt;outliers!$B$7,B826&gt;outliers!$B$6),"Outlier","Normal")</f>
        <v>Normal</v>
      </c>
      <c r="G826" s="8" t="str">
        <f>IF(OR(C826&lt;outliers!$B$14,C826&gt;outliers!$B$13),"Outlier","Normal")</f>
        <v>Outlier</v>
      </c>
      <c r="H826" s="8" t="str">
        <f>IF(OR(D826&lt;outliers!$B$21,D826&gt;outliers!$B$20),"Outlier","Normal")</f>
        <v>Normal</v>
      </c>
      <c r="I826" s="8" t="str">
        <f>IF(OR(E826&lt;outliers!$C$28,E826&gt;outliers!$B$27),"Outlier","Normal")</f>
        <v>Normal</v>
      </c>
      <c r="J826" s="8">
        <f t="shared" si="24"/>
        <v>2021</v>
      </c>
      <c r="K826">
        <f t="shared" si="25"/>
        <v>3</v>
      </c>
    </row>
    <row r="827" spans="1:11" x14ac:dyDescent="0.35">
      <c r="A827" s="13">
        <v>44261</v>
      </c>
      <c r="B827" s="8">
        <v>26.7</v>
      </c>
      <c r="C827" s="8">
        <v>18.399999999999999</v>
      </c>
      <c r="D827" s="8">
        <v>34.4</v>
      </c>
      <c r="E827" s="8">
        <v>0</v>
      </c>
      <c r="F827" s="8" t="str">
        <f>IF(OR(B827&lt;outliers!$B$7,B827&gt;outliers!$B$6),"Outlier","Normal")</f>
        <v>Normal</v>
      </c>
      <c r="G827" s="8" t="str">
        <f>IF(OR(C827&lt;outliers!$B$14,C827&gt;outliers!$B$13),"Outlier","Normal")</f>
        <v>Normal</v>
      </c>
      <c r="H827" s="8" t="str">
        <f>IF(OR(D827&lt;outliers!$B$21,D827&gt;outliers!$B$20),"Outlier","Normal")</f>
        <v>Normal</v>
      </c>
      <c r="I827" s="8" t="str">
        <f>IF(OR(E827&lt;outliers!$C$28,E827&gt;outliers!$B$27),"Outlier","Normal")</f>
        <v>Normal</v>
      </c>
      <c r="J827" s="8">
        <f t="shared" si="24"/>
        <v>2021</v>
      </c>
      <c r="K827">
        <f t="shared" si="25"/>
        <v>3</v>
      </c>
    </row>
    <row r="828" spans="1:11" x14ac:dyDescent="0.35">
      <c r="A828" s="13">
        <v>44262</v>
      </c>
      <c r="B828" s="8">
        <v>26.5</v>
      </c>
      <c r="C828" s="8">
        <v>17.5</v>
      </c>
      <c r="D828" s="8">
        <v>35.9</v>
      </c>
      <c r="E828" s="8">
        <v>0</v>
      </c>
      <c r="F828" s="8" t="str">
        <f>IF(OR(B828&lt;outliers!$B$7,B828&gt;outliers!$B$6),"Outlier","Normal")</f>
        <v>Normal</v>
      </c>
      <c r="G828" s="8" t="str">
        <f>IF(OR(C828&lt;outliers!$B$14,C828&gt;outliers!$B$13),"Outlier","Normal")</f>
        <v>Normal</v>
      </c>
      <c r="H828" s="8" t="str">
        <f>IF(OR(D828&lt;outliers!$B$21,D828&gt;outliers!$B$20),"Outlier","Normal")</f>
        <v>Normal</v>
      </c>
      <c r="I828" s="8" t="str">
        <f>IF(OR(E828&lt;outliers!$C$28,E828&gt;outliers!$B$27),"Outlier","Normal")</f>
        <v>Normal</v>
      </c>
      <c r="J828" s="8">
        <f t="shared" si="24"/>
        <v>2021</v>
      </c>
      <c r="K828">
        <f t="shared" si="25"/>
        <v>3</v>
      </c>
    </row>
    <row r="829" spans="1:11" x14ac:dyDescent="0.35">
      <c r="A829" s="13">
        <v>44263</v>
      </c>
      <c r="B829" s="8">
        <v>26</v>
      </c>
      <c r="C829" s="8">
        <v>19</v>
      </c>
      <c r="D829" s="8">
        <v>33.799999999999997</v>
      </c>
      <c r="E829" s="8">
        <v>0</v>
      </c>
      <c r="F829" s="8" t="str">
        <f>IF(OR(B829&lt;outliers!$B$7,B829&gt;outliers!$B$6),"Outlier","Normal")</f>
        <v>Normal</v>
      </c>
      <c r="G829" s="8" t="str">
        <f>IF(OR(C829&lt;outliers!$B$14,C829&gt;outliers!$B$13),"Outlier","Normal")</f>
        <v>Normal</v>
      </c>
      <c r="H829" s="8" t="str">
        <f>IF(OR(D829&lt;outliers!$B$21,D829&gt;outliers!$B$20),"Outlier","Normal")</f>
        <v>Normal</v>
      </c>
      <c r="I829" s="8" t="str">
        <f>IF(OR(E829&lt;outliers!$C$28,E829&gt;outliers!$B$27),"Outlier","Normal")</f>
        <v>Normal</v>
      </c>
      <c r="J829" s="8">
        <f t="shared" si="24"/>
        <v>2021</v>
      </c>
      <c r="K829">
        <f t="shared" si="25"/>
        <v>3</v>
      </c>
    </row>
    <row r="830" spans="1:11" x14ac:dyDescent="0.35">
      <c r="A830" s="13">
        <v>44264</v>
      </c>
      <c r="B830" s="8">
        <v>25.6</v>
      </c>
      <c r="C830" s="8">
        <v>18.7</v>
      </c>
      <c r="D830" s="8">
        <v>33.5</v>
      </c>
      <c r="E830" s="8">
        <v>0</v>
      </c>
      <c r="F830" s="8" t="str">
        <f>IF(OR(B830&lt;outliers!$B$7,B830&gt;outliers!$B$6),"Outlier","Normal")</f>
        <v>Normal</v>
      </c>
      <c r="G830" s="8" t="str">
        <f>IF(OR(C830&lt;outliers!$B$14,C830&gt;outliers!$B$13),"Outlier","Normal")</f>
        <v>Normal</v>
      </c>
      <c r="H830" s="8" t="str">
        <f>IF(OR(D830&lt;outliers!$B$21,D830&gt;outliers!$B$20),"Outlier","Normal")</f>
        <v>Normal</v>
      </c>
      <c r="I830" s="8" t="str">
        <f>IF(OR(E830&lt;outliers!$C$28,E830&gt;outliers!$B$27),"Outlier","Normal")</f>
        <v>Normal</v>
      </c>
      <c r="J830" s="8">
        <f t="shared" si="24"/>
        <v>2021</v>
      </c>
      <c r="K830">
        <f t="shared" si="25"/>
        <v>3</v>
      </c>
    </row>
    <row r="831" spans="1:11" x14ac:dyDescent="0.35">
      <c r="A831" s="13">
        <v>44265</v>
      </c>
      <c r="B831" s="8">
        <v>27</v>
      </c>
      <c r="C831" s="8">
        <v>19.5</v>
      </c>
      <c r="D831" s="8">
        <v>33.6</v>
      </c>
      <c r="E831" s="8">
        <v>0</v>
      </c>
      <c r="F831" s="8" t="str">
        <f>IF(OR(B831&lt;outliers!$B$7,B831&gt;outliers!$B$6),"Outlier","Normal")</f>
        <v>Normal</v>
      </c>
      <c r="G831" s="8" t="str">
        <f>IF(OR(C831&lt;outliers!$B$14,C831&gt;outliers!$B$13),"Outlier","Normal")</f>
        <v>Normal</v>
      </c>
      <c r="H831" s="8" t="str">
        <f>IF(OR(D831&lt;outliers!$B$21,D831&gt;outliers!$B$20),"Outlier","Normal")</f>
        <v>Normal</v>
      </c>
      <c r="I831" s="8" t="str">
        <f>IF(OR(E831&lt;outliers!$C$28,E831&gt;outliers!$B$27),"Outlier","Normal")</f>
        <v>Normal</v>
      </c>
      <c r="J831" s="8">
        <f t="shared" si="24"/>
        <v>2021</v>
      </c>
      <c r="K831">
        <f t="shared" si="25"/>
        <v>3</v>
      </c>
    </row>
    <row r="832" spans="1:11" x14ac:dyDescent="0.35">
      <c r="A832" s="13">
        <v>44266</v>
      </c>
      <c r="B832" s="8">
        <v>25</v>
      </c>
      <c r="C832" s="8">
        <v>18.8</v>
      </c>
      <c r="D832" s="8">
        <v>32</v>
      </c>
      <c r="E832" s="8">
        <v>0</v>
      </c>
      <c r="F832" s="8" t="str">
        <f>IF(OR(B832&lt;outliers!$B$7,B832&gt;outliers!$B$6),"Outlier","Normal")</f>
        <v>Normal</v>
      </c>
      <c r="G832" s="8" t="str">
        <f>IF(OR(C832&lt;outliers!$B$14,C832&gt;outliers!$B$13),"Outlier","Normal")</f>
        <v>Normal</v>
      </c>
      <c r="H832" s="8" t="str">
        <f>IF(OR(D832&lt;outliers!$B$21,D832&gt;outliers!$B$20),"Outlier","Normal")</f>
        <v>Normal</v>
      </c>
      <c r="I832" s="8" t="str">
        <f>IF(OR(E832&lt;outliers!$C$28,E832&gt;outliers!$B$27),"Outlier","Normal")</f>
        <v>Normal</v>
      </c>
      <c r="J832" s="8">
        <f t="shared" si="24"/>
        <v>2021</v>
      </c>
      <c r="K832">
        <f t="shared" si="25"/>
        <v>3</v>
      </c>
    </row>
    <row r="833" spans="1:11" x14ac:dyDescent="0.35">
      <c r="A833" s="13">
        <v>44267</v>
      </c>
      <c r="B833" s="8">
        <v>24.6</v>
      </c>
      <c r="C833" s="8">
        <v>17.3</v>
      </c>
      <c r="D833" s="8">
        <v>32.200000000000003</v>
      </c>
      <c r="E833" s="8">
        <v>0</v>
      </c>
      <c r="F833" s="8" t="str">
        <f>IF(OR(B833&lt;outliers!$B$7,B833&gt;outliers!$B$6),"Outlier","Normal")</f>
        <v>Normal</v>
      </c>
      <c r="G833" s="8" t="str">
        <f>IF(OR(C833&lt;outliers!$B$14,C833&gt;outliers!$B$13),"Outlier","Normal")</f>
        <v>Normal</v>
      </c>
      <c r="H833" s="8" t="str">
        <f>IF(OR(D833&lt;outliers!$B$21,D833&gt;outliers!$B$20),"Outlier","Normal")</f>
        <v>Normal</v>
      </c>
      <c r="I833" s="8" t="str">
        <f>IF(OR(E833&lt;outliers!$C$28,E833&gt;outliers!$B$27),"Outlier","Normal")</f>
        <v>Normal</v>
      </c>
      <c r="J833" s="8">
        <f t="shared" si="24"/>
        <v>2021</v>
      </c>
      <c r="K833">
        <f t="shared" si="25"/>
        <v>3</v>
      </c>
    </row>
    <row r="834" spans="1:11" hidden="1" x14ac:dyDescent="0.35">
      <c r="A834" s="13">
        <v>44268</v>
      </c>
      <c r="B834" s="8">
        <v>24.1</v>
      </c>
      <c r="C834" s="8">
        <v>15.3</v>
      </c>
      <c r="D834" s="8">
        <v>31</v>
      </c>
      <c r="E834" s="8">
        <v>0</v>
      </c>
      <c r="F834" s="8" t="str">
        <f>IF(OR(B834&lt;outliers!$B$7,B834&gt;outliers!$B$6),"Outlier","Normal")</f>
        <v>Normal</v>
      </c>
      <c r="G834" s="8" t="str">
        <f>IF(OR(C834&lt;outliers!$B$14,C834&gt;outliers!$B$13),"Outlier","Normal")</f>
        <v>Outlier</v>
      </c>
      <c r="H834" s="8" t="str">
        <f>IF(OR(D834&lt;outliers!$B$21,D834&gt;outliers!$B$20),"Outlier","Normal")</f>
        <v>Normal</v>
      </c>
      <c r="I834" s="8" t="str">
        <f>IF(OR(E834&lt;outliers!$C$28,E834&gt;outliers!$B$27),"Outlier","Normal")</f>
        <v>Normal</v>
      </c>
      <c r="J834" s="8">
        <f t="shared" si="24"/>
        <v>2021</v>
      </c>
      <c r="K834">
        <f t="shared" si="25"/>
        <v>3</v>
      </c>
    </row>
    <row r="835" spans="1:11" hidden="1" x14ac:dyDescent="0.35">
      <c r="A835" s="13">
        <v>44269</v>
      </c>
      <c r="B835" s="8">
        <v>24.7</v>
      </c>
      <c r="C835" s="8">
        <v>15.6</v>
      </c>
      <c r="D835" s="8">
        <v>32.4</v>
      </c>
      <c r="E835" s="8">
        <v>0</v>
      </c>
      <c r="F835" s="8" t="str">
        <f>IF(OR(B835&lt;outliers!$B$7,B835&gt;outliers!$B$6),"Outlier","Normal")</f>
        <v>Normal</v>
      </c>
      <c r="G835" s="8" t="str">
        <f>IF(OR(C835&lt;outliers!$B$14,C835&gt;outliers!$B$13),"Outlier","Normal")</f>
        <v>Outlier</v>
      </c>
      <c r="H835" s="8" t="str">
        <f>IF(OR(D835&lt;outliers!$B$21,D835&gt;outliers!$B$20),"Outlier","Normal")</f>
        <v>Normal</v>
      </c>
      <c r="I835" s="8" t="str">
        <f>IF(OR(E835&lt;outliers!$C$28,E835&gt;outliers!$B$27),"Outlier","Normal")</f>
        <v>Normal</v>
      </c>
      <c r="J835" s="8">
        <f t="shared" si="24"/>
        <v>2021</v>
      </c>
      <c r="K835">
        <f t="shared" si="25"/>
        <v>3</v>
      </c>
    </row>
    <row r="836" spans="1:11" hidden="1" x14ac:dyDescent="0.35">
      <c r="A836" s="13">
        <v>44270</v>
      </c>
      <c r="B836" s="8">
        <v>25.1</v>
      </c>
      <c r="C836" s="8">
        <v>16.2</v>
      </c>
      <c r="D836" s="8">
        <v>32.4</v>
      </c>
      <c r="E836" s="8">
        <v>0</v>
      </c>
      <c r="F836" s="8" t="str">
        <f>IF(OR(B836&lt;outliers!$B$7,B836&gt;outliers!$B$6),"Outlier","Normal")</f>
        <v>Normal</v>
      </c>
      <c r="G836" s="8" t="str">
        <f>IF(OR(C836&lt;outliers!$B$14,C836&gt;outliers!$B$13),"Outlier","Normal")</f>
        <v>Outlier</v>
      </c>
      <c r="H836" s="8" t="str">
        <f>IF(OR(D836&lt;outliers!$B$21,D836&gt;outliers!$B$20),"Outlier","Normal")</f>
        <v>Normal</v>
      </c>
      <c r="I836" s="8" t="str">
        <f>IF(OR(E836&lt;outliers!$C$28,E836&gt;outliers!$B$27),"Outlier","Normal")</f>
        <v>Normal</v>
      </c>
      <c r="J836" s="8">
        <f t="shared" ref="J836:J899" si="26">YEAR(A836)</f>
        <v>2021</v>
      </c>
      <c r="K836">
        <f t="shared" ref="K836:K899" si="27">MONTH(A836)</f>
        <v>3</v>
      </c>
    </row>
    <row r="837" spans="1:11" x14ac:dyDescent="0.35">
      <c r="A837" s="13">
        <v>44271</v>
      </c>
      <c r="B837" s="8">
        <v>25.9</v>
      </c>
      <c r="C837" s="8">
        <v>17.899999999999999</v>
      </c>
      <c r="D837" s="8">
        <v>32.799999999999997</v>
      </c>
      <c r="E837" s="8">
        <v>0</v>
      </c>
      <c r="F837" s="8" t="str">
        <f>IF(OR(B837&lt;outliers!$B$7,B837&gt;outliers!$B$6),"Outlier","Normal")</f>
        <v>Normal</v>
      </c>
      <c r="G837" s="8" t="str">
        <f>IF(OR(C837&lt;outliers!$B$14,C837&gt;outliers!$B$13),"Outlier","Normal")</f>
        <v>Normal</v>
      </c>
      <c r="H837" s="8" t="str">
        <f>IF(OR(D837&lt;outliers!$B$21,D837&gt;outliers!$B$20),"Outlier","Normal")</f>
        <v>Normal</v>
      </c>
      <c r="I837" s="8" t="str">
        <f>IF(OR(E837&lt;outliers!$C$28,E837&gt;outliers!$B$27),"Outlier","Normal")</f>
        <v>Normal</v>
      </c>
      <c r="J837" s="8">
        <f t="shared" si="26"/>
        <v>2021</v>
      </c>
      <c r="K837">
        <f t="shared" si="27"/>
        <v>3</v>
      </c>
    </row>
    <row r="838" spans="1:11" hidden="1" x14ac:dyDescent="0.35">
      <c r="A838" s="13">
        <v>44272</v>
      </c>
      <c r="B838" s="8">
        <v>25.5</v>
      </c>
      <c r="C838" s="8">
        <v>16.399999999999999</v>
      </c>
      <c r="D838" s="8">
        <v>32.4</v>
      </c>
      <c r="E838" s="8">
        <v>0</v>
      </c>
      <c r="F838" s="8" t="str">
        <f>IF(OR(B838&lt;outliers!$B$7,B838&gt;outliers!$B$6),"Outlier","Normal")</f>
        <v>Normal</v>
      </c>
      <c r="G838" s="8" t="str">
        <f>IF(OR(C838&lt;outliers!$B$14,C838&gt;outliers!$B$13),"Outlier","Normal")</f>
        <v>Outlier</v>
      </c>
      <c r="H838" s="8" t="str">
        <f>IF(OR(D838&lt;outliers!$B$21,D838&gt;outliers!$B$20),"Outlier","Normal")</f>
        <v>Normal</v>
      </c>
      <c r="I838" s="8" t="str">
        <f>IF(OR(E838&lt;outliers!$C$28,E838&gt;outliers!$B$27),"Outlier","Normal")</f>
        <v>Normal</v>
      </c>
      <c r="J838" s="8">
        <f t="shared" si="26"/>
        <v>2021</v>
      </c>
      <c r="K838">
        <f t="shared" si="27"/>
        <v>3</v>
      </c>
    </row>
    <row r="839" spans="1:11" x14ac:dyDescent="0.35">
      <c r="A839" s="13">
        <v>44273</v>
      </c>
      <c r="B839" s="8">
        <v>25.5</v>
      </c>
      <c r="C839" s="8">
        <v>17</v>
      </c>
      <c r="D839" s="8">
        <v>32.799999999999997</v>
      </c>
      <c r="E839" s="8">
        <v>0</v>
      </c>
      <c r="F839" s="8" t="str">
        <f>IF(OR(B839&lt;outliers!$B$7,B839&gt;outliers!$B$6),"Outlier","Normal")</f>
        <v>Normal</v>
      </c>
      <c r="G839" s="8" t="str">
        <f>IF(OR(C839&lt;outliers!$B$14,C839&gt;outliers!$B$13),"Outlier","Normal")</f>
        <v>Normal</v>
      </c>
      <c r="H839" s="8" t="str">
        <f>IF(OR(D839&lt;outliers!$B$21,D839&gt;outliers!$B$20),"Outlier","Normal")</f>
        <v>Normal</v>
      </c>
      <c r="I839" s="8" t="str">
        <f>IF(OR(E839&lt;outliers!$C$28,E839&gt;outliers!$B$27),"Outlier","Normal")</f>
        <v>Normal</v>
      </c>
      <c r="J839" s="8">
        <f t="shared" si="26"/>
        <v>2021</v>
      </c>
      <c r="K839">
        <f t="shared" si="27"/>
        <v>3</v>
      </c>
    </row>
    <row r="840" spans="1:11" x14ac:dyDescent="0.35">
      <c r="A840" s="13">
        <v>44274</v>
      </c>
      <c r="B840" s="8">
        <v>25.3</v>
      </c>
      <c r="C840" s="8">
        <v>17.8</v>
      </c>
      <c r="D840" s="8">
        <v>32.799999999999997</v>
      </c>
      <c r="E840" s="8">
        <v>0</v>
      </c>
      <c r="F840" s="8" t="str">
        <f>IF(OR(B840&lt;outliers!$B$7,B840&gt;outliers!$B$6),"Outlier","Normal")</f>
        <v>Normal</v>
      </c>
      <c r="G840" s="8" t="str">
        <f>IF(OR(C840&lt;outliers!$B$14,C840&gt;outliers!$B$13),"Outlier","Normal")</f>
        <v>Normal</v>
      </c>
      <c r="H840" s="8" t="str">
        <f>IF(OR(D840&lt;outliers!$B$21,D840&gt;outliers!$B$20),"Outlier","Normal")</f>
        <v>Normal</v>
      </c>
      <c r="I840" s="8" t="str">
        <f>IF(OR(E840&lt;outliers!$C$28,E840&gt;outliers!$B$27),"Outlier","Normal")</f>
        <v>Normal</v>
      </c>
      <c r="J840" s="8">
        <f t="shared" si="26"/>
        <v>2021</v>
      </c>
      <c r="K840">
        <f t="shared" si="27"/>
        <v>3</v>
      </c>
    </row>
    <row r="841" spans="1:11" x14ac:dyDescent="0.35">
      <c r="A841" s="13">
        <v>44275</v>
      </c>
      <c r="B841" s="8">
        <v>25.3</v>
      </c>
      <c r="C841" s="8">
        <v>16.899999999999999</v>
      </c>
      <c r="D841" s="8">
        <v>32.200000000000003</v>
      </c>
      <c r="E841" s="8">
        <v>0</v>
      </c>
      <c r="F841" s="8" t="str">
        <f>IF(OR(B841&lt;outliers!$B$7,B841&gt;outliers!$B$6),"Outlier","Normal")</f>
        <v>Normal</v>
      </c>
      <c r="G841" s="8" t="str">
        <f>IF(OR(C841&lt;outliers!$B$14,C841&gt;outliers!$B$13),"Outlier","Normal")</f>
        <v>Normal</v>
      </c>
      <c r="H841" s="8" t="str">
        <f>IF(OR(D841&lt;outliers!$B$21,D841&gt;outliers!$B$20),"Outlier","Normal")</f>
        <v>Normal</v>
      </c>
      <c r="I841" s="8" t="str">
        <f>IF(OR(E841&lt;outliers!$C$28,E841&gt;outliers!$B$27),"Outlier","Normal")</f>
        <v>Normal</v>
      </c>
      <c r="J841" s="8">
        <f t="shared" si="26"/>
        <v>2021</v>
      </c>
      <c r="K841">
        <f t="shared" si="27"/>
        <v>3</v>
      </c>
    </row>
    <row r="842" spans="1:11" x14ac:dyDescent="0.35">
      <c r="A842" s="13">
        <v>44276</v>
      </c>
      <c r="B842" s="8">
        <v>25.9</v>
      </c>
      <c r="C842" s="8">
        <v>18.399999999999999</v>
      </c>
      <c r="D842" s="8">
        <v>33</v>
      </c>
      <c r="E842" s="8">
        <v>0</v>
      </c>
      <c r="F842" s="8" t="str">
        <f>IF(OR(B842&lt;outliers!$B$7,B842&gt;outliers!$B$6),"Outlier","Normal")</f>
        <v>Normal</v>
      </c>
      <c r="G842" s="8" t="str">
        <f>IF(OR(C842&lt;outliers!$B$14,C842&gt;outliers!$B$13),"Outlier","Normal")</f>
        <v>Normal</v>
      </c>
      <c r="H842" s="8" t="str">
        <f>IF(OR(D842&lt;outliers!$B$21,D842&gt;outliers!$B$20),"Outlier","Normal")</f>
        <v>Normal</v>
      </c>
      <c r="I842" s="8" t="str">
        <f>IF(OR(E842&lt;outliers!$C$28,E842&gt;outliers!$B$27),"Outlier","Normal")</f>
        <v>Normal</v>
      </c>
      <c r="J842" s="8">
        <f t="shared" si="26"/>
        <v>2021</v>
      </c>
      <c r="K842">
        <f t="shared" si="27"/>
        <v>3</v>
      </c>
    </row>
    <row r="843" spans="1:11" x14ac:dyDescent="0.35">
      <c r="A843" s="13">
        <v>44277</v>
      </c>
      <c r="B843" s="8">
        <v>26.2</v>
      </c>
      <c r="C843" s="8">
        <v>17.5</v>
      </c>
      <c r="D843" s="8">
        <v>33.799999999999997</v>
      </c>
      <c r="E843" s="8">
        <v>0</v>
      </c>
      <c r="F843" s="8" t="str">
        <f>IF(OR(B843&lt;outliers!$B$7,B843&gt;outliers!$B$6),"Outlier","Normal")</f>
        <v>Normal</v>
      </c>
      <c r="G843" s="8" t="str">
        <f>IF(OR(C843&lt;outliers!$B$14,C843&gt;outliers!$B$13),"Outlier","Normal")</f>
        <v>Normal</v>
      </c>
      <c r="H843" s="8" t="str">
        <f>IF(OR(D843&lt;outliers!$B$21,D843&gt;outliers!$B$20),"Outlier","Normal")</f>
        <v>Normal</v>
      </c>
      <c r="I843" s="8" t="str">
        <f>IF(OR(E843&lt;outliers!$C$28,E843&gt;outliers!$B$27),"Outlier","Normal")</f>
        <v>Normal</v>
      </c>
      <c r="J843" s="8">
        <f t="shared" si="26"/>
        <v>2021</v>
      </c>
      <c r="K843">
        <f t="shared" si="27"/>
        <v>3</v>
      </c>
    </row>
    <row r="844" spans="1:11" x14ac:dyDescent="0.35">
      <c r="A844" s="13">
        <v>44278</v>
      </c>
      <c r="B844" s="8">
        <v>26.6</v>
      </c>
      <c r="C844" s="8">
        <v>18.2</v>
      </c>
      <c r="D844" s="8">
        <v>34.200000000000003</v>
      </c>
      <c r="E844" s="8">
        <v>0</v>
      </c>
      <c r="F844" s="8" t="str">
        <f>IF(OR(B844&lt;outliers!$B$7,B844&gt;outliers!$B$6),"Outlier","Normal")</f>
        <v>Normal</v>
      </c>
      <c r="G844" s="8" t="str">
        <f>IF(OR(C844&lt;outliers!$B$14,C844&gt;outliers!$B$13),"Outlier","Normal")</f>
        <v>Normal</v>
      </c>
      <c r="H844" s="8" t="str">
        <f>IF(OR(D844&lt;outliers!$B$21,D844&gt;outliers!$B$20),"Outlier","Normal")</f>
        <v>Normal</v>
      </c>
      <c r="I844" s="8" t="str">
        <f>IF(OR(E844&lt;outliers!$C$28,E844&gt;outliers!$B$27),"Outlier","Normal")</f>
        <v>Normal</v>
      </c>
      <c r="J844" s="8">
        <f t="shared" si="26"/>
        <v>2021</v>
      </c>
      <c r="K844">
        <f t="shared" si="27"/>
        <v>3</v>
      </c>
    </row>
    <row r="845" spans="1:11" x14ac:dyDescent="0.35">
      <c r="A845" s="13">
        <v>44279</v>
      </c>
      <c r="B845" s="8">
        <v>26.7</v>
      </c>
      <c r="C845" s="8">
        <v>18.3</v>
      </c>
      <c r="D845" s="8">
        <v>33.799999999999997</v>
      </c>
      <c r="E845" s="8">
        <v>0</v>
      </c>
      <c r="F845" s="8" t="str">
        <f>IF(OR(B845&lt;outliers!$B$7,B845&gt;outliers!$B$6),"Outlier","Normal")</f>
        <v>Normal</v>
      </c>
      <c r="G845" s="8" t="str">
        <f>IF(OR(C845&lt;outliers!$B$14,C845&gt;outliers!$B$13),"Outlier","Normal")</f>
        <v>Normal</v>
      </c>
      <c r="H845" s="8" t="str">
        <f>IF(OR(D845&lt;outliers!$B$21,D845&gt;outliers!$B$20),"Outlier","Normal")</f>
        <v>Normal</v>
      </c>
      <c r="I845" s="8" t="str">
        <f>IF(OR(E845&lt;outliers!$C$28,E845&gt;outliers!$B$27),"Outlier","Normal")</f>
        <v>Normal</v>
      </c>
      <c r="J845" s="8">
        <f t="shared" si="26"/>
        <v>2021</v>
      </c>
      <c r="K845">
        <f t="shared" si="27"/>
        <v>3</v>
      </c>
    </row>
    <row r="846" spans="1:11" x14ac:dyDescent="0.35">
      <c r="A846" s="13">
        <v>44280</v>
      </c>
      <c r="B846" s="8">
        <v>27.2</v>
      </c>
      <c r="C846" s="8">
        <v>18.7</v>
      </c>
      <c r="D846" s="8">
        <v>33.6</v>
      </c>
      <c r="E846" s="8">
        <v>0</v>
      </c>
      <c r="F846" s="8" t="str">
        <f>IF(OR(B846&lt;outliers!$B$7,B846&gt;outliers!$B$6),"Outlier","Normal")</f>
        <v>Normal</v>
      </c>
      <c r="G846" s="8" t="str">
        <f>IF(OR(C846&lt;outliers!$B$14,C846&gt;outliers!$B$13),"Outlier","Normal")</f>
        <v>Normal</v>
      </c>
      <c r="H846" s="8" t="str">
        <f>IF(OR(D846&lt;outliers!$B$21,D846&gt;outliers!$B$20),"Outlier","Normal")</f>
        <v>Normal</v>
      </c>
      <c r="I846" s="8" t="str">
        <f>IF(OR(E846&lt;outliers!$C$28,E846&gt;outliers!$B$27),"Outlier","Normal")</f>
        <v>Normal</v>
      </c>
      <c r="J846" s="8">
        <f t="shared" si="26"/>
        <v>2021</v>
      </c>
      <c r="K846">
        <f t="shared" si="27"/>
        <v>3</v>
      </c>
    </row>
    <row r="847" spans="1:11" x14ac:dyDescent="0.35">
      <c r="A847" s="13">
        <v>44281</v>
      </c>
      <c r="B847" s="8">
        <v>27.2</v>
      </c>
      <c r="C847" s="8">
        <v>19.3</v>
      </c>
      <c r="D847" s="8">
        <v>35</v>
      </c>
      <c r="E847" s="8">
        <v>0</v>
      </c>
      <c r="F847" s="8" t="str">
        <f>IF(OR(B847&lt;outliers!$B$7,B847&gt;outliers!$B$6),"Outlier","Normal")</f>
        <v>Normal</v>
      </c>
      <c r="G847" s="8" t="str">
        <f>IF(OR(C847&lt;outliers!$B$14,C847&gt;outliers!$B$13),"Outlier","Normal")</f>
        <v>Normal</v>
      </c>
      <c r="H847" s="8" t="str">
        <f>IF(OR(D847&lt;outliers!$B$21,D847&gt;outliers!$B$20),"Outlier","Normal")</f>
        <v>Normal</v>
      </c>
      <c r="I847" s="8" t="str">
        <f>IF(OR(E847&lt;outliers!$C$28,E847&gt;outliers!$B$27),"Outlier","Normal")</f>
        <v>Normal</v>
      </c>
      <c r="J847" s="8">
        <f t="shared" si="26"/>
        <v>2021</v>
      </c>
      <c r="K847">
        <f t="shared" si="27"/>
        <v>3</v>
      </c>
    </row>
    <row r="848" spans="1:11" x14ac:dyDescent="0.35">
      <c r="A848" s="13">
        <v>44282</v>
      </c>
      <c r="B848" s="8">
        <v>27.2</v>
      </c>
      <c r="C848" s="8">
        <v>19.100000000000001</v>
      </c>
      <c r="D848" s="8">
        <v>34.4</v>
      </c>
      <c r="E848" s="8">
        <v>0</v>
      </c>
      <c r="F848" s="8" t="str">
        <f>IF(OR(B848&lt;outliers!$B$7,B848&gt;outliers!$B$6),"Outlier","Normal")</f>
        <v>Normal</v>
      </c>
      <c r="G848" s="8" t="str">
        <f>IF(OR(C848&lt;outliers!$B$14,C848&gt;outliers!$B$13),"Outlier","Normal")</f>
        <v>Normal</v>
      </c>
      <c r="H848" s="8" t="str">
        <f>IF(OR(D848&lt;outliers!$B$21,D848&gt;outliers!$B$20),"Outlier","Normal")</f>
        <v>Normal</v>
      </c>
      <c r="I848" s="8" t="str">
        <f>IF(OR(E848&lt;outliers!$C$28,E848&gt;outliers!$B$27),"Outlier","Normal")</f>
        <v>Normal</v>
      </c>
      <c r="J848" s="8">
        <f t="shared" si="26"/>
        <v>2021</v>
      </c>
      <c r="K848">
        <f t="shared" si="27"/>
        <v>3</v>
      </c>
    </row>
    <row r="849" spans="1:11" x14ac:dyDescent="0.35">
      <c r="A849" s="13">
        <v>44283</v>
      </c>
      <c r="B849" s="8">
        <v>27.2</v>
      </c>
      <c r="C849" s="8">
        <v>19.8</v>
      </c>
      <c r="D849" s="8">
        <v>34.1</v>
      </c>
      <c r="E849" s="8">
        <v>0</v>
      </c>
      <c r="F849" s="8" t="str">
        <f>IF(OR(B849&lt;outliers!$B$7,B849&gt;outliers!$B$6),"Outlier","Normal")</f>
        <v>Normal</v>
      </c>
      <c r="G849" s="8" t="str">
        <f>IF(OR(C849&lt;outliers!$B$14,C849&gt;outliers!$B$13),"Outlier","Normal")</f>
        <v>Normal</v>
      </c>
      <c r="H849" s="8" t="str">
        <f>IF(OR(D849&lt;outliers!$B$21,D849&gt;outliers!$B$20),"Outlier","Normal")</f>
        <v>Normal</v>
      </c>
      <c r="I849" s="8" t="str">
        <f>IF(OR(E849&lt;outliers!$C$28,E849&gt;outliers!$B$27),"Outlier","Normal")</f>
        <v>Normal</v>
      </c>
      <c r="J849" s="8">
        <f t="shared" si="26"/>
        <v>2021</v>
      </c>
      <c r="K849">
        <f t="shared" si="27"/>
        <v>3</v>
      </c>
    </row>
    <row r="850" spans="1:11" x14ac:dyDescent="0.35">
      <c r="A850" s="13">
        <v>44284</v>
      </c>
      <c r="B850" s="8">
        <v>27.5</v>
      </c>
      <c r="C850" s="8">
        <v>20</v>
      </c>
      <c r="D850" s="8">
        <v>34.5</v>
      </c>
      <c r="E850" s="8">
        <v>0</v>
      </c>
      <c r="F850" s="8" t="str">
        <f>IF(OR(B850&lt;outliers!$B$7,B850&gt;outliers!$B$6),"Outlier","Normal")</f>
        <v>Normal</v>
      </c>
      <c r="G850" s="8" t="str">
        <f>IF(OR(C850&lt;outliers!$B$14,C850&gt;outliers!$B$13),"Outlier","Normal")</f>
        <v>Normal</v>
      </c>
      <c r="H850" s="8" t="str">
        <f>IF(OR(D850&lt;outliers!$B$21,D850&gt;outliers!$B$20),"Outlier","Normal")</f>
        <v>Normal</v>
      </c>
      <c r="I850" s="8" t="str">
        <f>IF(OR(E850&lt;outliers!$C$28,E850&gt;outliers!$B$27),"Outlier","Normal")</f>
        <v>Normal</v>
      </c>
      <c r="J850" s="8">
        <f t="shared" si="26"/>
        <v>2021</v>
      </c>
      <c r="K850">
        <f t="shared" si="27"/>
        <v>3</v>
      </c>
    </row>
    <row r="851" spans="1:11" x14ac:dyDescent="0.35">
      <c r="A851" s="13">
        <v>44285</v>
      </c>
      <c r="B851" s="8">
        <v>27.7</v>
      </c>
      <c r="C851" s="8">
        <v>21.4</v>
      </c>
      <c r="D851" s="8">
        <v>34.1</v>
      </c>
      <c r="E851" s="8">
        <v>0</v>
      </c>
      <c r="F851" s="8" t="str">
        <f>IF(OR(B851&lt;outliers!$B$7,B851&gt;outliers!$B$6),"Outlier","Normal")</f>
        <v>Normal</v>
      </c>
      <c r="G851" s="8" t="str">
        <f>IF(OR(C851&lt;outliers!$B$14,C851&gt;outliers!$B$13),"Outlier","Normal")</f>
        <v>Normal</v>
      </c>
      <c r="H851" s="8" t="str">
        <f>IF(OR(D851&lt;outliers!$B$21,D851&gt;outliers!$B$20),"Outlier","Normal")</f>
        <v>Normal</v>
      </c>
      <c r="I851" s="8" t="str">
        <f>IF(OR(E851&lt;outliers!$C$28,E851&gt;outliers!$B$27),"Outlier","Normal")</f>
        <v>Normal</v>
      </c>
      <c r="J851" s="8">
        <f t="shared" si="26"/>
        <v>2021</v>
      </c>
      <c r="K851">
        <f t="shared" si="27"/>
        <v>3</v>
      </c>
    </row>
    <row r="852" spans="1:11" x14ac:dyDescent="0.35">
      <c r="A852" s="13">
        <v>44287</v>
      </c>
      <c r="B852" s="8">
        <v>28.1</v>
      </c>
      <c r="C852" s="8">
        <v>21</v>
      </c>
      <c r="D852" s="8">
        <v>35.6</v>
      </c>
      <c r="E852" s="8">
        <v>0</v>
      </c>
      <c r="F852" s="8" t="str">
        <f>IF(OR(B852&lt;outliers!$B$7,B852&gt;outliers!$B$6),"Outlier","Normal")</f>
        <v>Normal</v>
      </c>
      <c r="G852" s="8" t="str">
        <f>IF(OR(C852&lt;outliers!$B$14,C852&gt;outliers!$B$13),"Outlier","Normal")</f>
        <v>Normal</v>
      </c>
      <c r="H852" s="8" t="str">
        <f>IF(OR(D852&lt;outliers!$B$21,D852&gt;outliers!$B$20),"Outlier","Normal")</f>
        <v>Normal</v>
      </c>
      <c r="I852" s="8" t="str">
        <f>IF(OR(E852&lt;outliers!$C$28,E852&gt;outliers!$B$27),"Outlier","Normal")</f>
        <v>Normal</v>
      </c>
      <c r="J852" s="8">
        <f t="shared" si="26"/>
        <v>2021</v>
      </c>
      <c r="K852">
        <f t="shared" si="27"/>
        <v>4</v>
      </c>
    </row>
    <row r="853" spans="1:11" x14ac:dyDescent="0.35">
      <c r="A853" s="13">
        <v>44288</v>
      </c>
      <c r="B853" s="8">
        <v>27.7</v>
      </c>
      <c r="C853" s="8">
        <v>19.3</v>
      </c>
      <c r="D853" s="8">
        <v>35.6</v>
      </c>
      <c r="E853" s="8">
        <v>0</v>
      </c>
      <c r="F853" s="8" t="str">
        <f>IF(OR(B853&lt;outliers!$B$7,B853&gt;outliers!$B$6),"Outlier","Normal")</f>
        <v>Normal</v>
      </c>
      <c r="G853" s="8" t="str">
        <f>IF(OR(C853&lt;outliers!$B$14,C853&gt;outliers!$B$13),"Outlier","Normal")</f>
        <v>Normal</v>
      </c>
      <c r="H853" s="8" t="str">
        <f>IF(OR(D853&lt;outliers!$B$21,D853&gt;outliers!$B$20),"Outlier","Normal")</f>
        <v>Normal</v>
      </c>
      <c r="I853" s="8" t="str">
        <f>IF(OR(E853&lt;outliers!$C$28,E853&gt;outliers!$B$27),"Outlier","Normal")</f>
        <v>Normal</v>
      </c>
      <c r="J853" s="8">
        <f t="shared" si="26"/>
        <v>2021</v>
      </c>
      <c r="K853">
        <f t="shared" si="27"/>
        <v>4</v>
      </c>
    </row>
    <row r="854" spans="1:11" x14ac:dyDescent="0.35">
      <c r="A854" s="13">
        <v>44289</v>
      </c>
      <c r="B854" s="8">
        <v>27.7</v>
      </c>
      <c r="C854" s="8">
        <v>20.6</v>
      </c>
      <c r="D854" s="8">
        <v>34.4</v>
      </c>
      <c r="E854" s="8">
        <v>0</v>
      </c>
      <c r="F854" s="8" t="str">
        <f>IF(OR(B854&lt;outliers!$B$7,B854&gt;outliers!$B$6),"Outlier","Normal")</f>
        <v>Normal</v>
      </c>
      <c r="G854" s="8" t="str">
        <f>IF(OR(C854&lt;outliers!$B$14,C854&gt;outliers!$B$13),"Outlier","Normal")</f>
        <v>Normal</v>
      </c>
      <c r="H854" s="8" t="str">
        <f>IF(OR(D854&lt;outliers!$B$21,D854&gt;outliers!$B$20),"Outlier","Normal")</f>
        <v>Normal</v>
      </c>
      <c r="I854" s="8" t="str">
        <f>IF(OR(E854&lt;outliers!$C$28,E854&gt;outliers!$B$27),"Outlier","Normal")</f>
        <v>Normal</v>
      </c>
      <c r="J854" s="8">
        <f t="shared" si="26"/>
        <v>2021</v>
      </c>
      <c r="K854">
        <f t="shared" si="27"/>
        <v>4</v>
      </c>
    </row>
    <row r="855" spans="1:11" x14ac:dyDescent="0.35">
      <c r="A855" s="13">
        <v>44291</v>
      </c>
      <c r="B855" s="8">
        <v>27.7</v>
      </c>
      <c r="C855" s="8">
        <v>21.4</v>
      </c>
      <c r="D855" s="8">
        <v>33.299999999999997</v>
      </c>
      <c r="E855" s="8">
        <v>0</v>
      </c>
      <c r="F855" s="8" t="str">
        <f>IF(OR(B855&lt;outliers!$B$7,B855&gt;outliers!$B$6),"Outlier","Normal")</f>
        <v>Normal</v>
      </c>
      <c r="G855" s="8" t="str">
        <f>IF(OR(C855&lt;outliers!$B$14,C855&gt;outliers!$B$13),"Outlier","Normal")</f>
        <v>Normal</v>
      </c>
      <c r="H855" s="8" t="str">
        <f>IF(OR(D855&lt;outliers!$B$21,D855&gt;outliers!$B$20),"Outlier","Normal")</f>
        <v>Normal</v>
      </c>
      <c r="I855" s="8" t="str">
        <f>IF(OR(E855&lt;outliers!$C$28,E855&gt;outliers!$B$27),"Outlier","Normal")</f>
        <v>Normal</v>
      </c>
      <c r="J855" s="8">
        <f t="shared" si="26"/>
        <v>2021</v>
      </c>
      <c r="K855">
        <f t="shared" si="27"/>
        <v>4</v>
      </c>
    </row>
    <row r="856" spans="1:11" x14ac:dyDescent="0.35">
      <c r="A856" s="13">
        <v>44292</v>
      </c>
      <c r="B856" s="8">
        <v>27.3</v>
      </c>
      <c r="C856" s="8">
        <v>20.2</v>
      </c>
      <c r="D856" s="8">
        <v>34.4</v>
      </c>
      <c r="E856" s="8">
        <v>0</v>
      </c>
      <c r="F856" s="8" t="str">
        <f>IF(OR(B856&lt;outliers!$B$7,B856&gt;outliers!$B$6),"Outlier","Normal")</f>
        <v>Normal</v>
      </c>
      <c r="G856" s="8" t="str">
        <f>IF(OR(C856&lt;outliers!$B$14,C856&gt;outliers!$B$13),"Outlier","Normal")</f>
        <v>Normal</v>
      </c>
      <c r="H856" s="8" t="str">
        <f>IF(OR(D856&lt;outliers!$B$21,D856&gt;outliers!$B$20),"Outlier","Normal")</f>
        <v>Normal</v>
      </c>
      <c r="I856" s="8" t="str">
        <f>IF(OR(E856&lt;outliers!$C$28,E856&gt;outliers!$B$27),"Outlier","Normal")</f>
        <v>Normal</v>
      </c>
      <c r="J856" s="8">
        <f t="shared" si="26"/>
        <v>2021</v>
      </c>
      <c r="K856">
        <f t="shared" si="27"/>
        <v>4</v>
      </c>
    </row>
    <row r="857" spans="1:11" x14ac:dyDescent="0.35">
      <c r="A857" s="13">
        <v>44293</v>
      </c>
      <c r="B857" s="8">
        <v>27.6</v>
      </c>
      <c r="C857" s="8">
        <v>19.399999999999999</v>
      </c>
      <c r="D857" s="8">
        <v>35</v>
      </c>
      <c r="E857" s="8">
        <v>0</v>
      </c>
      <c r="F857" s="8" t="str">
        <f>IF(OR(B857&lt;outliers!$B$7,B857&gt;outliers!$B$6),"Outlier","Normal")</f>
        <v>Normal</v>
      </c>
      <c r="G857" s="8" t="str">
        <f>IF(OR(C857&lt;outliers!$B$14,C857&gt;outliers!$B$13),"Outlier","Normal")</f>
        <v>Normal</v>
      </c>
      <c r="H857" s="8" t="str">
        <f>IF(OR(D857&lt;outliers!$B$21,D857&gt;outliers!$B$20),"Outlier","Normal")</f>
        <v>Normal</v>
      </c>
      <c r="I857" s="8" t="str">
        <f>IF(OR(E857&lt;outliers!$C$28,E857&gt;outliers!$B$27),"Outlier","Normal")</f>
        <v>Normal</v>
      </c>
      <c r="J857" s="8">
        <f t="shared" si="26"/>
        <v>2021</v>
      </c>
      <c r="K857">
        <f t="shared" si="27"/>
        <v>4</v>
      </c>
    </row>
    <row r="858" spans="1:11" x14ac:dyDescent="0.35">
      <c r="A858" s="13">
        <v>44294</v>
      </c>
      <c r="B858" s="8">
        <v>27.3</v>
      </c>
      <c r="C858" s="8">
        <v>20.100000000000001</v>
      </c>
      <c r="D858" s="8">
        <v>34.200000000000003</v>
      </c>
      <c r="E858" s="8">
        <v>0</v>
      </c>
      <c r="F858" s="8" t="str">
        <f>IF(OR(B858&lt;outliers!$B$7,B858&gt;outliers!$B$6),"Outlier","Normal")</f>
        <v>Normal</v>
      </c>
      <c r="G858" s="8" t="str">
        <f>IF(OR(C858&lt;outliers!$B$14,C858&gt;outliers!$B$13),"Outlier","Normal")</f>
        <v>Normal</v>
      </c>
      <c r="H858" s="8" t="str">
        <f>IF(OR(D858&lt;outliers!$B$21,D858&gt;outliers!$B$20),"Outlier","Normal")</f>
        <v>Normal</v>
      </c>
      <c r="I858" s="8" t="str">
        <f>IF(OR(E858&lt;outliers!$C$28,E858&gt;outliers!$B$27),"Outlier","Normal")</f>
        <v>Normal</v>
      </c>
      <c r="J858" s="8">
        <f t="shared" si="26"/>
        <v>2021</v>
      </c>
      <c r="K858">
        <f t="shared" si="27"/>
        <v>4</v>
      </c>
    </row>
    <row r="859" spans="1:11" x14ac:dyDescent="0.35">
      <c r="A859" s="13">
        <v>44295</v>
      </c>
      <c r="B859" s="8">
        <v>27.1</v>
      </c>
      <c r="C859" s="8">
        <v>19.5</v>
      </c>
      <c r="D859" s="8">
        <v>34</v>
      </c>
      <c r="E859" s="8">
        <v>0</v>
      </c>
      <c r="F859" s="8" t="str">
        <f>IF(OR(B859&lt;outliers!$B$7,B859&gt;outliers!$B$6),"Outlier","Normal")</f>
        <v>Normal</v>
      </c>
      <c r="G859" s="8" t="str">
        <f>IF(OR(C859&lt;outliers!$B$14,C859&gt;outliers!$B$13),"Outlier","Normal")</f>
        <v>Normal</v>
      </c>
      <c r="H859" s="8" t="str">
        <f>IF(OR(D859&lt;outliers!$B$21,D859&gt;outliers!$B$20),"Outlier","Normal")</f>
        <v>Normal</v>
      </c>
      <c r="I859" s="8" t="str">
        <f>IF(OR(E859&lt;outliers!$C$28,E859&gt;outliers!$B$27),"Outlier","Normal")</f>
        <v>Normal</v>
      </c>
      <c r="J859" s="8">
        <f t="shared" si="26"/>
        <v>2021</v>
      </c>
      <c r="K859">
        <f t="shared" si="27"/>
        <v>4</v>
      </c>
    </row>
    <row r="860" spans="1:11" x14ac:dyDescent="0.35">
      <c r="A860" s="13">
        <v>44296</v>
      </c>
      <c r="B860" s="8">
        <v>26.5</v>
      </c>
      <c r="C860" s="8">
        <v>19.3</v>
      </c>
      <c r="D860" s="8">
        <v>33.299999999999997</v>
      </c>
      <c r="E860" s="8">
        <v>0</v>
      </c>
      <c r="F860" s="8" t="str">
        <f>IF(OR(B860&lt;outliers!$B$7,B860&gt;outliers!$B$6),"Outlier","Normal")</f>
        <v>Normal</v>
      </c>
      <c r="G860" s="8" t="str">
        <f>IF(OR(C860&lt;outliers!$B$14,C860&gt;outliers!$B$13),"Outlier","Normal")</f>
        <v>Normal</v>
      </c>
      <c r="H860" s="8" t="str">
        <f>IF(OR(D860&lt;outliers!$B$21,D860&gt;outliers!$B$20),"Outlier","Normal")</f>
        <v>Normal</v>
      </c>
      <c r="I860" s="8" t="str">
        <f>IF(OR(E860&lt;outliers!$C$28,E860&gt;outliers!$B$27),"Outlier","Normal")</f>
        <v>Normal</v>
      </c>
      <c r="J860" s="8">
        <f t="shared" si="26"/>
        <v>2021</v>
      </c>
      <c r="K860">
        <f t="shared" si="27"/>
        <v>4</v>
      </c>
    </row>
    <row r="861" spans="1:11" x14ac:dyDescent="0.35">
      <c r="A861" s="13">
        <v>44297</v>
      </c>
      <c r="B861" s="8">
        <v>26.5</v>
      </c>
      <c r="C861" s="8">
        <v>19.399999999999999</v>
      </c>
      <c r="D861" s="8">
        <v>33.200000000000003</v>
      </c>
      <c r="E861" s="8">
        <v>0</v>
      </c>
      <c r="F861" s="8" t="str">
        <f>IF(OR(B861&lt;outliers!$B$7,B861&gt;outliers!$B$6),"Outlier","Normal")</f>
        <v>Normal</v>
      </c>
      <c r="G861" s="8" t="str">
        <f>IF(OR(C861&lt;outliers!$B$14,C861&gt;outliers!$B$13),"Outlier","Normal")</f>
        <v>Normal</v>
      </c>
      <c r="H861" s="8" t="str">
        <f>IF(OR(D861&lt;outliers!$B$21,D861&gt;outliers!$B$20),"Outlier","Normal")</f>
        <v>Normal</v>
      </c>
      <c r="I861" s="8" t="str">
        <f>IF(OR(E861&lt;outliers!$C$28,E861&gt;outliers!$B$27),"Outlier","Normal")</f>
        <v>Normal</v>
      </c>
      <c r="J861" s="8">
        <f t="shared" si="26"/>
        <v>2021</v>
      </c>
      <c r="K861">
        <f t="shared" si="27"/>
        <v>4</v>
      </c>
    </row>
    <row r="862" spans="1:11" x14ac:dyDescent="0.35">
      <c r="A862" s="13">
        <v>44298</v>
      </c>
      <c r="B862" s="8">
        <v>26.6</v>
      </c>
      <c r="C862" s="8">
        <v>20.7</v>
      </c>
      <c r="D862" s="8">
        <v>33.5</v>
      </c>
      <c r="E862" s="8">
        <v>0</v>
      </c>
      <c r="F862" s="8" t="str">
        <f>IF(OR(B862&lt;outliers!$B$7,B862&gt;outliers!$B$6),"Outlier","Normal")</f>
        <v>Normal</v>
      </c>
      <c r="G862" s="8" t="str">
        <f>IF(OR(C862&lt;outliers!$B$14,C862&gt;outliers!$B$13),"Outlier","Normal")</f>
        <v>Normal</v>
      </c>
      <c r="H862" s="8" t="str">
        <f>IF(OR(D862&lt;outliers!$B$21,D862&gt;outliers!$B$20),"Outlier","Normal")</f>
        <v>Normal</v>
      </c>
      <c r="I862" s="8" t="str">
        <f>IF(OR(E862&lt;outliers!$C$28,E862&gt;outliers!$B$27),"Outlier","Normal")</f>
        <v>Normal</v>
      </c>
      <c r="J862" s="8">
        <f t="shared" si="26"/>
        <v>2021</v>
      </c>
      <c r="K862">
        <f t="shared" si="27"/>
        <v>4</v>
      </c>
    </row>
    <row r="863" spans="1:11" x14ac:dyDescent="0.35">
      <c r="A863" s="13">
        <v>44299</v>
      </c>
      <c r="B863" s="8">
        <v>26.6</v>
      </c>
      <c r="C863" s="8">
        <v>20.8</v>
      </c>
      <c r="D863" s="8">
        <v>32.9</v>
      </c>
      <c r="E863" s="8">
        <v>0</v>
      </c>
      <c r="F863" s="8" t="str">
        <f>IF(OR(B863&lt;outliers!$B$7,B863&gt;outliers!$B$6),"Outlier","Normal")</f>
        <v>Normal</v>
      </c>
      <c r="G863" s="8" t="str">
        <f>IF(OR(C863&lt;outliers!$B$14,C863&gt;outliers!$B$13),"Outlier","Normal")</f>
        <v>Normal</v>
      </c>
      <c r="H863" s="8" t="str">
        <f>IF(OR(D863&lt;outliers!$B$21,D863&gt;outliers!$B$20),"Outlier","Normal")</f>
        <v>Normal</v>
      </c>
      <c r="I863" s="8" t="str">
        <f>IF(OR(E863&lt;outliers!$C$28,E863&gt;outliers!$B$27),"Outlier","Normal")</f>
        <v>Normal</v>
      </c>
      <c r="J863" s="8">
        <f t="shared" si="26"/>
        <v>2021</v>
      </c>
      <c r="K863">
        <f t="shared" si="27"/>
        <v>4</v>
      </c>
    </row>
    <row r="864" spans="1:11" x14ac:dyDescent="0.35">
      <c r="A864" s="13">
        <v>44300</v>
      </c>
      <c r="B864" s="8">
        <v>25.1</v>
      </c>
      <c r="C864" s="8">
        <v>21.8</v>
      </c>
      <c r="D864" s="8">
        <v>31.8</v>
      </c>
      <c r="E864" s="8">
        <v>8.1</v>
      </c>
      <c r="F864" s="8" t="str">
        <f>IF(OR(B864&lt;outliers!$B$7,B864&gt;outliers!$B$6),"Outlier","Normal")</f>
        <v>Normal</v>
      </c>
      <c r="G864" s="8" t="str">
        <f>IF(OR(C864&lt;outliers!$B$14,C864&gt;outliers!$B$13),"Outlier","Normal")</f>
        <v>Normal</v>
      </c>
      <c r="H864" s="8" t="str">
        <f>IF(OR(D864&lt;outliers!$B$21,D864&gt;outliers!$B$20),"Outlier","Normal")</f>
        <v>Normal</v>
      </c>
      <c r="I864" s="8" t="str">
        <f>IF(OR(E864&lt;outliers!$C$28,E864&gt;outliers!$B$27),"Outlier","Normal")</f>
        <v>Normal</v>
      </c>
      <c r="J864" s="8">
        <f t="shared" si="26"/>
        <v>2021</v>
      </c>
      <c r="K864">
        <f t="shared" si="27"/>
        <v>4</v>
      </c>
    </row>
    <row r="865" spans="1:11" x14ac:dyDescent="0.35">
      <c r="A865" s="13">
        <v>44301</v>
      </c>
      <c r="B865" s="8">
        <v>25.3</v>
      </c>
      <c r="C865" s="8">
        <v>19.8</v>
      </c>
      <c r="D865" s="8">
        <v>33.200000000000003</v>
      </c>
      <c r="E865" s="8">
        <v>1.8</v>
      </c>
      <c r="F865" s="8" t="str">
        <f>IF(OR(B865&lt;outliers!$B$7,B865&gt;outliers!$B$6),"Outlier","Normal")</f>
        <v>Normal</v>
      </c>
      <c r="G865" s="8" t="str">
        <f>IF(OR(C865&lt;outliers!$B$14,C865&gt;outliers!$B$13),"Outlier","Normal")</f>
        <v>Normal</v>
      </c>
      <c r="H865" s="8" t="str">
        <f>IF(OR(D865&lt;outliers!$B$21,D865&gt;outliers!$B$20),"Outlier","Normal")</f>
        <v>Normal</v>
      </c>
      <c r="I865" s="8" t="str">
        <f>IF(OR(E865&lt;outliers!$C$28,E865&gt;outliers!$B$27),"Outlier","Normal")</f>
        <v>Normal</v>
      </c>
      <c r="J865" s="8">
        <f t="shared" si="26"/>
        <v>2021</v>
      </c>
      <c r="K865">
        <f t="shared" si="27"/>
        <v>4</v>
      </c>
    </row>
    <row r="866" spans="1:11" x14ac:dyDescent="0.35">
      <c r="A866" s="13">
        <v>44302</v>
      </c>
      <c r="B866" s="8">
        <v>27.2</v>
      </c>
      <c r="C866" s="8">
        <v>20.8</v>
      </c>
      <c r="D866" s="8">
        <v>32.6</v>
      </c>
      <c r="E866" s="8">
        <v>0.3</v>
      </c>
      <c r="F866" s="8" t="str">
        <f>IF(OR(B866&lt;outliers!$B$7,B866&gt;outliers!$B$6),"Outlier","Normal")</f>
        <v>Normal</v>
      </c>
      <c r="G866" s="8" t="str">
        <f>IF(OR(C866&lt;outliers!$B$14,C866&gt;outliers!$B$13),"Outlier","Normal")</f>
        <v>Normal</v>
      </c>
      <c r="H866" s="8" t="str">
        <f>IF(OR(D866&lt;outliers!$B$21,D866&gt;outliers!$B$20),"Outlier","Normal")</f>
        <v>Normal</v>
      </c>
      <c r="I866" s="8" t="str">
        <f>IF(OR(E866&lt;outliers!$C$28,E866&gt;outliers!$B$27),"Outlier","Normal")</f>
        <v>Normal</v>
      </c>
      <c r="J866" s="8">
        <f t="shared" si="26"/>
        <v>2021</v>
      </c>
      <c r="K866">
        <f t="shared" si="27"/>
        <v>4</v>
      </c>
    </row>
    <row r="867" spans="1:11" x14ac:dyDescent="0.35">
      <c r="A867" s="13">
        <v>44303</v>
      </c>
      <c r="B867" s="8">
        <v>27.7</v>
      </c>
      <c r="C867" s="8">
        <v>22.4</v>
      </c>
      <c r="D867" s="8">
        <v>33.4</v>
      </c>
      <c r="E867" s="8">
        <v>0</v>
      </c>
      <c r="F867" s="8" t="str">
        <f>IF(OR(B867&lt;outliers!$B$7,B867&gt;outliers!$B$6),"Outlier","Normal")</f>
        <v>Normal</v>
      </c>
      <c r="G867" s="8" t="str">
        <f>IF(OR(C867&lt;outliers!$B$14,C867&gt;outliers!$B$13),"Outlier","Normal")</f>
        <v>Normal</v>
      </c>
      <c r="H867" s="8" t="str">
        <f>IF(OR(D867&lt;outliers!$B$21,D867&gt;outliers!$B$20),"Outlier","Normal")</f>
        <v>Normal</v>
      </c>
      <c r="I867" s="8" t="str">
        <f>IF(OR(E867&lt;outliers!$C$28,E867&gt;outliers!$B$27),"Outlier","Normal")</f>
        <v>Normal</v>
      </c>
      <c r="J867" s="8">
        <f t="shared" si="26"/>
        <v>2021</v>
      </c>
      <c r="K867">
        <f t="shared" si="27"/>
        <v>4</v>
      </c>
    </row>
    <row r="868" spans="1:11" x14ac:dyDescent="0.35">
      <c r="A868" s="13">
        <v>44304</v>
      </c>
      <c r="B868" s="8">
        <v>26.8</v>
      </c>
      <c r="C868" s="8">
        <v>20.9</v>
      </c>
      <c r="D868" s="8">
        <v>33</v>
      </c>
      <c r="E868" s="8">
        <v>0.1</v>
      </c>
      <c r="F868" s="8" t="str">
        <f>IF(OR(B868&lt;outliers!$B$7,B868&gt;outliers!$B$6),"Outlier","Normal")</f>
        <v>Normal</v>
      </c>
      <c r="G868" s="8" t="str">
        <f>IF(OR(C868&lt;outliers!$B$14,C868&gt;outliers!$B$13),"Outlier","Normal")</f>
        <v>Normal</v>
      </c>
      <c r="H868" s="8" t="str">
        <f>IF(OR(D868&lt;outliers!$B$21,D868&gt;outliers!$B$20),"Outlier","Normal")</f>
        <v>Normal</v>
      </c>
      <c r="I868" s="8" t="str">
        <f>IF(OR(E868&lt;outliers!$C$28,E868&gt;outliers!$B$27),"Outlier","Normal")</f>
        <v>Normal</v>
      </c>
      <c r="J868" s="8">
        <f t="shared" si="26"/>
        <v>2021</v>
      </c>
      <c r="K868">
        <f t="shared" si="27"/>
        <v>4</v>
      </c>
    </row>
    <row r="869" spans="1:11" x14ac:dyDescent="0.35">
      <c r="A869" s="13">
        <v>44305</v>
      </c>
      <c r="B869" s="8">
        <v>27.1</v>
      </c>
      <c r="C869" s="8">
        <v>20.6</v>
      </c>
      <c r="D869" s="8">
        <v>34</v>
      </c>
      <c r="E869" s="8">
        <v>0.1</v>
      </c>
      <c r="F869" s="8" t="str">
        <f>IF(OR(B869&lt;outliers!$B$7,B869&gt;outliers!$B$6),"Outlier","Normal")</f>
        <v>Normal</v>
      </c>
      <c r="G869" s="8" t="str">
        <f>IF(OR(C869&lt;outliers!$B$14,C869&gt;outliers!$B$13),"Outlier","Normal")</f>
        <v>Normal</v>
      </c>
      <c r="H869" s="8" t="str">
        <f>IF(OR(D869&lt;outliers!$B$21,D869&gt;outliers!$B$20),"Outlier","Normal")</f>
        <v>Normal</v>
      </c>
      <c r="I869" s="8" t="str">
        <f>IF(OR(E869&lt;outliers!$C$28,E869&gt;outliers!$B$27),"Outlier","Normal")</f>
        <v>Normal</v>
      </c>
      <c r="J869" s="8">
        <f t="shared" si="26"/>
        <v>2021</v>
      </c>
      <c r="K869">
        <f t="shared" si="27"/>
        <v>4</v>
      </c>
    </row>
    <row r="870" spans="1:11" x14ac:dyDescent="0.35">
      <c r="A870" s="13">
        <v>44306</v>
      </c>
      <c r="B870" s="8">
        <v>26</v>
      </c>
      <c r="C870" s="8">
        <v>21.8</v>
      </c>
      <c r="D870" s="8">
        <v>34</v>
      </c>
      <c r="E870" s="8">
        <v>2.1</v>
      </c>
      <c r="F870" s="8" t="str">
        <f>IF(OR(B870&lt;outliers!$B$7,B870&gt;outliers!$B$6),"Outlier","Normal")</f>
        <v>Normal</v>
      </c>
      <c r="G870" s="8" t="str">
        <f>IF(OR(C870&lt;outliers!$B$14,C870&gt;outliers!$B$13),"Outlier","Normal")</f>
        <v>Normal</v>
      </c>
      <c r="H870" s="8" t="str">
        <f>IF(OR(D870&lt;outliers!$B$21,D870&gt;outliers!$B$20),"Outlier","Normal")</f>
        <v>Normal</v>
      </c>
      <c r="I870" s="8" t="str">
        <f>IF(OR(E870&lt;outliers!$C$28,E870&gt;outliers!$B$27),"Outlier","Normal")</f>
        <v>Normal</v>
      </c>
      <c r="J870" s="8">
        <f t="shared" si="26"/>
        <v>2021</v>
      </c>
      <c r="K870">
        <f t="shared" si="27"/>
        <v>4</v>
      </c>
    </row>
    <row r="871" spans="1:11" x14ac:dyDescent="0.35">
      <c r="A871" s="13">
        <v>44307</v>
      </c>
      <c r="B871" s="8">
        <v>26.6</v>
      </c>
      <c r="C871" s="8">
        <v>20.8</v>
      </c>
      <c r="D871" s="8">
        <v>34.4</v>
      </c>
      <c r="E871" s="8">
        <v>0</v>
      </c>
      <c r="F871" s="8" t="str">
        <f>IF(OR(B871&lt;outliers!$B$7,B871&gt;outliers!$B$6),"Outlier","Normal")</f>
        <v>Normal</v>
      </c>
      <c r="G871" s="8" t="str">
        <f>IF(OR(C871&lt;outliers!$B$14,C871&gt;outliers!$B$13),"Outlier","Normal")</f>
        <v>Normal</v>
      </c>
      <c r="H871" s="8" t="str">
        <f>IF(OR(D871&lt;outliers!$B$21,D871&gt;outliers!$B$20),"Outlier","Normal")</f>
        <v>Normal</v>
      </c>
      <c r="I871" s="8" t="str">
        <f>IF(OR(E871&lt;outliers!$C$28,E871&gt;outliers!$B$27),"Outlier","Normal")</f>
        <v>Normal</v>
      </c>
      <c r="J871" s="8">
        <f t="shared" si="26"/>
        <v>2021</v>
      </c>
      <c r="K871">
        <f t="shared" si="27"/>
        <v>4</v>
      </c>
    </row>
    <row r="872" spans="1:11" hidden="1" x14ac:dyDescent="0.35">
      <c r="A872" s="13">
        <v>44308</v>
      </c>
      <c r="B872" s="8">
        <v>24.3</v>
      </c>
      <c r="C872" s="8">
        <v>20.5</v>
      </c>
      <c r="D872" s="8">
        <v>34.6</v>
      </c>
      <c r="E872" s="8">
        <v>28.7</v>
      </c>
      <c r="F872" s="8" t="str">
        <f>IF(OR(B872&lt;outliers!$B$7,B872&gt;outliers!$B$6),"Outlier","Normal")</f>
        <v>Normal</v>
      </c>
      <c r="G872" s="8" t="str">
        <f>IF(OR(C872&lt;outliers!$B$14,C872&gt;outliers!$B$13),"Outlier","Normal")</f>
        <v>Normal</v>
      </c>
      <c r="H872" s="8" t="str">
        <f>IF(OR(D872&lt;outliers!$B$21,D872&gt;outliers!$B$20),"Outlier","Normal")</f>
        <v>Normal</v>
      </c>
      <c r="I872" s="8" t="str">
        <f>IF(OR(E872&lt;outliers!$C$28,E872&gt;outliers!$B$27),"Outlier","Normal")</f>
        <v>Outlier</v>
      </c>
      <c r="J872" s="8">
        <f t="shared" si="26"/>
        <v>2021</v>
      </c>
      <c r="K872">
        <f t="shared" si="27"/>
        <v>4</v>
      </c>
    </row>
    <row r="873" spans="1:11" hidden="1" x14ac:dyDescent="0.35">
      <c r="A873" s="13">
        <v>44309</v>
      </c>
      <c r="B873" s="8">
        <v>24.4</v>
      </c>
      <c r="C873" s="8">
        <v>20.7</v>
      </c>
      <c r="D873" s="8">
        <v>32.200000000000003</v>
      </c>
      <c r="E873" s="8">
        <v>21.3</v>
      </c>
      <c r="F873" s="8" t="str">
        <f>IF(OR(B873&lt;outliers!$B$7,B873&gt;outliers!$B$6),"Outlier","Normal")</f>
        <v>Normal</v>
      </c>
      <c r="G873" s="8" t="str">
        <f>IF(OR(C873&lt;outliers!$B$14,C873&gt;outliers!$B$13),"Outlier","Normal")</f>
        <v>Normal</v>
      </c>
      <c r="H873" s="8" t="str">
        <f>IF(OR(D873&lt;outliers!$B$21,D873&gt;outliers!$B$20),"Outlier","Normal")</f>
        <v>Normal</v>
      </c>
      <c r="I873" s="8" t="str">
        <f>IF(OR(E873&lt;outliers!$C$28,E873&gt;outliers!$B$27),"Outlier","Normal")</f>
        <v>Outlier</v>
      </c>
      <c r="J873" s="8">
        <f t="shared" si="26"/>
        <v>2021</v>
      </c>
      <c r="K873">
        <f t="shared" si="27"/>
        <v>4</v>
      </c>
    </row>
    <row r="874" spans="1:11" hidden="1" x14ac:dyDescent="0.35">
      <c r="A874" s="13">
        <v>44310</v>
      </c>
      <c r="B874" s="8">
        <v>24.6</v>
      </c>
      <c r="C874" s="8">
        <v>20</v>
      </c>
      <c r="D874" s="8">
        <v>31.7</v>
      </c>
      <c r="E874" s="8">
        <v>65.8</v>
      </c>
      <c r="F874" s="8" t="str">
        <f>IF(OR(B874&lt;outliers!$B$7,B874&gt;outliers!$B$6),"Outlier","Normal")</f>
        <v>Normal</v>
      </c>
      <c r="G874" s="8" t="str">
        <f>IF(OR(C874&lt;outliers!$B$14,C874&gt;outliers!$B$13),"Outlier","Normal")</f>
        <v>Normal</v>
      </c>
      <c r="H874" s="8" t="str">
        <f>IF(OR(D874&lt;outliers!$B$21,D874&gt;outliers!$B$20),"Outlier","Normal")</f>
        <v>Normal</v>
      </c>
      <c r="I874" s="8" t="str">
        <f>IF(OR(E874&lt;outliers!$C$28,E874&gt;outliers!$B$27),"Outlier","Normal")</f>
        <v>Outlier</v>
      </c>
      <c r="J874" s="8">
        <f t="shared" si="26"/>
        <v>2021</v>
      </c>
      <c r="K874">
        <f t="shared" si="27"/>
        <v>4</v>
      </c>
    </row>
    <row r="875" spans="1:11" x14ac:dyDescent="0.35">
      <c r="A875" s="13">
        <v>44311</v>
      </c>
      <c r="B875" s="8">
        <v>26.5</v>
      </c>
      <c r="C875" s="8">
        <v>21.8</v>
      </c>
      <c r="D875" s="8">
        <v>31.9</v>
      </c>
      <c r="E875" s="8">
        <v>0</v>
      </c>
      <c r="F875" s="8" t="str">
        <f>IF(OR(B875&lt;outliers!$B$7,B875&gt;outliers!$B$6),"Outlier","Normal")</f>
        <v>Normal</v>
      </c>
      <c r="G875" s="8" t="str">
        <f>IF(OR(C875&lt;outliers!$B$14,C875&gt;outliers!$B$13),"Outlier","Normal")</f>
        <v>Normal</v>
      </c>
      <c r="H875" s="8" t="str">
        <f>IF(OR(D875&lt;outliers!$B$21,D875&gt;outliers!$B$20),"Outlier","Normal")</f>
        <v>Normal</v>
      </c>
      <c r="I875" s="8" t="str">
        <f>IF(OR(E875&lt;outliers!$C$28,E875&gt;outliers!$B$27),"Outlier","Normal")</f>
        <v>Normal</v>
      </c>
      <c r="J875" s="8">
        <f t="shared" si="26"/>
        <v>2021</v>
      </c>
      <c r="K875">
        <f t="shared" si="27"/>
        <v>4</v>
      </c>
    </row>
    <row r="876" spans="1:11" x14ac:dyDescent="0.35">
      <c r="A876" s="13">
        <v>44312</v>
      </c>
      <c r="B876" s="8">
        <v>26.5</v>
      </c>
      <c r="C876" s="8">
        <v>21.2</v>
      </c>
      <c r="D876" s="8">
        <v>33</v>
      </c>
      <c r="E876" s="8">
        <v>0</v>
      </c>
      <c r="F876" s="8" t="str">
        <f>IF(OR(B876&lt;outliers!$B$7,B876&gt;outliers!$B$6),"Outlier","Normal")</f>
        <v>Normal</v>
      </c>
      <c r="G876" s="8" t="str">
        <f>IF(OR(C876&lt;outliers!$B$14,C876&gt;outliers!$B$13),"Outlier","Normal")</f>
        <v>Normal</v>
      </c>
      <c r="H876" s="8" t="str">
        <f>IF(OR(D876&lt;outliers!$B$21,D876&gt;outliers!$B$20),"Outlier","Normal")</f>
        <v>Normal</v>
      </c>
      <c r="I876" s="8" t="str">
        <f>IF(OR(E876&lt;outliers!$C$28,E876&gt;outliers!$B$27),"Outlier","Normal")</f>
        <v>Normal</v>
      </c>
      <c r="J876" s="8">
        <f t="shared" si="26"/>
        <v>2021</v>
      </c>
      <c r="K876">
        <f t="shared" si="27"/>
        <v>4</v>
      </c>
    </row>
    <row r="877" spans="1:11" x14ac:dyDescent="0.35">
      <c r="A877" s="13">
        <v>44313</v>
      </c>
      <c r="B877" s="8">
        <v>26.6</v>
      </c>
      <c r="C877" s="8">
        <v>20.9</v>
      </c>
      <c r="D877" s="8">
        <v>32.5</v>
      </c>
      <c r="E877" s="8">
        <v>0</v>
      </c>
      <c r="F877" s="8" t="str">
        <f>IF(OR(B877&lt;outliers!$B$7,B877&gt;outliers!$B$6),"Outlier","Normal")</f>
        <v>Normal</v>
      </c>
      <c r="G877" s="8" t="str">
        <f>IF(OR(C877&lt;outliers!$B$14,C877&gt;outliers!$B$13),"Outlier","Normal")</f>
        <v>Normal</v>
      </c>
      <c r="H877" s="8" t="str">
        <f>IF(OR(D877&lt;outliers!$B$21,D877&gt;outliers!$B$20),"Outlier","Normal")</f>
        <v>Normal</v>
      </c>
      <c r="I877" s="8" t="str">
        <f>IF(OR(E877&lt;outliers!$C$28,E877&gt;outliers!$B$27),"Outlier","Normal")</f>
        <v>Normal</v>
      </c>
      <c r="J877" s="8">
        <f t="shared" si="26"/>
        <v>2021</v>
      </c>
      <c r="K877">
        <f t="shared" si="27"/>
        <v>4</v>
      </c>
    </row>
    <row r="878" spans="1:11" x14ac:dyDescent="0.35">
      <c r="A878" s="13">
        <v>44314</v>
      </c>
      <c r="B878" s="8">
        <v>27</v>
      </c>
      <c r="C878" s="8">
        <v>20.9</v>
      </c>
      <c r="D878" s="8">
        <v>33.4</v>
      </c>
      <c r="E878" s="8">
        <v>0.1</v>
      </c>
      <c r="F878" s="8" t="str">
        <f>IF(OR(B878&lt;outliers!$B$7,B878&gt;outliers!$B$6),"Outlier","Normal")</f>
        <v>Normal</v>
      </c>
      <c r="G878" s="8" t="str">
        <f>IF(OR(C878&lt;outliers!$B$14,C878&gt;outliers!$B$13),"Outlier","Normal")</f>
        <v>Normal</v>
      </c>
      <c r="H878" s="8" t="str">
        <f>IF(OR(D878&lt;outliers!$B$21,D878&gt;outliers!$B$20),"Outlier","Normal")</f>
        <v>Normal</v>
      </c>
      <c r="I878" s="8" t="str">
        <f>IF(OR(E878&lt;outliers!$C$28,E878&gt;outliers!$B$27),"Outlier","Normal")</f>
        <v>Normal</v>
      </c>
      <c r="J878" s="8">
        <f t="shared" si="26"/>
        <v>2021</v>
      </c>
      <c r="K878">
        <f t="shared" si="27"/>
        <v>4</v>
      </c>
    </row>
    <row r="879" spans="1:11" x14ac:dyDescent="0.35">
      <c r="A879" s="13">
        <v>44315</v>
      </c>
      <c r="B879" s="8">
        <v>26.5</v>
      </c>
      <c r="C879" s="8">
        <v>22.2</v>
      </c>
      <c r="D879" s="8">
        <v>31.8</v>
      </c>
      <c r="E879" s="8">
        <v>0.7</v>
      </c>
      <c r="F879" s="8" t="str">
        <f>IF(OR(B879&lt;outliers!$B$7,B879&gt;outliers!$B$6),"Outlier","Normal")</f>
        <v>Normal</v>
      </c>
      <c r="G879" s="8" t="str">
        <f>IF(OR(C879&lt;outliers!$B$14,C879&gt;outliers!$B$13),"Outlier","Normal")</f>
        <v>Normal</v>
      </c>
      <c r="H879" s="8" t="str">
        <f>IF(OR(D879&lt;outliers!$B$21,D879&gt;outliers!$B$20),"Outlier","Normal")</f>
        <v>Normal</v>
      </c>
      <c r="I879" s="8" t="str">
        <f>IF(OR(E879&lt;outliers!$C$28,E879&gt;outliers!$B$27),"Outlier","Normal")</f>
        <v>Normal</v>
      </c>
      <c r="J879" s="8">
        <f t="shared" si="26"/>
        <v>2021</v>
      </c>
      <c r="K879">
        <f t="shared" si="27"/>
        <v>4</v>
      </c>
    </row>
    <row r="880" spans="1:11" x14ac:dyDescent="0.35">
      <c r="A880" s="13">
        <v>44316</v>
      </c>
      <c r="B880" s="8">
        <v>26.4</v>
      </c>
      <c r="C880" s="8">
        <v>20.7</v>
      </c>
      <c r="D880" s="8">
        <v>33.1</v>
      </c>
      <c r="E880" s="8">
        <v>0</v>
      </c>
      <c r="F880" s="8" t="str">
        <f>IF(OR(B880&lt;outliers!$B$7,B880&gt;outliers!$B$6),"Outlier","Normal")</f>
        <v>Normal</v>
      </c>
      <c r="G880" s="8" t="str">
        <f>IF(OR(C880&lt;outliers!$B$14,C880&gt;outliers!$B$13),"Outlier","Normal")</f>
        <v>Normal</v>
      </c>
      <c r="H880" s="8" t="str">
        <f>IF(OR(D880&lt;outliers!$B$21,D880&gt;outliers!$B$20),"Outlier","Normal")</f>
        <v>Normal</v>
      </c>
      <c r="I880" s="8" t="str">
        <f>IF(OR(E880&lt;outliers!$C$28,E880&gt;outliers!$B$27),"Outlier","Normal")</f>
        <v>Normal</v>
      </c>
      <c r="J880" s="8">
        <f t="shared" si="26"/>
        <v>2021</v>
      </c>
      <c r="K880">
        <f t="shared" si="27"/>
        <v>4</v>
      </c>
    </row>
    <row r="881" spans="1:11" x14ac:dyDescent="0.35">
      <c r="A881" s="13">
        <v>44317</v>
      </c>
      <c r="B881" s="8">
        <v>27.1</v>
      </c>
      <c r="C881" s="8">
        <v>22.5</v>
      </c>
      <c r="D881" s="8">
        <v>33.4</v>
      </c>
      <c r="E881" s="8">
        <v>0</v>
      </c>
      <c r="F881" s="8" t="str">
        <f>IF(OR(B881&lt;outliers!$B$7,B881&gt;outliers!$B$6),"Outlier","Normal")</f>
        <v>Normal</v>
      </c>
      <c r="G881" s="8" t="str">
        <f>IF(OR(C881&lt;outliers!$B$14,C881&gt;outliers!$B$13),"Outlier","Normal")</f>
        <v>Normal</v>
      </c>
      <c r="H881" s="8" t="str">
        <f>IF(OR(D881&lt;outliers!$B$21,D881&gt;outliers!$B$20),"Outlier","Normal")</f>
        <v>Normal</v>
      </c>
      <c r="I881" s="8" t="str">
        <f>IF(OR(E881&lt;outliers!$C$28,E881&gt;outliers!$B$27),"Outlier","Normal")</f>
        <v>Normal</v>
      </c>
      <c r="J881" s="8">
        <f t="shared" si="26"/>
        <v>2021</v>
      </c>
      <c r="K881">
        <f t="shared" si="27"/>
        <v>5</v>
      </c>
    </row>
    <row r="882" spans="1:11" x14ac:dyDescent="0.35">
      <c r="A882" s="13">
        <v>44318</v>
      </c>
      <c r="B882" s="8">
        <v>26.7</v>
      </c>
      <c r="C882" s="8">
        <v>21.5</v>
      </c>
      <c r="D882" s="8">
        <v>32.4</v>
      </c>
      <c r="E882" s="8">
        <v>0</v>
      </c>
      <c r="F882" s="8" t="str">
        <f>IF(OR(B882&lt;outliers!$B$7,B882&gt;outliers!$B$6),"Outlier","Normal")</f>
        <v>Normal</v>
      </c>
      <c r="G882" s="8" t="str">
        <f>IF(OR(C882&lt;outliers!$B$14,C882&gt;outliers!$B$13),"Outlier","Normal")</f>
        <v>Normal</v>
      </c>
      <c r="H882" s="8" t="str">
        <f>IF(OR(D882&lt;outliers!$B$21,D882&gt;outliers!$B$20),"Outlier","Normal")</f>
        <v>Normal</v>
      </c>
      <c r="I882" s="8" t="str">
        <f>IF(OR(E882&lt;outliers!$C$28,E882&gt;outliers!$B$27),"Outlier","Normal")</f>
        <v>Normal</v>
      </c>
      <c r="J882" s="8">
        <f t="shared" si="26"/>
        <v>2021</v>
      </c>
      <c r="K882">
        <f t="shared" si="27"/>
        <v>5</v>
      </c>
    </row>
    <row r="883" spans="1:11" x14ac:dyDescent="0.35">
      <c r="A883" s="13">
        <v>44319</v>
      </c>
      <c r="B883" s="8">
        <v>26.4</v>
      </c>
      <c r="C883" s="8">
        <v>21.9</v>
      </c>
      <c r="D883" s="8">
        <v>32</v>
      </c>
      <c r="E883" s="8">
        <v>0.3</v>
      </c>
      <c r="F883" s="8" t="str">
        <f>IF(OR(B883&lt;outliers!$B$7,B883&gt;outliers!$B$6),"Outlier","Normal")</f>
        <v>Normal</v>
      </c>
      <c r="G883" s="8" t="str">
        <f>IF(OR(C883&lt;outliers!$B$14,C883&gt;outliers!$B$13),"Outlier","Normal")</f>
        <v>Normal</v>
      </c>
      <c r="H883" s="8" t="str">
        <f>IF(OR(D883&lt;outliers!$B$21,D883&gt;outliers!$B$20),"Outlier","Normal")</f>
        <v>Normal</v>
      </c>
      <c r="I883" s="8" t="str">
        <f>IF(OR(E883&lt;outliers!$C$28,E883&gt;outliers!$B$27),"Outlier","Normal")</f>
        <v>Normal</v>
      </c>
      <c r="J883" s="8">
        <f t="shared" si="26"/>
        <v>2021</v>
      </c>
      <c r="K883">
        <f t="shared" si="27"/>
        <v>5</v>
      </c>
    </row>
    <row r="884" spans="1:11" x14ac:dyDescent="0.35">
      <c r="A884" s="13">
        <v>44320</v>
      </c>
      <c r="B884" s="8">
        <v>25.1</v>
      </c>
      <c r="C884" s="8">
        <v>21.1</v>
      </c>
      <c r="D884" s="8">
        <v>30.4</v>
      </c>
      <c r="E884" s="8">
        <v>8.9</v>
      </c>
      <c r="F884" s="8" t="str">
        <f>IF(OR(B884&lt;outliers!$B$7,B884&gt;outliers!$B$6),"Outlier","Normal")</f>
        <v>Normal</v>
      </c>
      <c r="G884" s="8" t="str">
        <f>IF(OR(C884&lt;outliers!$B$14,C884&gt;outliers!$B$13),"Outlier","Normal")</f>
        <v>Normal</v>
      </c>
      <c r="H884" s="8" t="str">
        <f>IF(OR(D884&lt;outliers!$B$21,D884&gt;outliers!$B$20),"Outlier","Normal")</f>
        <v>Normal</v>
      </c>
      <c r="I884" s="8" t="str">
        <f>IF(OR(E884&lt;outliers!$C$28,E884&gt;outliers!$B$27),"Outlier","Normal")</f>
        <v>Normal</v>
      </c>
      <c r="J884" s="8">
        <f t="shared" si="26"/>
        <v>2021</v>
      </c>
      <c r="K884">
        <f t="shared" si="27"/>
        <v>5</v>
      </c>
    </row>
    <row r="885" spans="1:11" x14ac:dyDescent="0.35">
      <c r="A885" s="13">
        <v>44321</v>
      </c>
      <c r="B885" s="8">
        <v>26.9</v>
      </c>
      <c r="C885" s="8">
        <v>20.6</v>
      </c>
      <c r="D885" s="8">
        <v>33.299999999999997</v>
      </c>
      <c r="E885" s="8">
        <v>0</v>
      </c>
      <c r="F885" s="8" t="str">
        <f>IF(OR(B885&lt;outliers!$B$7,B885&gt;outliers!$B$6),"Outlier","Normal")</f>
        <v>Normal</v>
      </c>
      <c r="G885" s="8" t="str">
        <f>IF(OR(C885&lt;outliers!$B$14,C885&gt;outliers!$B$13),"Outlier","Normal")</f>
        <v>Normal</v>
      </c>
      <c r="H885" s="8" t="str">
        <f>IF(OR(D885&lt;outliers!$B$21,D885&gt;outliers!$B$20),"Outlier","Normal")</f>
        <v>Normal</v>
      </c>
      <c r="I885" s="8" t="str">
        <f>IF(OR(E885&lt;outliers!$C$28,E885&gt;outliers!$B$27),"Outlier","Normal")</f>
        <v>Normal</v>
      </c>
      <c r="J885" s="8">
        <f t="shared" si="26"/>
        <v>2021</v>
      </c>
      <c r="K885">
        <f t="shared" si="27"/>
        <v>5</v>
      </c>
    </row>
    <row r="886" spans="1:11" x14ac:dyDescent="0.35">
      <c r="A886" s="13">
        <v>44322</v>
      </c>
      <c r="B886" s="8">
        <v>27</v>
      </c>
      <c r="C886" s="8">
        <v>21.7</v>
      </c>
      <c r="D886" s="8">
        <v>32.4</v>
      </c>
      <c r="E886" s="8">
        <v>0</v>
      </c>
      <c r="F886" s="8" t="str">
        <f>IF(OR(B886&lt;outliers!$B$7,B886&gt;outliers!$B$6),"Outlier","Normal")</f>
        <v>Normal</v>
      </c>
      <c r="G886" s="8" t="str">
        <f>IF(OR(C886&lt;outliers!$B$14,C886&gt;outliers!$B$13),"Outlier","Normal")</f>
        <v>Normal</v>
      </c>
      <c r="H886" s="8" t="str">
        <f>IF(OR(D886&lt;outliers!$B$21,D886&gt;outliers!$B$20),"Outlier","Normal")</f>
        <v>Normal</v>
      </c>
      <c r="I886" s="8" t="str">
        <f>IF(OR(E886&lt;outliers!$C$28,E886&gt;outliers!$B$27),"Outlier","Normal")</f>
        <v>Normal</v>
      </c>
      <c r="J886" s="8">
        <f t="shared" si="26"/>
        <v>2021</v>
      </c>
      <c r="K886">
        <f t="shared" si="27"/>
        <v>5</v>
      </c>
    </row>
    <row r="887" spans="1:11" x14ac:dyDescent="0.35">
      <c r="A887" s="13">
        <v>44323</v>
      </c>
      <c r="B887" s="8">
        <v>26.5</v>
      </c>
      <c r="C887" s="8">
        <v>22.2</v>
      </c>
      <c r="D887" s="8">
        <v>32</v>
      </c>
      <c r="E887" s="8">
        <v>0.7</v>
      </c>
      <c r="F887" s="8" t="str">
        <f>IF(OR(B887&lt;outliers!$B$7,B887&gt;outliers!$B$6),"Outlier","Normal")</f>
        <v>Normal</v>
      </c>
      <c r="G887" s="8" t="str">
        <f>IF(OR(C887&lt;outliers!$B$14,C887&gt;outliers!$B$13),"Outlier","Normal")</f>
        <v>Normal</v>
      </c>
      <c r="H887" s="8" t="str">
        <f>IF(OR(D887&lt;outliers!$B$21,D887&gt;outliers!$B$20),"Outlier","Normal")</f>
        <v>Normal</v>
      </c>
      <c r="I887" s="8" t="str">
        <f>IF(OR(E887&lt;outliers!$C$28,E887&gt;outliers!$B$27),"Outlier","Normal")</f>
        <v>Normal</v>
      </c>
      <c r="J887" s="8">
        <f t="shared" si="26"/>
        <v>2021</v>
      </c>
      <c r="K887">
        <f t="shared" si="27"/>
        <v>5</v>
      </c>
    </row>
    <row r="888" spans="1:11" x14ac:dyDescent="0.35">
      <c r="A888" s="13">
        <v>44324</v>
      </c>
      <c r="B888" s="8">
        <v>26.8</v>
      </c>
      <c r="C888" s="8">
        <v>21.5</v>
      </c>
      <c r="D888" s="8">
        <v>33.6</v>
      </c>
      <c r="E888" s="8">
        <v>0.2</v>
      </c>
      <c r="F888" s="8" t="str">
        <f>IF(OR(B888&lt;outliers!$B$7,B888&gt;outliers!$B$6),"Outlier","Normal")</f>
        <v>Normal</v>
      </c>
      <c r="G888" s="8" t="str">
        <f>IF(OR(C888&lt;outliers!$B$14,C888&gt;outliers!$B$13),"Outlier","Normal")</f>
        <v>Normal</v>
      </c>
      <c r="H888" s="8" t="str">
        <f>IF(OR(D888&lt;outliers!$B$21,D888&gt;outliers!$B$20),"Outlier","Normal")</f>
        <v>Normal</v>
      </c>
      <c r="I888" s="8" t="str">
        <f>IF(OR(E888&lt;outliers!$C$28,E888&gt;outliers!$B$27),"Outlier","Normal")</f>
        <v>Normal</v>
      </c>
      <c r="J888" s="8">
        <f t="shared" si="26"/>
        <v>2021</v>
      </c>
      <c r="K888">
        <f t="shared" si="27"/>
        <v>5</v>
      </c>
    </row>
    <row r="889" spans="1:11" x14ac:dyDescent="0.35">
      <c r="A889" s="13">
        <v>44325</v>
      </c>
      <c r="B889" s="8">
        <v>27.2</v>
      </c>
      <c r="C889" s="8">
        <v>21.3</v>
      </c>
      <c r="D889" s="8">
        <v>33.4</v>
      </c>
      <c r="E889" s="8">
        <v>0.3</v>
      </c>
      <c r="F889" s="8" t="str">
        <f>IF(OR(B889&lt;outliers!$B$7,B889&gt;outliers!$B$6),"Outlier","Normal")</f>
        <v>Normal</v>
      </c>
      <c r="G889" s="8" t="str">
        <f>IF(OR(C889&lt;outliers!$B$14,C889&gt;outliers!$B$13),"Outlier","Normal")</f>
        <v>Normal</v>
      </c>
      <c r="H889" s="8" t="str">
        <f>IF(OR(D889&lt;outliers!$B$21,D889&gt;outliers!$B$20),"Outlier","Normal")</f>
        <v>Normal</v>
      </c>
      <c r="I889" s="8" t="str">
        <f>IF(OR(E889&lt;outliers!$C$28,E889&gt;outliers!$B$27),"Outlier","Normal")</f>
        <v>Normal</v>
      </c>
      <c r="J889" s="8">
        <f t="shared" si="26"/>
        <v>2021</v>
      </c>
      <c r="K889">
        <f t="shared" si="27"/>
        <v>5</v>
      </c>
    </row>
    <row r="890" spans="1:11" x14ac:dyDescent="0.35">
      <c r="A890" s="13">
        <v>44326</v>
      </c>
      <c r="B890" s="8">
        <v>26.7</v>
      </c>
      <c r="C890" s="8">
        <v>22.1</v>
      </c>
      <c r="D890" s="8">
        <v>32.799999999999997</v>
      </c>
      <c r="E890" s="8">
        <v>1</v>
      </c>
      <c r="F890" s="8" t="str">
        <f>IF(OR(B890&lt;outliers!$B$7,B890&gt;outliers!$B$6),"Outlier","Normal")</f>
        <v>Normal</v>
      </c>
      <c r="G890" s="8" t="str">
        <f>IF(OR(C890&lt;outliers!$B$14,C890&gt;outliers!$B$13),"Outlier","Normal")</f>
        <v>Normal</v>
      </c>
      <c r="H890" s="8" t="str">
        <f>IF(OR(D890&lt;outliers!$B$21,D890&gt;outliers!$B$20),"Outlier","Normal")</f>
        <v>Normal</v>
      </c>
      <c r="I890" s="8" t="str">
        <f>IF(OR(E890&lt;outliers!$C$28,E890&gt;outliers!$B$27),"Outlier","Normal")</f>
        <v>Normal</v>
      </c>
      <c r="J890" s="8">
        <f t="shared" si="26"/>
        <v>2021</v>
      </c>
      <c r="K890">
        <f t="shared" si="27"/>
        <v>5</v>
      </c>
    </row>
    <row r="891" spans="1:11" x14ac:dyDescent="0.35">
      <c r="A891" s="13">
        <v>44327</v>
      </c>
      <c r="B891" s="8">
        <v>26.1</v>
      </c>
      <c r="C891" s="8">
        <v>21.5</v>
      </c>
      <c r="D891" s="8">
        <v>33.200000000000003</v>
      </c>
      <c r="E891" s="8">
        <v>5.6</v>
      </c>
      <c r="F891" s="8" t="str">
        <f>IF(OR(B891&lt;outliers!$B$7,B891&gt;outliers!$B$6),"Outlier","Normal")</f>
        <v>Normal</v>
      </c>
      <c r="G891" s="8" t="str">
        <f>IF(OR(C891&lt;outliers!$B$14,C891&gt;outliers!$B$13),"Outlier","Normal")</f>
        <v>Normal</v>
      </c>
      <c r="H891" s="8" t="str">
        <f>IF(OR(D891&lt;outliers!$B$21,D891&gt;outliers!$B$20),"Outlier","Normal")</f>
        <v>Normal</v>
      </c>
      <c r="I891" s="8" t="str">
        <f>IF(OR(E891&lt;outliers!$C$28,E891&gt;outliers!$B$27),"Outlier","Normal")</f>
        <v>Normal</v>
      </c>
      <c r="J891" s="8">
        <f t="shared" si="26"/>
        <v>2021</v>
      </c>
      <c r="K891">
        <f t="shared" si="27"/>
        <v>5</v>
      </c>
    </row>
    <row r="892" spans="1:11" x14ac:dyDescent="0.35">
      <c r="A892" s="13">
        <v>44328</v>
      </c>
      <c r="B892" s="8">
        <v>25.5</v>
      </c>
      <c r="C892" s="8">
        <v>21.4</v>
      </c>
      <c r="D892" s="8">
        <v>33.9</v>
      </c>
      <c r="E892" s="8">
        <v>0</v>
      </c>
      <c r="F892" s="8" t="str">
        <f>IF(OR(B892&lt;outliers!$B$7,B892&gt;outliers!$B$6),"Outlier","Normal")</f>
        <v>Normal</v>
      </c>
      <c r="G892" s="8" t="str">
        <f>IF(OR(C892&lt;outliers!$B$14,C892&gt;outliers!$B$13),"Outlier","Normal")</f>
        <v>Normal</v>
      </c>
      <c r="H892" s="8" t="str">
        <f>IF(OR(D892&lt;outliers!$B$21,D892&gt;outliers!$B$20),"Outlier","Normal")</f>
        <v>Normal</v>
      </c>
      <c r="I892" s="8" t="str">
        <f>IF(OR(E892&lt;outliers!$C$28,E892&gt;outliers!$B$27),"Outlier","Normal")</f>
        <v>Normal</v>
      </c>
      <c r="J892" s="8">
        <f t="shared" si="26"/>
        <v>2021</v>
      </c>
      <c r="K892">
        <f t="shared" si="27"/>
        <v>5</v>
      </c>
    </row>
    <row r="893" spans="1:11" hidden="1" x14ac:dyDescent="0.35">
      <c r="A893" s="13">
        <v>44329</v>
      </c>
      <c r="B893" s="8">
        <v>25.4</v>
      </c>
      <c r="C893" s="8">
        <v>20.7</v>
      </c>
      <c r="D893" s="8">
        <v>31.9</v>
      </c>
      <c r="E893" s="8">
        <v>35.1</v>
      </c>
      <c r="F893" s="8" t="str">
        <f>IF(OR(B893&lt;outliers!$B$7,B893&gt;outliers!$B$6),"Outlier","Normal")</f>
        <v>Normal</v>
      </c>
      <c r="G893" s="8" t="str">
        <f>IF(OR(C893&lt;outliers!$B$14,C893&gt;outliers!$B$13),"Outlier","Normal")</f>
        <v>Normal</v>
      </c>
      <c r="H893" s="8" t="str">
        <f>IF(OR(D893&lt;outliers!$B$21,D893&gt;outliers!$B$20),"Outlier","Normal")</f>
        <v>Normal</v>
      </c>
      <c r="I893" s="8" t="str">
        <f>IF(OR(E893&lt;outliers!$C$28,E893&gt;outliers!$B$27),"Outlier","Normal")</f>
        <v>Outlier</v>
      </c>
      <c r="J893" s="8">
        <f t="shared" si="26"/>
        <v>2021</v>
      </c>
      <c r="K893">
        <f t="shared" si="27"/>
        <v>5</v>
      </c>
    </row>
    <row r="894" spans="1:11" hidden="1" x14ac:dyDescent="0.35">
      <c r="A894" s="13">
        <v>44330</v>
      </c>
      <c r="B894" s="8">
        <v>26.7</v>
      </c>
      <c r="C894" s="8">
        <v>21.4</v>
      </c>
      <c r="D894" s="8">
        <v>31.9</v>
      </c>
      <c r="E894" s="8">
        <v>26.2</v>
      </c>
      <c r="F894" s="8" t="str">
        <f>IF(OR(B894&lt;outliers!$B$7,B894&gt;outliers!$B$6),"Outlier","Normal")</f>
        <v>Normal</v>
      </c>
      <c r="G894" s="8" t="str">
        <f>IF(OR(C894&lt;outliers!$B$14,C894&gt;outliers!$B$13),"Outlier","Normal")</f>
        <v>Normal</v>
      </c>
      <c r="H894" s="8" t="str">
        <f>IF(OR(D894&lt;outliers!$B$21,D894&gt;outliers!$B$20),"Outlier","Normal")</f>
        <v>Normal</v>
      </c>
      <c r="I894" s="8" t="str">
        <f>IF(OR(E894&lt;outliers!$C$28,E894&gt;outliers!$B$27),"Outlier","Normal")</f>
        <v>Outlier</v>
      </c>
      <c r="J894" s="8">
        <f t="shared" si="26"/>
        <v>2021</v>
      </c>
      <c r="K894">
        <f t="shared" si="27"/>
        <v>5</v>
      </c>
    </row>
    <row r="895" spans="1:11" x14ac:dyDescent="0.35">
      <c r="A895" s="13">
        <v>44331</v>
      </c>
      <c r="B895" s="8">
        <v>23.8</v>
      </c>
      <c r="C895" s="8">
        <v>22.2</v>
      </c>
      <c r="D895" s="8">
        <v>32.6</v>
      </c>
      <c r="E895" s="8">
        <v>0</v>
      </c>
      <c r="F895" s="8" t="str">
        <f>IF(OR(B895&lt;outliers!$B$7,B895&gt;outliers!$B$6),"Outlier","Normal")</f>
        <v>Normal</v>
      </c>
      <c r="G895" s="8" t="str">
        <f>IF(OR(C895&lt;outliers!$B$14,C895&gt;outliers!$B$13),"Outlier","Normal")</f>
        <v>Normal</v>
      </c>
      <c r="H895" s="8" t="str">
        <f>IF(OR(D895&lt;outliers!$B$21,D895&gt;outliers!$B$20),"Outlier","Normal")</f>
        <v>Normal</v>
      </c>
      <c r="I895" s="8" t="str">
        <f>IF(OR(E895&lt;outliers!$C$28,E895&gt;outliers!$B$27),"Outlier","Normal")</f>
        <v>Normal</v>
      </c>
      <c r="J895" s="8">
        <f t="shared" si="26"/>
        <v>2021</v>
      </c>
      <c r="K895">
        <f t="shared" si="27"/>
        <v>5</v>
      </c>
    </row>
    <row r="896" spans="1:11" x14ac:dyDescent="0.35">
      <c r="A896" s="13">
        <v>44332</v>
      </c>
      <c r="B896" s="8">
        <v>24</v>
      </c>
      <c r="C896" s="8">
        <v>21.4</v>
      </c>
      <c r="D896" s="8">
        <v>28</v>
      </c>
      <c r="E896" s="8">
        <v>0</v>
      </c>
      <c r="F896" s="8" t="str">
        <f>IF(OR(B896&lt;outliers!$B$7,B896&gt;outliers!$B$6),"Outlier","Normal")</f>
        <v>Normal</v>
      </c>
      <c r="G896" s="8" t="str">
        <f>IF(OR(C896&lt;outliers!$B$14,C896&gt;outliers!$B$13),"Outlier","Normal")</f>
        <v>Normal</v>
      </c>
      <c r="H896" s="8" t="str">
        <f>IF(OR(D896&lt;outliers!$B$21,D896&gt;outliers!$B$20),"Outlier","Normal")</f>
        <v>Normal</v>
      </c>
      <c r="I896" s="8" t="str">
        <f>IF(OR(E896&lt;outliers!$C$28,E896&gt;outliers!$B$27),"Outlier","Normal")</f>
        <v>Normal</v>
      </c>
      <c r="J896" s="8">
        <f t="shared" si="26"/>
        <v>2021</v>
      </c>
      <c r="K896">
        <f t="shared" si="27"/>
        <v>5</v>
      </c>
    </row>
    <row r="897" spans="1:11" x14ac:dyDescent="0.35">
      <c r="A897" s="13">
        <v>44333</v>
      </c>
      <c r="B897" s="8">
        <v>25.7</v>
      </c>
      <c r="C897" s="8">
        <v>21</v>
      </c>
      <c r="D897" s="8">
        <v>31.6</v>
      </c>
      <c r="E897" s="8">
        <v>0</v>
      </c>
      <c r="F897" s="8" t="str">
        <f>IF(OR(B897&lt;outliers!$B$7,B897&gt;outliers!$B$6),"Outlier","Normal")</f>
        <v>Normal</v>
      </c>
      <c r="G897" s="8" t="str">
        <f>IF(OR(C897&lt;outliers!$B$14,C897&gt;outliers!$B$13),"Outlier","Normal")</f>
        <v>Normal</v>
      </c>
      <c r="H897" s="8" t="str">
        <f>IF(OR(D897&lt;outliers!$B$21,D897&gt;outliers!$B$20),"Outlier","Normal")</f>
        <v>Normal</v>
      </c>
      <c r="I897" s="8" t="str">
        <f>IF(OR(E897&lt;outliers!$C$28,E897&gt;outliers!$B$27),"Outlier","Normal")</f>
        <v>Normal</v>
      </c>
      <c r="J897" s="8">
        <f t="shared" si="26"/>
        <v>2021</v>
      </c>
      <c r="K897">
        <f t="shared" si="27"/>
        <v>5</v>
      </c>
    </row>
    <row r="898" spans="1:11" x14ac:dyDescent="0.35">
      <c r="A898" s="13">
        <v>44334</v>
      </c>
      <c r="B898" s="8">
        <v>25.7</v>
      </c>
      <c r="C898" s="8">
        <v>21.6</v>
      </c>
      <c r="D898" s="8">
        <v>32.6</v>
      </c>
      <c r="E898" s="8">
        <v>0</v>
      </c>
      <c r="F898" s="8" t="str">
        <f>IF(OR(B898&lt;outliers!$B$7,B898&gt;outliers!$B$6),"Outlier","Normal")</f>
        <v>Normal</v>
      </c>
      <c r="G898" s="8" t="str">
        <f>IF(OR(C898&lt;outliers!$B$14,C898&gt;outliers!$B$13),"Outlier","Normal")</f>
        <v>Normal</v>
      </c>
      <c r="H898" s="8" t="str">
        <f>IF(OR(D898&lt;outliers!$B$21,D898&gt;outliers!$B$20),"Outlier","Normal")</f>
        <v>Normal</v>
      </c>
      <c r="I898" s="8" t="str">
        <f>IF(OR(E898&lt;outliers!$C$28,E898&gt;outliers!$B$27),"Outlier","Normal")</f>
        <v>Normal</v>
      </c>
      <c r="J898" s="8">
        <f t="shared" si="26"/>
        <v>2021</v>
      </c>
      <c r="K898">
        <f t="shared" si="27"/>
        <v>5</v>
      </c>
    </row>
    <row r="899" spans="1:11" x14ac:dyDescent="0.35">
      <c r="A899" s="13">
        <v>44335</v>
      </c>
      <c r="B899" s="8">
        <v>25.1</v>
      </c>
      <c r="C899" s="8">
        <v>20.2</v>
      </c>
      <c r="D899" s="8">
        <v>32.6</v>
      </c>
      <c r="E899" s="8">
        <v>4</v>
      </c>
      <c r="F899" s="8" t="str">
        <f>IF(OR(B899&lt;outliers!$B$7,B899&gt;outliers!$B$6),"Outlier","Normal")</f>
        <v>Normal</v>
      </c>
      <c r="G899" s="8" t="str">
        <f>IF(OR(C899&lt;outliers!$B$14,C899&gt;outliers!$B$13),"Outlier","Normal")</f>
        <v>Normal</v>
      </c>
      <c r="H899" s="8" t="str">
        <f>IF(OR(D899&lt;outliers!$B$21,D899&gt;outliers!$B$20),"Outlier","Normal")</f>
        <v>Normal</v>
      </c>
      <c r="I899" s="8" t="str">
        <f>IF(OR(E899&lt;outliers!$C$28,E899&gt;outliers!$B$27),"Outlier","Normal")</f>
        <v>Normal</v>
      </c>
      <c r="J899" s="8">
        <f t="shared" si="26"/>
        <v>2021</v>
      </c>
      <c r="K899">
        <f t="shared" si="27"/>
        <v>5</v>
      </c>
    </row>
    <row r="900" spans="1:11" x14ac:dyDescent="0.35">
      <c r="A900" s="13">
        <v>44336</v>
      </c>
      <c r="B900" s="8">
        <v>24.2</v>
      </c>
      <c r="C900" s="8">
        <v>21.1</v>
      </c>
      <c r="D900" s="8">
        <v>29.6</v>
      </c>
      <c r="E900" s="8">
        <v>2.7</v>
      </c>
      <c r="F900" s="8" t="str">
        <f>IF(OR(B900&lt;outliers!$B$7,B900&gt;outliers!$B$6),"Outlier","Normal")</f>
        <v>Normal</v>
      </c>
      <c r="G900" s="8" t="str">
        <f>IF(OR(C900&lt;outliers!$B$14,C900&gt;outliers!$B$13),"Outlier","Normal")</f>
        <v>Normal</v>
      </c>
      <c r="H900" s="8" t="str">
        <f>IF(OR(D900&lt;outliers!$B$21,D900&gt;outliers!$B$20),"Outlier","Normal")</f>
        <v>Normal</v>
      </c>
      <c r="I900" s="8" t="str">
        <f>IF(OR(E900&lt;outliers!$C$28,E900&gt;outliers!$B$27),"Outlier","Normal")</f>
        <v>Normal</v>
      </c>
      <c r="J900" s="8">
        <f t="shared" ref="J900:J963" si="28">YEAR(A900)</f>
        <v>2021</v>
      </c>
      <c r="K900">
        <f t="shared" ref="K900:K963" si="29">MONTH(A900)</f>
        <v>5</v>
      </c>
    </row>
    <row r="901" spans="1:11" x14ac:dyDescent="0.35">
      <c r="A901" s="13">
        <v>44337</v>
      </c>
      <c r="B901" s="8">
        <v>23.3</v>
      </c>
      <c r="C901" s="8">
        <v>20.9</v>
      </c>
      <c r="D901" s="8">
        <v>30.8</v>
      </c>
      <c r="E901" s="8">
        <v>2.8</v>
      </c>
      <c r="F901" s="8" t="str">
        <f>IF(OR(B901&lt;outliers!$B$7,B901&gt;outliers!$B$6),"Outlier","Normal")</f>
        <v>Normal</v>
      </c>
      <c r="G901" s="8" t="str">
        <f>IF(OR(C901&lt;outliers!$B$14,C901&gt;outliers!$B$13),"Outlier","Normal")</f>
        <v>Normal</v>
      </c>
      <c r="H901" s="8" t="str">
        <f>IF(OR(D901&lt;outliers!$B$21,D901&gt;outliers!$B$20),"Outlier","Normal")</f>
        <v>Normal</v>
      </c>
      <c r="I901" s="8" t="str">
        <f>IF(OR(E901&lt;outliers!$C$28,E901&gt;outliers!$B$27),"Outlier","Normal")</f>
        <v>Normal</v>
      </c>
      <c r="J901" s="8">
        <f t="shared" si="28"/>
        <v>2021</v>
      </c>
      <c r="K901">
        <f t="shared" si="29"/>
        <v>5</v>
      </c>
    </row>
    <row r="902" spans="1:11" hidden="1" x14ac:dyDescent="0.35">
      <c r="A902" s="13">
        <v>44338</v>
      </c>
      <c r="B902" s="8">
        <v>23.8</v>
      </c>
      <c r="C902" s="8">
        <v>21</v>
      </c>
      <c r="D902" s="8">
        <v>28.8</v>
      </c>
      <c r="E902" s="8">
        <v>25.4</v>
      </c>
      <c r="F902" s="8" t="str">
        <f>IF(OR(B902&lt;outliers!$B$7,B902&gt;outliers!$B$6),"Outlier","Normal")</f>
        <v>Normal</v>
      </c>
      <c r="G902" s="8" t="str">
        <f>IF(OR(C902&lt;outliers!$B$14,C902&gt;outliers!$B$13),"Outlier","Normal")</f>
        <v>Normal</v>
      </c>
      <c r="H902" s="8" t="str">
        <f>IF(OR(D902&lt;outliers!$B$21,D902&gt;outliers!$B$20),"Outlier","Normal")</f>
        <v>Normal</v>
      </c>
      <c r="I902" s="8" t="str">
        <f>IF(OR(E902&lt;outliers!$C$28,E902&gt;outliers!$B$27),"Outlier","Normal")</f>
        <v>Outlier</v>
      </c>
      <c r="J902" s="8">
        <f t="shared" si="28"/>
        <v>2021</v>
      </c>
      <c r="K902">
        <f t="shared" si="29"/>
        <v>5</v>
      </c>
    </row>
    <row r="903" spans="1:11" x14ac:dyDescent="0.35">
      <c r="A903" s="13">
        <v>44339</v>
      </c>
      <c r="B903" s="8">
        <v>25.8</v>
      </c>
      <c r="C903" s="8">
        <v>20.8</v>
      </c>
      <c r="D903" s="8">
        <v>29.4</v>
      </c>
      <c r="E903" s="8">
        <v>7.4</v>
      </c>
      <c r="F903" s="8" t="str">
        <f>IF(OR(B903&lt;outliers!$B$7,B903&gt;outliers!$B$6),"Outlier","Normal")</f>
        <v>Normal</v>
      </c>
      <c r="G903" s="8" t="str">
        <f>IF(OR(C903&lt;outliers!$B$14,C903&gt;outliers!$B$13),"Outlier","Normal")</f>
        <v>Normal</v>
      </c>
      <c r="H903" s="8" t="str">
        <f>IF(OR(D903&lt;outliers!$B$21,D903&gt;outliers!$B$20),"Outlier","Normal")</f>
        <v>Normal</v>
      </c>
      <c r="I903" s="8" t="str">
        <f>IF(OR(E903&lt;outliers!$C$28,E903&gt;outliers!$B$27),"Outlier","Normal")</f>
        <v>Normal</v>
      </c>
      <c r="J903" s="8">
        <f t="shared" si="28"/>
        <v>2021</v>
      </c>
      <c r="K903">
        <f t="shared" si="29"/>
        <v>5</v>
      </c>
    </row>
    <row r="904" spans="1:11" x14ac:dyDescent="0.35">
      <c r="A904" s="13">
        <v>44340</v>
      </c>
      <c r="B904" s="8">
        <v>26.1</v>
      </c>
      <c r="C904" s="8">
        <v>22</v>
      </c>
      <c r="D904" s="8">
        <v>31</v>
      </c>
      <c r="E904" s="8">
        <v>0</v>
      </c>
      <c r="F904" s="8" t="str">
        <f>IF(OR(B904&lt;outliers!$B$7,B904&gt;outliers!$B$6),"Outlier","Normal")</f>
        <v>Normal</v>
      </c>
      <c r="G904" s="8" t="str">
        <f>IF(OR(C904&lt;outliers!$B$14,C904&gt;outliers!$B$13),"Outlier","Normal")</f>
        <v>Normal</v>
      </c>
      <c r="H904" s="8" t="str">
        <f>IF(OR(D904&lt;outliers!$B$21,D904&gt;outliers!$B$20),"Outlier","Normal")</f>
        <v>Normal</v>
      </c>
      <c r="I904" s="8" t="str">
        <f>IF(OR(E904&lt;outliers!$C$28,E904&gt;outliers!$B$27),"Outlier","Normal")</f>
        <v>Normal</v>
      </c>
      <c r="J904" s="8">
        <f t="shared" si="28"/>
        <v>2021</v>
      </c>
      <c r="K904">
        <f t="shared" si="29"/>
        <v>5</v>
      </c>
    </row>
    <row r="905" spans="1:11" x14ac:dyDescent="0.35">
      <c r="A905" s="13">
        <v>44341</v>
      </c>
      <c r="B905" s="8">
        <v>24.3</v>
      </c>
      <c r="C905" s="8">
        <v>20.2</v>
      </c>
      <c r="D905" s="8">
        <v>31.7</v>
      </c>
      <c r="E905" s="8">
        <v>0.3</v>
      </c>
      <c r="F905" s="8" t="str">
        <f>IF(OR(B905&lt;outliers!$B$7,B905&gt;outliers!$B$6),"Outlier","Normal")</f>
        <v>Normal</v>
      </c>
      <c r="G905" s="8" t="str">
        <f>IF(OR(C905&lt;outliers!$B$14,C905&gt;outliers!$B$13),"Outlier","Normal")</f>
        <v>Normal</v>
      </c>
      <c r="H905" s="8" t="str">
        <f>IF(OR(D905&lt;outliers!$B$21,D905&gt;outliers!$B$20),"Outlier","Normal")</f>
        <v>Normal</v>
      </c>
      <c r="I905" s="8" t="str">
        <f>IF(OR(E905&lt;outliers!$C$28,E905&gt;outliers!$B$27),"Outlier","Normal")</f>
        <v>Normal</v>
      </c>
      <c r="J905" s="8">
        <f t="shared" si="28"/>
        <v>2021</v>
      </c>
      <c r="K905">
        <f t="shared" si="29"/>
        <v>5</v>
      </c>
    </row>
    <row r="906" spans="1:11" hidden="1" x14ac:dyDescent="0.35">
      <c r="A906" s="13">
        <v>44342</v>
      </c>
      <c r="B906" s="8">
        <v>24.9</v>
      </c>
      <c r="C906" s="8">
        <v>20.399999999999999</v>
      </c>
      <c r="D906" s="8">
        <v>30.2</v>
      </c>
      <c r="E906" s="8">
        <v>31</v>
      </c>
      <c r="F906" s="8" t="str">
        <f>IF(OR(B906&lt;outliers!$B$7,B906&gt;outliers!$B$6),"Outlier","Normal")</f>
        <v>Normal</v>
      </c>
      <c r="G906" s="8" t="str">
        <f>IF(OR(C906&lt;outliers!$B$14,C906&gt;outliers!$B$13),"Outlier","Normal")</f>
        <v>Normal</v>
      </c>
      <c r="H906" s="8" t="str">
        <f>IF(OR(D906&lt;outliers!$B$21,D906&gt;outliers!$B$20),"Outlier","Normal")</f>
        <v>Normal</v>
      </c>
      <c r="I906" s="8" t="str">
        <f>IF(OR(E906&lt;outliers!$C$28,E906&gt;outliers!$B$27),"Outlier","Normal")</f>
        <v>Outlier</v>
      </c>
      <c r="J906" s="8">
        <f t="shared" si="28"/>
        <v>2021</v>
      </c>
      <c r="K906">
        <f t="shared" si="29"/>
        <v>5</v>
      </c>
    </row>
    <row r="907" spans="1:11" x14ac:dyDescent="0.35">
      <c r="A907" s="13">
        <v>44343</v>
      </c>
      <c r="B907" s="8">
        <v>25.3</v>
      </c>
      <c r="C907" s="8">
        <v>21.2</v>
      </c>
      <c r="D907" s="8">
        <v>30.1</v>
      </c>
      <c r="E907" s="8">
        <v>0</v>
      </c>
      <c r="F907" s="8" t="str">
        <f>IF(OR(B907&lt;outliers!$B$7,B907&gt;outliers!$B$6),"Outlier","Normal")</f>
        <v>Normal</v>
      </c>
      <c r="G907" s="8" t="str">
        <f>IF(OR(C907&lt;outliers!$B$14,C907&gt;outliers!$B$13),"Outlier","Normal")</f>
        <v>Normal</v>
      </c>
      <c r="H907" s="8" t="str">
        <f>IF(OR(D907&lt;outliers!$B$21,D907&gt;outliers!$B$20),"Outlier","Normal")</f>
        <v>Normal</v>
      </c>
      <c r="I907" s="8" t="str">
        <f>IF(OR(E907&lt;outliers!$C$28,E907&gt;outliers!$B$27),"Outlier","Normal")</f>
        <v>Normal</v>
      </c>
      <c r="J907" s="8">
        <f t="shared" si="28"/>
        <v>2021</v>
      </c>
      <c r="K907">
        <f t="shared" si="29"/>
        <v>5</v>
      </c>
    </row>
    <row r="908" spans="1:11" x14ac:dyDescent="0.35">
      <c r="A908" s="13">
        <v>44344</v>
      </c>
      <c r="B908" s="8">
        <v>24.7</v>
      </c>
      <c r="C908" s="8">
        <v>18.8</v>
      </c>
      <c r="D908" s="8">
        <v>30.3</v>
      </c>
      <c r="E908" s="8">
        <v>0</v>
      </c>
      <c r="F908" s="8" t="str">
        <f>IF(OR(B908&lt;outliers!$B$7,B908&gt;outliers!$B$6),"Outlier","Normal")</f>
        <v>Normal</v>
      </c>
      <c r="G908" s="8" t="str">
        <f>IF(OR(C908&lt;outliers!$B$14,C908&gt;outliers!$B$13),"Outlier","Normal")</f>
        <v>Normal</v>
      </c>
      <c r="H908" s="8" t="str">
        <f>IF(OR(D908&lt;outliers!$B$21,D908&gt;outliers!$B$20),"Outlier","Normal")</f>
        <v>Normal</v>
      </c>
      <c r="I908" s="8" t="str">
        <f>IF(OR(E908&lt;outliers!$C$28,E908&gt;outliers!$B$27),"Outlier","Normal")</f>
        <v>Normal</v>
      </c>
      <c r="J908" s="8">
        <f t="shared" si="28"/>
        <v>2021</v>
      </c>
      <c r="K908">
        <f t="shared" si="29"/>
        <v>5</v>
      </c>
    </row>
    <row r="909" spans="1:11" x14ac:dyDescent="0.35">
      <c r="A909" s="13">
        <v>44345</v>
      </c>
      <c r="B909" s="8">
        <v>24.8</v>
      </c>
      <c r="C909" s="8">
        <v>19.399999999999999</v>
      </c>
      <c r="D909" s="8">
        <v>30.8</v>
      </c>
      <c r="E909" s="8">
        <v>0.5</v>
      </c>
      <c r="F909" s="8" t="str">
        <f>IF(OR(B909&lt;outliers!$B$7,B909&gt;outliers!$B$6),"Outlier","Normal")</f>
        <v>Normal</v>
      </c>
      <c r="G909" s="8" t="str">
        <f>IF(OR(C909&lt;outliers!$B$14,C909&gt;outliers!$B$13),"Outlier","Normal")</f>
        <v>Normal</v>
      </c>
      <c r="H909" s="8" t="str">
        <f>IF(OR(D909&lt;outliers!$B$21,D909&gt;outliers!$B$20),"Outlier","Normal")</f>
        <v>Normal</v>
      </c>
      <c r="I909" s="8" t="str">
        <f>IF(OR(E909&lt;outliers!$C$28,E909&gt;outliers!$B$27),"Outlier","Normal")</f>
        <v>Normal</v>
      </c>
      <c r="J909" s="8">
        <f t="shared" si="28"/>
        <v>2021</v>
      </c>
      <c r="K909">
        <f t="shared" si="29"/>
        <v>5</v>
      </c>
    </row>
    <row r="910" spans="1:11" x14ac:dyDescent="0.35">
      <c r="A910" s="13">
        <v>44346</v>
      </c>
      <c r="B910" s="8">
        <v>25.2</v>
      </c>
      <c r="C910" s="8">
        <v>20.100000000000001</v>
      </c>
      <c r="D910" s="8">
        <v>31.3</v>
      </c>
      <c r="E910" s="8">
        <v>0.1</v>
      </c>
      <c r="F910" s="8" t="str">
        <f>IF(OR(B910&lt;outliers!$B$7,B910&gt;outliers!$B$6),"Outlier","Normal")</f>
        <v>Normal</v>
      </c>
      <c r="G910" s="8" t="str">
        <f>IF(OR(C910&lt;outliers!$B$14,C910&gt;outliers!$B$13),"Outlier","Normal")</f>
        <v>Normal</v>
      </c>
      <c r="H910" s="8" t="str">
        <f>IF(OR(D910&lt;outliers!$B$21,D910&gt;outliers!$B$20),"Outlier","Normal")</f>
        <v>Normal</v>
      </c>
      <c r="I910" s="8" t="str">
        <f>IF(OR(E910&lt;outliers!$C$28,E910&gt;outliers!$B$27),"Outlier","Normal")</f>
        <v>Normal</v>
      </c>
      <c r="J910" s="8">
        <f t="shared" si="28"/>
        <v>2021</v>
      </c>
      <c r="K910">
        <f t="shared" si="29"/>
        <v>5</v>
      </c>
    </row>
    <row r="911" spans="1:11" x14ac:dyDescent="0.35">
      <c r="A911" s="13">
        <v>44347</v>
      </c>
      <c r="B911" s="8">
        <v>25.3</v>
      </c>
      <c r="C911" s="8">
        <v>20.3</v>
      </c>
      <c r="D911" s="8">
        <v>31.6</v>
      </c>
      <c r="E911" s="8">
        <v>2.2999999999999998</v>
      </c>
      <c r="F911" s="8" t="str">
        <f>IF(OR(B911&lt;outliers!$B$7,B911&gt;outliers!$B$6),"Outlier","Normal")</f>
        <v>Normal</v>
      </c>
      <c r="G911" s="8" t="str">
        <f>IF(OR(C911&lt;outliers!$B$14,C911&gt;outliers!$B$13),"Outlier","Normal")</f>
        <v>Normal</v>
      </c>
      <c r="H911" s="8" t="str">
        <f>IF(OR(D911&lt;outliers!$B$21,D911&gt;outliers!$B$20),"Outlier","Normal")</f>
        <v>Normal</v>
      </c>
      <c r="I911" s="8" t="str">
        <f>IF(OR(E911&lt;outliers!$C$28,E911&gt;outliers!$B$27),"Outlier","Normal")</f>
        <v>Normal</v>
      </c>
      <c r="J911" s="8">
        <f t="shared" si="28"/>
        <v>2021</v>
      </c>
      <c r="K911">
        <f t="shared" si="29"/>
        <v>5</v>
      </c>
    </row>
    <row r="912" spans="1:11" x14ac:dyDescent="0.35">
      <c r="A912" s="13">
        <v>44348</v>
      </c>
      <c r="B912" s="8">
        <v>25.5</v>
      </c>
      <c r="C912" s="8">
        <v>20.8</v>
      </c>
      <c r="D912" s="8">
        <v>31.6</v>
      </c>
      <c r="E912" s="8">
        <v>5.6</v>
      </c>
      <c r="F912" s="8" t="str">
        <f>IF(OR(B912&lt;outliers!$B$7,B912&gt;outliers!$B$6),"Outlier","Normal")</f>
        <v>Normal</v>
      </c>
      <c r="G912" s="8" t="str">
        <f>IF(OR(C912&lt;outliers!$B$14,C912&gt;outliers!$B$13),"Outlier","Normal")</f>
        <v>Normal</v>
      </c>
      <c r="H912" s="8" t="str">
        <f>IF(OR(D912&lt;outliers!$B$21,D912&gt;outliers!$B$20),"Outlier","Normal")</f>
        <v>Normal</v>
      </c>
      <c r="I912" s="8" t="str">
        <f>IF(OR(E912&lt;outliers!$C$28,E912&gt;outliers!$B$27),"Outlier","Normal")</f>
        <v>Normal</v>
      </c>
      <c r="J912" s="8">
        <f t="shared" si="28"/>
        <v>2021</v>
      </c>
      <c r="K912">
        <f t="shared" si="29"/>
        <v>6</v>
      </c>
    </row>
    <row r="913" spans="1:11" x14ac:dyDescent="0.35">
      <c r="A913" s="13">
        <v>44349</v>
      </c>
      <c r="B913" s="8">
        <v>25.9</v>
      </c>
      <c r="C913" s="8">
        <v>22.2</v>
      </c>
      <c r="D913" s="8">
        <v>33.700000000000003</v>
      </c>
      <c r="E913" s="8">
        <v>1</v>
      </c>
      <c r="F913" s="8" t="str">
        <f>IF(OR(B913&lt;outliers!$B$7,B913&gt;outliers!$B$6),"Outlier","Normal")</f>
        <v>Normal</v>
      </c>
      <c r="G913" s="8" t="str">
        <f>IF(OR(C913&lt;outliers!$B$14,C913&gt;outliers!$B$13),"Outlier","Normal")</f>
        <v>Normal</v>
      </c>
      <c r="H913" s="8" t="str">
        <f>IF(OR(D913&lt;outliers!$B$21,D913&gt;outliers!$B$20),"Outlier","Normal")</f>
        <v>Normal</v>
      </c>
      <c r="I913" s="8" t="str">
        <f>IF(OR(E913&lt;outliers!$C$28,E913&gt;outliers!$B$27),"Outlier","Normal")</f>
        <v>Normal</v>
      </c>
      <c r="J913" s="8">
        <f t="shared" si="28"/>
        <v>2021</v>
      </c>
      <c r="K913">
        <f t="shared" si="29"/>
        <v>6</v>
      </c>
    </row>
    <row r="914" spans="1:11" x14ac:dyDescent="0.35">
      <c r="A914" s="13">
        <v>44350</v>
      </c>
      <c r="B914" s="8">
        <v>24.6</v>
      </c>
      <c r="C914" s="8">
        <v>21.9</v>
      </c>
      <c r="D914" s="8">
        <v>33.700000000000003</v>
      </c>
      <c r="E914" s="8">
        <v>0.5</v>
      </c>
      <c r="F914" s="8" t="str">
        <f>IF(OR(B914&lt;outliers!$B$7,B914&gt;outliers!$B$6),"Outlier","Normal")</f>
        <v>Normal</v>
      </c>
      <c r="G914" s="8" t="str">
        <f>IF(OR(C914&lt;outliers!$B$14,C914&gt;outliers!$B$13),"Outlier","Normal")</f>
        <v>Normal</v>
      </c>
      <c r="H914" s="8" t="str">
        <f>IF(OR(D914&lt;outliers!$B$21,D914&gt;outliers!$B$20),"Outlier","Normal")</f>
        <v>Normal</v>
      </c>
      <c r="I914" s="8" t="str">
        <f>IF(OR(E914&lt;outliers!$C$28,E914&gt;outliers!$B$27),"Outlier","Normal")</f>
        <v>Normal</v>
      </c>
      <c r="J914" s="8">
        <f t="shared" si="28"/>
        <v>2021</v>
      </c>
      <c r="K914">
        <f t="shared" si="29"/>
        <v>6</v>
      </c>
    </row>
    <row r="915" spans="1:11" hidden="1" x14ac:dyDescent="0.35">
      <c r="A915" s="13">
        <v>44351</v>
      </c>
      <c r="B915" s="8">
        <v>23.8</v>
      </c>
      <c r="C915" s="8">
        <v>21.1</v>
      </c>
      <c r="D915" s="8">
        <v>31</v>
      </c>
      <c r="E915" s="8">
        <v>52.3</v>
      </c>
      <c r="F915" s="8" t="str">
        <f>IF(OR(B915&lt;outliers!$B$7,B915&gt;outliers!$B$6),"Outlier","Normal")</f>
        <v>Normal</v>
      </c>
      <c r="G915" s="8" t="str">
        <f>IF(OR(C915&lt;outliers!$B$14,C915&gt;outliers!$B$13),"Outlier","Normal")</f>
        <v>Normal</v>
      </c>
      <c r="H915" s="8" t="str">
        <f>IF(OR(D915&lt;outliers!$B$21,D915&gt;outliers!$B$20),"Outlier","Normal")</f>
        <v>Normal</v>
      </c>
      <c r="I915" s="8" t="str">
        <f>IF(OR(E915&lt;outliers!$C$28,E915&gt;outliers!$B$27),"Outlier","Normal")</f>
        <v>Outlier</v>
      </c>
      <c r="J915" s="8">
        <f t="shared" si="28"/>
        <v>2021</v>
      </c>
      <c r="K915">
        <f t="shared" si="29"/>
        <v>6</v>
      </c>
    </row>
    <row r="916" spans="1:11" hidden="1" x14ac:dyDescent="0.35">
      <c r="A916" s="13">
        <v>44352</v>
      </c>
      <c r="B916" s="8">
        <v>23.6</v>
      </c>
      <c r="C916" s="8">
        <v>21.2</v>
      </c>
      <c r="D916" s="8">
        <v>31.5</v>
      </c>
      <c r="E916" s="8">
        <v>12.7</v>
      </c>
      <c r="F916" s="8" t="str">
        <f>IF(OR(B916&lt;outliers!$B$7,B916&gt;outliers!$B$6),"Outlier","Normal")</f>
        <v>Normal</v>
      </c>
      <c r="G916" s="8" t="str">
        <f>IF(OR(C916&lt;outliers!$B$14,C916&gt;outliers!$B$13),"Outlier","Normal")</f>
        <v>Normal</v>
      </c>
      <c r="H916" s="8" t="str">
        <f>IF(OR(D916&lt;outliers!$B$21,D916&gt;outliers!$B$20),"Outlier","Normal")</f>
        <v>Normal</v>
      </c>
      <c r="I916" s="8" t="str">
        <f>IF(OR(E916&lt;outliers!$C$28,E916&gt;outliers!$B$27),"Outlier","Normal")</f>
        <v>Outlier</v>
      </c>
      <c r="J916" s="8">
        <f t="shared" si="28"/>
        <v>2021</v>
      </c>
      <c r="K916">
        <f t="shared" si="29"/>
        <v>6</v>
      </c>
    </row>
    <row r="917" spans="1:11" x14ac:dyDescent="0.35">
      <c r="A917" s="13">
        <v>44353</v>
      </c>
      <c r="B917" s="8">
        <v>24.8</v>
      </c>
      <c r="C917" s="8">
        <v>20.7</v>
      </c>
      <c r="D917" s="8">
        <v>29.2</v>
      </c>
      <c r="E917" s="8">
        <v>4.5999999999999996</v>
      </c>
      <c r="F917" s="8" t="str">
        <f>IF(OR(B917&lt;outliers!$B$7,B917&gt;outliers!$B$6),"Outlier","Normal")</f>
        <v>Normal</v>
      </c>
      <c r="G917" s="8" t="str">
        <f>IF(OR(C917&lt;outliers!$B$14,C917&gt;outliers!$B$13),"Outlier","Normal")</f>
        <v>Normal</v>
      </c>
      <c r="H917" s="8" t="str">
        <f>IF(OR(D917&lt;outliers!$B$21,D917&gt;outliers!$B$20),"Outlier","Normal")</f>
        <v>Normal</v>
      </c>
      <c r="I917" s="8" t="str">
        <f>IF(OR(E917&lt;outliers!$C$28,E917&gt;outliers!$B$27),"Outlier","Normal")</f>
        <v>Normal</v>
      </c>
      <c r="J917" s="8">
        <f t="shared" si="28"/>
        <v>2021</v>
      </c>
      <c r="K917">
        <f t="shared" si="29"/>
        <v>6</v>
      </c>
    </row>
    <row r="918" spans="1:11" x14ac:dyDescent="0.35">
      <c r="A918" s="13">
        <v>44354</v>
      </c>
      <c r="B918" s="8">
        <v>25.4</v>
      </c>
      <c r="C918" s="8">
        <v>22.1</v>
      </c>
      <c r="D918" s="8">
        <v>29.7</v>
      </c>
      <c r="E918" s="8">
        <v>0.5</v>
      </c>
      <c r="F918" s="8" t="str">
        <f>IF(OR(B918&lt;outliers!$B$7,B918&gt;outliers!$B$6),"Outlier","Normal")</f>
        <v>Normal</v>
      </c>
      <c r="G918" s="8" t="str">
        <f>IF(OR(C918&lt;outliers!$B$14,C918&gt;outliers!$B$13),"Outlier","Normal")</f>
        <v>Normal</v>
      </c>
      <c r="H918" s="8" t="str">
        <f>IF(OR(D918&lt;outliers!$B$21,D918&gt;outliers!$B$20),"Outlier","Normal")</f>
        <v>Normal</v>
      </c>
      <c r="I918" s="8" t="str">
        <f>IF(OR(E918&lt;outliers!$C$28,E918&gt;outliers!$B$27),"Outlier","Normal")</f>
        <v>Normal</v>
      </c>
      <c r="J918" s="8">
        <f t="shared" si="28"/>
        <v>2021</v>
      </c>
      <c r="K918">
        <f t="shared" si="29"/>
        <v>6</v>
      </c>
    </row>
    <row r="919" spans="1:11" x14ac:dyDescent="0.35">
      <c r="A919" s="13">
        <v>44355</v>
      </c>
      <c r="B919" s="8">
        <v>25.6</v>
      </c>
      <c r="C919" s="8">
        <v>19.7</v>
      </c>
      <c r="D919" s="8">
        <v>31</v>
      </c>
      <c r="E919" s="8">
        <v>0</v>
      </c>
      <c r="F919" s="8" t="str">
        <f>IF(OR(B919&lt;outliers!$B$7,B919&gt;outliers!$B$6),"Outlier","Normal")</f>
        <v>Normal</v>
      </c>
      <c r="G919" s="8" t="str">
        <f>IF(OR(C919&lt;outliers!$B$14,C919&gt;outliers!$B$13),"Outlier","Normal")</f>
        <v>Normal</v>
      </c>
      <c r="H919" s="8" t="str">
        <f>IF(OR(D919&lt;outliers!$B$21,D919&gt;outliers!$B$20),"Outlier","Normal")</f>
        <v>Normal</v>
      </c>
      <c r="I919" s="8" t="str">
        <f>IF(OR(E919&lt;outliers!$C$28,E919&gt;outliers!$B$27),"Outlier","Normal")</f>
        <v>Normal</v>
      </c>
      <c r="J919" s="8">
        <f t="shared" si="28"/>
        <v>2021</v>
      </c>
      <c r="K919">
        <f t="shared" si="29"/>
        <v>6</v>
      </c>
    </row>
    <row r="920" spans="1:11" x14ac:dyDescent="0.35">
      <c r="A920" s="13">
        <v>44356</v>
      </c>
      <c r="B920" s="8">
        <v>23.4</v>
      </c>
      <c r="C920" s="8">
        <v>19.2</v>
      </c>
      <c r="D920" s="8">
        <v>29.2</v>
      </c>
      <c r="E920" s="8">
        <v>4.5999999999999996</v>
      </c>
      <c r="F920" s="8" t="str">
        <f>IF(OR(B920&lt;outliers!$B$7,B920&gt;outliers!$B$6),"Outlier","Normal")</f>
        <v>Normal</v>
      </c>
      <c r="G920" s="8" t="str">
        <f>IF(OR(C920&lt;outliers!$B$14,C920&gt;outliers!$B$13),"Outlier","Normal")</f>
        <v>Normal</v>
      </c>
      <c r="H920" s="8" t="str">
        <f>IF(OR(D920&lt;outliers!$B$21,D920&gt;outliers!$B$20),"Outlier","Normal")</f>
        <v>Normal</v>
      </c>
      <c r="I920" s="8" t="str">
        <f>IF(OR(E920&lt;outliers!$C$28,E920&gt;outliers!$B$27),"Outlier","Normal")</f>
        <v>Normal</v>
      </c>
      <c r="J920" s="8">
        <f t="shared" si="28"/>
        <v>2021</v>
      </c>
      <c r="K920">
        <f t="shared" si="29"/>
        <v>6</v>
      </c>
    </row>
    <row r="921" spans="1:11" x14ac:dyDescent="0.35">
      <c r="A921" s="13">
        <v>44357</v>
      </c>
      <c r="B921" s="8">
        <v>23.6</v>
      </c>
      <c r="C921" s="8">
        <v>19.8</v>
      </c>
      <c r="D921" s="8">
        <v>28.5</v>
      </c>
      <c r="E921" s="8">
        <v>2.2999999999999998</v>
      </c>
      <c r="F921" s="8" t="str">
        <f>IF(OR(B921&lt;outliers!$B$7,B921&gt;outliers!$B$6),"Outlier","Normal")</f>
        <v>Normal</v>
      </c>
      <c r="G921" s="8" t="str">
        <f>IF(OR(C921&lt;outliers!$B$14,C921&gt;outliers!$B$13),"Outlier","Normal")</f>
        <v>Normal</v>
      </c>
      <c r="H921" s="8" t="str">
        <f>IF(OR(D921&lt;outliers!$B$21,D921&gt;outliers!$B$20),"Outlier","Normal")</f>
        <v>Normal</v>
      </c>
      <c r="I921" s="8" t="str">
        <f>IF(OR(E921&lt;outliers!$C$28,E921&gt;outliers!$B$27),"Outlier","Normal")</f>
        <v>Normal</v>
      </c>
      <c r="J921" s="8">
        <f t="shared" si="28"/>
        <v>2021</v>
      </c>
      <c r="K921">
        <f t="shared" si="29"/>
        <v>6</v>
      </c>
    </row>
    <row r="922" spans="1:11" x14ac:dyDescent="0.35">
      <c r="A922" s="13">
        <v>44358</v>
      </c>
      <c r="B922" s="8">
        <v>24.2</v>
      </c>
      <c r="C922" s="8">
        <v>20.399999999999999</v>
      </c>
      <c r="D922" s="8">
        <v>29</v>
      </c>
      <c r="E922" s="8">
        <v>0</v>
      </c>
      <c r="F922" s="8" t="str">
        <f>IF(OR(B922&lt;outliers!$B$7,B922&gt;outliers!$B$6),"Outlier","Normal")</f>
        <v>Normal</v>
      </c>
      <c r="G922" s="8" t="str">
        <f>IF(OR(C922&lt;outliers!$B$14,C922&gt;outliers!$B$13),"Outlier","Normal")</f>
        <v>Normal</v>
      </c>
      <c r="H922" s="8" t="str">
        <f>IF(OR(D922&lt;outliers!$B$21,D922&gt;outliers!$B$20),"Outlier","Normal")</f>
        <v>Normal</v>
      </c>
      <c r="I922" s="8" t="str">
        <f>IF(OR(E922&lt;outliers!$C$28,E922&gt;outliers!$B$27),"Outlier","Normal")</f>
        <v>Normal</v>
      </c>
      <c r="J922" s="8">
        <f t="shared" si="28"/>
        <v>2021</v>
      </c>
      <c r="K922">
        <f t="shared" si="29"/>
        <v>6</v>
      </c>
    </row>
    <row r="923" spans="1:11" x14ac:dyDescent="0.35">
      <c r="A923" s="13">
        <v>44359</v>
      </c>
      <c r="B923" s="8">
        <v>23.2</v>
      </c>
      <c r="C923" s="8">
        <v>20.399999999999999</v>
      </c>
      <c r="D923" s="8">
        <v>27</v>
      </c>
      <c r="E923" s="8">
        <v>2.8</v>
      </c>
      <c r="F923" s="8" t="str">
        <f>IF(OR(B923&lt;outliers!$B$7,B923&gt;outliers!$B$6),"Outlier","Normal")</f>
        <v>Normal</v>
      </c>
      <c r="G923" s="8" t="str">
        <f>IF(OR(C923&lt;outliers!$B$14,C923&gt;outliers!$B$13),"Outlier","Normal")</f>
        <v>Normal</v>
      </c>
      <c r="H923" s="8" t="str">
        <f>IF(OR(D923&lt;outliers!$B$21,D923&gt;outliers!$B$20),"Outlier","Normal")</f>
        <v>Normal</v>
      </c>
      <c r="I923" s="8" t="str">
        <f>IF(OR(E923&lt;outliers!$C$28,E923&gt;outliers!$B$27),"Outlier","Normal")</f>
        <v>Normal</v>
      </c>
      <c r="J923" s="8">
        <f t="shared" si="28"/>
        <v>2021</v>
      </c>
      <c r="K923">
        <f t="shared" si="29"/>
        <v>6</v>
      </c>
    </row>
    <row r="924" spans="1:11" x14ac:dyDescent="0.35">
      <c r="A924" s="13">
        <v>44360</v>
      </c>
      <c r="B924" s="8">
        <v>22.6</v>
      </c>
      <c r="C924" s="8">
        <v>20.2</v>
      </c>
      <c r="D924" s="8">
        <v>25.2</v>
      </c>
      <c r="E924" s="8">
        <v>3.6</v>
      </c>
      <c r="F924" s="8" t="str">
        <f>IF(OR(B924&lt;outliers!$B$7,B924&gt;outliers!$B$6),"Outlier","Normal")</f>
        <v>Normal</v>
      </c>
      <c r="G924" s="8" t="str">
        <f>IF(OR(C924&lt;outliers!$B$14,C924&gt;outliers!$B$13),"Outlier","Normal")</f>
        <v>Normal</v>
      </c>
      <c r="H924" s="8" t="str">
        <f>IF(OR(D924&lt;outliers!$B$21,D924&gt;outliers!$B$20),"Outlier","Normal")</f>
        <v>Normal</v>
      </c>
      <c r="I924" s="8" t="str">
        <f>IF(OR(E924&lt;outliers!$C$28,E924&gt;outliers!$B$27),"Outlier","Normal")</f>
        <v>Normal</v>
      </c>
      <c r="J924" s="8">
        <f t="shared" si="28"/>
        <v>2021</v>
      </c>
      <c r="K924">
        <f t="shared" si="29"/>
        <v>6</v>
      </c>
    </row>
    <row r="925" spans="1:11" x14ac:dyDescent="0.35">
      <c r="A925" s="13">
        <v>44361</v>
      </c>
      <c r="B925" s="8">
        <v>22.3</v>
      </c>
      <c r="C925" s="8">
        <v>20.100000000000001</v>
      </c>
      <c r="D925" s="8">
        <v>27.6</v>
      </c>
      <c r="E925" s="8">
        <v>0</v>
      </c>
      <c r="F925" s="8" t="str">
        <f>IF(OR(B925&lt;outliers!$B$7,B925&gt;outliers!$B$6),"Outlier","Normal")</f>
        <v>Normal</v>
      </c>
      <c r="G925" s="8" t="str">
        <f>IF(OR(C925&lt;outliers!$B$14,C925&gt;outliers!$B$13),"Outlier","Normal")</f>
        <v>Normal</v>
      </c>
      <c r="H925" s="8" t="str">
        <f>IF(OR(D925&lt;outliers!$B$21,D925&gt;outliers!$B$20),"Outlier","Normal")</f>
        <v>Normal</v>
      </c>
      <c r="I925" s="8" t="str">
        <f>IF(OR(E925&lt;outliers!$C$28,E925&gt;outliers!$B$27),"Outlier","Normal")</f>
        <v>Normal</v>
      </c>
      <c r="J925" s="8">
        <f t="shared" si="28"/>
        <v>2021</v>
      </c>
      <c r="K925">
        <f t="shared" si="29"/>
        <v>6</v>
      </c>
    </row>
    <row r="926" spans="1:11" x14ac:dyDescent="0.35">
      <c r="A926" s="13">
        <v>44362</v>
      </c>
      <c r="B926" s="8">
        <v>22.7</v>
      </c>
      <c r="C926" s="8">
        <v>20.2</v>
      </c>
      <c r="D926" s="8">
        <v>26.5</v>
      </c>
      <c r="E926" s="8">
        <v>4.3</v>
      </c>
      <c r="F926" s="8" t="str">
        <f>IF(OR(B926&lt;outliers!$B$7,B926&gt;outliers!$B$6),"Outlier","Normal")</f>
        <v>Normal</v>
      </c>
      <c r="G926" s="8" t="str">
        <f>IF(OR(C926&lt;outliers!$B$14,C926&gt;outliers!$B$13),"Outlier","Normal")</f>
        <v>Normal</v>
      </c>
      <c r="H926" s="8" t="str">
        <f>IF(OR(D926&lt;outliers!$B$21,D926&gt;outliers!$B$20),"Outlier","Normal")</f>
        <v>Normal</v>
      </c>
      <c r="I926" s="8" t="str">
        <f>IF(OR(E926&lt;outliers!$C$28,E926&gt;outliers!$B$27),"Outlier","Normal")</f>
        <v>Normal</v>
      </c>
      <c r="J926" s="8">
        <f t="shared" si="28"/>
        <v>2021</v>
      </c>
      <c r="K926">
        <f t="shared" si="29"/>
        <v>6</v>
      </c>
    </row>
    <row r="927" spans="1:11" x14ac:dyDescent="0.35">
      <c r="A927" s="13">
        <v>44363</v>
      </c>
      <c r="B927" s="8">
        <v>22.7</v>
      </c>
      <c r="C927" s="8">
        <v>20.8</v>
      </c>
      <c r="D927" s="8">
        <v>26.7</v>
      </c>
      <c r="E927" s="8">
        <v>0.5</v>
      </c>
      <c r="F927" s="8" t="str">
        <f>IF(OR(B927&lt;outliers!$B$7,B927&gt;outliers!$B$6),"Outlier","Normal")</f>
        <v>Normal</v>
      </c>
      <c r="G927" s="8" t="str">
        <f>IF(OR(C927&lt;outliers!$B$14,C927&gt;outliers!$B$13),"Outlier","Normal")</f>
        <v>Normal</v>
      </c>
      <c r="H927" s="8" t="str">
        <f>IF(OR(D927&lt;outliers!$B$21,D927&gt;outliers!$B$20),"Outlier","Normal")</f>
        <v>Normal</v>
      </c>
      <c r="I927" s="8" t="str">
        <f>IF(OR(E927&lt;outliers!$C$28,E927&gt;outliers!$B$27),"Outlier","Normal")</f>
        <v>Normal</v>
      </c>
      <c r="J927" s="8">
        <f t="shared" si="28"/>
        <v>2021</v>
      </c>
      <c r="K927">
        <f t="shared" si="29"/>
        <v>6</v>
      </c>
    </row>
    <row r="928" spans="1:11" x14ac:dyDescent="0.35">
      <c r="A928" s="13">
        <v>44364</v>
      </c>
      <c r="B928" s="8">
        <v>23.4</v>
      </c>
      <c r="C928" s="8">
        <v>20.8</v>
      </c>
      <c r="D928" s="8">
        <v>28</v>
      </c>
      <c r="E928" s="8">
        <v>5.0999999999999996</v>
      </c>
      <c r="F928" s="8" t="str">
        <f>IF(OR(B928&lt;outliers!$B$7,B928&gt;outliers!$B$6),"Outlier","Normal")</f>
        <v>Normal</v>
      </c>
      <c r="G928" s="8" t="str">
        <f>IF(OR(C928&lt;outliers!$B$14,C928&gt;outliers!$B$13),"Outlier","Normal")</f>
        <v>Normal</v>
      </c>
      <c r="H928" s="8" t="str">
        <f>IF(OR(D928&lt;outliers!$B$21,D928&gt;outliers!$B$20),"Outlier","Normal")</f>
        <v>Normal</v>
      </c>
      <c r="I928" s="8" t="str">
        <f>IF(OR(E928&lt;outliers!$C$28,E928&gt;outliers!$B$27),"Outlier","Normal")</f>
        <v>Normal</v>
      </c>
      <c r="J928" s="8">
        <f t="shared" si="28"/>
        <v>2021</v>
      </c>
      <c r="K928">
        <f t="shared" si="29"/>
        <v>6</v>
      </c>
    </row>
    <row r="929" spans="1:11" x14ac:dyDescent="0.35">
      <c r="A929" s="13">
        <v>44365</v>
      </c>
      <c r="B929" s="8">
        <v>23.4</v>
      </c>
      <c r="C929" s="8">
        <v>20.399999999999999</v>
      </c>
      <c r="D929" s="8">
        <v>28.4</v>
      </c>
      <c r="E929" s="8">
        <v>1.3</v>
      </c>
      <c r="F929" s="8" t="str">
        <f>IF(OR(B929&lt;outliers!$B$7,B929&gt;outliers!$B$6),"Outlier","Normal")</f>
        <v>Normal</v>
      </c>
      <c r="G929" s="8" t="str">
        <f>IF(OR(C929&lt;outliers!$B$14,C929&gt;outliers!$B$13),"Outlier","Normal")</f>
        <v>Normal</v>
      </c>
      <c r="H929" s="8" t="str">
        <f>IF(OR(D929&lt;outliers!$B$21,D929&gt;outliers!$B$20),"Outlier","Normal")</f>
        <v>Normal</v>
      </c>
      <c r="I929" s="8" t="str">
        <f>IF(OR(E929&lt;outliers!$C$28,E929&gt;outliers!$B$27),"Outlier","Normal")</f>
        <v>Normal</v>
      </c>
      <c r="J929" s="8">
        <f t="shared" si="28"/>
        <v>2021</v>
      </c>
      <c r="K929">
        <f t="shared" si="29"/>
        <v>6</v>
      </c>
    </row>
    <row r="930" spans="1:11" x14ac:dyDescent="0.35">
      <c r="A930" s="13">
        <v>44366</v>
      </c>
      <c r="B930" s="8">
        <v>23.4</v>
      </c>
      <c r="C930" s="8">
        <v>20.8</v>
      </c>
      <c r="D930" s="8">
        <v>28</v>
      </c>
      <c r="E930" s="8">
        <v>0</v>
      </c>
      <c r="F930" s="8" t="str">
        <f>IF(OR(B930&lt;outliers!$B$7,B930&gt;outliers!$B$6),"Outlier","Normal")</f>
        <v>Normal</v>
      </c>
      <c r="G930" s="8" t="str">
        <f>IF(OR(C930&lt;outliers!$B$14,C930&gt;outliers!$B$13),"Outlier","Normal")</f>
        <v>Normal</v>
      </c>
      <c r="H930" s="8" t="str">
        <f>IF(OR(D930&lt;outliers!$B$21,D930&gt;outliers!$B$20),"Outlier","Normal")</f>
        <v>Normal</v>
      </c>
      <c r="I930" s="8" t="str">
        <f>IF(OR(E930&lt;outliers!$C$28,E930&gt;outliers!$B$27),"Outlier","Normal")</f>
        <v>Normal</v>
      </c>
      <c r="J930" s="8">
        <f t="shared" si="28"/>
        <v>2021</v>
      </c>
      <c r="K930">
        <f t="shared" si="29"/>
        <v>6</v>
      </c>
    </row>
    <row r="931" spans="1:11" x14ac:dyDescent="0.35">
      <c r="A931" s="13">
        <v>44367</v>
      </c>
      <c r="B931" s="8">
        <v>24.3</v>
      </c>
      <c r="C931" s="8">
        <v>20.5</v>
      </c>
      <c r="D931" s="8">
        <v>28.8</v>
      </c>
      <c r="E931" s="8">
        <v>0</v>
      </c>
      <c r="F931" s="8" t="str">
        <f>IF(OR(B931&lt;outliers!$B$7,B931&gt;outliers!$B$6),"Outlier","Normal")</f>
        <v>Normal</v>
      </c>
      <c r="G931" s="8" t="str">
        <f>IF(OR(C931&lt;outliers!$B$14,C931&gt;outliers!$B$13),"Outlier","Normal")</f>
        <v>Normal</v>
      </c>
      <c r="H931" s="8" t="str">
        <f>IF(OR(D931&lt;outliers!$B$21,D931&gt;outliers!$B$20),"Outlier","Normal")</f>
        <v>Normal</v>
      </c>
      <c r="I931" s="8" t="str">
        <f>IF(OR(E931&lt;outliers!$C$28,E931&gt;outliers!$B$27),"Outlier","Normal")</f>
        <v>Normal</v>
      </c>
      <c r="J931" s="8">
        <f t="shared" si="28"/>
        <v>2021</v>
      </c>
      <c r="K931">
        <f t="shared" si="29"/>
        <v>6</v>
      </c>
    </row>
    <row r="932" spans="1:11" x14ac:dyDescent="0.35">
      <c r="A932" s="13">
        <v>44368</v>
      </c>
      <c r="B932" s="8">
        <v>23.9</v>
      </c>
      <c r="C932" s="8">
        <v>19.3</v>
      </c>
      <c r="D932" s="8">
        <v>29.1</v>
      </c>
      <c r="E932" s="8">
        <v>0.6</v>
      </c>
      <c r="F932" s="8" t="str">
        <f>IF(OR(B932&lt;outliers!$B$7,B932&gt;outliers!$B$6),"Outlier","Normal")</f>
        <v>Normal</v>
      </c>
      <c r="G932" s="8" t="str">
        <f>IF(OR(C932&lt;outliers!$B$14,C932&gt;outliers!$B$13),"Outlier","Normal")</f>
        <v>Normal</v>
      </c>
      <c r="H932" s="8" t="str">
        <f>IF(OR(D932&lt;outliers!$B$21,D932&gt;outliers!$B$20),"Outlier","Normal")</f>
        <v>Normal</v>
      </c>
      <c r="I932" s="8" t="str">
        <f>IF(OR(E932&lt;outliers!$C$28,E932&gt;outliers!$B$27),"Outlier","Normal")</f>
        <v>Normal</v>
      </c>
      <c r="J932" s="8">
        <f t="shared" si="28"/>
        <v>2021</v>
      </c>
      <c r="K932">
        <f t="shared" si="29"/>
        <v>6</v>
      </c>
    </row>
    <row r="933" spans="1:11" x14ac:dyDescent="0.35">
      <c r="A933" s="13">
        <v>44369</v>
      </c>
      <c r="B933" s="8">
        <v>24.1</v>
      </c>
      <c r="C933" s="8">
        <v>19.3</v>
      </c>
      <c r="D933" s="8">
        <v>28.9</v>
      </c>
      <c r="E933" s="8">
        <v>0.4</v>
      </c>
      <c r="F933" s="8" t="str">
        <f>IF(OR(B933&lt;outliers!$B$7,B933&gt;outliers!$B$6),"Outlier","Normal")</f>
        <v>Normal</v>
      </c>
      <c r="G933" s="8" t="str">
        <f>IF(OR(C933&lt;outliers!$B$14,C933&gt;outliers!$B$13),"Outlier","Normal")</f>
        <v>Normal</v>
      </c>
      <c r="H933" s="8" t="str">
        <f>IF(OR(D933&lt;outliers!$B$21,D933&gt;outliers!$B$20),"Outlier","Normal")</f>
        <v>Normal</v>
      </c>
      <c r="I933" s="8" t="str">
        <f>IF(OR(E933&lt;outliers!$C$28,E933&gt;outliers!$B$27),"Outlier","Normal")</f>
        <v>Normal</v>
      </c>
      <c r="J933" s="8">
        <f t="shared" si="28"/>
        <v>2021</v>
      </c>
      <c r="K933">
        <f t="shared" si="29"/>
        <v>6</v>
      </c>
    </row>
    <row r="934" spans="1:11" x14ac:dyDescent="0.35">
      <c r="A934" s="13">
        <v>44370</v>
      </c>
      <c r="B934" s="8">
        <v>24.9</v>
      </c>
      <c r="C934" s="8">
        <v>19.899999999999999</v>
      </c>
      <c r="D934" s="8">
        <v>29.9</v>
      </c>
      <c r="E934" s="8">
        <v>0</v>
      </c>
      <c r="F934" s="8" t="str">
        <f>IF(OR(B934&lt;outliers!$B$7,B934&gt;outliers!$B$6),"Outlier","Normal")</f>
        <v>Normal</v>
      </c>
      <c r="G934" s="8" t="str">
        <f>IF(OR(C934&lt;outliers!$B$14,C934&gt;outliers!$B$13),"Outlier","Normal")</f>
        <v>Normal</v>
      </c>
      <c r="H934" s="8" t="str">
        <f>IF(OR(D934&lt;outliers!$B$21,D934&gt;outliers!$B$20),"Outlier","Normal")</f>
        <v>Normal</v>
      </c>
      <c r="I934" s="8" t="str">
        <f>IF(OR(E934&lt;outliers!$C$28,E934&gt;outliers!$B$27),"Outlier","Normal")</f>
        <v>Normal</v>
      </c>
      <c r="J934" s="8">
        <f t="shared" si="28"/>
        <v>2021</v>
      </c>
      <c r="K934">
        <f t="shared" si="29"/>
        <v>6</v>
      </c>
    </row>
    <row r="935" spans="1:11" x14ac:dyDescent="0.35">
      <c r="A935" s="13">
        <v>44371</v>
      </c>
      <c r="B935" s="8">
        <v>24.5</v>
      </c>
      <c r="C935" s="8">
        <v>19.899999999999999</v>
      </c>
      <c r="D935" s="8">
        <v>28.8</v>
      </c>
      <c r="E935" s="8">
        <v>0.9</v>
      </c>
      <c r="F935" s="8" t="str">
        <f>IF(OR(B935&lt;outliers!$B$7,B935&gt;outliers!$B$6),"Outlier","Normal")</f>
        <v>Normal</v>
      </c>
      <c r="G935" s="8" t="str">
        <f>IF(OR(C935&lt;outliers!$B$14,C935&gt;outliers!$B$13),"Outlier","Normal")</f>
        <v>Normal</v>
      </c>
      <c r="H935" s="8" t="str">
        <f>IF(OR(D935&lt;outliers!$B$21,D935&gt;outliers!$B$20),"Outlier","Normal")</f>
        <v>Normal</v>
      </c>
      <c r="I935" s="8" t="str">
        <f>IF(OR(E935&lt;outliers!$C$28,E935&gt;outliers!$B$27),"Outlier","Normal")</f>
        <v>Normal</v>
      </c>
      <c r="J935" s="8">
        <f t="shared" si="28"/>
        <v>2021</v>
      </c>
      <c r="K935">
        <f t="shared" si="29"/>
        <v>6</v>
      </c>
    </row>
    <row r="936" spans="1:11" x14ac:dyDescent="0.35">
      <c r="A936" s="13">
        <v>44372</v>
      </c>
      <c r="B936" s="8">
        <v>24.6</v>
      </c>
      <c r="C936" s="8">
        <v>19.399999999999999</v>
      </c>
      <c r="D936" s="8">
        <v>29.7</v>
      </c>
      <c r="E936" s="8">
        <v>0.2</v>
      </c>
      <c r="F936" s="8" t="str">
        <f>IF(OR(B936&lt;outliers!$B$7,B936&gt;outliers!$B$6),"Outlier","Normal")</f>
        <v>Normal</v>
      </c>
      <c r="G936" s="8" t="str">
        <f>IF(OR(C936&lt;outliers!$B$14,C936&gt;outliers!$B$13),"Outlier","Normal")</f>
        <v>Normal</v>
      </c>
      <c r="H936" s="8" t="str">
        <f>IF(OR(D936&lt;outliers!$B$21,D936&gt;outliers!$B$20),"Outlier","Normal")</f>
        <v>Normal</v>
      </c>
      <c r="I936" s="8" t="str">
        <f>IF(OR(E936&lt;outliers!$C$28,E936&gt;outliers!$B$27),"Outlier","Normal")</f>
        <v>Normal</v>
      </c>
      <c r="J936" s="8">
        <f t="shared" si="28"/>
        <v>2021</v>
      </c>
      <c r="K936">
        <f t="shared" si="29"/>
        <v>6</v>
      </c>
    </row>
    <row r="937" spans="1:11" x14ac:dyDescent="0.35">
      <c r="A937" s="13">
        <v>44373</v>
      </c>
      <c r="B937" s="8">
        <v>22.8</v>
      </c>
      <c r="C937" s="8">
        <v>20.100000000000001</v>
      </c>
      <c r="D937" s="8">
        <v>29.7</v>
      </c>
      <c r="E937" s="8">
        <v>0</v>
      </c>
      <c r="F937" s="8" t="str">
        <f>IF(OR(B937&lt;outliers!$B$7,B937&gt;outliers!$B$6),"Outlier","Normal")</f>
        <v>Normal</v>
      </c>
      <c r="G937" s="8" t="str">
        <f>IF(OR(C937&lt;outliers!$B$14,C937&gt;outliers!$B$13),"Outlier","Normal")</f>
        <v>Normal</v>
      </c>
      <c r="H937" s="8" t="str">
        <f>IF(OR(D937&lt;outliers!$B$21,D937&gt;outliers!$B$20),"Outlier","Normal")</f>
        <v>Normal</v>
      </c>
      <c r="I937" s="8" t="str">
        <f>IF(OR(E937&lt;outliers!$C$28,E937&gt;outliers!$B$27),"Outlier","Normal")</f>
        <v>Normal</v>
      </c>
      <c r="J937" s="8">
        <f t="shared" si="28"/>
        <v>2021</v>
      </c>
      <c r="K937">
        <f t="shared" si="29"/>
        <v>6</v>
      </c>
    </row>
    <row r="938" spans="1:11" x14ac:dyDescent="0.35">
      <c r="A938" s="13">
        <v>44374</v>
      </c>
      <c r="B938" s="8">
        <v>22.6</v>
      </c>
      <c r="C938" s="8">
        <v>20.2</v>
      </c>
      <c r="D938" s="8">
        <v>27.2</v>
      </c>
      <c r="E938" s="8">
        <v>2.2999999999999998</v>
      </c>
      <c r="F938" s="8" t="str">
        <f>IF(OR(B938&lt;outliers!$B$7,B938&gt;outliers!$B$6),"Outlier","Normal")</f>
        <v>Normal</v>
      </c>
      <c r="G938" s="8" t="str">
        <f>IF(OR(C938&lt;outliers!$B$14,C938&gt;outliers!$B$13),"Outlier","Normal")</f>
        <v>Normal</v>
      </c>
      <c r="H938" s="8" t="str">
        <f>IF(OR(D938&lt;outliers!$B$21,D938&gt;outliers!$B$20),"Outlier","Normal")</f>
        <v>Normal</v>
      </c>
      <c r="I938" s="8" t="str">
        <f>IF(OR(E938&lt;outliers!$C$28,E938&gt;outliers!$B$27),"Outlier","Normal")</f>
        <v>Normal</v>
      </c>
      <c r="J938" s="8">
        <f t="shared" si="28"/>
        <v>2021</v>
      </c>
      <c r="K938">
        <f t="shared" si="29"/>
        <v>6</v>
      </c>
    </row>
    <row r="939" spans="1:11" x14ac:dyDescent="0.35">
      <c r="A939" s="13">
        <v>44375</v>
      </c>
      <c r="B939" s="8">
        <v>23.7</v>
      </c>
      <c r="C939" s="8">
        <v>20.8</v>
      </c>
      <c r="D939" s="8">
        <v>28.5</v>
      </c>
      <c r="E939" s="8">
        <v>0.5</v>
      </c>
      <c r="F939" s="8" t="str">
        <f>IF(OR(B939&lt;outliers!$B$7,B939&gt;outliers!$B$6),"Outlier","Normal")</f>
        <v>Normal</v>
      </c>
      <c r="G939" s="8" t="str">
        <f>IF(OR(C939&lt;outliers!$B$14,C939&gt;outliers!$B$13),"Outlier","Normal")</f>
        <v>Normal</v>
      </c>
      <c r="H939" s="8" t="str">
        <f>IF(OR(D939&lt;outliers!$B$21,D939&gt;outliers!$B$20),"Outlier","Normal")</f>
        <v>Normal</v>
      </c>
      <c r="I939" s="8" t="str">
        <f>IF(OR(E939&lt;outliers!$C$28,E939&gt;outliers!$B$27),"Outlier","Normal")</f>
        <v>Normal</v>
      </c>
      <c r="J939" s="8">
        <f t="shared" si="28"/>
        <v>2021</v>
      </c>
      <c r="K939">
        <f t="shared" si="29"/>
        <v>6</v>
      </c>
    </row>
    <row r="940" spans="1:11" x14ac:dyDescent="0.35">
      <c r="A940" s="13">
        <v>44376</v>
      </c>
      <c r="B940" s="8">
        <v>26.2</v>
      </c>
      <c r="C940" s="8">
        <v>20.9</v>
      </c>
      <c r="D940" s="8">
        <v>31.6</v>
      </c>
      <c r="E940" s="8">
        <v>0</v>
      </c>
      <c r="F940" s="8" t="str">
        <f>IF(OR(B940&lt;outliers!$B$7,B940&gt;outliers!$B$6),"Outlier","Normal")</f>
        <v>Normal</v>
      </c>
      <c r="G940" s="8" t="str">
        <f>IF(OR(C940&lt;outliers!$B$14,C940&gt;outliers!$B$13),"Outlier","Normal")</f>
        <v>Normal</v>
      </c>
      <c r="H940" s="8" t="str">
        <f>IF(OR(D940&lt;outliers!$B$21,D940&gt;outliers!$B$20),"Outlier","Normal")</f>
        <v>Normal</v>
      </c>
      <c r="I940" s="8" t="str">
        <f>IF(OR(E940&lt;outliers!$C$28,E940&gt;outliers!$B$27),"Outlier","Normal")</f>
        <v>Normal</v>
      </c>
      <c r="J940" s="8">
        <f t="shared" si="28"/>
        <v>2021</v>
      </c>
      <c r="K940">
        <f t="shared" si="29"/>
        <v>6</v>
      </c>
    </row>
    <row r="941" spans="1:11" x14ac:dyDescent="0.35">
      <c r="A941" s="13">
        <v>44377</v>
      </c>
      <c r="B941" s="8">
        <v>26</v>
      </c>
      <c r="C941" s="8">
        <v>20.7</v>
      </c>
      <c r="D941" s="8">
        <v>30.9</v>
      </c>
      <c r="E941" s="8">
        <v>1.5</v>
      </c>
      <c r="F941" s="8" t="str">
        <f>IF(OR(B941&lt;outliers!$B$7,B941&gt;outliers!$B$6),"Outlier","Normal")</f>
        <v>Normal</v>
      </c>
      <c r="G941" s="8" t="str">
        <f>IF(OR(C941&lt;outliers!$B$14,C941&gt;outliers!$B$13),"Outlier","Normal")</f>
        <v>Normal</v>
      </c>
      <c r="H941" s="8" t="str">
        <f>IF(OR(D941&lt;outliers!$B$21,D941&gt;outliers!$B$20),"Outlier","Normal")</f>
        <v>Normal</v>
      </c>
      <c r="I941" s="8" t="str">
        <f>IF(OR(E941&lt;outliers!$C$28,E941&gt;outliers!$B$27),"Outlier","Normal")</f>
        <v>Normal</v>
      </c>
      <c r="J941" s="8">
        <f t="shared" si="28"/>
        <v>2021</v>
      </c>
      <c r="K941">
        <f t="shared" si="29"/>
        <v>6</v>
      </c>
    </row>
    <row r="942" spans="1:11" x14ac:dyDescent="0.35">
      <c r="A942" s="13">
        <v>44378</v>
      </c>
      <c r="B942" s="8">
        <v>25.7</v>
      </c>
      <c r="C942" s="8">
        <v>23</v>
      </c>
      <c r="D942" s="8">
        <v>32.700000000000003</v>
      </c>
      <c r="E942" s="8">
        <v>2.5</v>
      </c>
      <c r="F942" s="8" t="str">
        <f>IF(OR(B942&lt;outliers!$B$7,B942&gt;outliers!$B$6),"Outlier","Normal")</f>
        <v>Normal</v>
      </c>
      <c r="G942" s="8" t="str">
        <f>IF(OR(C942&lt;outliers!$B$14,C942&gt;outliers!$B$13),"Outlier","Normal")</f>
        <v>Normal</v>
      </c>
      <c r="H942" s="8" t="str">
        <f>IF(OR(D942&lt;outliers!$B$21,D942&gt;outliers!$B$20),"Outlier","Normal")</f>
        <v>Normal</v>
      </c>
      <c r="I942" s="8" t="str">
        <f>IF(OR(E942&lt;outliers!$C$28,E942&gt;outliers!$B$27),"Outlier","Normal")</f>
        <v>Normal</v>
      </c>
      <c r="J942" s="8">
        <f t="shared" si="28"/>
        <v>2021</v>
      </c>
      <c r="K942">
        <f t="shared" si="29"/>
        <v>7</v>
      </c>
    </row>
    <row r="943" spans="1:11" x14ac:dyDescent="0.35">
      <c r="A943" s="13">
        <v>44379</v>
      </c>
      <c r="B943" s="8">
        <v>26</v>
      </c>
      <c r="C943" s="8">
        <v>22</v>
      </c>
      <c r="D943" s="8">
        <v>30.6</v>
      </c>
      <c r="E943" s="8">
        <v>0</v>
      </c>
      <c r="F943" s="8" t="str">
        <f>IF(OR(B943&lt;outliers!$B$7,B943&gt;outliers!$B$6),"Outlier","Normal")</f>
        <v>Normal</v>
      </c>
      <c r="G943" s="8" t="str">
        <f>IF(OR(C943&lt;outliers!$B$14,C943&gt;outliers!$B$13),"Outlier","Normal")</f>
        <v>Normal</v>
      </c>
      <c r="H943" s="8" t="str">
        <f>IF(OR(D943&lt;outliers!$B$21,D943&gt;outliers!$B$20),"Outlier","Normal")</f>
        <v>Normal</v>
      </c>
      <c r="I943" s="8" t="str">
        <f>IF(OR(E943&lt;outliers!$C$28,E943&gt;outliers!$B$27),"Outlier","Normal")</f>
        <v>Normal</v>
      </c>
      <c r="J943" s="8">
        <f t="shared" si="28"/>
        <v>2021</v>
      </c>
      <c r="K943">
        <f t="shared" si="29"/>
        <v>7</v>
      </c>
    </row>
    <row r="944" spans="1:11" hidden="1" x14ac:dyDescent="0.35">
      <c r="A944" s="13">
        <v>44380</v>
      </c>
      <c r="B944" s="8">
        <v>24.4</v>
      </c>
      <c r="C944" s="8">
        <v>19.7</v>
      </c>
      <c r="D944" s="8">
        <v>29.5</v>
      </c>
      <c r="E944" s="8">
        <v>15</v>
      </c>
      <c r="F944" s="8" t="str">
        <f>IF(OR(B944&lt;outliers!$B$7,B944&gt;outliers!$B$6),"Outlier","Normal")</f>
        <v>Normal</v>
      </c>
      <c r="G944" s="8" t="str">
        <f>IF(OR(C944&lt;outliers!$B$14,C944&gt;outliers!$B$13),"Outlier","Normal")</f>
        <v>Normal</v>
      </c>
      <c r="H944" s="8" t="str">
        <f>IF(OR(D944&lt;outliers!$B$21,D944&gt;outliers!$B$20),"Outlier","Normal")</f>
        <v>Normal</v>
      </c>
      <c r="I944" s="8" t="str">
        <f>IF(OR(E944&lt;outliers!$C$28,E944&gt;outliers!$B$27),"Outlier","Normal")</f>
        <v>Outlier</v>
      </c>
      <c r="J944" s="8">
        <f t="shared" si="28"/>
        <v>2021</v>
      </c>
      <c r="K944">
        <f t="shared" si="29"/>
        <v>7</v>
      </c>
    </row>
    <row r="945" spans="1:11" x14ac:dyDescent="0.35">
      <c r="A945" s="13">
        <v>44381</v>
      </c>
      <c r="B945" s="8">
        <v>23.6</v>
      </c>
      <c r="C945" s="8">
        <v>20.399999999999999</v>
      </c>
      <c r="D945" s="8">
        <v>29.4</v>
      </c>
      <c r="E945" s="8">
        <v>7.5</v>
      </c>
      <c r="F945" s="8" t="str">
        <f>IF(OR(B945&lt;outliers!$B$7,B945&gt;outliers!$B$6),"Outlier","Normal")</f>
        <v>Normal</v>
      </c>
      <c r="G945" s="8" t="str">
        <f>IF(OR(C945&lt;outliers!$B$14,C945&gt;outliers!$B$13),"Outlier","Normal")</f>
        <v>Normal</v>
      </c>
      <c r="H945" s="8" t="str">
        <f>IF(OR(D945&lt;outliers!$B$21,D945&gt;outliers!$B$20),"Outlier","Normal")</f>
        <v>Normal</v>
      </c>
      <c r="I945" s="8" t="str">
        <f>IF(OR(E945&lt;outliers!$C$28,E945&gt;outliers!$B$27),"Outlier","Normal")</f>
        <v>Normal</v>
      </c>
      <c r="J945" s="8">
        <f t="shared" si="28"/>
        <v>2021</v>
      </c>
      <c r="K945">
        <f t="shared" si="29"/>
        <v>7</v>
      </c>
    </row>
    <row r="946" spans="1:11" x14ac:dyDescent="0.35">
      <c r="A946" s="13">
        <v>44382</v>
      </c>
      <c r="B946" s="8">
        <v>23.3</v>
      </c>
      <c r="C946" s="8">
        <v>20.399999999999999</v>
      </c>
      <c r="D946" s="8">
        <v>28.4</v>
      </c>
      <c r="E946" s="8">
        <v>2.7</v>
      </c>
      <c r="F946" s="8" t="str">
        <f>IF(OR(B946&lt;outliers!$B$7,B946&gt;outliers!$B$6),"Outlier","Normal")</f>
        <v>Normal</v>
      </c>
      <c r="G946" s="8" t="str">
        <f>IF(OR(C946&lt;outliers!$B$14,C946&gt;outliers!$B$13),"Outlier","Normal")</f>
        <v>Normal</v>
      </c>
      <c r="H946" s="8" t="str">
        <f>IF(OR(D946&lt;outliers!$B$21,D946&gt;outliers!$B$20),"Outlier","Normal")</f>
        <v>Normal</v>
      </c>
      <c r="I946" s="8" t="str">
        <f>IF(OR(E946&lt;outliers!$C$28,E946&gt;outliers!$B$27),"Outlier","Normal")</f>
        <v>Normal</v>
      </c>
      <c r="J946" s="8">
        <f t="shared" si="28"/>
        <v>2021</v>
      </c>
      <c r="K946">
        <f t="shared" si="29"/>
        <v>7</v>
      </c>
    </row>
    <row r="947" spans="1:11" x14ac:dyDescent="0.35">
      <c r="A947" s="13">
        <v>44383</v>
      </c>
      <c r="B947" s="8">
        <v>24.9</v>
      </c>
      <c r="C947" s="8">
        <v>20.2</v>
      </c>
      <c r="D947" s="8">
        <v>29.4</v>
      </c>
      <c r="E947" s="8">
        <v>1.3</v>
      </c>
      <c r="F947" s="8" t="str">
        <f>IF(OR(B947&lt;outliers!$B$7,B947&gt;outliers!$B$6),"Outlier","Normal")</f>
        <v>Normal</v>
      </c>
      <c r="G947" s="8" t="str">
        <f>IF(OR(C947&lt;outliers!$B$14,C947&gt;outliers!$B$13),"Outlier","Normal")</f>
        <v>Normal</v>
      </c>
      <c r="H947" s="8" t="str">
        <f>IF(OR(D947&lt;outliers!$B$21,D947&gt;outliers!$B$20),"Outlier","Normal")</f>
        <v>Normal</v>
      </c>
      <c r="I947" s="8" t="str">
        <f>IF(OR(E947&lt;outliers!$C$28,E947&gt;outliers!$B$27),"Outlier","Normal")</f>
        <v>Normal</v>
      </c>
      <c r="J947" s="8">
        <f t="shared" si="28"/>
        <v>2021</v>
      </c>
      <c r="K947">
        <f t="shared" si="29"/>
        <v>7</v>
      </c>
    </row>
    <row r="948" spans="1:11" x14ac:dyDescent="0.35">
      <c r="A948" s="13">
        <v>44384</v>
      </c>
      <c r="B948" s="8">
        <v>24.6</v>
      </c>
      <c r="C948" s="8">
        <v>22.3</v>
      </c>
      <c r="D948" s="8">
        <v>30</v>
      </c>
      <c r="E948" s="8">
        <v>0</v>
      </c>
      <c r="F948" s="8" t="str">
        <f>IF(OR(B948&lt;outliers!$B$7,B948&gt;outliers!$B$6),"Outlier","Normal")</f>
        <v>Normal</v>
      </c>
      <c r="G948" s="8" t="str">
        <f>IF(OR(C948&lt;outliers!$B$14,C948&gt;outliers!$B$13),"Outlier","Normal")</f>
        <v>Normal</v>
      </c>
      <c r="H948" s="8" t="str">
        <f>IF(OR(D948&lt;outliers!$B$21,D948&gt;outliers!$B$20),"Outlier","Normal")</f>
        <v>Normal</v>
      </c>
      <c r="I948" s="8" t="str">
        <f>IF(OR(E948&lt;outliers!$C$28,E948&gt;outliers!$B$27),"Outlier","Normal")</f>
        <v>Normal</v>
      </c>
      <c r="J948" s="8">
        <f t="shared" si="28"/>
        <v>2021</v>
      </c>
      <c r="K948">
        <f t="shared" si="29"/>
        <v>7</v>
      </c>
    </row>
    <row r="949" spans="1:11" x14ac:dyDescent="0.35">
      <c r="A949" s="13">
        <v>44385</v>
      </c>
      <c r="B949" s="8">
        <v>25.3</v>
      </c>
      <c r="C949" s="8">
        <v>21.8</v>
      </c>
      <c r="D949" s="8">
        <v>29.4</v>
      </c>
      <c r="E949" s="8">
        <v>0</v>
      </c>
      <c r="F949" s="8" t="str">
        <f>IF(OR(B949&lt;outliers!$B$7,B949&gt;outliers!$B$6),"Outlier","Normal")</f>
        <v>Normal</v>
      </c>
      <c r="G949" s="8" t="str">
        <f>IF(OR(C949&lt;outliers!$B$14,C949&gt;outliers!$B$13),"Outlier","Normal")</f>
        <v>Normal</v>
      </c>
      <c r="H949" s="8" t="str">
        <f>IF(OR(D949&lt;outliers!$B$21,D949&gt;outliers!$B$20),"Outlier","Normal")</f>
        <v>Normal</v>
      </c>
      <c r="I949" s="8" t="str">
        <f>IF(OR(E949&lt;outliers!$C$28,E949&gt;outliers!$B$27),"Outlier","Normal")</f>
        <v>Normal</v>
      </c>
      <c r="J949" s="8">
        <f t="shared" si="28"/>
        <v>2021</v>
      </c>
      <c r="K949">
        <f t="shared" si="29"/>
        <v>7</v>
      </c>
    </row>
    <row r="950" spans="1:11" x14ac:dyDescent="0.35">
      <c r="A950" s="13">
        <v>44386</v>
      </c>
      <c r="B950" s="8">
        <v>24.2</v>
      </c>
      <c r="C950" s="8">
        <v>20.3</v>
      </c>
      <c r="D950" s="8">
        <v>30.1</v>
      </c>
      <c r="E950" s="8">
        <v>0</v>
      </c>
      <c r="F950" s="8" t="str">
        <f>IF(OR(B950&lt;outliers!$B$7,B950&gt;outliers!$B$6),"Outlier","Normal")</f>
        <v>Normal</v>
      </c>
      <c r="G950" s="8" t="str">
        <f>IF(OR(C950&lt;outliers!$B$14,C950&gt;outliers!$B$13),"Outlier","Normal")</f>
        <v>Normal</v>
      </c>
      <c r="H950" s="8" t="str">
        <f>IF(OR(D950&lt;outliers!$B$21,D950&gt;outliers!$B$20),"Outlier","Normal")</f>
        <v>Normal</v>
      </c>
      <c r="I950" s="8" t="str">
        <f>IF(OR(E950&lt;outliers!$C$28,E950&gt;outliers!$B$27),"Outlier","Normal")</f>
        <v>Normal</v>
      </c>
      <c r="J950" s="8">
        <f t="shared" si="28"/>
        <v>2021</v>
      </c>
      <c r="K950">
        <f t="shared" si="29"/>
        <v>7</v>
      </c>
    </row>
    <row r="951" spans="1:11" x14ac:dyDescent="0.35">
      <c r="A951" s="13">
        <v>44387</v>
      </c>
      <c r="B951" s="8">
        <v>22.8</v>
      </c>
      <c r="C951" s="8">
        <v>20.100000000000001</v>
      </c>
      <c r="D951" s="8">
        <v>29</v>
      </c>
      <c r="E951" s="8">
        <v>0.3</v>
      </c>
      <c r="F951" s="8" t="str">
        <f>IF(OR(B951&lt;outliers!$B$7,B951&gt;outliers!$B$6),"Outlier","Normal")</f>
        <v>Normal</v>
      </c>
      <c r="G951" s="8" t="str">
        <f>IF(OR(C951&lt;outliers!$B$14,C951&gt;outliers!$B$13),"Outlier","Normal")</f>
        <v>Normal</v>
      </c>
      <c r="H951" s="8" t="str">
        <f>IF(OR(D951&lt;outliers!$B$21,D951&gt;outliers!$B$20),"Outlier","Normal")</f>
        <v>Normal</v>
      </c>
      <c r="I951" s="8" t="str">
        <f>IF(OR(E951&lt;outliers!$C$28,E951&gt;outliers!$B$27),"Outlier","Normal")</f>
        <v>Normal</v>
      </c>
      <c r="J951" s="8">
        <f t="shared" si="28"/>
        <v>2021</v>
      </c>
      <c r="K951">
        <f t="shared" si="29"/>
        <v>7</v>
      </c>
    </row>
    <row r="952" spans="1:11" x14ac:dyDescent="0.35">
      <c r="A952" s="13">
        <v>44388</v>
      </c>
      <c r="B952" s="8">
        <v>22.8</v>
      </c>
      <c r="C952" s="8">
        <v>20.100000000000001</v>
      </c>
      <c r="D952" s="8">
        <v>26.8</v>
      </c>
      <c r="E952" s="8">
        <v>0.5</v>
      </c>
      <c r="F952" s="8" t="str">
        <f>IF(OR(B952&lt;outliers!$B$7,B952&gt;outliers!$B$6),"Outlier","Normal")</f>
        <v>Normal</v>
      </c>
      <c r="G952" s="8" t="str">
        <f>IF(OR(C952&lt;outliers!$B$14,C952&gt;outliers!$B$13),"Outlier","Normal")</f>
        <v>Normal</v>
      </c>
      <c r="H952" s="8" t="str">
        <f>IF(OR(D952&lt;outliers!$B$21,D952&gt;outliers!$B$20),"Outlier","Normal")</f>
        <v>Normal</v>
      </c>
      <c r="I952" s="8" t="str">
        <f>IF(OR(E952&lt;outliers!$C$28,E952&gt;outliers!$B$27),"Outlier","Normal")</f>
        <v>Normal</v>
      </c>
      <c r="J952" s="8">
        <f t="shared" si="28"/>
        <v>2021</v>
      </c>
      <c r="K952">
        <f t="shared" si="29"/>
        <v>7</v>
      </c>
    </row>
    <row r="953" spans="1:11" x14ac:dyDescent="0.35">
      <c r="A953" s="13">
        <v>44389</v>
      </c>
      <c r="B953" s="8">
        <v>23.2</v>
      </c>
      <c r="C953" s="8">
        <v>20.2</v>
      </c>
      <c r="D953" s="8">
        <v>26.8</v>
      </c>
      <c r="E953" s="8">
        <v>0</v>
      </c>
      <c r="F953" s="8" t="str">
        <f>IF(OR(B953&lt;outliers!$B$7,B953&gt;outliers!$B$6),"Outlier","Normal")</f>
        <v>Normal</v>
      </c>
      <c r="G953" s="8" t="str">
        <f>IF(OR(C953&lt;outliers!$B$14,C953&gt;outliers!$B$13),"Outlier","Normal")</f>
        <v>Normal</v>
      </c>
      <c r="H953" s="8" t="str">
        <f>IF(OR(D953&lt;outliers!$B$21,D953&gt;outliers!$B$20),"Outlier","Normal")</f>
        <v>Normal</v>
      </c>
      <c r="I953" s="8" t="str">
        <f>IF(OR(E953&lt;outliers!$C$28,E953&gt;outliers!$B$27),"Outlier","Normal")</f>
        <v>Normal</v>
      </c>
      <c r="J953" s="8">
        <f t="shared" si="28"/>
        <v>2021</v>
      </c>
      <c r="K953">
        <f t="shared" si="29"/>
        <v>7</v>
      </c>
    </row>
    <row r="954" spans="1:11" x14ac:dyDescent="0.35">
      <c r="A954" s="13">
        <v>44390</v>
      </c>
      <c r="B954" s="8">
        <v>21.8</v>
      </c>
      <c r="C954" s="8">
        <v>20.5</v>
      </c>
      <c r="D954" s="8">
        <v>24</v>
      </c>
      <c r="E954" s="8">
        <v>4.5999999999999996</v>
      </c>
      <c r="F954" s="8" t="str">
        <f>IF(OR(B954&lt;outliers!$B$7,B954&gt;outliers!$B$6),"Outlier","Normal")</f>
        <v>Normal</v>
      </c>
      <c r="G954" s="8" t="str">
        <f>IF(OR(C954&lt;outliers!$B$14,C954&gt;outliers!$B$13),"Outlier","Normal")</f>
        <v>Normal</v>
      </c>
      <c r="H954" s="8" t="str">
        <f>IF(OR(D954&lt;outliers!$B$21,D954&gt;outliers!$B$20),"Outlier","Normal")</f>
        <v>Normal</v>
      </c>
      <c r="I954" s="8" t="str">
        <f>IF(OR(E954&lt;outliers!$C$28,E954&gt;outliers!$B$27),"Outlier","Normal")</f>
        <v>Normal</v>
      </c>
      <c r="J954" s="8">
        <f t="shared" si="28"/>
        <v>2021</v>
      </c>
      <c r="K954">
        <f t="shared" si="29"/>
        <v>7</v>
      </c>
    </row>
    <row r="955" spans="1:11" hidden="1" x14ac:dyDescent="0.35">
      <c r="A955" s="13">
        <v>44391</v>
      </c>
      <c r="B955" s="8">
        <v>21.1</v>
      </c>
      <c r="C955" s="8">
        <v>19.8</v>
      </c>
      <c r="D955" s="8">
        <v>23.4</v>
      </c>
      <c r="E955" s="8">
        <v>11.4</v>
      </c>
      <c r="F955" s="8" t="str">
        <f>IF(OR(B955&lt;outliers!$B$7,B955&gt;outliers!$B$6),"Outlier","Normal")</f>
        <v>Normal</v>
      </c>
      <c r="G955" s="8" t="str">
        <f>IF(OR(C955&lt;outliers!$B$14,C955&gt;outliers!$B$13),"Outlier","Normal")</f>
        <v>Normal</v>
      </c>
      <c r="H955" s="8" t="str">
        <f>IF(OR(D955&lt;outliers!$B$21,D955&gt;outliers!$B$20),"Outlier","Normal")</f>
        <v>Normal</v>
      </c>
      <c r="I955" s="8" t="str">
        <f>IF(OR(E955&lt;outliers!$C$28,E955&gt;outliers!$B$27),"Outlier","Normal")</f>
        <v>Outlier</v>
      </c>
      <c r="J955" s="8">
        <f t="shared" si="28"/>
        <v>2021</v>
      </c>
      <c r="K955">
        <f t="shared" si="29"/>
        <v>7</v>
      </c>
    </row>
    <row r="956" spans="1:11" hidden="1" x14ac:dyDescent="0.35">
      <c r="A956" s="13">
        <v>44392</v>
      </c>
      <c r="B956" s="8">
        <v>21.7</v>
      </c>
      <c r="C956" s="8">
        <v>19.899999999999999</v>
      </c>
      <c r="D956" s="8">
        <v>25.4</v>
      </c>
      <c r="E956" s="8">
        <v>18.8</v>
      </c>
      <c r="F956" s="8" t="str">
        <f>IF(OR(B956&lt;outliers!$B$7,B956&gt;outliers!$B$6),"Outlier","Normal")</f>
        <v>Normal</v>
      </c>
      <c r="G956" s="8" t="str">
        <f>IF(OR(C956&lt;outliers!$B$14,C956&gt;outliers!$B$13),"Outlier","Normal")</f>
        <v>Normal</v>
      </c>
      <c r="H956" s="8" t="str">
        <f>IF(OR(D956&lt;outliers!$B$21,D956&gt;outliers!$B$20),"Outlier","Normal")</f>
        <v>Normal</v>
      </c>
      <c r="I956" s="8" t="str">
        <f>IF(OR(E956&lt;outliers!$C$28,E956&gt;outliers!$B$27),"Outlier","Normal")</f>
        <v>Outlier</v>
      </c>
      <c r="J956" s="8">
        <f t="shared" si="28"/>
        <v>2021</v>
      </c>
      <c r="K956">
        <f t="shared" si="29"/>
        <v>7</v>
      </c>
    </row>
    <row r="957" spans="1:11" x14ac:dyDescent="0.35">
      <c r="A957" s="13">
        <v>44393</v>
      </c>
      <c r="B957" s="8">
        <v>22.7</v>
      </c>
      <c r="C957" s="8">
        <v>20.8</v>
      </c>
      <c r="D957" s="8">
        <v>25.6</v>
      </c>
      <c r="E957" s="8">
        <v>2.8</v>
      </c>
      <c r="F957" s="8" t="str">
        <f>IF(OR(B957&lt;outliers!$B$7,B957&gt;outliers!$B$6),"Outlier","Normal")</f>
        <v>Normal</v>
      </c>
      <c r="G957" s="8" t="str">
        <f>IF(OR(C957&lt;outliers!$B$14,C957&gt;outliers!$B$13),"Outlier","Normal")</f>
        <v>Normal</v>
      </c>
      <c r="H957" s="8" t="str">
        <f>IF(OR(D957&lt;outliers!$B$21,D957&gt;outliers!$B$20),"Outlier","Normal")</f>
        <v>Normal</v>
      </c>
      <c r="I957" s="8" t="str">
        <f>IF(OR(E957&lt;outliers!$C$28,E957&gt;outliers!$B$27),"Outlier","Normal")</f>
        <v>Normal</v>
      </c>
      <c r="J957" s="8">
        <f t="shared" si="28"/>
        <v>2021</v>
      </c>
      <c r="K957">
        <f t="shared" si="29"/>
        <v>7</v>
      </c>
    </row>
    <row r="958" spans="1:11" x14ac:dyDescent="0.35">
      <c r="A958" s="13">
        <v>44394</v>
      </c>
      <c r="B958" s="8">
        <v>22.1</v>
      </c>
      <c r="C958" s="8">
        <v>20.7</v>
      </c>
      <c r="D958" s="8">
        <v>27</v>
      </c>
      <c r="E958" s="8">
        <v>1.3</v>
      </c>
      <c r="F958" s="8" t="str">
        <f>IF(OR(B958&lt;outliers!$B$7,B958&gt;outliers!$B$6),"Outlier","Normal")</f>
        <v>Normal</v>
      </c>
      <c r="G958" s="8" t="str">
        <f>IF(OR(C958&lt;outliers!$B$14,C958&gt;outliers!$B$13),"Outlier","Normal")</f>
        <v>Normal</v>
      </c>
      <c r="H958" s="8" t="str">
        <f>IF(OR(D958&lt;outliers!$B$21,D958&gt;outliers!$B$20),"Outlier","Normal")</f>
        <v>Normal</v>
      </c>
      <c r="I958" s="8" t="str">
        <f>IF(OR(E958&lt;outliers!$C$28,E958&gt;outliers!$B$27),"Outlier","Normal")</f>
        <v>Normal</v>
      </c>
      <c r="J958" s="8">
        <f t="shared" si="28"/>
        <v>2021</v>
      </c>
      <c r="K958">
        <f t="shared" si="29"/>
        <v>7</v>
      </c>
    </row>
    <row r="959" spans="1:11" hidden="1" x14ac:dyDescent="0.35">
      <c r="A959" s="13">
        <v>44395</v>
      </c>
      <c r="B959" s="8">
        <v>21.6</v>
      </c>
      <c r="C959" s="8">
        <v>20</v>
      </c>
      <c r="D959" s="8">
        <v>28.2</v>
      </c>
      <c r="E959" s="8">
        <v>17.8</v>
      </c>
      <c r="F959" s="8" t="str">
        <f>IF(OR(B959&lt;outliers!$B$7,B959&gt;outliers!$B$6),"Outlier","Normal")</f>
        <v>Normal</v>
      </c>
      <c r="G959" s="8" t="str">
        <f>IF(OR(C959&lt;outliers!$B$14,C959&gt;outliers!$B$13),"Outlier","Normal")</f>
        <v>Normal</v>
      </c>
      <c r="H959" s="8" t="str">
        <f>IF(OR(D959&lt;outliers!$B$21,D959&gt;outliers!$B$20),"Outlier","Normal")</f>
        <v>Normal</v>
      </c>
      <c r="I959" s="8" t="str">
        <f>IF(OR(E959&lt;outliers!$C$28,E959&gt;outliers!$B$27),"Outlier","Normal")</f>
        <v>Outlier</v>
      </c>
      <c r="J959" s="8">
        <f t="shared" si="28"/>
        <v>2021</v>
      </c>
      <c r="K959">
        <f t="shared" si="29"/>
        <v>7</v>
      </c>
    </row>
    <row r="960" spans="1:11" x14ac:dyDescent="0.35">
      <c r="A960" s="13">
        <v>44396</v>
      </c>
      <c r="B960" s="8">
        <v>22.6</v>
      </c>
      <c r="C960" s="8">
        <v>19.5</v>
      </c>
      <c r="D960" s="8">
        <v>26.8</v>
      </c>
      <c r="E960" s="8">
        <v>4.3</v>
      </c>
      <c r="F960" s="8" t="str">
        <f>IF(OR(B960&lt;outliers!$B$7,B960&gt;outliers!$B$6),"Outlier","Normal")</f>
        <v>Normal</v>
      </c>
      <c r="G960" s="8" t="str">
        <f>IF(OR(C960&lt;outliers!$B$14,C960&gt;outliers!$B$13),"Outlier","Normal")</f>
        <v>Normal</v>
      </c>
      <c r="H960" s="8" t="str">
        <f>IF(OR(D960&lt;outliers!$B$21,D960&gt;outliers!$B$20),"Outlier","Normal")</f>
        <v>Normal</v>
      </c>
      <c r="I960" s="8" t="str">
        <f>IF(OR(E960&lt;outliers!$C$28,E960&gt;outliers!$B$27),"Outlier","Normal")</f>
        <v>Normal</v>
      </c>
      <c r="J960" s="8">
        <f t="shared" si="28"/>
        <v>2021</v>
      </c>
      <c r="K960">
        <f t="shared" si="29"/>
        <v>7</v>
      </c>
    </row>
    <row r="961" spans="1:11" x14ac:dyDescent="0.35">
      <c r="A961" s="13">
        <v>44397</v>
      </c>
      <c r="B961" s="8">
        <v>23.1</v>
      </c>
      <c r="C961" s="8">
        <v>19.7</v>
      </c>
      <c r="D961" s="8">
        <v>27.6</v>
      </c>
      <c r="E961" s="8">
        <v>7.1</v>
      </c>
      <c r="F961" s="8" t="str">
        <f>IF(OR(B961&lt;outliers!$B$7,B961&gt;outliers!$B$6),"Outlier","Normal")</f>
        <v>Normal</v>
      </c>
      <c r="G961" s="8" t="str">
        <f>IF(OR(C961&lt;outliers!$B$14,C961&gt;outliers!$B$13),"Outlier","Normal")</f>
        <v>Normal</v>
      </c>
      <c r="H961" s="8" t="str">
        <f>IF(OR(D961&lt;outliers!$B$21,D961&gt;outliers!$B$20),"Outlier","Normal")</f>
        <v>Normal</v>
      </c>
      <c r="I961" s="8" t="str">
        <f>IF(OR(E961&lt;outliers!$C$28,E961&gt;outliers!$B$27),"Outlier","Normal")</f>
        <v>Normal</v>
      </c>
      <c r="J961" s="8">
        <f t="shared" si="28"/>
        <v>2021</v>
      </c>
      <c r="K961">
        <f t="shared" si="29"/>
        <v>7</v>
      </c>
    </row>
    <row r="962" spans="1:11" x14ac:dyDescent="0.35">
      <c r="A962" s="13">
        <v>44398</v>
      </c>
      <c r="B962" s="8">
        <v>21.8</v>
      </c>
      <c r="C962" s="8">
        <v>20.399999999999999</v>
      </c>
      <c r="D962" s="8">
        <v>27.8</v>
      </c>
      <c r="E962" s="8">
        <v>0</v>
      </c>
      <c r="F962" s="8" t="str">
        <f>IF(OR(B962&lt;outliers!$B$7,B962&gt;outliers!$B$6),"Outlier","Normal")</f>
        <v>Normal</v>
      </c>
      <c r="G962" s="8" t="str">
        <f>IF(OR(C962&lt;outliers!$B$14,C962&gt;outliers!$B$13),"Outlier","Normal")</f>
        <v>Normal</v>
      </c>
      <c r="H962" s="8" t="str">
        <f>IF(OR(D962&lt;outliers!$B$21,D962&gt;outliers!$B$20),"Outlier","Normal")</f>
        <v>Normal</v>
      </c>
      <c r="I962" s="8" t="str">
        <f>IF(OR(E962&lt;outliers!$C$28,E962&gt;outliers!$B$27),"Outlier","Normal")</f>
        <v>Normal</v>
      </c>
      <c r="J962" s="8">
        <f t="shared" si="28"/>
        <v>2021</v>
      </c>
      <c r="K962">
        <f t="shared" si="29"/>
        <v>7</v>
      </c>
    </row>
    <row r="963" spans="1:11" x14ac:dyDescent="0.35">
      <c r="A963" s="13">
        <v>44399</v>
      </c>
      <c r="B963" s="8">
        <v>21.2</v>
      </c>
      <c r="C963" s="8">
        <v>20</v>
      </c>
      <c r="D963" s="8">
        <v>24.2</v>
      </c>
      <c r="E963" s="8">
        <v>3.3</v>
      </c>
      <c r="F963" s="8" t="str">
        <f>IF(OR(B963&lt;outliers!$B$7,B963&gt;outliers!$B$6),"Outlier","Normal")</f>
        <v>Normal</v>
      </c>
      <c r="G963" s="8" t="str">
        <f>IF(OR(C963&lt;outliers!$B$14,C963&gt;outliers!$B$13),"Outlier","Normal")</f>
        <v>Normal</v>
      </c>
      <c r="H963" s="8" t="str">
        <f>IF(OR(D963&lt;outliers!$B$21,D963&gt;outliers!$B$20),"Outlier","Normal")</f>
        <v>Normal</v>
      </c>
      <c r="I963" s="8" t="str">
        <f>IF(OR(E963&lt;outliers!$C$28,E963&gt;outliers!$B$27),"Outlier","Normal")</f>
        <v>Normal</v>
      </c>
      <c r="J963" s="8">
        <f t="shared" si="28"/>
        <v>2021</v>
      </c>
      <c r="K963">
        <f t="shared" si="29"/>
        <v>7</v>
      </c>
    </row>
    <row r="964" spans="1:11" x14ac:dyDescent="0.35">
      <c r="A964" s="13">
        <v>44400</v>
      </c>
      <c r="B964" s="8">
        <v>21.4</v>
      </c>
      <c r="C964" s="8">
        <v>19.7</v>
      </c>
      <c r="D964" s="8">
        <v>24.7</v>
      </c>
      <c r="E964" s="8">
        <v>3</v>
      </c>
      <c r="F964" s="8" t="str">
        <f>IF(OR(B964&lt;outliers!$B$7,B964&gt;outliers!$B$6),"Outlier","Normal")</f>
        <v>Normal</v>
      </c>
      <c r="G964" s="8" t="str">
        <f>IF(OR(C964&lt;outliers!$B$14,C964&gt;outliers!$B$13),"Outlier","Normal")</f>
        <v>Normal</v>
      </c>
      <c r="H964" s="8" t="str">
        <f>IF(OR(D964&lt;outliers!$B$21,D964&gt;outliers!$B$20),"Outlier","Normal")</f>
        <v>Normal</v>
      </c>
      <c r="I964" s="8" t="str">
        <f>IF(OR(E964&lt;outliers!$C$28,E964&gt;outliers!$B$27),"Outlier","Normal")</f>
        <v>Normal</v>
      </c>
      <c r="J964" s="8">
        <f t="shared" ref="J964:J1027" si="30">YEAR(A964)</f>
        <v>2021</v>
      </c>
      <c r="K964">
        <f t="shared" ref="K964:K1027" si="31">MONTH(A964)</f>
        <v>7</v>
      </c>
    </row>
    <row r="965" spans="1:11" x14ac:dyDescent="0.35">
      <c r="A965" s="13">
        <v>44401</v>
      </c>
      <c r="B965" s="8">
        <v>22.6</v>
      </c>
      <c r="C965" s="8">
        <v>20</v>
      </c>
      <c r="D965" s="8">
        <v>27.1</v>
      </c>
      <c r="E965" s="8">
        <v>0.5</v>
      </c>
      <c r="F965" s="8" t="str">
        <f>IF(OR(B965&lt;outliers!$B$7,B965&gt;outliers!$B$6),"Outlier","Normal")</f>
        <v>Normal</v>
      </c>
      <c r="G965" s="8" t="str">
        <f>IF(OR(C965&lt;outliers!$B$14,C965&gt;outliers!$B$13),"Outlier","Normal")</f>
        <v>Normal</v>
      </c>
      <c r="H965" s="8" t="str">
        <f>IF(OR(D965&lt;outliers!$B$21,D965&gt;outliers!$B$20),"Outlier","Normal")</f>
        <v>Normal</v>
      </c>
      <c r="I965" s="8" t="str">
        <f>IF(OR(E965&lt;outliers!$C$28,E965&gt;outliers!$B$27),"Outlier","Normal")</f>
        <v>Normal</v>
      </c>
      <c r="J965" s="8">
        <f t="shared" si="30"/>
        <v>2021</v>
      </c>
      <c r="K965">
        <f t="shared" si="31"/>
        <v>7</v>
      </c>
    </row>
    <row r="966" spans="1:11" hidden="1" x14ac:dyDescent="0.35">
      <c r="A966" s="13">
        <v>44402</v>
      </c>
      <c r="B966" s="8">
        <v>23.2</v>
      </c>
      <c r="C966" s="8">
        <v>20.6</v>
      </c>
      <c r="D966" s="8">
        <v>28</v>
      </c>
      <c r="E966" s="8">
        <v>24.4</v>
      </c>
      <c r="F966" s="8" t="str">
        <f>IF(OR(B966&lt;outliers!$B$7,B966&gt;outliers!$B$6),"Outlier","Normal")</f>
        <v>Normal</v>
      </c>
      <c r="G966" s="8" t="str">
        <f>IF(OR(C966&lt;outliers!$B$14,C966&gt;outliers!$B$13),"Outlier","Normal")</f>
        <v>Normal</v>
      </c>
      <c r="H966" s="8" t="str">
        <f>IF(OR(D966&lt;outliers!$B$21,D966&gt;outliers!$B$20),"Outlier","Normal")</f>
        <v>Normal</v>
      </c>
      <c r="I966" s="8" t="str">
        <f>IF(OR(E966&lt;outliers!$C$28,E966&gt;outliers!$B$27),"Outlier","Normal")</f>
        <v>Outlier</v>
      </c>
      <c r="J966" s="8">
        <f t="shared" si="30"/>
        <v>2021</v>
      </c>
      <c r="K966">
        <f t="shared" si="31"/>
        <v>7</v>
      </c>
    </row>
    <row r="967" spans="1:11" hidden="1" x14ac:dyDescent="0.35">
      <c r="A967" s="13">
        <v>44403</v>
      </c>
      <c r="B967" s="8">
        <v>23.4</v>
      </c>
      <c r="C967" s="8">
        <v>20.5</v>
      </c>
      <c r="D967" s="8">
        <v>28.4</v>
      </c>
      <c r="E967" s="8">
        <v>59.7</v>
      </c>
      <c r="F967" s="8" t="str">
        <f>IF(OR(B967&lt;outliers!$B$7,B967&gt;outliers!$B$6),"Outlier","Normal")</f>
        <v>Normal</v>
      </c>
      <c r="G967" s="8" t="str">
        <f>IF(OR(C967&lt;outliers!$B$14,C967&gt;outliers!$B$13),"Outlier","Normal")</f>
        <v>Normal</v>
      </c>
      <c r="H967" s="8" t="str">
        <f>IF(OR(D967&lt;outliers!$B$21,D967&gt;outliers!$B$20),"Outlier","Normal")</f>
        <v>Normal</v>
      </c>
      <c r="I967" s="8" t="str">
        <f>IF(OR(E967&lt;outliers!$C$28,E967&gt;outliers!$B$27),"Outlier","Normal")</f>
        <v>Outlier</v>
      </c>
      <c r="J967" s="8">
        <f t="shared" si="30"/>
        <v>2021</v>
      </c>
      <c r="K967">
        <f t="shared" si="31"/>
        <v>7</v>
      </c>
    </row>
    <row r="968" spans="1:11" x14ac:dyDescent="0.35">
      <c r="A968" s="13">
        <v>44404</v>
      </c>
      <c r="B968" s="8">
        <v>23.4</v>
      </c>
      <c r="C968" s="8">
        <v>20.100000000000001</v>
      </c>
      <c r="D968" s="8">
        <v>28.3</v>
      </c>
      <c r="E968" s="8">
        <v>0</v>
      </c>
      <c r="F968" s="8" t="str">
        <f>IF(OR(B968&lt;outliers!$B$7,B968&gt;outliers!$B$6),"Outlier","Normal")</f>
        <v>Normal</v>
      </c>
      <c r="G968" s="8" t="str">
        <f>IF(OR(C968&lt;outliers!$B$14,C968&gt;outliers!$B$13),"Outlier","Normal")</f>
        <v>Normal</v>
      </c>
      <c r="H968" s="8" t="str">
        <f>IF(OR(D968&lt;outliers!$B$21,D968&gt;outliers!$B$20),"Outlier","Normal")</f>
        <v>Normal</v>
      </c>
      <c r="I968" s="8" t="str">
        <f>IF(OR(E968&lt;outliers!$C$28,E968&gt;outliers!$B$27),"Outlier","Normal")</f>
        <v>Normal</v>
      </c>
      <c r="J968" s="8">
        <f t="shared" si="30"/>
        <v>2021</v>
      </c>
      <c r="K968">
        <f t="shared" si="31"/>
        <v>7</v>
      </c>
    </row>
    <row r="969" spans="1:11" x14ac:dyDescent="0.35">
      <c r="A969" s="13">
        <v>44405</v>
      </c>
      <c r="B969" s="8">
        <v>23.1</v>
      </c>
      <c r="C969" s="8">
        <v>19.8</v>
      </c>
      <c r="D969" s="8">
        <v>27.6</v>
      </c>
      <c r="E969" s="8">
        <v>1</v>
      </c>
      <c r="F969" s="8" t="str">
        <f>IF(OR(B969&lt;outliers!$B$7,B969&gt;outliers!$B$6),"Outlier","Normal")</f>
        <v>Normal</v>
      </c>
      <c r="G969" s="8" t="str">
        <f>IF(OR(C969&lt;outliers!$B$14,C969&gt;outliers!$B$13),"Outlier","Normal")</f>
        <v>Normal</v>
      </c>
      <c r="H969" s="8" t="str">
        <f>IF(OR(D969&lt;outliers!$B$21,D969&gt;outliers!$B$20),"Outlier","Normal")</f>
        <v>Normal</v>
      </c>
      <c r="I969" s="8" t="str">
        <f>IF(OR(E969&lt;outliers!$C$28,E969&gt;outliers!$B$27),"Outlier","Normal")</f>
        <v>Normal</v>
      </c>
      <c r="J969" s="8">
        <f t="shared" si="30"/>
        <v>2021</v>
      </c>
      <c r="K969">
        <f t="shared" si="31"/>
        <v>7</v>
      </c>
    </row>
    <row r="970" spans="1:11" x14ac:dyDescent="0.35">
      <c r="A970" s="13">
        <v>44406</v>
      </c>
      <c r="B970" s="8">
        <v>22.7</v>
      </c>
      <c r="C970" s="8">
        <v>19.5</v>
      </c>
      <c r="D970" s="8">
        <v>26.4</v>
      </c>
      <c r="E970" s="8">
        <v>0.9</v>
      </c>
      <c r="F970" s="8" t="str">
        <f>IF(OR(B970&lt;outliers!$B$7,B970&gt;outliers!$B$6),"Outlier","Normal")</f>
        <v>Normal</v>
      </c>
      <c r="G970" s="8" t="str">
        <f>IF(OR(C970&lt;outliers!$B$14,C970&gt;outliers!$B$13),"Outlier","Normal")</f>
        <v>Normal</v>
      </c>
      <c r="H970" s="8" t="str">
        <f>IF(OR(D970&lt;outliers!$B$21,D970&gt;outliers!$B$20),"Outlier","Normal")</f>
        <v>Normal</v>
      </c>
      <c r="I970" s="8" t="str">
        <f>IF(OR(E970&lt;outliers!$C$28,E970&gt;outliers!$B$27),"Outlier","Normal")</f>
        <v>Normal</v>
      </c>
      <c r="J970" s="8">
        <f t="shared" si="30"/>
        <v>2021</v>
      </c>
      <c r="K970">
        <f t="shared" si="31"/>
        <v>7</v>
      </c>
    </row>
    <row r="971" spans="1:11" x14ac:dyDescent="0.35">
      <c r="A971" s="13">
        <v>44407</v>
      </c>
      <c r="B971" s="8">
        <v>23.5</v>
      </c>
      <c r="C971" s="8">
        <v>19.600000000000001</v>
      </c>
      <c r="D971" s="8">
        <v>28.4</v>
      </c>
      <c r="E971" s="8">
        <v>0</v>
      </c>
      <c r="F971" s="8" t="str">
        <f>IF(OR(B971&lt;outliers!$B$7,B971&gt;outliers!$B$6),"Outlier","Normal")</f>
        <v>Normal</v>
      </c>
      <c r="G971" s="8" t="str">
        <f>IF(OR(C971&lt;outliers!$B$14,C971&gt;outliers!$B$13),"Outlier","Normal")</f>
        <v>Normal</v>
      </c>
      <c r="H971" s="8" t="str">
        <f>IF(OR(D971&lt;outliers!$B$21,D971&gt;outliers!$B$20),"Outlier","Normal")</f>
        <v>Normal</v>
      </c>
      <c r="I971" s="8" t="str">
        <f>IF(OR(E971&lt;outliers!$C$28,E971&gt;outliers!$B$27),"Outlier","Normal")</f>
        <v>Normal</v>
      </c>
      <c r="J971" s="8">
        <f t="shared" si="30"/>
        <v>2021</v>
      </c>
      <c r="K971">
        <f t="shared" si="31"/>
        <v>7</v>
      </c>
    </row>
    <row r="972" spans="1:11" x14ac:dyDescent="0.35">
      <c r="A972" s="13">
        <v>44408</v>
      </c>
      <c r="B972" s="8">
        <v>23.1</v>
      </c>
      <c r="C972" s="8">
        <v>19</v>
      </c>
      <c r="D972" s="8">
        <v>28.1</v>
      </c>
      <c r="E972" s="8">
        <v>0.7</v>
      </c>
      <c r="F972" s="8" t="str">
        <f>IF(OR(B972&lt;outliers!$B$7,B972&gt;outliers!$B$6),"Outlier","Normal")</f>
        <v>Normal</v>
      </c>
      <c r="G972" s="8" t="str">
        <f>IF(OR(C972&lt;outliers!$B$14,C972&gt;outliers!$B$13),"Outlier","Normal")</f>
        <v>Normal</v>
      </c>
      <c r="H972" s="8" t="str">
        <f>IF(OR(D972&lt;outliers!$B$21,D972&gt;outliers!$B$20),"Outlier","Normal")</f>
        <v>Normal</v>
      </c>
      <c r="I972" s="8" t="str">
        <f>IF(OR(E972&lt;outliers!$C$28,E972&gt;outliers!$B$27),"Outlier","Normal")</f>
        <v>Normal</v>
      </c>
      <c r="J972" s="8">
        <f t="shared" si="30"/>
        <v>2021</v>
      </c>
      <c r="K972">
        <f t="shared" si="31"/>
        <v>7</v>
      </c>
    </row>
    <row r="973" spans="1:11" x14ac:dyDescent="0.35">
      <c r="A973" s="13">
        <v>44409</v>
      </c>
      <c r="B973" s="8">
        <v>23.2</v>
      </c>
      <c r="C973" s="8">
        <v>20</v>
      </c>
      <c r="D973" s="8">
        <v>28</v>
      </c>
      <c r="E973" s="8">
        <v>0</v>
      </c>
      <c r="F973" s="8" t="str">
        <f>IF(OR(B973&lt;outliers!$B$7,B973&gt;outliers!$B$6),"Outlier","Normal")</f>
        <v>Normal</v>
      </c>
      <c r="G973" s="8" t="str">
        <f>IF(OR(C973&lt;outliers!$B$14,C973&gt;outliers!$B$13),"Outlier","Normal")</f>
        <v>Normal</v>
      </c>
      <c r="H973" s="8" t="str">
        <f>IF(OR(D973&lt;outliers!$B$21,D973&gt;outliers!$B$20),"Outlier","Normal")</f>
        <v>Normal</v>
      </c>
      <c r="I973" s="8" t="str">
        <f>IF(OR(E973&lt;outliers!$C$28,E973&gt;outliers!$B$27),"Outlier","Normal")</f>
        <v>Normal</v>
      </c>
      <c r="J973" s="8">
        <f t="shared" si="30"/>
        <v>2021</v>
      </c>
      <c r="K973">
        <f t="shared" si="31"/>
        <v>8</v>
      </c>
    </row>
    <row r="974" spans="1:11" x14ac:dyDescent="0.35">
      <c r="A974" s="13">
        <v>44410</v>
      </c>
      <c r="B974" s="8">
        <v>23.6</v>
      </c>
      <c r="C974" s="8">
        <v>19.600000000000001</v>
      </c>
      <c r="D974" s="8">
        <v>27.5</v>
      </c>
      <c r="E974" s="8">
        <v>0</v>
      </c>
      <c r="F974" s="8" t="str">
        <f>IF(OR(B974&lt;outliers!$B$7,B974&gt;outliers!$B$6),"Outlier","Normal")</f>
        <v>Normal</v>
      </c>
      <c r="G974" s="8" t="str">
        <f>IF(OR(C974&lt;outliers!$B$14,C974&gt;outliers!$B$13),"Outlier","Normal")</f>
        <v>Normal</v>
      </c>
      <c r="H974" s="8" t="str">
        <f>IF(OR(D974&lt;outliers!$B$21,D974&gt;outliers!$B$20),"Outlier","Normal")</f>
        <v>Normal</v>
      </c>
      <c r="I974" s="8" t="str">
        <f>IF(OR(E974&lt;outliers!$C$28,E974&gt;outliers!$B$27),"Outlier","Normal")</f>
        <v>Normal</v>
      </c>
      <c r="J974" s="8">
        <f t="shared" si="30"/>
        <v>2021</v>
      </c>
      <c r="K974">
        <f t="shared" si="31"/>
        <v>8</v>
      </c>
    </row>
    <row r="975" spans="1:11" x14ac:dyDescent="0.35">
      <c r="A975" s="13">
        <v>44411</v>
      </c>
      <c r="B975" s="8">
        <v>23.2</v>
      </c>
      <c r="C975" s="8">
        <v>19.5</v>
      </c>
      <c r="D975" s="8">
        <v>28.2</v>
      </c>
      <c r="E975" s="8">
        <v>0.7</v>
      </c>
      <c r="F975" s="8" t="str">
        <f>IF(OR(B975&lt;outliers!$B$7,B975&gt;outliers!$B$6),"Outlier","Normal")</f>
        <v>Normal</v>
      </c>
      <c r="G975" s="8" t="str">
        <f>IF(OR(C975&lt;outliers!$B$14,C975&gt;outliers!$B$13),"Outlier","Normal")</f>
        <v>Normal</v>
      </c>
      <c r="H975" s="8" t="str">
        <f>IF(OR(D975&lt;outliers!$B$21,D975&gt;outliers!$B$20),"Outlier","Normal")</f>
        <v>Normal</v>
      </c>
      <c r="I975" s="8" t="str">
        <f>IF(OR(E975&lt;outliers!$C$28,E975&gt;outliers!$B$27),"Outlier","Normal")</f>
        <v>Normal</v>
      </c>
      <c r="J975" s="8">
        <f t="shared" si="30"/>
        <v>2021</v>
      </c>
      <c r="K975">
        <f t="shared" si="31"/>
        <v>8</v>
      </c>
    </row>
    <row r="976" spans="1:11" x14ac:dyDescent="0.35">
      <c r="A976" s="13">
        <v>44412</v>
      </c>
      <c r="B976" s="8">
        <v>23.3</v>
      </c>
      <c r="C976" s="8">
        <v>19.8</v>
      </c>
      <c r="D976" s="8">
        <v>27.8</v>
      </c>
      <c r="E976" s="8">
        <v>2.8</v>
      </c>
      <c r="F976" s="8" t="str">
        <f>IF(OR(B976&lt;outliers!$B$7,B976&gt;outliers!$B$6),"Outlier","Normal")</f>
        <v>Normal</v>
      </c>
      <c r="G976" s="8" t="str">
        <f>IF(OR(C976&lt;outliers!$B$14,C976&gt;outliers!$B$13),"Outlier","Normal")</f>
        <v>Normal</v>
      </c>
      <c r="H976" s="8" t="str">
        <f>IF(OR(D976&lt;outliers!$B$21,D976&gt;outliers!$B$20),"Outlier","Normal")</f>
        <v>Normal</v>
      </c>
      <c r="I976" s="8" t="str">
        <f>IF(OR(E976&lt;outliers!$C$28,E976&gt;outliers!$B$27),"Outlier","Normal")</f>
        <v>Normal</v>
      </c>
      <c r="J976" s="8">
        <f t="shared" si="30"/>
        <v>2021</v>
      </c>
      <c r="K976">
        <f t="shared" si="31"/>
        <v>8</v>
      </c>
    </row>
    <row r="977" spans="1:11" x14ac:dyDescent="0.35">
      <c r="A977" s="13">
        <v>44413</v>
      </c>
      <c r="B977" s="8">
        <v>22.7</v>
      </c>
      <c r="C977" s="8">
        <v>19.2</v>
      </c>
      <c r="D977" s="8">
        <v>27.6</v>
      </c>
      <c r="E977" s="8">
        <v>2.7</v>
      </c>
      <c r="F977" s="8" t="str">
        <f>IF(OR(B977&lt;outliers!$B$7,B977&gt;outliers!$B$6),"Outlier","Normal")</f>
        <v>Normal</v>
      </c>
      <c r="G977" s="8" t="str">
        <f>IF(OR(C977&lt;outliers!$B$14,C977&gt;outliers!$B$13),"Outlier","Normal")</f>
        <v>Normal</v>
      </c>
      <c r="H977" s="8" t="str">
        <f>IF(OR(D977&lt;outliers!$B$21,D977&gt;outliers!$B$20),"Outlier","Normal")</f>
        <v>Normal</v>
      </c>
      <c r="I977" s="8" t="str">
        <f>IF(OR(E977&lt;outliers!$C$28,E977&gt;outliers!$B$27),"Outlier","Normal")</f>
        <v>Normal</v>
      </c>
      <c r="J977" s="8">
        <f t="shared" si="30"/>
        <v>2021</v>
      </c>
      <c r="K977">
        <f t="shared" si="31"/>
        <v>8</v>
      </c>
    </row>
    <row r="978" spans="1:11" x14ac:dyDescent="0.35">
      <c r="A978" s="13">
        <v>44414</v>
      </c>
      <c r="B978" s="8">
        <v>23.5</v>
      </c>
      <c r="C978" s="8">
        <v>19.899999999999999</v>
      </c>
      <c r="D978" s="8">
        <v>28.8</v>
      </c>
      <c r="E978" s="8">
        <v>1.6</v>
      </c>
      <c r="F978" s="8" t="str">
        <f>IF(OR(B978&lt;outliers!$B$7,B978&gt;outliers!$B$6),"Outlier","Normal")</f>
        <v>Normal</v>
      </c>
      <c r="G978" s="8" t="str">
        <f>IF(OR(C978&lt;outliers!$B$14,C978&gt;outliers!$B$13),"Outlier","Normal")</f>
        <v>Normal</v>
      </c>
      <c r="H978" s="8" t="str">
        <f>IF(OR(D978&lt;outliers!$B$21,D978&gt;outliers!$B$20),"Outlier","Normal")</f>
        <v>Normal</v>
      </c>
      <c r="I978" s="8" t="str">
        <f>IF(OR(E978&lt;outliers!$C$28,E978&gt;outliers!$B$27),"Outlier","Normal")</f>
        <v>Normal</v>
      </c>
      <c r="J978" s="8">
        <f t="shared" si="30"/>
        <v>2021</v>
      </c>
      <c r="K978">
        <f t="shared" si="31"/>
        <v>8</v>
      </c>
    </row>
    <row r="979" spans="1:11" x14ac:dyDescent="0.35">
      <c r="A979" s="13">
        <v>44415</v>
      </c>
      <c r="B979" s="8">
        <v>24.3</v>
      </c>
      <c r="C979" s="8">
        <v>20.9</v>
      </c>
      <c r="D979" s="8">
        <v>29.4</v>
      </c>
      <c r="E979" s="8">
        <v>4.3</v>
      </c>
      <c r="F979" s="8" t="str">
        <f>IF(OR(B979&lt;outliers!$B$7,B979&gt;outliers!$B$6),"Outlier","Normal")</f>
        <v>Normal</v>
      </c>
      <c r="G979" s="8" t="str">
        <f>IF(OR(C979&lt;outliers!$B$14,C979&gt;outliers!$B$13),"Outlier","Normal")</f>
        <v>Normal</v>
      </c>
      <c r="H979" s="8" t="str">
        <f>IF(OR(D979&lt;outliers!$B$21,D979&gt;outliers!$B$20),"Outlier","Normal")</f>
        <v>Normal</v>
      </c>
      <c r="I979" s="8" t="str">
        <f>IF(OR(E979&lt;outliers!$C$28,E979&gt;outliers!$B$27),"Outlier","Normal")</f>
        <v>Normal</v>
      </c>
      <c r="J979" s="8">
        <f t="shared" si="30"/>
        <v>2021</v>
      </c>
      <c r="K979">
        <f t="shared" si="31"/>
        <v>8</v>
      </c>
    </row>
    <row r="980" spans="1:11" x14ac:dyDescent="0.35">
      <c r="A980" s="13">
        <v>44416</v>
      </c>
      <c r="B980" s="8">
        <v>24.9</v>
      </c>
      <c r="C980" s="8">
        <v>20.8</v>
      </c>
      <c r="D980" s="8">
        <v>30.3</v>
      </c>
      <c r="E980" s="8">
        <v>1.3</v>
      </c>
      <c r="F980" s="8" t="str">
        <f>IF(OR(B980&lt;outliers!$B$7,B980&gt;outliers!$B$6),"Outlier","Normal")</f>
        <v>Normal</v>
      </c>
      <c r="G980" s="8" t="str">
        <f>IF(OR(C980&lt;outliers!$B$14,C980&gt;outliers!$B$13),"Outlier","Normal")</f>
        <v>Normal</v>
      </c>
      <c r="H980" s="8" t="str">
        <f>IF(OR(D980&lt;outliers!$B$21,D980&gt;outliers!$B$20),"Outlier","Normal")</f>
        <v>Normal</v>
      </c>
      <c r="I980" s="8" t="str">
        <f>IF(OR(E980&lt;outliers!$C$28,E980&gt;outliers!$B$27),"Outlier","Normal")</f>
        <v>Normal</v>
      </c>
      <c r="J980" s="8">
        <f t="shared" si="30"/>
        <v>2021</v>
      </c>
      <c r="K980">
        <f t="shared" si="31"/>
        <v>8</v>
      </c>
    </row>
    <row r="981" spans="1:11" x14ac:dyDescent="0.35">
      <c r="A981" s="13">
        <v>44417</v>
      </c>
      <c r="B981" s="8">
        <v>25.5</v>
      </c>
      <c r="C981" s="8">
        <v>21.7</v>
      </c>
      <c r="D981" s="8">
        <v>30.7</v>
      </c>
      <c r="E981" s="8">
        <v>0.5</v>
      </c>
      <c r="F981" s="8" t="str">
        <f>IF(OR(B981&lt;outliers!$B$7,B981&gt;outliers!$B$6),"Outlier","Normal")</f>
        <v>Normal</v>
      </c>
      <c r="G981" s="8" t="str">
        <f>IF(OR(C981&lt;outliers!$B$14,C981&gt;outliers!$B$13),"Outlier","Normal")</f>
        <v>Normal</v>
      </c>
      <c r="H981" s="8" t="str">
        <f>IF(OR(D981&lt;outliers!$B$21,D981&gt;outliers!$B$20),"Outlier","Normal")</f>
        <v>Normal</v>
      </c>
      <c r="I981" s="8" t="str">
        <f>IF(OR(E981&lt;outliers!$C$28,E981&gt;outliers!$B$27),"Outlier","Normal")</f>
        <v>Normal</v>
      </c>
      <c r="J981" s="8">
        <f t="shared" si="30"/>
        <v>2021</v>
      </c>
      <c r="K981">
        <f t="shared" si="31"/>
        <v>8</v>
      </c>
    </row>
    <row r="982" spans="1:11" x14ac:dyDescent="0.35">
      <c r="A982" s="13">
        <v>44418</v>
      </c>
      <c r="B982" s="8">
        <v>23.9</v>
      </c>
      <c r="C982" s="8">
        <v>21.8</v>
      </c>
      <c r="D982" s="8">
        <v>30.7</v>
      </c>
      <c r="E982" s="8">
        <v>0</v>
      </c>
      <c r="F982" s="8" t="str">
        <f>IF(OR(B982&lt;outliers!$B$7,B982&gt;outliers!$B$6),"Outlier","Normal")</f>
        <v>Normal</v>
      </c>
      <c r="G982" s="8" t="str">
        <f>IF(OR(C982&lt;outliers!$B$14,C982&gt;outliers!$B$13),"Outlier","Normal")</f>
        <v>Normal</v>
      </c>
      <c r="H982" s="8" t="str">
        <f>IF(OR(D982&lt;outliers!$B$21,D982&gt;outliers!$B$20),"Outlier","Normal")</f>
        <v>Normal</v>
      </c>
      <c r="I982" s="8" t="str">
        <f>IF(OR(E982&lt;outliers!$C$28,E982&gt;outliers!$B$27),"Outlier","Normal")</f>
        <v>Normal</v>
      </c>
      <c r="J982" s="8">
        <f t="shared" si="30"/>
        <v>2021</v>
      </c>
      <c r="K982">
        <f t="shared" si="31"/>
        <v>8</v>
      </c>
    </row>
    <row r="983" spans="1:11" x14ac:dyDescent="0.35">
      <c r="A983" s="13">
        <v>44419</v>
      </c>
      <c r="B983" s="8">
        <v>24</v>
      </c>
      <c r="C983" s="8">
        <v>20.8</v>
      </c>
      <c r="D983" s="8">
        <v>28.2</v>
      </c>
      <c r="E983" s="8">
        <v>0</v>
      </c>
      <c r="F983" s="8" t="str">
        <f>IF(OR(B983&lt;outliers!$B$7,B983&gt;outliers!$B$6),"Outlier","Normal")</f>
        <v>Normal</v>
      </c>
      <c r="G983" s="8" t="str">
        <f>IF(OR(C983&lt;outliers!$B$14,C983&gt;outliers!$B$13),"Outlier","Normal")</f>
        <v>Normal</v>
      </c>
      <c r="H983" s="8" t="str">
        <f>IF(OR(D983&lt;outliers!$B$21,D983&gt;outliers!$B$20),"Outlier","Normal")</f>
        <v>Normal</v>
      </c>
      <c r="I983" s="8" t="str">
        <f>IF(OR(E983&lt;outliers!$C$28,E983&gt;outliers!$B$27),"Outlier","Normal")</f>
        <v>Normal</v>
      </c>
      <c r="J983" s="8">
        <f t="shared" si="30"/>
        <v>2021</v>
      </c>
      <c r="K983">
        <f t="shared" si="31"/>
        <v>8</v>
      </c>
    </row>
    <row r="984" spans="1:11" x14ac:dyDescent="0.35">
      <c r="A984" s="13">
        <v>44420</v>
      </c>
      <c r="B984" s="8">
        <v>22.8</v>
      </c>
      <c r="C984" s="8">
        <v>19.7</v>
      </c>
      <c r="D984" s="8">
        <v>28.2</v>
      </c>
      <c r="E984" s="8">
        <v>1.5</v>
      </c>
      <c r="F984" s="8" t="str">
        <f>IF(OR(B984&lt;outliers!$B$7,B984&gt;outliers!$B$6),"Outlier","Normal")</f>
        <v>Normal</v>
      </c>
      <c r="G984" s="8" t="str">
        <f>IF(OR(C984&lt;outliers!$B$14,C984&gt;outliers!$B$13),"Outlier","Normal")</f>
        <v>Normal</v>
      </c>
      <c r="H984" s="8" t="str">
        <f>IF(OR(D984&lt;outliers!$B$21,D984&gt;outliers!$B$20),"Outlier","Normal")</f>
        <v>Normal</v>
      </c>
      <c r="I984" s="8" t="str">
        <f>IF(OR(E984&lt;outliers!$C$28,E984&gt;outliers!$B$27),"Outlier","Normal")</f>
        <v>Normal</v>
      </c>
      <c r="J984" s="8">
        <f t="shared" si="30"/>
        <v>2021</v>
      </c>
      <c r="K984">
        <f t="shared" si="31"/>
        <v>8</v>
      </c>
    </row>
    <row r="985" spans="1:11" x14ac:dyDescent="0.35">
      <c r="A985" s="13">
        <v>44421</v>
      </c>
      <c r="B985" s="8">
        <v>23.2</v>
      </c>
      <c r="C985" s="8">
        <v>20</v>
      </c>
      <c r="D985" s="8">
        <v>27</v>
      </c>
      <c r="E985" s="8">
        <v>3.8</v>
      </c>
      <c r="F985" s="8" t="str">
        <f>IF(OR(B985&lt;outliers!$B$7,B985&gt;outliers!$B$6),"Outlier","Normal")</f>
        <v>Normal</v>
      </c>
      <c r="G985" s="8" t="str">
        <f>IF(OR(C985&lt;outliers!$B$14,C985&gt;outliers!$B$13),"Outlier","Normal")</f>
        <v>Normal</v>
      </c>
      <c r="H985" s="8" t="str">
        <f>IF(OR(D985&lt;outliers!$B$21,D985&gt;outliers!$B$20),"Outlier","Normal")</f>
        <v>Normal</v>
      </c>
      <c r="I985" s="8" t="str">
        <f>IF(OR(E985&lt;outliers!$C$28,E985&gt;outliers!$B$27),"Outlier","Normal")</f>
        <v>Normal</v>
      </c>
      <c r="J985" s="8">
        <f t="shared" si="30"/>
        <v>2021</v>
      </c>
      <c r="K985">
        <f t="shared" si="31"/>
        <v>8</v>
      </c>
    </row>
    <row r="986" spans="1:11" x14ac:dyDescent="0.35">
      <c r="A986" s="13">
        <v>44422</v>
      </c>
      <c r="B986" s="8">
        <v>23.6</v>
      </c>
      <c r="C986" s="8">
        <v>20.3</v>
      </c>
      <c r="D986" s="8">
        <v>27.4</v>
      </c>
      <c r="E986" s="8">
        <v>0</v>
      </c>
      <c r="F986" s="8" t="str">
        <f>IF(OR(B986&lt;outliers!$B$7,B986&gt;outliers!$B$6),"Outlier","Normal")</f>
        <v>Normal</v>
      </c>
      <c r="G986" s="8" t="str">
        <f>IF(OR(C986&lt;outliers!$B$14,C986&gt;outliers!$B$13),"Outlier","Normal")</f>
        <v>Normal</v>
      </c>
      <c r="H986" s="8" t="str">
        <f>IF(OR(D986&lt;outliers!$B$21,D986&gt;outliers!$B$20),"Outlier","Normal")</f>
        <v>Normal</v>
      </c>
      <c r="I986" s="8" t="str">
        <f>IF(OR(E986&lt;outliers!$C$28,E986&gt;outliers!$B$27),"Outlier","Normal")</f>
        <v>Normal</v>
      </c>
      <c r="J986" s="8">
        <f t="shared" si="30"/>
        <v>2021</v>
      </c>
      <c r="K986">
        <f t="shared" si="31"/>
        <v>8</v>
      </c>
    </row>
    <row r="987" spans="1:11" x14ac:dyDescent="0.35">
      <c r="A987" s="13">
        <v>44423</v>
      </c>
      <c r="B987" s="8">
        <v>22.7</v>
      </c>
      <c r="C987" s="8">
        <v>19</v>
      </c>
      <c r="D987" s="8">
        <v>27</v>
      </c>
      <c r="E987" s="8">
        <v>0.5</v>
      </c>
      <c r="F987" s="8" t="str">
        <f>IF(OR(B987&lt;outliers!$B$7,B987&gt;outliers!$B$6),"Outlier","Normal")</f>
        <v>Normal</v>
      </c>
      <c r="G987" s="8" t="str">
        <f>IF(OR(C987&lt;outliers!$B$14,C987&gt;outliers!$B$13),"Outlier","Normal")</f>
        <v>Normal</v>
      </c>
      <c r="H987" s="8" t="str">
        <f>IF(OR(D987&lt;outliers!$B$21,D987&gt;outliers!$B$20),"Outlier","Normal")</f>
        <v>Normal</v>
      </c>
      <c r="I987" s="8" t="str">
        <f>IF(OR(E987&lt;outliers!$C$28,E987&gt;outliers!$B$27),"Outlier","Normal")</f>
        <v>Normal</v>
      </c>
      <c r="J987" s="8">
        <f t="shared" si="30"/>
        <v>2021</v>
      </c>
      <c r="K987">
        <f t="shared" si="31"/>
        <v>8</v>
      </c>
    </row>
    <row r="988" spans="1:11" x14ac:dyDescent="0.35">
      <c r="A988" s="13">
        <v>44424</v>
      </c>
      <c r="B988" s="8">
        <v>22.8</v>
      </c>
      <c r="C988" s="8">
        <v>20.7</v>
      </c>
      <c r="D988" s="8">
        <v>28</v>
      </c>
      <c r="E988" s="8">
        <v>0</v>
      </c>
      <c r="F988" s="8" t="str">
        <f>IF(OR(B988&lt;outliers!$B$7,B988&gt;outliers!$B$6),"Outlier","Normal")</f>
        <v>Normal</v>
      </c>
      <c r="G988" s="8" t="str">
        <f>IF(OR(C988&lt;outliers!$B$14,C988&gt;outliers!$B$13),"Outlier","Normal")</f>
        <v>Normal</v>
      </c>
      <c r="H988" s="8" t="str">
        <f>IF(OR(D988&lt;outliers!$B$21,D988&gt;outliers!$B$20),"Outlier","Normal")</f>
        <v>Normal</v>
      </c>
      <c r="I988" s="8" t="str">
        <f>IF(OR(E988&lt;outliers!$C$28,E988&gt;outliers!$B$27),"Outlier","Normal")</f>
        <v>Normal</v>
      </c>
      <c r="J988" s="8">
        <f t="shared" si="30"/>
        <v>2021</v>
      </c>
      <c r="K988">
        <f t="shared" si="31"/>
        <v>8</v>
      </c>
    </row>
    <row r="989" spans="1:11" hidden="1" x14ac:dyDescent="0.35">
      <c r="A989" s="13">
        <v>44425</v>
      </c>
      <c r="B989" s="8">
        <v>22.9</v>
      </c>
      <c r="C989" s="8">
        <v>20.3</v>
      </c>
      <c r="D989" s="8">
        <v>26.5</v>
      </c>
      <c r="E989" s="8">
        <v>13.7</v>
      </c>
      <c r="F989" s="8" t="str">
        <f>IF(OR(B989&lt;outliers!$B$7,B989&gt;outliers!$B$6),"Outlier","Normal")</f>
        <v>Normal</v>
      </c>
      <c r="G989" s="8" t="str">
        <f>IF(OR(C989&lt;outliers!$B$14,C989&gt;outliers!$B$13),"Outlier","Normal")</f>
        <v>Normal</v>
      </c>
      <c r="H989" s="8" t="str">
        <f>IF(OR(D989&lt;outliers!$B$21,D989&gt;outliers!$B$20),"Outlier","Normal")</f>
        <v>Normal</v>
      </c>
      <c r="I989" s="8" t="str">
        <f>IF(OR(E989&lt;outliers!$C$28,E989&gt;outliers!$B$27),"Outlier","Normal")</f>
        <v>Outlier</v>
      </c>
      <c r="J989" s="8">
        <f t="shared" si="30"/>
        <v>2021</v>
      </c>
      <c r="K989">
        <f t="shared" si="31"/>
        <v>8</v>
      </c>
    </row>
    <row r="990" spans="1:11" x14ac:dyDescent="0.35">
      <c r="A990" s="13">
        <v>44426</v>
      </c>
      <c r="B990" s="8">
        <v>23.6</v>
      </c>
      <c r="C990" s="8">
        <v>20.7</v>
      </c>
      <c r="D990" s="8">
        <v>27.5</v>
      </c>
      <c r="E990" s="8">
        <v>0</v>
      </c>
      <c r="F990" s="8" t="str">
        <f>IF(OR(B990&lt;outliers!$B$7,B990&gt;outliers!$B$6),"Outlier","Normal")</f>
        <v>Normal</v>
      </c>
      <c r="G990" s="8" t="str">
        <f>IF(OR(C990&lt;outliers!$B$14,C990&gt;outliers!$B$13),"Outlier","Normal")</f>
        <v>Normal</v>
      </c>
      <c r="H990" s="8" t="str">
        <f>IF(OR(D990&lt;outliers!$B$21,D990&gt;outliers!$B$20),"Outlier","Normal")</f>
        <v>Normal</v>
      </c>
      <c r="I990" s="8" t="str">
        <f>IF(OR(E990&lt;outliers!$C$28,E990&gt;outliers!$B$27),"Outlier","Normal")</f>
        <v>Normal</v>
      </c>
      <c r="J990" s="8">
        <f t="shared" si="30"/>
        <v>2021</v>
      </c>
      <c r="K990">
        <f t="shared" si="31"/>
        <v>8</v>
      </c>
    </row>
    <row r="991" spans="1:11" x14ac:dyDescent="0.35">
      <c r="A991" s="13">
        <v>44427</v>
      </c>
      <c r="B991" s="8">
        <v>23.6</v>
      </c>
      <c r="C991" s="8">
        <v>20.399999999999999</v>
      </c>
      <c r="D991" s="8">
        <v>28.4</v>
      </c>
      <c r="E991" s="8">
        <v>0.3</v>
      </c>
      <c r="F991" s="8" t="str">
        <f>IF(OR(B991&lt;outliers!$B$7,B991&gt;outliers!$B$6),"Outlier","Normal")</f>
        <v>Normal</v>
      </c>
      <c r="G991" s="8" t="str">
        <f>IF(OR(C991&lt;outliers!$B$14,C991&gt;outliers!$B$13),"Outlier","Normal")</f>
        <v>Normal</v>
      </c>
      <c r="H991" s="8" t="str">
        <f>IF(OR(D991&lt;outliers!$B$21,D991&gt;outliers!$B$20),"Outlier","Normal")</f>
        <v>Normal</v>
      </c>
      <c r="I991" s="8" t="str">
        <f>IF(OR(E991&lt;outliers!$C$28,E991&gt;outliers!$B$27),"Outlier","Normal")</f>
        <v>Normal</v>
      </c>
      <c r="J991" s="8">
        <f t="shared" si="30"/>
        <v>2021</v>
      </c>
      <c r="K991">
        <f t="shared" si="31"/>
        <v>8</v>
      </c>
    </row>
    <row r="992" spans="1:11" x14ac:dyDescent="0.35">
      <c r="A992" s="13">
        <v>44428</v>
      </c>
      <c r="B992" s="8">
        <v>24.1</v>
      </c>
      <c r="C992" s="8">
        <v>20.5</v>
      </c>
      <c r="D992" s="8">
        <v>28.8</v>
      </c>
      <c r="E992" s="8">
        <v>7.1</v>
      </c>
      <c r="F992" s="8" t="str">
        <f>IF(OR(B992&lt;outliers!$B$7,B992&gt;outliers!$B$6),"Outlier","Normal")</f>
        <v>Normal</v>
      </c>
      <c r="G992" s="8" t="str">
        <f>IF(OR(C992&lt;outliers!$B$14,C992&gt;outliers!$B$13),"Outlier","Normal")</f>
        <v>Normal</v>
      </c>
      <c r="H992" s="8" t="str">
        <f>IF(OR(D992&lt;outliers!$B$21,D992&gt;outliers!$B$20),"Outlier","Normal")</f>
        <v>Normal</v>
      </c>
      <c r="I992" s="8" t="str">
        <f>IF(OR(E992&lt;outliers!$C$28,E992&gt;outliers!$B$27),"Outlier","Normal")</f>
        <v>Normal</v>
      </c>
      <c r="J992" s="8">
        <f t="shared" si="30"/>
        <v>2021</v>
      </c>
      <c r="K992">
        <f t="shared" si="31"/>
        <v>8</v>
      </c>
    </row>
    <row r="993" spans="1:11" x14ac:dyDescent="0.35">
      <c r="A993" s="13">
        <v>44429</v>
      </c>
      <c r="B993" s="8">
        <v>22.4</v>
      </c>
      <c r="C993" s="8">
        <v>20.2</v>
      </c>
      <c r="D993" s="8">
        <v>28.6</v>
      </c>
      <c r="E993" s="8">
        <v>0.3</v>
      </c>
      <c r="F993" s="8" t="str">
        <f>IF(OR(B993&lt;outliers!$B$7,B993&gt;outliers!$B$6),"Outlier","Normal")</f>
        <v>Normal</v>
      </c>
      <c r="G993" s="8" t="str">
        <f>IF(OR(C993&lt;outliers!$B$14,C993&gt;outliers!$B$13),"Outlier","Normal")</f>
        <v>Normal</v>
      </c>
      <c r="H993" s="8" t="str">
        <f>IF(OR(D993&lt;outliers!$B$21,D993&gt;outliers!$B$20),"Outlier","Normal")</f>
        <v>Normal</v>
      </c>
      <c r="I993" s="8" t="str">
        <f>IF(OR(E993&lt;outliers!$C$28,E993&gt;outliers!$B$27),"Outlier","Normal")</f>
        <v>Normal</v>
      </c>
      <c r="J993" s="8">
        <f t="shared" si="30"/>
        <v>2021</v>
      </c>
      <c r="K993">
        <f t="shared" si="31"/>
        <v>8</v>
      </c>
    </row>
    <row r="994" spans="1:11" x14ac:dyDescent="0.35">
      <c r="A994" s="13">
        <v>44430</v>
      </c>
      <c r="B994" s="8">
        <v>22.8</v>
      </c>
      <c r="C994" s="8">
        <v>19.2</v>
      </c>
      <c r="D994" s="8">
        <v>27.7</v>
      </c>
      <c r="E994" s="8">
        <v>5.6</v>
      </c>
      <c r="F994" s="8" t="str">
        <f>IF(OR(B994&lt;outliers!$B$7,B994&gt;outliers!$B$6),"Outlier","Normal")</f>
        <v>Normal</v>
      </c>
      <c r="G994" s="8" t="str">
        <f>IF(OR(C994&lt;outliers!$B$14,C994&gt;outliers!$B$13),"Outlier","Normal")</f>
        <v>Normal</v>
      </c>
      <c r="H994" s="8" t="str">
        <f>IF(OR(D994&lt;outliers!$B$21,D994&gt;outliers!$B$20),"Outlier","Normal")</f>
        <v>Normal</v>
      </c>
      <c r="I994" s="8" t="str">
        <f>IF(OR(E994&lt;outliers!$C$28,E994&gt;outliers!$B$27),"Outlier","Normal")</f>
        <v>Normal</v>
      </c>
      <c r="J994" s="8">
        <f t="shared" si="30"/>
        <v>2021</v>
      </c>
      <c r="K994">
        <f t="shared" si="31"/>
        <v>8</v>
      </c>
    </row>
    <row r="995" spans="1:11" x14ac:dyDescent="0.35">
      <c r="A995" s="13">
        <v>44431</v>
      </c>
      <c r="B995" s="8">
        <v>23.6</v>
      </c>
      <c r="C995" s="8">
        <v>20.5</v>
      </c>
      <c r="D995" s="8">
        <v>27.1</v>
      </c>
      <c r="E995" s="8">
        <v>3</v>
      </c>
      <c r="F995" s="8" t="str">
        <f>IF(OR(B995&lt;outliers!$B$7,B995&gt;outliers!$B$6),"Outlier","Normal")</f>
        <v>Normal</v>
      </c>
      <c r="G995" s="8" t="str">
        <f>IF(OR(C995&lt;outliers!$B$14,C995&gt;outliers!$B$13),"Outlier","Normal")</f>
        <v>Normal</v>
      </c>
      <c r="H995" s="8" t="str">
        <f>IF(OR(D995&lt;outliers!$B$21,D995&gt;outliers!$B$20),"Outlier","Normal")</f>
        <v>Normal</v>
      </c>
      <c r="I995" s="8" t="str">
        <f>IF(OR(E995&lt;outliers!$C$28,E995&gt;outliers!$B$27),"Outlier","Normal")</f>
        <v>Normal</v>
      </c>
      <c r="J995" s="8">
        <f t="shared" si="30"/>
        <v>2021</v>
      </c>
      <c r="K995">
        <f t="shared" si="31"/>
        <v>8</v>
      </c>
    </row>
    <row r="996" spans="1:11" x14ac:dyDescent="0.35">
      <c r="A996" s="13">
        <v>44432</v>
      </c>
      <c r="B996" s="8">
        <v>24.5</v>
      </c>
      <c r="C996" s="8">
        <v>20.3</v>
      </c>
      <c r="D996" s="8">
        <v>29</v>
      </c>
      <c r="E996" s="8">
        <v>3.8</v>
      </c>
      <c r="F996" s="8" t="str">
        <f>IF(OR(B996&lt;outliers!$B$7,B996&gt;outliers!$B$6),"Outlier","Normal")</f>
        <v>Normal</v>
      </c>
      <c r="G996" s="8" t="str">
        <f>IF(OR(C996&lt;outliers!$B$14,C996&gt;outliers!$B$13),"Outlier","Normal")</f>
        <v>Normal</v>
      </c>
      <c r="H996" s="8" t="str">
        <f>IF(OR(D996&lt;outliers!$B$21,D996&gt;outliers!$B$20),"Outlier","Normal")</f>
        <v>Normal</v>
      </c>
      <c r="I996" s="8" t="str">
        <f>IF(OR(E996&lt;outliers!$C$28,E996&gt;outliers!$B$27),"Outlier","Normal")</f>
        <v>Normal</v>
      </c>
      <c r="J996" s="8">
        <f t="shared" si="30"/>
        <v>2021</v>
      </c>
      <c r="K996">
        <f t="shared" si="31"/>
        <v>8</v>
      </c>
    </row>
    <row r="997" spans="1:11" x14ac:dyDescent="0.35">
      <c r="A997" s="13">
        <v>44433</v>
      </c>
      <c r="B997" s="8">
        <v>24.1</v>
      </c>
      <c r="C997" s="8">
        <v>20.7</v>
      </c>
      <c r="D997" s="8">
        <v>29.1</v>
      </c>
      <c r="E997" s="8">
        <v>1</v>
      </c>
      <c r="F997" s="8" t="str">
        <f>IF(OR(B997&lt;outliers!$B$7,B997&gt;outliers!$B$6),"Outlier","Normal")</f>
        <v>Normal</v>
      </c>
      <c r="G997" s="8" t="str">
        <f>IF(OR(C997&lt;outliers!$B$14,C997&gt;outliers!$B$13),"Outlier","Normal")</f>
        <v>Normal</v>
      </c>
      <c r="H997" s="8" t="str">
        <f>IF(OR(D997&lt;outliers!$B$21,D997&gt;outliers!$B$20),"Outlier","Normal")</f>
        <v>Normal</v>
      </c>
      <c r="I997" s="8" t="str">
        <f>IF(OR(E997&lt;outliers!$C$28,E997&gt;outliers!$B$27),"Outlier","Normal")</f>
        <v>Normal</v>
      </c>
      <c r="J997" s="8">
        <f t="shared" si="30"/>
        <v>2021</v>
      </c>
      <c r="K997">
        <f t="shared" si="31"/>
        <v>8</v>
      </c>
    </row>
    <row r="998" spans="1:11" x14ac:dyDescent="0.35">
      <c r="A998" s="13">
        <v>44434</v>
      </c>
      <c r="B998" s="8">
        <v>24.1</v>
      </c>
      <c r="C998" s="8">
        <v>21</v>
      </c>
      <c r="D998" s="8">
        <v>29.6</v>
      </c>
      <c r="E998" s="8">
        <v>0</v>
      </c>
      <c r="F998" s="8" t="str">
        <f>IF(OR(B998&lt;outliers!$B$7,B998&gt;outliers!$B$6),"Outlier","Normal")</f>
        <v>Normal</v>
      </c>
      <c r="G998" s="8" t="str">
        <f>IF(OR(C998&lt;outliers!$B$14,C998&gt;outliers!$B$13),"Outlier","Normal")</f>
        <v>Normal</v>
      </c>
      <c r="H998" s="8" t="str">
        <f>IF(OR(D998&lt;outliers!$B$21,D998&gt;outliers!$B$20),"Outlier","Normal")</f>
        <v>Normal</v>
      </c>
      <c r="I998" s="8" t="str">
        <f>IF(OR(E998&lt;outliers!$C$28,E998&gt;outliers!$B$27),"Outlier","Normal")</f>
        <v>Normal</v>
      </c>
      <c r="J998" s="8">
        <f t="shared" si="30"/>
        <v>2021</v>
      </c>
      <c r="K998">
        <f t="shared" si="31"/>
        <v>8</v>
      </c>
    </row>
    <row r="999" spans="1:11" hidden="1" x14ac:dyDescent="0.35">
      <c r="A999" s="13">
        <v>44435</v>
      </c>
      <c r="B999" s="8">
        <v>22.7</v>
      </c>
      <c r="C999" s="8">
        <v>20.5</v>
      </c>
      <c r="D999" s="8">
        <v>30.4</v>
      </c>
      <c r="E999" s="8">
        <v>24.9</v>
      </c>
      <c r="F999" s="8" t="str">
        <f>IF(OR(B999&lt;outliers!$B$7,B999&gt;outliers!$B$6),"Outlier","Normal")</f>
        <v>Normal</v>
      </c>
      <c r="G999" s="8" t="str">
        <f>IF(OR(C999&lt;outliers!$B$14,C999&gt;outliers!$B$13),"Outlier","Normal")</f>
        <v>Normal</v>
      </c>
      <c r="H999" s="8" t="str">
        <f>IF(OR(D999&lt;outliers!$B$21,D999&gt;outliers!$B$20),"Outlier","Normal")</f>
        <v>Normal</v>
      </c>
      <c r="I999" s="8" t="str">
        <f>IF(OR(E999&lt;outliers!$C$28,E999&gt;outliers!$B$27),"Outlier","Normal")</f>
        <v>Outlier</v>
      </c>
      <c r="J999" s="8">
        <f t="shared" si="30"/>
        <v>2021</v>
      </c>
      <c r="K999">
        <f t="shared" si="31"/>
        <v>8</v>
      </c>
    </row>
    <row r="1000" spans="1:11" hidden="1" x14ac:dyDescent="0.35">
      <c r="A1000" s="13">
        <v>44436</v>
      </c>
      <c r="B1000" s="8">
        <v>22.4</v>
      </c>
      <c r="C1000" s="8">
        <v>20.100000000000001</v>
      </c>
      <c r="D1000" s="8">
        <v>28.4</v>
      </c>
      <c r="E1000" s="8">
        <v>11.7</v>
      </c>
      <c r="F1000" s="8" t="str">
        <f>IF(OR(B1000&lt;outliers!$B$7,B1000&gt;outliers!$B$6),"Outlier","Normal")</f>
        <v>Normal</v>
      </c>
      <c r="G1000" s="8" t="str">
        <f>IF(OR(C1000&lt;outliers!$B$14,C1000&gt;outliers!$B$13),"Outlier","Normal")</f>
        <v>Normal</v>
      </c>
      <c r="H1000" s="8" t="str">
        <f>IF(OR(D1000&lt;outliers!$B$21,D1000&gt;outliers!$B$20),"Outlier","Normal")</f>
        <v>Normal</v>
      </c>
      <c r="I1000" s="8" t="str">
        <f>IF(OR(E1000&lt;outliers!$C$28,E1000&gt;outliers!$B$27),"Outlier","Normal")</f>
        <v>Outlier</v>
      </c>
      <c r="J1000" s="8">
        <f t="shared" si="30"/>
        <v>2021</v>
      </c>
      <c r="K1000">
        <f t="shared" si="31"/>
        <v>8</v>
      </c>
    </row>
    <row r="1001" spans="1:11" x14ac:dyDescent="0.35">
      <c r="A1001" s="13">
        <v>44437</v>
      </c>
      <c r="B1001" s="8">
        <v>21.7</v>
      </c>
      <c r="C1001" s="8">
        <v>19.2</v>
      </c>
      <c r="D1001" s="8">
        <v>25.8</v>
      </c>
      <c r="E1001" s="8">
        <v>4.0999999999999996</v>
      </c>
      <c r="F1001" s="8" t="str">
        <f>IF(OR(B1001&lt;outliers!$B$7,B1001&gt;outliers!$B$6),"Outlier","Normal")</f>
        <v>Normal</v>
      </c>
      <c r="G1001" s="8" t="str">
        <f>IF(OR(C1001&lt;outliers!$B$14,C1001&gt;outliers!$B$13),"Outlier","Normal")</f>
        <v>Normal</v>
      </c>
      <c r="H1001" s="8" t="str">
        <f>IF(OR(D1001&lt;outliers!$B$21,D1001&gt;outliers!$B$20),"Outlier","Normal")</f>
        <v>Normal</v>
      </c>
      <c r="I1001" s="8" t="str">
        <f>IF(OR(E1001&lt;outliers!$C$28,E1001&gt;outliers!$B$27),"Outlier","Normal")</f>
        <v>Normal</v>
      </c>
      <c r="J1001" s="8">
        <f t="shared" si="30"/>
        <v>2021</v>
      </c>
      <c r="K1001">
        <f t="shared" si="31"/>
        <v>8</v>
      </c>
    </row>
    <row r="1002" spans="1:11" x14ac:dyDescent="0.35">
      <c r="A1002" s="13">
        <v>44438</v>
      </c>
      <c r="B1002" s="8">
        <v>22.4</v>
      </c>
      <c r="C1002" s="8">
        <v>19.7</v>
      </c>
      <c r="D1002" s="8">
        <v>26.2</v>
      </c>
      <c r="E1002" s="8">
        <v>3.8</v>
      </c>
      <c r="F1002" s="8" t="str">
        <f>IF(OR(B1002&lt;outliers!$B$7,B1002&gt;outliers!$B$6),"Outlier","Normal")</f>
        <v>Normal</v>
      </c>
      <c r="G1002" s="8" t="str">
        <f>IF(OR(C1002&lt;outliers!$B$14,C1002&gt;outliers!$B$13),"Outlier","Normal")</f>
        <v>Normal</v>
      </c>
      <c r="H1002" s="8" t="str">
        <f>IF(OR(D1002&lt;outliers!$B$21,D1002&gt;outliers!$B$20),"Outlier","Normal")</f>
        <v>Normal</v>
      </c>
      <c r="I1002" s="8" t="str">
        <f>IF(OR(E1002&lt;outliers!$C$28,E1002&gt;outliers!$B$27),"Outlier","Normal")</f>
        <v>Normal</v>
      </c>
      <c r="J1002" s="8">
        <f t="shared" si="30"/>
        <v>2021</v>
      </c>
      <c r="K1002">
        <f t="shared" si="31"/>
        <v>8</v>
      </c>
    </row>
    <row r="1003" spans="1:11" x14ac:dyDescent="0.35">
      <c r="A1003" s="13">
        <v>44439</v>
      </c>
      <c r="B1003" s="8">
        <v>23.9</v>
      </c>
      <c r="C1003" s="8">
        <v>19.7</v>
      </c>
      <c r="D1003" s="8">
        <v>27.6</v>
      </c>
      <c r="E1003" s="8">
        <v>0.5</v>
      </c>
      <c r="F1003" s="8" t="str">
        <f>IF(OR(B1003&lt;outliers!$B$7,B1003&gt;outliers!$B$6),"Outlier","Normal")</f>
        <v>Normal</v>
      </c>
      <c r="G1003" s="8" t="str">
        <f>IF(OR(C1003&lt;outliers!$B$14,C1003&gt;outliers!$B$13),"Outlier","Normal")</f>
        <v>Normal</v>
      </c>
      <c r="H1003" s="8" t="str">
        <f>IF(OR(D1003&lt;outliers!$B$21,D1003&gt;outliers!$B$20),"Outlier","Normal")</f>
        <v>Normal</v>
      </c>
      <c r="I1003" s="8" t="str">
        <f>IF(OR(E1003&lt;outliers!$C$28,E1003&gt;outliers!$B$27),"Outlier","Normal")</f>
        <v>Normal</v>
      </c>
      <c r="J1003" s="8">
        <f t="shared" si="30"/>
        <v>2021</v>
      </c>
      <c r="K1003">
        <f t="shared" si="31"/>
        <v>8</v>
      </c>
    </row>
    <row r="1004" spans="1:11" x14ac:dyDescent="0.35">
      <c r="A1004" s="13">
        <v>44440</v>
      </c>
      <c r="B1004" s="8">
        <v>23.6</v>
      </c>
      <c r="C1004" s="8">
        <v>20.9</v>
      </c>
      <c r="D1004" s="8">
        <v>29.3</v>
      </c>
      <c r="E1004" s="8">
        <v>0</v>
      </c>
      <c r="F1004" s="8" t="str">
        <f>IF(OR(B1004&lt;outliers!$B$7,B1004&gt;outliers!$B$6),"Outlier","Normal")</f>
        <v>Normal</v>
      </c>
      <c r="G1004" s="8" t="str">
        <f>IF(OR(C1004&lt;outliers!$B$14,C1004&gt;outliers!$B$13),"Outlier","Normal")</f>
        <v>Normal</v>
      </c>
      <c r="H1004" s="8" t="str">
        <f>IF(OR(D1004&lt;outliers!$B$21,D1004&gt;outliers!$B$20),"Outlier","Normal")</f>
        <v>Normal</v>
      </c>
      <c r="I1004" s="8" t="str">
        <f>IF(OR(E1004&lt;outliers!$C$28,E1004&gt;outliers!$B$27),"Outlier","Normal")</f>
        <v>Normal</v>
      </c>
      <c r="J1004" s="8">
        <f t="shared" si="30"/>
        <v>2021</v>
      </c>
      <c r="K1004">
        <f t="shared" si="31"/>
        <v>9</v>
      </c>
    </row>
    <row r="1005" spans="1:11" x14ac:dyDescent="0.35">
      <c r="A1005" s="13">
        <v>44441</v>
      </c>
      <c r="B1005" s="8">
        <v>22.6</v>
      </c>
      <c r="C1005" s="8">
        <v>19.5</v>
      </c>
      <c r="D1005" s="8">
        <v>29.4</v>
      </c>
      <c r="E1005" s="8">
        <v>2.8</v>
      </c>
      <c r="F1005" s="8" t="str">
        <f>IF(OR(B1005&lt;outliers!$B$7,B1005&gt;outliers!$B$6),"Outlier","Normal")</f>
        <v>Normal</v>
      </c>
      <c r="G1005" s="8" t="str">
        <f>IF(OR(C1005&lt;outliers!$B$14,C1005&gt;outliers!$B$13),"Outlier","Normal")</f>
        <v>Normal</v>
      </c>
      <c r="H1005" s="8" t="str">
        <f>IF(OR(D1005&lt;outliers!$B$21,D1005&gt;outliers!$B$20),"Outlier","Normal")</f>
        <v>Normal</v>
      </c>
      <c r="I1005" s="8" t="str">
        <f>IF(OR(E1005&lt;outliers!$C$28,E1005&gt;outliers!$B$27),"Outlier","Normal")</f>
        <v>Normal</v>
      </c>
      <c r="J1005" s="8">
        <f t="shared" si="30"/>
        <v>2021</v>
      </c>
      <c r="K1005">
        <f t="shared" si="31"/>
        <v>9</v>
      </c>
    </row>
    <row r="1006" spans="1:11" hidden="1" x14ac:dyDescent="0.35">
      <c r="A1006" s="13">
        <v>44442</v>
      </c>
      <c r="B1006" s="8">
        <v>22.5</v>
      </c>
      <c r="C1006" s="8">
        <v>19.5</v>
      </c>
      <c r="D1006" s="8">
        <v>26.7</v>
      </c>
      <c r="E1006" s="8">
        <v>44.7</v>
      </c>
      <c r="F1006" s="8" t="str">
        <f>IF(OR(B1006&lt;outliers!$B$7,B1006&gt;outliers!$B$6),"Outlier","Normal")</f>
        <v>Normal</v>
      </c>
      <c r="G1006" s="8" t="str">
        <f>IF(OR(C1006&lt;outliers!$B$14,C1006&gt;outliers!$B$13),"Outlier","Normal")</f>
        <v>Normal</v>
      </c>
      <c r="H1006" s="8" t="str">
        <f>IF(OR(D1006&lt;outliers!$B$21,D1006&gt;outliers!$B$20),"Outlier","Normal")</f>
        <v>Normal</v>
      </c>
      <c r="I1006" s="8" t="str">
        <f>IF(OR(E1006&lt;outliers!$C$28,E1006&gt;outliers!$B$27),"Outlier","Normal")</f>
        <v>Outlier</v>
      </c>
      <c r="J1006" s="8">
        <f t="shared" si="30"/>
        <v>2021</v>
      </c>
      <c r="K1006">
        <f t="shared" si="31"/>
        <v>9</v>
      </c>
    </row>
    <row r="1007" spans="1:11" x14ac:dyDescent="0.35">
      <c r="A1007" s="13">
        <v>44443</v>
      </c>
      <c r="B1007" s="8">
        <v>22.3</v>
      </c>
      <c r="C1007" s="8">
        <v>20.399999999999999</v>
      </c>
      <c r="D1007" s="8">
        <v>26.2</v>
      </c>
      <c r="E1007" s="8">
        <v>0</v>
      </c>
      <c r="F1007" s="8" t="str">
        <f>IF(OR(B1007&lt;outliers!$B$7,B1007&gt;outliers!$B$6),"Outlier","Normal")</f>
        <v>Normal</v>
      </c>
      <c r="G1007" s="8" t="str">
        <f>IF(OR(C1007&lt;outliers!$B$14,C1007&gt;outliers!$B$13),"Outlier","Normal")</f>
        <v>Normal</v>
      </c>
      <c r="H1007" s="8" t="str">
        <f>IF(OR(D1007&lt;outliers!$B$21,D1007&gt;outliers!$B$20),"Outlier","Normal")</f>
        <v>Normal</v>
      </c>
      <c r="I1007" s="8" t="str">
        <f>IF(OR(E1007&lt;outliers!$C$28,E1007&gt;outliers!$B$27),"Outlier","Normal")</f>
        <v>Normal</v>
      </c>
      <c r="J1007" s="8">
        <f t="shared" si="30"/>
        <v>2021</v>
      </c>
      <c r="K1007">
        <f t="shared" si="31"/>
        <v>9</v>
      </c>
    </row>
    <row r="1008" spans="1:11" x14ac:dyDescent="0.35">
      <c r="A1008" s="13">
        <v>44444</v>
      </c>
      <c r="B1008" s="8">
        <v>22.1</v>
      </c>
      <c r="C1008" s="8">
        <v>20.2</v>
      </c>
      <c r="D1008" s="8">
        <v>26.6</v>
      </c>
      <c r="E1008" s="8">
        <v>1</v>
      </c>
      <c r="F1008" s="8" t="str">
        <f>IF(OR(B1008&lt;outliers!$B$7,B1008&gt;outliers!$B$6),"Outlier","Normal")</f>
        <v>Normal</v>
      </c>
      <c r="G1008" s="8" t="str">
        <f>IF(OR(C1008&lt;outliers!$B$14,C1008&gt;outliers!$B$13),"Outlier","Normal")</f>
        <v>Normal</v>
      </c>
      <c r="H1008" s="8" t="str">
        <f>IF(OR(D1008&lt;outliers!$B$21,D1008&gt;outliers!$B$20),"Outlier","Normal")</f>
        <v>Normal</v>
      </c>
      <c r="I1008" s="8" t="str">
        <f>IF(OR(E1008&lt;outliers!$C$28,E1008&gt;outliers!$B$27),"Outlier","Normal")</f>
        <v>Normal</v>
      </c>
      <c r="J1008" s="8">
        <f t="shared" si="30"/>
        <v>2021</v>
      </c>
      <c r="K1008">
        <f t="shared" si="31"/>
        <v>9</v>
      </c>
    </row>
    <row r="1009" spans="1:11" x14ac:dyDescent="0.35">
      <c r="A1009" s="13">
        <v>44445</v>
      </c>
      <c r="B1009" s="8">
        <v>22.6</v>
      </c>
      <c r="C1009" s="8">
        <v>20.2</v>
      </c>
      <c r="D1009" s="8">
        <v>27.2</v>
      </c>
      <c r="E1009" s="8">
        <v>7.9</v>
      </c>
      <c r="F1009" s="8" t="str">
        <f>IF(OR(B1009&lt;outliers!$B$7,B1009&gt;outliers!$B$6),"Outlier","Normal")</f>
        <v>Normal</v>
      </c>
      <c r="G1009" s="8" t="str">
        <f>IF(OR(C1009&lt;outliers!$B$14,C1009&gt;outliers!$B$13),"Outlier","Normal")</f>
        <v>Normal</v>
      </c>
      <c r="H1009" s="8" t="str">
        <f>IF(OR(D1009&lt;outliers!$B$21,D1009&gt;outliers!$B$20),"Outlier","Normal")</f>
        <v>Normal</v>
      </c>
      <c r="I1009" s="8" t="str">
        <f>IF(OR(E1009&lt;outliers!$C$28,E1009&gt;outliers!$B$27),"Outlier","Normal")</f>
        <v>Normal</v>
      </c>
      <c r="J1009" s="8">
        <f t="shared" si="30"/>
        <v>2021</v>
      </c>
      <c r="K1009">
        <f t="shared" si="31"/>
        <v>9</v>
      </c>
    </row>
    <row r="1010" spans="1:11" x14ac:dyDescent="0.35">
      <c r="A1010" s="13">
        <v>44446</v>
      </c>
      <c r="B1010" s="8">
        <v>22.2</v>
      </c>
      <c r="C1010" s="8">
        <v>20</v>
      </c>
      <c r="D1010" s="8">
        <v>27</v>
      </c>
      <c r="E1010" s="8">
        <v>2</v>
      </c>
      <c r="F1010" s="8" t="str">
        <f>IF(OR(B1010&lt;outliers!$B$7,B1010&gt;outliers!$B$6),"Outlier","Normal")</f>
        <v>Normal</v>
      </c>
      <c r="G1010" s="8" t="str">
        <f>IF(OR(C1010&lt;outliers!$B$14,C1010&gt;outliers!$B$13),"Outlier","Normal")</f>
        <v>Normal</v>
      </c>
      <c r="H1010" s="8" t="str">
        <f>IF(OR(D1010&lt;outliers!$B$21,D1010&gt;outliers!$B$20),"Outlier","Normal")</f>
        <v>Normal</v>
      </c>
      <c r="I1010" s="8" t="str">
        <f>IF(OR(E1010&lt;outliers!$C$28,E1010&gt;outliers!$B$27),"Outlier","Normal")</f>
        <v>Normal</v>
      </c>
      <c r="J1010" s="8">
        <f t="shared" si="30"/>
        <v>2021</v>
      </c>
      <c r="K1010">
        <f t="shared" si="31"/>
        <v>9</v>
      </c>
    </row>
    <row r="1011" spans="1:11" x14ac:dyDescent="0.35">
      <c r="A1011" s="13">
        <v>44447</v>
      </c>
      <c r="B1011" s="8">
        <v>23.1</v>
      </c>
      <c r="C1011" s="8">
        <v>20.5</v>
      </c>
      <c r="D1011" s="8">
        <v>27</v>
      </c>
      <c r="E1011" s="8">
        <v>0.5</v>
      </c>
      <c r="F1011" s="8" t="str">
        <f>IF(OR(B1011&lt;outliers!$B$7,B1011&gt;outliers!$B$6),"Outlier","Normal")</f>
        <v>Normal</v>
      </c>
      <c r="G1011" s="8" t="str">
        <f>IF(OR(C1011&lt;outliers!$B$14,C1011&gt;outliers!$B$13),"Outlier","Normal")</f>
        <v>Normal</v>
      </c>
      <c r="H1011" s="8" t="str">
        <f>IF(OR(D1011&lt;outliers!$B$21,D1011&gt;outliers!$B$20),"Outlier","Normal")</f>
        <v>Normal</v>
      </c>
      <c r="I1011" s="8" t="str">
        <f>IF(OR(E1011&lt;outliers!$C$28,E1011&gt;outliers!$B$27),"Outlier","Normal")</f>
        <v>Normal</v>
      </c>
      <c r="J1011" s="8">
        <f t="shared" si="30"/>
        <v>2021</v>
      </c>
      <c r="K1011">
        <f t="shared" si="31"/>
        <v>9</v>
      </c>
    </row>
    <row r="1012" spans="1:11" x14ac:dyDescent="0.35">
      <c r="A1012" s="13">
        <v>44448</v>
      </c>
      <c r="B1012" s="8">
        <v>24</v>
      </c>
      <c r="C1012" s="8">
        <v>20</v>
      </c>
      <c r="D1012" s="8">
        <v>27.8</v>
      </c>
      <c r="E1012" s="8">
        <v>0.5</v>
      </c>
      <c r="F1012" s="8" t="str">
        <f>IF(OR(B1012&lt;outliers!$B$7,B1012&gt;outliers!$B$6),"Outlier","Normal")</f>
        <v>Normal</v>
      </c>
      <c r="G1012" s="8" t="str">
        <f>IF(OR(C1012&lt;outliers!$B$14,C1012&gt;outliers!$B$13),"Outlier","Normal")</f>
        <v>Normal</v>
      </c>
      <c r="H1012" s="8" t="str">
        <f>IF(OR(D1012&lt;outliers!$B$21,D1012&gt;outliers!$B$20),"Outlier","Normal")</f>
        <v>Normal</v>
      </c>
      <c r="I1012" s="8" t="str">
        <f>IF(OR(E1012&lt;outliers!$C$28,E1012&gt;outliers!$B$27),"Outlier","Normal")</f>
        <v>Normal</v>
      </c>
      <c r="J1012" s="8">
        <f t="shared" si="30"/>
        <v>2021</v>
      </c>
      <c r="K1012">
        <f t="shared" si="31"/>
        <v>9</v>
      </c>
    </row>
    <row r="1013" spans="1:11" x14ac:dyDescent="0.35">
      <c r="A1013" s="13">
        <v>44449</v>
      </c>
      <c r="B1013" s="8">
        <v>24.1</v>
      </c>
      <c r="C1013" s="8">
        <v>20.2</v>
      </c>
      <c r="D1013" s="8">
        <v>29.1</v>
      </c>
      <c r="E1013" s="8">
        <v>0</v>
      </c>
      <c r="F1013" s="8" t="str">
        <f>IF(OR(B1013&lt;outliers!$B$7,B1013&gt;outliers!$B$6),"Outlier","Normal")</f>
        <v>Normal</v>
      </c>
      <c r="G1013" s="8" t="str">
        <f>IF(OR(C1013&lt;outliers!$B$14,C1013&gt;outliers!$B$13),"Outlier","Normal")</f>
        <v>Normal</v>
      </c>
      <c r="H1013" s="8" t="str">
        <f>IF(OR(D1013&lt;outliers!$B$21,D1013&gt;outliers!$B$20),"Outlier","Normal")</f>
        <v>Normal</v>
      </c>
      <c r="I1013" s="8" t="str">
        <f>IF(OR(E1013&lt;outliers!$C$28,E1013&gt;outliers!$B$27),"Outlier","Normal")</f>
        <v>Normal</v>
      </c>
      <c r="J1013" s="8">
        <f t="shared" si="30"/>
        <v>2021</v>
      </c>
      <c r="K1013">
        <f t="shared" si="31"/>
        <v>9</v>
      </c>
    </row>
    <row r="1014" spans="1:11" x14ac:dyDescent="0.35">
      <c r="A1014" s="13">
        <v>44450</v>
      </c>
      <c r="B1014" s="8">
        <v>22.8</v>
      </c>
      <c r="C1014" s="8">
        <v>19.399999999999999</v>
      </c>
      <c r="D1014" s="8">
        <v>28</v>
      </c>
      <c r="E1014" s="8">
        <v>1.3</v>
      </c>
      <c r="F1014" s="8" t="str">
        <f>IF(OR(B1014&lt;outliers!$B$7,B1014&gt;outliers!$B$6),"Outlier","Normal")</f>
        <v>Normal</v>
      </c>
      <c r="G1014" s="8" t="str">
        <f>IF(OR(C1014&lt;outliers!$B$14,C1014&gt;outliers!$B$13),"Outlier","Normal")</f>
        <v>Normal</v>
      </c>
      <c r="H1014" s="8" t="str">
        <f>IF(OR(D1014&lt;outliers!$B$21,D1014&gt;outliers!$B$20),"Outlier","Normal")</f>
        <v>Normal</v>
      </c>
      <c r="I1014" s="8" t="str">
        <f>IF(OR(E1014&lt;outliers!$C$28,E1014&gt;outliers!$B$27),"Outlier","Normal")</f>
        <v>Normal</v>
      </c>
      <c r="J1014" s="8">
        <f t="shared" si="30"/>
        <v>2021</v>
      </c>
      <c r="K1014">
        <f t="shared" si="31"/>
        <v>9</v>
      </c>
    </row>
    <row r="1015" spans="1:11" x14ac:dyDescent="0.35">
      <c r="A1015" s="13">
        <v>44451</v>
      </c>
      <c r="B1015" s="8">
        <v>23.6</v>
      </c>
      <c r="C1015" s="8">
        <v>20.7</v>
      </c>
      <c r="D1015" s="8">
        <v>28.5</v>
      </c>
      <c r="E1015" s="8">
        <v>0</v>
      </c>
      <c r="F1015" s="8" t="str">
        <f>IF(OR(B1015&lt;outliers!$B$7,B1015&gt;outliers!$B$6),"Outlier","Normal")</f>
        <v>Normal</v>
      </c>
      <c r="G1015" s="8" t="str">
        <f>IF(OR(C1015&lt;outliers!$B$14,C1015&gt;outliers!$B$13),"Outlier","Normal")</f>
        <v>Normal</v>
      </c>
      <c r="H1015" s="8" t="str">
        <f>IF(OR(D1015&lt;outliers!$B$21,D1015&gt;outliers!$B$20),"Outlier","Normal")</f>
        <v>Normal</v>
      </c>
      <c r="I1015" s="8" t="str">
        <f>IF(OR(E1015&lt;outliers!$C$28,E1015&gt;outliers!$B$27),"Outlier","Normal")</f>
        <v>Normal</v>
      </c>
      <c r="J1015" s="8">
        <f t="shared" si="30"/>
        <v>2021</v>
      </c>
      <c r="K1015">
        <f t="shared" si="31"/>
        <v>9</v>
      </c>
    </row>
    <row r="1016" spans="1:11" x14ac:dyDescent="0.35">
      <c r="A1016" s="13">
        <v>44452</v>
      </c>
      <c r="B1016" s="8">
        <v>23.7</v>
      </c>
      <c r="C1016" s="8">
        <v>20.9</v>
      </c>
      <c r="D1016" s="8">
        <v>28</v>
      </c>
      <c r="E1016" s="8">
        <v>0</v>
      </c>
      <c r="F1016" s="8" t="str">
        <f>IF(OR(B1016&lt;outliers!$B$7,B1016&gt;outliers!$B$6),"Outlier","Normal")</f>
        <v>Normal</v>
      </c>
      <c r="G1016" s="8" t="str">
        <f>IF(OR(C1016&lt;outliers!$B$14,C1016&gt;outliers!$B$13),"Outlier","Normal")</f>
        <v>Normal</v>
      </c>
      <c r="H1016" s="8" t="str">
        <f>IF(OR(D1016&lt;outliers!$B$21,D1016&gt;outliers!$B$20),"Outlier","Normal")</f>
        <v>Normal</v>
      </c>
      <c r="I1016" s="8" t="str">
        <f>IF(OR(E1016&lt;outliers!$C$28,E1016&gt;outliers!$B$27),"Outlier","Normal")</f>
        <v>Normal</v>
      </c>
      <c r="J1016" s="8">
        <f t="shared" si="30"/>
        <v>2021</v>
      </c>
      <c r="K1016">
        <f t="shared" si="31"/>
        <v>9</v>
      </c>
    </row>
    <row r="1017" spans="1:11" x14ac:dyDescent="0.35">
      <c r="A1017" s="13">
        <v>44453</v>
      </c>
      <c r="B1017" s="8">
        <v>24.1</v>
      </c>
      <c r="C1017" s="8">
        <v>19.899999999999999</v>
      </c>
      <c r="D1017" s="8">
        <v>28.2</v>
      </c>
      <c r="E1017" s="8">
        <v>0</v>
      </c>
      <c r="F1017" s="8" t="str">
        <f>IF(OR(B1017&lt;outliers!$B$7,B1017&gt;outliers!$B$6),"Outlier","Normal")</f>
        <v>Normal</v>
      </c>
      <c r="G1017" s="8" t="str">
        <f>IF(OR(C1017&lt;outliers!$B$14,C1017&gt;outliers!$B$13),"Outlier","Normal")</f>
        <v>Normal</v>
      </c>
      <c r="H1017" s="8" t="str">
        <f>IF(OR(D1017&lt;outliers!$B$21,D1017&gt;outliers!$B$20),"Outlier","Normal")</f>
        <v>Normal</v>
      </c>
      <c r="I1017" s="8" t="str">
        <f>IF(OR(E1017&lt;outliers!$C$28,E1017&gt;outliers!$B$27),"Outlier","Normal")</f>
        <v>Normal</v>
      </c>
      <c r="J1017" s="8">
        <f t="shared" si="30"/>
        <v>2021</v>
      </c>
      <c r="K1017">
        <f t="shared" si="31"/>
        <v>9</v>
      </c>
    </row>
    <row r="1018" spans="1:11" x14ac:dyDescent="0.35">
      <c r="A1018" s="13">
        <v>44454</v>
      </c>
      <c r="B1018" s="8">
        <v>23.2</v>
      </c>
      <c r="C1018" s="8">
        <v>19.2</v>
      </c>
      <c r="D1018" s="8">
        <v>27.7</v>
      </c>
      <c r="E1018" s="8">
        <v>1.4</v>
      </c>
      <c r="F1018" s="8" t="str">
        <f>IF(OR(B1018&lt;outliers!$B$7,B1018&gt;outliers!$B$6),"Outlier","Normal")</f>
        <v>Normal</v>
      </c>
      <c r="G1018" s="8" t="str">
        <f>IF(OR(C1018&lt;outliers!$B$14,C1018&gt;outliers!$B$13),"Outlier","Normal")</f>
        <v>Normal</v>
      </c>
      <c r="H1018" s="8" t="str">
        <f>IF(OR(D1018&lt;outliers!$B$21,D1018&gt;outliers!$B$20),"Outlier","Normal")</f>
        <v>Normal</v>
      </c>
      <c r="I1018" s="8" t="str">
        <f>IF(OR(E1018&lt;outliers!$C$28,E1018&gt;outliers!$B$27),"Outlier","Normal")</f>
        <v>Normal</v>
      </c>
      <c r="J1018" s="8">
        <f t="shared" si="30"/>
        <v>2021</v>
      </c>
      <c r="K1018">
        <f t="shared" si="31"/>
        <v>9</v>
      </c>
    </row>
    <row r="1019" spans="1:11" x14ac:dyDescent="0.35">
      <c r="A1019" s="13">
        <v>44455</v>
      </c>
      <c r="B1019" s="8">
        <v>23.7</v>
      </c>
      <c r="C1019" s="8">
        <v>19</v>
      </c>
      <c r="D1019" s="8">
        <v>29</v>
      </c>
      <c r="E1019" s="8">
        <v>0.3</v>
      </c>
      <c r="F1019" s="8" t="str">
        <f>IF(OR(B1019&lt;outliers!$B$7,B1019&gt;outliers!$B$6),"Outlier","Normal")</f>
        <v>Normal</v>
      </c>
      <c r="G1019" s="8" t="str">
        <f>IF(OR(C1019&lt;outliers!$B$14,C1019&gt;outliers!$B$13),"Outlier","Normal")</f>
        <v>Normal</v>
      </c>
      <c r="H1019" s="8" t="str">
        <f>IF(OR(D1019&lt;outliers!$B$21,D1019&gt;outliers!$B$20),"Outlier","Normal")</f>
        <v>Normal</v>
      </c>
      <c r="I1019" s="8" t="str">
        <f>IF(OR(E1019&lt;outliers!$C$28,E1019&gt;outliers!$B$27),"Outlier","Normal")</f>
        <v>Normal</v>
      </c>
      <c r="J1019" s="8">
        <f t="shared" si="30"/>
        <v>2021</v>
      </c>
      <c r="K1019">
        <f t="shared" si="31"/>
        <v>9</v>
      </c>
    </row>
    <row r="1020" spans="1:11" x14ac:dyDescent="0.35">
      <c r="A1020" s="13">
        <v>44456</v>
      </c>
      <c r="B1020" s="8">
        <v>24</v>
      </c>
      <c r="C1020" s="8">
        <v>19.3</v>
      </c>
      <c r="D1020" s="8">
        <v>30</v>
      </c>
      <c r="E1020" s="8">
        <v>0.4</v>
      </c>
      <c r="F1020" s="8" t="str">
        <f>IF(OR(B1020&lt;outliers!$B$7,B1020&gt;outliers!$B$6),"Outlier","Normal")</f>
        <v>Normal</v>
      </c>
      <c r="G1020" s="8" t="str">
        <f>IF(OR(C1020&lt;outliers!$B$14,C1020&gt;outliers!$B$13),"Outlier","Normal")</f>
        <v>Normal</v>
      </c>
      <c r="H1020" s="8" t="str">
        <f>IF(OR(D1020&lt;outliers!$B$21,D1020&gt;outliers!$B$20),"Outlier","Normal")</f>
        <v>Normal</v>
      </c>
      <c r="I1020" s="8" t="str">
        <f>IF(OR(E1020&lt;outliers!$C$28,E1020&gt;outliers!$B$27),"Outlier","Normal")</f>
        <v>Normal</v>
      </c>
      <c r="J1020" s="8">
        <f t="shared" si="30"/>
        <v>2021</v>
      </c>
      <c r="K1020">
        <f t="shared" si="31"/>
        <v>9</v>
      </c>
    </row>
    <row r="1021" spans="1:11" x14ac:dyDescent="0.35">
      <c r="A1021" s="13">
        <v>44457</v>
      </c>
      <c r="B1021" s="8">
        <v>24.3</v>
      </c>
      <c r="C1021" s="8">
        <v>18.8</v>
      </c>
      <c r="D1021" s="8">
        <v>30.4</v>
      </c>
      <c r="E1021" s="8">
        <v>0.1</v>
      </c>
      <c r="F1021" s="8" t="str">
        <f>IF(OR(B1021&lt;outliers!$B$7,B1021&gt;outliers!$B$6),"Outlier","Normal")</f>
        <v>Normal</v>
      </c>
      <c r="G1021" s="8" t="str">
        <f>IF(OR(C1021&lt;outliers!$B$14,C1021&gt;outliers!$B$13),"Outlier","Normal")</f>
        <v>Normal</v>
      </c>
      <c r="H1021" s="8" t="str">
        <f>IF(OR(D1021&lt;outliers!$B$21,D1021&gt;outliers!$B$20),"Outlier","Normal")</f>
        <v>Normal</v>
      </c>
      <c r="I1021" s="8" t="str">
        <f>IF(OR(E1021&lt;outliers!$C$28,E1021&gt;outliers!$B$27),"Outlier","Normal")</f>
        <v>Normal</v>
      </c>
      <c r="J1021" s="8">
        <f t="shared" si="30"/>
        <v>2021</v>
      </c>
      <c r="K1021">
        <f t="shared" si="31"/>
        <v>9</v>
      </c>
    </row>
    <row r="1022" spans="1:11" x14ac:dyDescent="0.35">
      <c r="A1022" s="13">
        <v>44458</v>
      </c>
      <c r="B1022" s="8">
        <v>24.4</v>
      </c>
      <c r="C1022" s="8">
        <v>19.5</v>
      </c>
      <c r="D1022" s="8">
        <v>30</v>
      </c>
      <c r="E1022" s="8">
        <v>3.8</v>
      </c>
      <c r="F1022" s="8" t="str">
        <f>IF(OR(B1022&lt;outliers!$B$7,B1022&gt;outliers!$B$6),"Outlier","Normal")</f>
        <v>Normal</v>
      </c>
      <c r="G1022" s="8" t="str">
        <f>IF(OR(C1022&lt;outliers!$B$14,C1022&gt;outliers!$B$13),"Outlier","Normal")</f>
        <v>Normal</v>
      </c>
      <c r="H1022" s="8" t="str">
        <f>IF(OR(D1022&lt;outliers!$B$21,D1022&gt;outliers!$B$20),"Outlier","Normal")</f>
        <v>Normal</v>
      </c>
      <c r="I1022" s="8" t="str">
        <f>IF(OR(E1022&lt;outliers!$C$28,E1022&gt;outliers!$B$27),"Outlier","Normal")</f>
        <v>Normal</v>
      </c>
      <c r="J1022" s="8">
        <f t="shared" si="30"/>
        <v>2021</v>
      </c>
      <c r="K1022">
        <f t="shared" si="31"/>
        <v>9</v>
      </c>
    </row>
    <row r="1023" spans="1:11" hidden="1" x14ac:dyDescent="0.35">
      <c r="A1023" s="13">
        <v>44459</v>
      </c>
      <c r="B1023" s="8">
        <v>22.4</v>
      </c>
      <c r="C1023" s="8">
        <v>19.8</v>
      </c>
      <c r="D1023" s="8">
        <v>31.3</v>
      </c>
      <c r="E1023" s="8">
        <v>26.2</v>
      </c>
      <c r="F1023" s="8" t="str">
        <f>IF(OR(B1023&lt;outliers!$B$7,B1023&gt;outliers!$B$6),"Outlier","Normal")</f>
        <v>Normal</v>
      </c>
      <c r="G1023" s="8" t="str">
        <f>IF(OR(C1023&lt;outliers!$B$14,C1023&gt;outliers!$B$13),"Outlier","Normal")</f>
        <v>Normal</v>
      </c>
      <c r="H1023" s="8" t="str">
        <f>IF(OR(D1023&lt;outliers!$B$21,D1023&gt;outliers!$B$20),"Outlier","Normal")</f>
        <v>Normal</v>
      </c>
      <c r="I1023" s="8" t="str">
        <f>IF(OR(E1023&lt;outliers!$C$28,E1023&gt;outliers!$B$27),"Outlier","Normal")</f>
        <v>Outlier</v>
      </c>
      <c r="J1023" s="8">
        <f t="shared" si="30"/>
        <v>2021</v>
      </c>
      <c r="K1023">
        <f t="shared" si="31"/>
        <v>9</v>
      </c>
    </row>
    <row r="1024" spans="1:11" hidden="1" x14ac:dyDescent="0.35">
      <c r="A1024" s="13">
        <v>44460</v>
      </c>
      <c r="B1024" s="8">
        <v>23.5</v>
      </c>
      <c r="C1024" s="8">
        <v>20.3</v>
      </c>
      <c r="D1024" s="8">
        <v>29</v>
      </c>
      <c r="E1024" s="8">
        <v>53.3</v>
      </c>
      <c r="F1024" s="8" t="str">
        <f>IF(OR(B1024&lt;outliers!$B$7,B1024&gt;outliers!$B$6),"Outlier","Normal")</f>
        <v>Normal</v>
      </c>
      <c r="G1024" s="8" t="str">
        <f>IF(OR(C1024&lt;outliers!$B$14,C1024&gt;outliers!$B$13),"Outlier","Normal")</f>
        <v>Normal</v>
      </c>
      <c r="H1024" s="8" t="str">
        <f>IF(OR(D1024&lt;outliers!$B$21,D1024&gt;outliers!$B$20),"Outlier","Normal")</f>
        <v>Normal</v>
      </c>
      <c r="I1024" s="8" t="str">
        <f>IF(OR(E1024&lt;outliers!$C$28,E1024&gt;outliers!$B$27),"Outlier","Normal")</f>
        <v>Outlier</v>
      </c>
      <c r="J1024" s="8">
        <f t="shared" si="30"/>
        <v>2021</v>
      </c>
      <c r="K1024">
        <f t="shared" si="31"/>
        <v>9</v>
      </c>
    </row>
    <row r="1025" spans="1:11" hidden="1" x14ac:dyDescent="0.35">
      <c r="A1025" s="13">
        <v>44461</v>
      </c>
      <c r="B1025" s="8">
        <v>23.9</v>
      </c>
      <c r="C1025" s="8">
        <v>20.6</v>
      </c>
      <c r="D1025" s="8">
        <v>29.7</v>
      </c>
      <c r="E1025" s="8">
        <v>11.2</v>
      </c>
      <c r="F1025" s="8" t="str">
        <f>IF(OR(B1025&lt;outliers!$B$7,B1025&gt;outliers!$B$6),"Outlier","Normal")</f>
        <v>Normal</v>
      </c>
      <c r="G1025" s="8" t="str">
        <f>IF(OR(C1025&lt;outliers!$B$14,C1025&gt;outliers!$B$13),"Outlier","Normal")</f>
        <v>Normal</v>
      </c>
      <c r="H1025" s="8" t="str">
        <f>IF(OR(D1025&lt;outliers!$B$21,D1025&gt;outliers!$B$20),"Outlier","Normal")</f>
        <v>Normal</v>
      </c>
      <c r="I1025" s="8" t="str">
        <f>IF(OR(E1025&lt;outliers!$C$28,E1025&gt;outliers!$B$27),"Outlier","Normal")</f>
        <v>Outlier</v>
      </c>
      <c r="J1025" s="8">
        <f t="shared" si="30"/>
        <v>2021</v>
      </c>
      <c r="K1025">
        <f t="shared" si="31"/>
        <v>9</v>
      </c>
    </row>
    <row r="1026" spans="1:11" x14ac:dyDescent="0.35">
      <c r="A1026" s="13">
        <v>44462</v>
      </c>
      <c r="B1026" s="8">
        <v>23.8</v>
      </c>
      <c r="C1026" s="8">
        <v>20.6</v>
      </c>
      <c r="D1026" s="8">
        <v>28</v>
      </c>
      <c r="E1026" s="8">
        <v>0</v>
      </c>
      <c r="F1026" s="8" t="str">
        <f>IF(OR(B1026&lt;outliers!$B$7,B1026&gt;outliers!$B$6),"Outlier","Normal")</f>
        <v>Normal</v>
      </c>
      <c r="G1026" s="8" t="str">
        <f>IF(OR(C1026&lt;outliers!$B$14,C1026&gt;outliers!$B$13),"Outlier","Normal")</f>
        <v>Normal</v>
      </c>
      <c r="H1026" s="8" t="str">
        <f>IF(OR(D1026&lt;outliers!$B$21,D1026&gt;outliers!$B$20),"Outlier","Normal")</f>
        <v>Normal</v>
      </c>
      <c r="I1026" s="8" t="str">
        <f>IF(OR(E1026&lt;outliers!$C$28,E1026&gt;outliers!$B$27),"Outlier","Normal")</f>
        <v>Normal</v>
      </c>
      <c r="J1026" s="8">
        <f t="shared" si="30"/>
        <v>2021</v>
      </c>
      <c r="K1026">
        <f t="shared" si="31"/>
        <v>9</v>
      </c>
    </row>
    <row r="1027" spans="1:11" x14ac:dyDescent="0.35">
      <c r="A1027" s="13">
        <v>44463</v>
      </c>
      <c r="B1027" s="8">
        <v>24</v>
      </c>
      <c r="C1027" s="8">
        <v>20.7</v>
      </c>
      <c r="D1027" s="8">
        <v>28.2</v>
      </c>
      <c r="E1027" s="8">
        <v>0.3</v>
      </c>
      <c r="F1027" s="8" t="str">
        <f>IF(OR(B1027&lt;outliers!$B$7,B1027&gt;outliers!$B$6),"Outlier","Normal")</f>
        <v>Normal</v>
      </c>
      <c r="G1027" s="8" t="str">
        <f>IF(OR(C1027&lt;outliers!$B$14,C1027&gt;outliers!$B$13),"Outlier","Normal")</f>
        <v>Normal</v>
      </c>
      <c r="H1027" s="8" t="str">
        <f>IF(OR(D1027&lt;outliers!$B$21,D1027&gt;outliers!$B$20),"Outlier","Normal")</f>
        <v>Normal</v>
      </c>
      <c r="I1027" s="8" t="str">
        <f>IF(OR(E1027&lt;outliers!$C$28,E1027&gt;outliers!$B$27),"Outlier","Normal")</f>
        <v>Normal</v>
      </c>
      <c r="J1027" s="8">
        <f t="shared" si="30"/>
        <v>2021</v>
      </c>
      <c r="K1027">
        <f t="shared" si="31"/>
        <v>9</v>
      </c>
    </row>
    <row r="1028" spans="1:11" x14ac:dyDescent="0.35">
      <c r="A1028" s="13">
        <v>44464</v>
      </c>
      <c r="B1028" s="8">
        <v>24.2</v>
      </c>
      <c r="C1028" s="8">
        <v>20.8</v>
      </c>
      <c r="D1028" s="8">
        <v>28.8</v>
      </c>
      <c r="E1028" s="8">
        <v>0.5</v>
      </c>
      <c r="F1028" s="8" t="str">
        <f>IF(OR(B1028&lt;outliers!$B$7,B1028&gt;outliers!$B$6),"Outlier","Normal")</f>
        <v>Normal</v>
      </c>
      <c r="G1028" s="8" t="str">
        <f>IF(OR(C1028&lt;outliers!$B$14,C1028&gt;outliers!$B$13),"Outlier","Normal")</f>
        <v>Normal</v>
      </c>
      <c r="H1028" s="8" t="str">
        <f>IF(OR(D1028&lt;outliers!$B$21,D1028&gt;outliers!$B$20),"Outlier","Normal")</f>
        <v>Normal</v>
      </c>
      <c r="I1028" s="8" t="str">
        <f>IF(OR(E1028&lt;outliers!$C$28,E1028&gt;outliers!$B$27),"Outlier","Normal")</f>
        <v>Normal</v>
      </c>
      <c r="J1028" s="8">
        <f t="shared" ref="J1028:J1091" si="32">YEAR(A1028)</f>
        <v>2021</v>
      </c>
      <c r="K1028">
        <f t="shared" ref="K1028:K1091" si="33">MONTH(A1028)</f>
        <v>9</v>
      </c>
    </row>
    <row r="1029" spans="1:11" hidden="1" x14ac:dyDescent="0.35">
      <c r="A1029" s="13">
        <v>44465</v>
      </c>
      <c r="B1029" s="8">
        <v>23.1</v>
      </c>
      <c r="C1029" s="8">
        <v>20.100000000000001</v>
      </c>
      <c r="D1029" s="8">
        <v>29.2</v>
      </c>
      <c r="E1029" s="8">
        <v>12.2</v>
      </c>
      <c r="F1029" s="8" t="str">
        <f>IF(OR(B1029&lt;outliers!$B$7,B1029&gt;outliers!$B$6),"Outlier","Normal")</f>
        <v>Normal</v>
      </c>
      <c r="G1029" s="8" t="str">
        <f>IF(OR(C1029&lt;outliers!$B$14,C1029&gt;outliers!$B$13),"Outlier","Normal")</f>
        <v>Normal</v>
      </c>
      <c r="H1029" s="8" t="str">
        <f>IF(OR(D1029&lt;outliers!$B$21,D1029&gt;outliers!$B$20),"Outlier","Normal")</f>
        <v>Normal</v>
      </c>
      <c r="I1029" s="8" t="str">
        <f>IF(OR(E1029&lt;outliers!$C$28,E1029&gt;outliers!$B$27),"Outlier","Normal")</f>
        <v>Outlier</v>
      </c>
      <c r="J1029" s="8">
        <f t="shared" si="32"/>
        <v>2021</v>
      </c>
      <c r="K1029">
        <f t="shared" si="33"/>
        <v>9</v>
      </c>
    </row>
    <row r="1030" spans="1:11" x14ac:dyDescent="0.35">
      <c r="A1030" s="13">
        <v>44466</v>
      </c>
      <c r="B1030" s="8">
        <v>22.7</v>
      </c>
      <c r="C1030" s="8">
        <v>20.2</v>
      </c>
      <c r="D1030" s="8">
        <v>27</v>
      </c>
      <c r="E1030" s="8">
        <v>0.5</v>
      </c>
      <c r="F1030" s="8" t="str">
        <f>IF(OR(B1030&lt;outliers!$B$7,B1030&gt;outliers!$B$6),"Outlier","Normal")</f>
        <v>Normal</v>
      </c>
      <c r="G1030" s="8" t="str">
        <f>IF(OR(C1030&lt;outliers!$B$14,C1030&gt;outliers!$B$13),"Outlier","Normal")</f>
        <v>Normal</v>
      </c>
      <c r="H1030" s="8" t="str">
        <f>IF(OR(D1030&lt;outliers!$B$21,D1030&gt;outliers!$B$20),"Outlier","Normal")</f>
        <v>Normal</v>
      </c>
      <c r="I1030" s="8" t="str">
        <f>IF(OR(E1030&lt;outliers!$C$28,E1030&gt;outliers!$B$27),"Outlier","Normal")</f>
        <v>Normal</v>
      </c>
      <c r="J1030" s="8">
        <f t="shared" si="32"/>
        <v>2021</v>
      </c>
      <c r="K1030">
        <f t="shared" si="33"/>
        <v>9</v>
      </c>
    </row>
    <row r="1031" spans="1:11" x14ac:dyDescent="0.35">
      <c r="A1031" s="13">
        <v>44467</v>
      </c>
      <c r="B1031" s="8">
        <v>22.3</v>
      </c>
      <c r="C1031" s="8">
        <v>18.8</v>
      </c>
      <c r="D1031" s="8">
        <v>27</v>
      </c>
      <c r="E1031" s="8">
        <v>10.199999999999999</v>
      </c>
      <c r="F1031" s="8" t="str">
        <f>IF(OR(B1031&lt;outliers!$B$7,B1031&gt;outliers!$B$6),"Outlier","Normal")</f>
        <v>Normal</v>
      </c>
      <c r="G1031" s="8" t="str">
        <f>IF(OR(C1031&lt;outliers!$B$14,C1031&gt;outliers!$B$13),"Outlier","Normal")</f>
        <v>Normal</v>
      </c>
      <c r="H1031" s="8" t="str">
        <f>IF(OR(D1031&lt;outliers!$B$21,D1031&gt;outliers!$B$20),"Outlier","Normal")</f>
        <v>Normal</v>
      </c>
      <c r="I1031" s="8" t="str">
        <f>IF(OR(E1031&lt;outliers!$C$28,E1031&gt;outliers!$B$27),"Outlier","Normal")</f>
        <v>Normal</v>
      </c>
      <c r="J1031" s="8">
        <f t="shared" si="32"/>
        <v>2021</v>
      </c>
      <c r="K1031">
        <f t="shared" si="33"/>
        <v>9</v>
      </c>
    </row>
    <row r="1032" spans="1:11" x14ac:dyDescent="0.35">
      <c r="A1032" s="13">
        <v>44468</v>
      </c>
      <c r="B1032" s="8">
        <v>23.4</v>
      </c>
      <c r="C1032" s="8">
        <v>19.399999999999999</v>
      </c>
      <c r="D1032" s="8">
        <v>27.4</v>
      </c>
      <c r="E1032" s="8">
        <v>9.1</v>
      </c>
      <c r="F1032" s="8" t="str">
        <f>IF(OR(B1032&lt;outliers!$B$7,B1032&gt;outliers!$B$6),"Outlier","Normal")</f>
        <v>Normal</v>
      </c>
      <c r="G1032" s="8" t="str">
        <f>IF(OR(C1032&lt;outliers!$B$14,C1032&gt;outliers!$B$13),"Outlier","Normal")</f>
        <v>Normal</v>
      </c>
      <c r="H1032" s="8" t="str">
        <f>IF(OR(D1032&lt;outliers!$B$21,D1032&gt;outliers!$B$20),"Outlier","Normal")</f>
        <v>Normal</v>
      </c>
      <c r="I1032" s="8" t="str">
        <f>IF(OR(E1032&lt;outliers!$C$28,E1032&gt;outliers!$B$27),"Outlier","Normal")</f>
        <v>Normal</v>
      </c>
      <c r="J1032" s="8">
        <f t="shared" si="32"/>
        <v>2021</v>
      </c>
      <c r="K1032">
        <f t="shared" si="33"/>
        <v>9</v>
      </c>
    </row>
    <row r="1033" spans="1:11" x14ac:dyDescent="0.35">
      <c r="A1033" s="13">
        <v>44469</v>
      </c>
      <c r="B1033" s="8">
        <v>24</v>
      </c>
      <c r="C1033" s="8">
        <v>20.399999999999999</v>
      </c>
      <c r="D1033" s="8">
        <v>28</v>
      </c>
      <c r="E1033" s="8">
        <v>0</v>
      </c>
      <c r="F1033" s="8" t="str">
        <f>IF(OR(B1033&lt;outliers!$B$7,B1033&gt;outliers!$B$6),"Outlier","Normal")</f>
        <v>Normal</v>
      </c>
      <c r="G1033" s="8" t="str">
        <f>IF(OR(C1033&lt;outliers!$B$14,C1033&gt;outliers!$B$13),"Outlier","Normal")</f>
        <v>Normal</v>
      </c>
      <c r="H1033" s="8" t="str">
        <f>IF(OR(D1033&lt;outliers!$B$21,D1033&gt;outliers!$B$20),"Outlier","Normal")</f>
        <v>Normal</v>
      </c>
      <c r="I1033" s="8" t="str">
        <f>IF(OR(E1033&lt;outliers!$C$28,E1033&gt;outliers!$B$27),"Outlier","Normal")</f>
        <v>Normal</v>
      </c>
      <c r="J1033" s="8">
        <f t="shared" si="32"/>
        <v>2021</v>
      </c>
      <c r="K1033">
        <f t="shared" si="33"/>
        <v>9</v>
      </c>
    </row>
    <row r="1034" spans="1:11" x14ac:dyDescent="0.35">
      <c r="A1034" s="13">
        <v>44470</v>
      </c>
      <c r="B1034" s="8">
        <v>23</v>
      </c>
      <c r="C1034" s="8">
        <v>19.899999999999999</v>
      </c>
      <c r="D1034" s="8">
        <v>29.8</v>
      </c>
      <c r="E1034" s="8">
        <v>8.5</v>
      </c>
      <c r="F1034" s="8" t="str">
        <f>IF(OR(B1034&lt;outliers!$B$7,B1034&gt;outliers!$B$6),"Outlier","Normal")</f>
        <v>Normal</v>
      </c>
      <c r="G1034" s="8" t="str">
        <f>IF(OR(C1034&lt;outliers!$B$14,C1034&gt;outliers!$B$13),"Outlier","Normal")</f>
        <v>Normal</v>
      </c>
      <c r="H1034" s="8" t="str">
        <f>IF(OR(D1034&lt;outliers!$B$21,D1034&gt;outliers!$B$20),"Outlier","Normal")</f>
        <v>Normal</v>
      </c>
      <c r="I1034" s="8" t="str">
        <f>IF(OR(E1034&lt;outliers!$C$28,E1034&gt;outliers!$B$27),"Outlier","Normal")</f>
        <v>Normal</v>
      </c>
      <c r="J1034" s="8">
        <f t="shared" si="32"/>
        <v>2021</v>
      </c>
      <c r="K1034">
        <f t="shared" si="33"/>
        <v>10</v>
      </c>
    </row>
    <row r="1035" spans="1:11" x14ac:dyDescent="0.35">
      <c r="A1035" s="13">
        <v>44471</v>
      </c>
      <c r="B1035" s="8">
        <v>23.1</v>
      </c>
      <c r="C1035" s="8">
        <v>19.2</v>
      </c>
      <c r="D1035" s="8">
        <v>29</v>
      </c>
      <c r="E1035" s="8">
        <v>5.8</v>
      </c>
      <c r="F1035" s="8" t="str">
        <f>IF(OR(B1035&lt;outliers!$B$7,B1035&gt;outliers!$B$6),"Outlier","Normal")</f>
        <v>Normal</v>
      </c>
      <c r="G1035" s="8" t="str">
        <f>IF(OR(C1035&lt;outliers!$B$14,C1035&gt;outliers!$B$13),"Outlier","Normal")</f>
        <v>Normal</v>
      </c>
      <c r="H1035" s="8" t="str">
        <f>IF(OR(D1035&lt;outliers!$B$21,D1035&gt;outliers!$B$20),"Outlier","Normal")</f>
        <v>Normal</v>
      </c>
      <c r="I1035" s="8" t="str">
        <f>IF(OR(E1035&lt;outliers!$C$28,E1035&gt;outliers!$B$27),"Outlier","Normal")</f>
        <v>Normal</v>
      </c>
      <c r="J1035" s="8">
        <f t="shared" si="32"/>
        <v>2021</v>
      </c>
      <c r="K1035">
        <f t="shared" si="33"/>
        <v>10</v>
      </c>
    </row>
    <row r="1036" spans="1:11" x14ac:dyDescent="0.35">
      <c r="A1036" s="13">
        <v>44472</v>
      </c>
      <c r="B1036" s="8">
        <v>23.7</v>
      </c>
      <c r="C1036" s="8">
        <v>20</v>
      </c>
      <c r="D1036" s="8">
        <v>30</v>
      </c>
      <c r="E1036" s="8">
        <v>0</v>
      </c>
      <c r="F1036" s="8" t="str">
        <f>IF(OR(B1036&lt;outliers!$B$7,B1036&gt;outliers!$B$6),"Outlier","Normal")</f>
        <v>Normal</v>
      </c>
      <c r="G1036" s="8" t="str">
        <f>IF(OR(C1036&lt;outliers!$B$14,C1036&gt;outliers!$B$13),"Outlier","Normal")</f>
        <v>Normal</v>
      </c>
      <c r="H1036" s="8" t="str">
        <f>IF(OR(D1036&lt;outliers!$B$21,D1036&gt;outliers!$B$20),"Outlier","Normal")</f>
        <v>Normal</v>
      </c>
      <c r="I1036" s="8" t="str">
        <f>IF(OR(E1036&lt;outliers!$C$28,E1036&gt;outliers!$B$27),"Outlier","Normal")</f>
        <v>Normal</v>
      </c>
      <c r="J1036" s="8">
        <f t="shared" si="32"/>
        <v>2021</v>
      </c>
      <c r="K1036">
        <f t="shared" si="33"/>
        <v>10</v>
      </c>
    </row>
    <row r="1037" spans="1:11" hidden="1" x14ac:dyDescent="0.35">
      <c r="A1037" s="13">
        <v>44473</v>
      </c>
      <c r="B1037" s="8">
        <v>24.8</v>
      </c>
      <c r="C1037" s="8">
        <v>20.2</v>
      </c>
      <c r="D1037" s="8">
        <v>29.7</v>
      </c>
      <c r="E1037" s="8">
        <v>64</v>
      </c>
      <c r="F1037" s="8" t="str">
        <f>IF(OR(B1037&lt;outliers!$B$7,B1037&gt;outliers!$B$6),"Outlier","Normal")</f>
        <v>Normal</v>
      </c>
      <c r="G1037" s="8" t="str">
        <f>IF(OR(C1037&lt;outliers!$B$14,C1037&gt;outliers!$B$13),"Outlier","Normal")</f>
        <v>Normal</v>
      </c>
      <c r="H1037" s="8" t="str">
        <f>IF(OR(D1037&lt;outliers!$B$21,D1037&gt;outliers!$B$20),"Outlier","Normal")</f>
        <v>Normal</v>
      </c>
      <c r="I1037" s="8" t="str">
        <f>IF(OR(E1037&lt;outliers!$C$28,E1037&gt;outliers!$B$27),"Outlier","Normal")</f>
        <v>Outlier</v>
      </c>
      <c r="J1037" s="8">
        <f t="shared" si="32"/>
        <v>2021</v>
      </c>
      <c r="K1037">
        <f t="shared" si="33"/>
        <v>10</v>
      </c>
    </row>
    <row r="1038" spans="1:11" x14ac:dyDescent="0.35">
      <c r="A1038" s="13">
        <v>44474</v>
      </c>
      <c r="B1038" s="8">
        <v>23.3</v>
      </c>
      <c r="C1038" s="8">
        <v>19.100000000000001</v>
      </c>
      <c r="D1038" s="8">
        <v>30.6</v>
      </c>
      <c r="E1038" s="8">
        <v>0</v>
      </c>
      <c r="F1038" s="8" t="str">
        <f>IF(OR(B1038&lt;outliers!$B$7,B1038&gt;outliers!$B$6),"Outlier","Normal")</f>
        <v>Normal</v>
      </c>
      <c r="G1038" s="8" t="str">
        <f>IF(OR(C1038&lt;outliers!$B$14,C1038&gt;outliers!$B$13),"Outlier","Normal")</f>
        <v>Normal</v>
      </c>
      <c r="H1038" s="8" t="str">
        <f>IF(OR(D1038&lt;outliers!$B$21,D1038&gt;outliers!$B$20),"Outlier","Normal")</f>
        <v>Normal</v>
      </c>
      <c r="I1038" s="8" t="str">
        <f>IF(OR(E1038&lt;outliers!$C$28,E1038&gt;outliers!$B$27),"Outlier","Normal")</f>
        <v>Normal</v>
      </c>
      <c r="J1038" s="8">
        <f t="shared" si="32"/>
        <v>2021</v>
      </c>
      <c r="K1038">
        <f t="shared" si="33"/>
        <v>10</v>
      </c>
    </row>
    <row r="1039" spans="1:11" hidden="1" x14ac:dyDescent="0.35">
      <c r="A1039" s="13">
        <v>44475</v>
      </c>
      <c r="B1039" s="8">
        <v>22.6</v>
      </c>
      <c r="C1039" s="8">
        <v>20.100000000000001</v>
      </c>
      <c r="D1039" s="8">
        <v>28</v>
      </c>
      <c r="E1039" s="8">
        <v>38.6</v>
      </c>
      <c r="F1039" s="8" t="str">
        <f>IF(OR(B1039&lt;outliers!$B$7,B1039&gt;outliers!$B$6),"Outlier","Normal")</f>
        <v>Normal</v>
      </c>
      <c r="G1039" s="8" t="str">
        <f>IF(OR(C1039&lt;outliers!$B$14,C1039&gt;outliers!$B$13),"Outlier","Normal")</f>
        <v>Normal</v>
      </c>
      <c r="H1039" s="8" t="str">
        <f>IF(OR(D1039&lt;outliers!$B$21,D1039&gt;outliers!$B$20),"Outlier","Normal")</f>
        <v>Normal</v>
      </c>
      <c r="I1039" s="8" t="str">
        <f>IF(OR(E1039&lt;outliers!$C$28,E1039&gt;outliers!$B$27),"Outlier","Normal")</f>
        <v>Outlier</v>
      </c>
      <c r="J1039" s="8">
        <f t="shared" si="32"/>
        <v>2021</v>
      </c>
      <c r="K1039">
        <f t="shared" si="33"/>
        <v>10</v>
      </c>
    </row>
    <row r="1040" spans="1:11" x14ac:dyDescent="0.35">
      <c r="A1040" s="13">
        <v>44476</v>
      </c>
      <c r="B1040" s="8">
        <v>24.9</v>
      </c>
      <c r="C1040" s="8">
        <v>21</v>
      </c>
      <c r="D1040" s="8">
        <v>29.6</v>
      </c>
      <c r="E1040" s="8">
        <v>0.5</v>
      </c>
      <c r="F1040" s="8" t="str">
        <f>IF(OR(B1040&lt;outliers!$B$7,B1040&gt;outliers!$B$6),"Outlier","Normal")</f>
        <v>Normal</v>
      </c>
      <c r="G1040" s="8" t="str">
        <f>IF(OR(C1040&lt;outliers!$B$14,C1040&gt;outliers!$B$13),"Outlier","Normal")</f>
        <v>Normal</v>
      </c>
      <c r="H1040" s="8" t="str">
        <f>IF(OR(D1040&lt;outliers!$B$21,D1040&gt;outliers!$B$20),"Outlier","Normal")</f>
        <v>Normal</v>
      </c>
      <c r="I1040" s="8" t="str">
        <f>IF(OR(E1040&lt;outliers!$C$28,E1040&gt;outliers!$B$27),"Outlier","Normal")</f>
        <v>Normal</v>
      </c>
      <c r="J1040" s="8">
        <f t="shared" si="32"/>
        <v>2021</v>
      </c>
      <c r="K1040">
        <f t="shared" si="33"/>
        <v>10</v>
      </c>
    </row>
    <row r="1041" spans="1:11" x14ac:dyDescent="0.35">
      <c r="A1041" s="13">
        <v>44477</v>
      </c>
      <c r="B1041" s="8">
        <v>22.8</v>
      </c>
      <c r="C1041" s="8">
        <v>21.8</v>
      </c>
      <c r="D1041" s="8">
        <v>30.6</v>
      </c>
      <c r="E1041" s="8">
        <v>6.1</v>
      </c>
      <c r="F1041" s="8" t="str">
        <f>IF(OR(B1041&lt;outliers!$B$7,B1041&gt;outliers!$B$6),"Outlier","Normal")</f>
        <v>Normal</v>
      </c>
      <c r="G1041" s="8" t="str">
        <f>IF(OR(C1041&lt;outliers!$B$14,C1041&gt;outliers!$B$13),"Outlier","Normal")</f>
        <v>Normal</v>
      </c>
      <c r="H1041" s="8" t="str">
        <f>IF(OR(D1041&lt;outliers!$B$21,D1041&gt;outliers!$B$20),"Outlier","Normal")</f>
        <v>Normal</v>
      </c>
      <c r="I1041" s="8" t="str">
        <f>IF(OR(E1041&lt;outliers!$C$28,E1041&gt;outliers!$B$27),"Outlier","Normal")</f>
        <v>Normal</v>
      </c>
      <c r="J1041" s="8">
        <f t="shared" si="32"/>
        <v>2021</v>
      </c>
      <c r="K1041">
        <f t="shared" si="33"/>
        <v>10</v>
      </c>
    </row>
    <row r="1042" spans="1:11" x14ac:dyDescent="0.35">
      <c r="A1042" s="13">
        <v>44478</v>
      </c>
      <c r="B1042" s="8">
        <v>22.1</v>
      </c>
      <c r="C1042" s="8">
        <v>20.8</v>
      </c>
      <c r="D1042" s="8">
        <v>27.1</v>
      </c>
      <c r="E1042" s="8">
        <v>7.9</v>
      </c>
      <c r="F1042" s="8" t="str">
        <f>IF(OR(B1042&lt;outliers!$B$7,B1042&gt;outliers!$B$6),"Outlier","Normal")</f>
        <v>Normal</v>
      </c>
      <c r="G1042" s="8" t="str">
        <f>IF(OR(C1042&lt;outliers!$B$14,C1042&gt;outliers!$B$13),"Outlier","Normal")</f>
        <v>Normal</v>
      </c>
      <c r="H1042" s="8" t="str">
        <f>IF(OR(D1042&lt;outliers!$B$21,D1042&gt;outliers!$B$20),"Outlier","Normal")</f>
        <v>Normal</v>
      </c>
      <c r="I1042" s="8" t="str">
        <f>IF(OR(E1042&lt;outliers!$C$28,E1042&gt;outliers!$B$27),"Outlier","Normal")</f>
        <v>Normal</v>
      </c>
      <c r="J1042" s="8">
        <f t="shared" si="32"/>
        <v>2021</v>
      </c>
      <c r="K1042">
        <f t="shared" si="33"/>
        <v>10</v>
      </c>
    </row>
    <row r="1043" spans="1:11" hidden="1" x14ac:dyDescent="0.35">
      <c r="A1043" s="13">
        <v>44479</v>
      </c>
      <c r="B1043" s="8">
        <v>22.5</v>
      </c>
      <c r="C1043" s="8">
        <v>21.1</v>
      </c>
      <c r="D1043" s="8">
        <v>26.3</v>
      </c>
      <c r="E1043" s="8">
        <v>14.5</v>
      </c>
      <c r="F1043" s="8" t="str">
        <f>IF(OR(B1043&lt;outliers!$B$7,B1043&gt;outliers!$B$6),"Outlier","Normal")</f>
        <v>Normal</v>
      </c>
      <c r="G1043" s="8" t="str">
        <f>IF(OR(C1043&lt;outliers!$B$14,C1043&gt;outliers!$B$13),"Outlier","Normal")</f>
        <v>Normal</v>
      </c>
      <c r="H1043" s="8" t="str">
        <f>IF(OR(D1043&lt;outliers!$B$21,D1043&gt;outliers!$B$20),"Outlier","Normal")</f>
        <v>Normal</v>
      </c>
      <c r="I1043" s="8" t="str">
        <f>IF(OR(E1043&lt;outliers!$C$28,E1043&gt;outliers!$B$27),"Outlier","Normal")</f>
        <v>Outlier</v>
      </c>
      <c r="J1043" s="8">
        <f t="shared" si="32"/>
        <v>2021</v>
      </c>
      <c r="K1043">
        <f t="shared" si="33"/>
        <v>10</v>
      </c>
    </row>
    <row r="1044" spans="1:11" hidden="1" x14ac:dyDescent="0.35">
      <c r="A1044" s="13">
        <v>44480</v>
      </c>
      <c r="B1044" s="8">
        <v>22.8</v>
      </c>
      <c r="C1044" s="8">
        <v>19.600000000000001</v>
      </c>
      <c r="D1044" s="8">
        <v>27</v>
      </c>
      <c r="E1044" s="8">
        <v>13</v>
      </c>
      <c r="F1044" s="8" t="str">
        <f>IF(OR(B1044&lt;outliers!$B$7,B1044&gt;outliers!$B$6),"Outlier","Normal")</f>
        <v>Normal</v>
      </c>
      <c r="G1044" s="8" t="str">
        <f>IF(OR(C1044&lt;outliers!$B$14,C1044&gt;outliers!$B$13),"Outlier","Normal")</f>
        <v>Normal</v>
      </c>
      <c r="H1044" s="8" t="str">
        <f>IF(OR(D1044&lt;outliers!$B$21,D1044&gt;outliers!$B$20),"Outlier","Normal")</f>
        <v>Normal</v>
      </c>
      <c r="I1044" s="8" t="str">
        <f>IF(OR(E1044&lt;outliers!$C$28,E1044&gt;outliers!$B$27),"Outlier","Normal")</f>
        <v>Outlier</v>
      </c>
      <c r="J1044" s="8">
        <f t="shared" si="32"/>
        <v>2021</v>
      </c>
      <c r="K1044">
        <f t="shared" si="33"/>
        <v>10</v>
      </c>
    </row>
    <row r="1045" spans="1:11" hidden="1" x14ac:dyDescent="0.35">
      <c r="A1045" s="13">
        <v>44481</v>
      </c>
      <c r="B1045" s="8">
        <v>22</v>
      </c>
      <c r="C1045" s="8">
        <v>19.399999999999999</v>
      </c>
      <c r="D1045" s="8">
        <v>27.5</v>
      </c>
      <c r="E1045" s="8">
        <v>32.5</v>
      </c>
      <c r="F1045" s="8" t="str">
        <f>IF(OR(B1045&lt;outliers!$B$7,B1045&gt;outliers!$B$6),"Outlier","Normal")</f>
        <v>Normal</v>
      </c>
      <c r="G1045" s="8" t="str">
        <f>IF(OR(C1045&lt;outliers!$B$14,C1045&gt;outliers!$B$13),"Outlier","Normal")</f>
        <v>Normal</v>
      </c>
      <c r="H1045" s="8" t="str">
        <f>IF(OR(D1045&lt;outliers!$B$21,D1045&gt;outliers!$B$20),"Outlier","Normal")</f>
        <v>Normal</v>
      </c>
      <c r="I1045" s="8" t="str">
        <f>IF(OR(E1045&lt;outliers!$C$28,E1045&gt;outliers!$B$27),"Outlier","Normal")</f>
        <v>Outlier</v>
      </c>
      <c r="J1045" s="8">
        <f t="shared" si="32"/>
        <v>2021</v>
      </c>
      <c r="K1045">
        <f t="shared" si="33"/>
        <v>10</v>
      </c>
    </row>
    <row r="1046" spans="1:11" hidden="1" x14ac:dyDescent="0.35">
      <c r="A1046" s="13">
        <v>44482</v>
      </c>
      <c r="B1046" s="8">
        <v>22.8</v>
      </c>
      <c r="C1046" s="8">
        <v>19.7</v>
      </c>
      <c r="D1046" s="8">
        <v>27.8</v>
      </c>
      <c r="E1046" s="8">
        <v>18.3</v>
      </c>
      <c r="F1046" s="8" t="str">
        <f>IF(OR(B1046&lt;outliers!$B$7,B1046&gt;outliers!$B$6),"Outlier","Normal")</f>
        <v>Normal</v>
      </c>
      <c r="G1046" s="8" t="str">
        <f>IF(OR(C1046&lt;outliers!$B$14,C1046&gt;outliers!$B$13),"Outlier","Normal")</f>
        <v>Normal</v>
      </c>
      <c r="H1046" s="8" t="str">
        <f>IF(OR(D1046&lt;outliers!$B$21,D1046&gt;outliers!$B$20),"Outlier","Normal")</f>
        <v>Normal</v>
      </c>
      <c r="I1046" s="8" t="str">
        <f>IF(OR(E1046&lt;outliers!$C$28,E1046&gt;outliers!$B$27),"Outlier","Normal")</f>
        <v>Outlier</v>
      </c>
      <c r="J1046" s="8">
        <f t="shared" si="32"/>
        <v>2021</v>
      </c>
      <c r="K1046">
        <f t="shared" si="33"/>
        <v>10</v>
      </c>
    </row>
    <row r="1047" spans="1:11" hidden="1" x14ac:dyDescent="0.35">
      <c r="A1047" s="13">
        <v>44483</v>
      </c>
      <c r="B1047" s="8">
        <v>24.2</v>
      </c>
      <c r="C1047" s="8">
        <v>20.399999999999999</v>
      </c>
      <c r="D1047" s="8">
        <v>28</v>
      </c>
      <c r="E1047" s="8">
        <v>26.9</v>
      </c>
      <c r="F1047" s="8" t="str">
        <f>IF(OR(B1047&lt;outliers!$B$7,B1047&gt;outliers!$B$6),"Outlier","Normal")</f>
        <v>Normal</v>
      </c>
      <c r="G1047" s="8" t="str">
        <f>IF(OR(C1047&lt;outliers!$B$14,C1047&gt;outliers!$B$13),"Outlier","Normal")</f>
        <v>Normal</v>
      </c>
      <c r="H1047" s="8" t="str">
        <f>IF(OR(D1047&lt;outliers!$B$21,D1047&gt;outliers!$B$20),"Outlier","Normal")</f>
        <v>Normal</v>
      </c>
      <c r="I1047" s="8" t="str">
        <f>IF(OR(E1047&lt;outliers!$C$28,E1047&gt;outliers!$B$27),"Outlier","Normal")</f>
        <v>Outlier</v>
      </c>
      <c r="J1047" s="8">
        <f t="shared" si="32"/>
        <v>2021</v>
      </c>
      <c r="K1047">
        <f t="shared" si="33"/>
        <v>10</v>
      </c>
    </row>
    <row r="1048" spans="1:11" hidden="1" x14ac:dyDescent="0.35">
      <c r="A1048" s="13">
        <v>44484</v>
      </c>
      <c r="B1048" s="8">
        <v>23.6</v>
      </c>
      <c r="C1048" s="8">
        <v>21.5</v>
      </c>
      <c r="D1048" s="8">
        <v>29</v>
      </c>
      <c r="E1048" s="8">
        <v>39.6</v>
      </c>
      <c r="F1048" s="8" t="str">
        <f>IF(OR(B1048&lt;outliers!$B$7,B1048&gt;outliers!$B$6),"Outlier","Normal")</f>
        <v>Normal</v>
      </c>
      <c r="G1048" s="8" t="str">
        <f>IF(OR(C1048&lt;outliers!$B$14,C1048&gt;outliers!$B$13),"Outlier","Normal")</f>
        <v>Normal</v>
      </c>
      <c r="H1048" s="8" t="str">
        <f>IF(OR(D1048&lt;outliers!$B$21,D1048&gt;outliers!$B$20),"Outlier","Normal")</f>
        <v>Normal</v>
      </c>
      <c r="I1048" s="8" t="str">
        <f>IF(OR(E1048&lt;outliers!$C$28,E1048&gt;outliers!$B$27),"Outlier","Normal")</f>
        <v>Outlier</v>
      </c>
      <c r="J1048" s="8">
        <f t="shared" si="32"/>
        <v>2021</v>
      </c>
      <c r="K1048">
        <f t="shared" si="33"/>
        <v>10</v>
      </c>
    </row>
    <row r="1049" spans="1:11" hidden="1" x14ac:dyDescent="0.35">
      <c r="A1049" s="13">
        <v>44485</v>
      </c>
      <c r="B1049" s="8">
        <v>23.8</v>
      </c>
      <c r="C1049" s="8">
        <v>19.399999999999999</v>
      </c>
      <c r="D1049" s="8">
        <v>28.3</v>
      </c>
      <c r="E1049" s="8">
        <v>15</v>
      </c>
      <c r="F1049" s="8" t="str">
        <f>IF(OR(B1049&lt;outliers!$B$7,B1049&gt;outliers!$B$6),"Outlier","Normal")</f>
        <v>Normal</v>
      </c>
      <c r="G1049" s="8" t="str">
        <f>IF(OR(C1049&lt;outliers!$B$14,C1049&gt;outliers!$B$13),"Outlier","Normal")</f>
        <v>Normal</v>
      </c>
      <c r="H1049" s="8" t="str">
        <f>IF(OR(D1049&lt;outliers!$B$21,D1049&gt;outliers!$B$20),"Outlier","Normal")</f>
        <v>Normal</v>
      </c>
      <c r="I1049" s="8" t="str">
        <f>IF(OR(E1049&lt;outliers!$C$28,E1049&gt;outliers!$B$27),"Outlier","Normal")</f>
        <v>Outlier</v>
      </c>
      <c r="J1049" s="8">
        <f t="shared" si="32"/>
        <v>2021</v>
      </c>
      <c r="K1049">
        <f t="shared" si="33"/>
        <v>10</v>
      </c>
    </row>
    <row r="1050" spans="1:11" x14ac:dyDescent="0.35">
      <c r="A1050" s="13">
        <v>44486</v>
      </c>
      <c r="B1050" s="8">
        <v>22.7</v>
      </c>
      <c r="C1050" s="8">
        <v>20.6</v>
      </c>
      <c r="D1050" s="8">
        <v>28.9</v>
      </c>
      <c r="E1050" s="8">
        <v>7.1</v>
      </c>
      <c r="F1050" s="8" t="str">
        <f>IF(OR(B1050&lt;outliers!$B$7,B1050&gt;outliers!$B$6),"Outlier","Normal")</f>
        <v>Normal</v>
      </c>
      <c r="G1050" s="8" t="str">
        <f>IF(OR(C1050&lt;outliers!$B$14,C1050&gt;outliers!$B$13),"Outlier","Normal")</f>
        <v>Normal</v>
      </c>
      <c r="H1050" s="8" t="str">
        <f>IF(OR(D1050&lt;outliers!$B$21,D1050&gt;outliers!$B$20),"Outlier","Normal")</f>
        <v>Normal</v>
      </c>
      <c r="I1050" s="8" t="str">
        <f>IF(OR(E1050&lt;outliers!$C$28,E1050&gt;outliers!$B$27),"Outlier","Normal")</f>
        <v>Normal</v>
      </c>
      <c r="J1050" s="8">
        <f t="shared" si="32"/>
        <v>2021</v>
      </c>
      <c r="K1050">
        <f t="shared" si="33"/>
        <v>10</v>
      </c>
    </row>
    <row r="1051" spans="1:11" x14ac:dyDescent="0.35">
      <c r="A1051" s="13">
        <v>44487</v>
      </c>
      <c r="B1051" s="8">
        <v>22.9</v>
      </c>
      <c r="C1051" s="8">
        <v>20.8</v>
      </c>
      <c r="D1051" s="8">
        <v>26.7</v>
      </c>
      <c r="E1051" s="8">
        <v>0.8</v>
      </c>
      <c r="F1051" s="8" t="str">
        <f>IF(OR(B1051&lt;outliers!$B$7,B1051&gt;outliers!$B$6),"Outlier","Normal")</f>
        <v>Normal</v>
      </c>
      <c r="G1051" s="8" t="str">
        <f>IF(OR(C1051&lt;outliers!$B$14,C1051&gt;outliers!$B$13),"Outlier","Normal")</f>
        <v>Normal</v>
      </c>
      <c r="H1051" s="8" t="str">
        <f>IF(OR(D1051&lt;outliers!$B$21,D1051&gt;outliers!$B$20),"Outlier","Normal")</f>
        <v>Normal</v>
      </c>
      <c r="I1051" s="8" t="str">
        <f>IF(OR(E1051&lt;outliers!$C$28,E1051&gt;outliers!$B$27),"Outlier","Normal")</f>
        <v>Normal</v>
      </c>
      <c r="J1051" s="8">
        <f t="shared" si="32"/>
        <v>2021</v>
      </c>
      <c r="K1051">
        <f t="shared" si="33"/>
        <v>10</v>
      </c>
    </row>
    <row r="1052" spans="1:11" hidden="1" x14ac:dyDescent="0.35">
      <c r="A1052" s="13">
        <v>44488</v>
      </c>
      <c r="B1052" s="8">
        <v>23.8</v>
      </c>
      <c r="C1052" s="8">
        <v>20.5</v>
      </c>
      <c r="D1052" s="8">
        <v>27.6</v>
      </c>
      <c r="E1052" s="8">
        <v>15.2</v>
      </c>
      <c r="F1052" s="8" t="str">
        <f>IF(OR(B1052&lt;outliers!$B$7,B1052&gt;outliers!$B$6),"Outlier","Normal")</f>
        <v>Normal</v>
      </c>
      <c r="G1052" s="8" t="str">
        <f>IF(OR(C1052&lt;outliers!$B$14,C1052&gt;outliers!$B$13),"Outlier","Normal")</f>
        <v>Normal</v>
      </c>
      <c r="H1052" s="8" t="str">
        <f>IF(OR(D1052&lt;outliers!$B$21,D1052&gt;outliers!$B$20),"Outlier","Normal")</f>
        <v>Normal</v>
      </c>
      <c r="I1052" s="8" t="str">
        <f>IF(OR(E1052&lt;outliers!$C$28,E1052&gt;outliers!$B$27),"Outlier","Normal")</f>
        <v>Outlier</v>
      </c>
      <c r="J1052" s="8">
        <f t="shared" si="32"/>
        <v>2021</v>
      </c>
      <c r="K1052">
        <f t="shared" si="33"/>
        <v>10</v>
      </c>
    </row>
    <row r="1053" spans="1:11" x14ac:dyDescent="0.35">
      <c r="A1053" s="13">
        <v>44489</v>
      </c>
      <c r="B1053" s="8">
        <v>24.7</v>
      </c>
      <c r="C1053" s="8">
        <v>20</v>
      </c>
      <c r="D1053" s="8">
        <v>28.8</v>
      </c>
      <c r="E1053" s="8">
        <v>0</v>
      </c>
      <c r="F1053" s="8" t="str">
        <f>IF(OR(B1053&lt;outliers!$B$7,B1053&gt;outliers!$B$6),"Outlier","Normal")</f>
        <v>Normal</v>
      </c>
      <c r="G1053" s="8" t="str">
        <f>IF(OR(C1053&lt;outliers!$B$14,C1053&gt;outliers!$B$13),"Outlier","Normal")</f>
        <v>Normal</v>
      </c>
      <c r="H1053" s="8" t="str">
        <f>IF(OR(D1053&lt;outliers!$B$21,D1053&gt;outliers!$B$20),"Outlier","Normal")</f>
        <v>Normal</v>
      </c>
      <c r="I1053" s="8" t="str">
        <f>IF(OR(E1053&lt;outliers!$C$28,E1053&gt;outliers!$B$27),"Outlier","Normal")</f>
        <v>Normal</v>
      </c>
      <c r="J1053" s="8">
        <f t="shared" si="32"/>
        <v>2021</v>
      </c>
      <c r="K1053">
        <f t="shared" si="33"/>
        <v>10</v>
      </c>
    </row>
    <row r="1054" spans="1:11" x14ac:dyDescent="0.35">
      <c r="A1054" s="13">
        <v>44490</v>
      </c>
      <c r="B1054" s="8">
        <v>25.5</v>
      </c>
      <c r="C1054" s="8">
        <v>20.9</v>
      </c>
      <c r="D1054" s="8">
        <v>29.3</v>
      </c>
      <c r="E1054" s="8">
        <v>0.5</v>
      </c>
      <c r="F1054" s="8" t="str">
        <f>IF(OR(B1054&lt;outliers!$B$7,B1054&gt;outliers!$B$6),"Outlier","Normal")</f>
        <v>Normal</v>
      </c>
      <c r="G1054" s="8" t="str">
        <f>IF(OR(C1054&lt;outliers!$B$14,C1054&gt;outliers!$B$13),"Outlier","Normal")</f>
        <v>Normal</v>
      </c>
      <c r="H1054" s="8" t="str">
        <f>IF(OR(D1054&lt;outliers!$B$21,D1054&gt;outliers!$B$20),"Outlier","Normal")</f>
        <v>Normal</v>
      </c>
      <c r="I1054" s="8" t="str">
        <f>IF(OR(E1054&lt;outliers!$C$28,E1054&gt;outliers!$B$27),"Outlier","Normal")</f>
        <v>Normal</v>
      </c>
      <c r="J1054" s="8">
        <f t="shared" si="32"/>
        <v>2021</v>
      </c>
      <c r="K1054">
        <f t="shared" si="33"/>
        <v>10</v>
      </c>
    </row>
    <row r="1055" spans="1:11" x14ac:dyDescent="0.35">
      <c r="A1055" s="13">
        <v>44491</v>
      </c>
      <c r="B1055" s="8">
        <v>25.1</v>
      </c>
      <c r="C1055" s="8">
        <v>18.5</v>
      </c>
      <c r="D1055" s="8">
        <v>30.7</v>
      </c>
      <c r="E1055" s="8">
        <v>0.3</v>
      </c>
      <c r="F1055" s="8" t="str">
        <f>IF(OR(B1055&lt;outliers!$B$7,B1055&gt;outliers!$B$6),"Outlier","Normal")</f>
        <v>Normal</v>
      </c>
      <c r="G1055" s="8" t="str">
        <f>IF(OR(C1055&lt;outliers!$B$14,C1055&gt;outliers!$B$13),"Outlier","Normal")</f>
        <v>Normal</v>
      </c>
      <c r="H1055" s="8" t="str">
        <f>IF(OR(D1055&lt;outliers!$B$21,D1055&gt;outliers!$B$20),"Outlier","Normal")</f>
        <v>Normal</v>
      </c>
      <c r="I1055" s="8" t="str">
        <f>IF(OR(E1055&lt;outliers!$C$28,E1055&gt;outliers!$B$27),"Outlier","Normal")</f>
        <v>Normal</v>
      </c>
      <c r="J1055" s="8">
        <f t="shared" si="32"/>
        <v>2021</v>
      </c>
      <c r="K1055">
        <f t="shared" si="33"/>
        <v>10</v>
      </c>
    </row>
    <row r="1056" spans="1:11" hidden="1" x14ac:dyDescent="0.35">
      <c r="A1056" s="13">
        <v>44492</v>
      </c>
      <c r="B1056" s="8">
        <v>24.1</v>
      </c>
      <c r="C1056" s="8">
        <v>20.399999999999999</v>
      </c>
      <c r="D1056" s="8">
        <v>31.6</v>
      </c>
      <c r="E1056" s="8">
        <v>17.3</v>
      </c>
      <c r="F1056" s="8" t="str">
        <f>IF(OR(B1056&lt;outliers!$B$7,B1056&gt;outliers!$B$6),"Outlier","Normal")</f>
        <v>Normal</v>
      </c>
      <c r="G1056" s="8" t="str">
        <f>IF(OR(C1056&lt;outliers!$B$14,C1056&gt;outliers!$B$13),"Outlier","Normal")</f>
        <v>Normal</v>
      </c>
      <c r="H1056" s="8" t="str">
        <f>IF(OR(D1056&lt;outliers!$B$21,D1056&gt;outliers!$B$20),"Outlier","Normal")</f>
        <v>Normal</v>
      </c>
      <c r="I1056" s="8" t="str">
        <f>IF(OR(E1056&lt;outliers!$C$28,E1056&gt;outliers!$B$27),"Outlier","Normal")</f>
        <v>Outlier</v>
      </c>
      <c r="J1056" s="8">
        <f t="shared" si="32"/>
        <v>2021</v>
      </c>
      <c r="K1056">
        <f t="shared" si="33"/>
        <v>10</v>
      </c>
    </row>
    <row r="1057" spans="1:11" hidden="1" x14ac:dyDescent="0.35">
      <c r="A1057" s="13">
        <v>44493</v>
      </c>
      <c r="B1057" s="8">
        <v>24.3</v>
      </c>
      <c r="C1057" s="8">
        <v>19.2</v>
      </c>
      <c r="D1057" s="8">
        <v>30.1</v>
      </c>
      <c r="E1057" s="8">
        <v>41.9</v>
      </c>
      <c r="F1057" s="8" t="str">
        <f>IF(OR(B1057&lt;outliers!$B$7,B1057&gt;outliers!$B$6),"Outlier","Normal")</f>
        <v>Normal</v>
      </c>
      <c r="G1057" s="8" t="str">
        <f>IF(OR(C1057&lt;outliers!$B$14,C1057&gt;outliers!$B$13),"Outlier","Normal")</f>
        <v>Normal</v>
      </c>
      <c r="H1057" s="8" t="str">
        <f>IF(OR(D1057&lt;outliers!$B$21,D1057&gt;outliers!$B$20),"Outlier","Normal")</f>
        <v>Normal</v>
      </c>
      <c r="I1057" s="8" t="str">
        <f>IF(OR(E1057&lt;outliers!$C$28,E1057&gt;outliers!$B$27),"Outlier","Normal")</f>
        <v>Outlier</v>
      </c>
      <c r="J1057" s="8">
        <f t="shared" si="32"/>
        <v>2021</v>
      </c>
      <c r="K1057">
        <f t="shared" si="33"/>
        <v>10</v>
      </c>
    </row>
    <row r="1058" spans="1:11" x14ac:dyDescent="0.35">
      <c r="A1058" s="13">
        <v>44494</v>
      </c>
      <c r="B1058" s="8">
        <v>23.9</v>
      </c>
      <c r="C1058" s="8">
        <v>20.9</v>
      </c>
      <c r="D1058" s="8">
        <v>29.4</v>
      </c>
      <c r="E1058" s="8">
        <v>0</v>
      </c>
      <c r="F1058" s="8" t="str">
        <f>IF(OR(B1058&lt;outliers!$B$7,B1058&gt;outliers!$B$6),"Outlier","Normal")</f>
        <v>Normal</v>
      </c>
      <c r="G1058" s="8" t="str">
        <f>IF(OR(C1058&lt;outliers!$B$14,C1058&gt;outliers!$B$13),"Outlier","Normal")</f>
        <v>Normal</v>
      </c>
      <c r="H1058" s="8" t="str">
        <f>IF(OR(D1058&lt;outliers!$B$21,D1058&gt;outliers!$B$20),"Outlier","Normal")</f>
        <v>Normal</v>
      </c>
      <c r="I1058" s="8" t="str">
        <f>IF(OR(E1058&lt;outliers!$C$28,E1058&gt;outliers!$B$27),"Outlier","Normal")</f>
        <v>Normal</v>
      </c>
      <c r="J1058" s="8">
        <f t="shared" si="32"/>
        <v>2021</v>
      </c>
      <c r="K1058">
        <f t="shared" si="33"/>
        <v>10</v>
      </c>
    </row>
    <row r="1059" spans="1:11" x14ac:dyDescent="0.35">
      <c r="A1059" s="13">
        <v>44495</v>
      </c>
      <c r="B1059" s="8">
        <v>22.5</v>
      </c>
      <c r="C1059" s="8">
        <v>17.8</v>
      </c>
      <c r="D1059" s="8">
        <v>27</v>
      </c>
      <c r="E1059" s="8">
        <v>0.8</v>
      </c>
      <c r="F1059" s="8" t="str">
        <f>IF(OR(B1059&lt;outliers!$B$7,B1059&gt;outliers!$B$6),"Outlier","Normal")</f>
        <v>Normal</v>
      </c>
      <c r="G1059" s="8" t="str">
        <f>IF(OR(C1059&lt;outliers!$B$14,C1059&gt;outliers!$B$13),"Outlier","Normal")</f>
        <v>Normal</v>
      </c>
      <c r="H1059" s="8" t="str">
        <f>IF(OR(D1059&lt;outliers!$B$21,D1059&gt;outliers!$B$20),"Outlier","Normal")</f>
        <v>Normal</v>
      </c>
      <c r="I1059" s="8" t="str">
        <f>IF(OR(E1059&lt;outliers!$C$28,E1059&gt;outliers!$B$27),"Outlier","Normal")</f>
        <v>Normal</v>
      </c>
      <c r="J1059" s="8">
        <f t="shared" si="32"/>
        <v>2021</v>
      </c>
      <c r="K1059">
        <f t="shared" si="33"/>
        <v>10</v>
      </c>
    </row>
    <row r="1060" spans="1:11" x14ac:dyDescent="0.35">
      <c r="A1060" s="13">
        <v>44496</v>
      </c>
      <c r="B1060" s="8">
        <v>22.3</v>
      </c>
      <c r="C1060" s="8">
        <v>18.3</v>
      </c>
      <c r="D1060" s="8">
        <v>26.6</v>
      </c>
      <c r="E1060" s="8">
        <v>0</v>
      </c>
      <c r="F1060" s="8" t="str">
        <f>IF(OR(B1060&lt;outliers!$B$7,B1060&gt;outliers!$B$6),"Outlier","Normal")</f>
        <v>Normal</v>
      </c>
      <c r="G1060" s="8" t="str">
        <f>IF(OR(C1060&lt;outliers!$B$14,C1060&gt;outliers!$B$13),"Outlier","Normal")</f>
        <v>Normal</v>
      </c>
      <c r="H1060" s="8" t="str">
        <f>IF(OR(D1060&lt;outliers!$B$21,D1060&gt;outliers!$B$20),"Outlier","Normal")</f>
        <v>Normal</v>
      </c>
      <c r="I1060" s="8" t="str">
        <f>IF(OR(E1060&lt;outliers!$C$28,E1060&gt;outliers!$B$27),"Outlier","Normal")</f>
        <v>Normal</v>
      </c>
      <c r="J1060" s="8">
        <f t="shared" si="32"/>
        <v>2021</v>
      </c>
      <c r="K1060">
        <f t="shared" si="33"/>
        <v>10</v>
      </c>
    </row>
    <row r="1061" spans="1:11" x14ac:dyDescent="0.35">
      <c r="A1061" s="13">
        <v>44497</v>
      </c>
      <c r="B1061" s="8">
        <v>22</v>
      </c>
      <c r="C1061" s="8">
        <v>17.2</v>
      </c>
      <c r="D1061" s="8">
        <v>27.4</v>
      </c>
      <c r="E1061" s="8">
        <v>0.1</v>
      </c>
      <c r="F1061" s="8" t="str">
        <f>IF(OR(B1061&lt;outliers!$B$7,B1061&gt;outliers!$B$6),"Outlier","Normal")</f>
        <v>Normal</v>
      </c>
      <c r="G1061" s="8" t="str">
        <f>IF(OR(C1061&lt;outliers!$B$14,C1061&gt;outliers!$B$13),"Outlier","Normal")</f>
        <v>Normal</v>
      </c>
      <c r="H1061" s="8" t="str">
        <f>IF(OR(D1061&lt;outliers!$B$21,D1061&gt;outliers!$B$20),"Outlier","Normal")</f>
        <v>Normal</v>
      </c>
      <c r="I1061" s="8" t="str">
        <f>IF(OR(E1061&lt;outliers!$C$28,E1061&gt;outliers!$B$27),"Outlier","Normal")</f>
        <v>Normal</v>
      </c>
      <c r="J1061" s="8">
        <f t="shared" si="32"/>
        <v>2021</v>
      </c>
      <c r="K1061">
        <f t="shared" si="33"/>
        <v>10</v>
      </c>
    </row>
    <row r="1062" spans="1:11" hidden="1" x14ac:dyDescent="0.35">
      <c r="A1062" s="13">
        <v>44498</v>
      </c>
      <c r="B1062" s="8">
        <v>21.6</v>
      </c>
      <c r="C1062" s="8">
        <v>18.899999999999999</v>
      </c>
      <c r="D1062" s="8">
        <v>25.7</v>
      </c>
      <c r="E1062" s="8">
        <v>10.3</v>
      </c>
      <c r="F1062" s="8" t="str">
        <f>IF(OR(B1062&lt;outliers!$B$7,B1062&gt;outliers!$B$6),"Outlier","Normal")</f>
        <v>Normal</v>
      </c>
      <c r="G1062" s="8" t="str">
        <f>IF(OR(C1062&lt;outliers!$B$14,C1062&gt;outliers!$B$13),"Outlier","Normal")</f>
        <v>Normal</v>
      </c>
      <c r="H1062" s="8" t="str">
        <f>IF(OR(D1062&lt;outliers!$B$21,D1062&gt;outliers!$B$20),"Outlier","Normal")</f>
        <v>Normal</v>
      </c>
      <c r="I1062" s="8" t="str">
        <f>IF(OR(E1062&lt;outliers!$C$28,E1062&gt;outliers!$B$27),"Outlier","Normal")</f>
        <v>Outlier</v>
      </c>
      <c r="J1062" s="8">
        <f t="shared" si="32"/>
        <v>2021</v>
      </c>
      <c r="K1062">
        <f t="shared" si="33"/>
        <v>10</v>
      </c>
    </row>
    <row r="1063" spans="1:11" x14ac:dyDescent="0.35">
      <c r="A1063" s="13">
        <v>44499</v>
      </c>
      <c r="B1063" s="8">
        <v>22.5</v>
      </c>
      <c r="C1063" s="8">
        <v>19.899999999999999</v>
      </c>
      <c r="D1063" s="8">
        <v>26.8</v>
      </c>
      <c r="E1063" s="8">
        <v>5</v>
      </c>
      <c r="F1063" s="8" t="str">
        <f>IF(OR(B1063&lt;outliers!$B$7,B1063&gt;outliers!$B$6),"Outlier","Normal")</f>
        <v>Normal</v>
      </c>
      <c r="G1063" s="8" t="str">
        <f>IF(OR(C1063&lt;outliers!$B$14,C1063&gt;outliers!$B$13),"Outlier","Normal")</f>
        <v>Normal</v>
      </c>
      <c r="H1063" s="8" t="str">
        <f>IF(OR(D1063&lt;outliers!$B$21,D1063&gt;outliers!$B$20),"Outlier","Normal")</f>
        <v>Normal</v>
      </c>
      <c r="I1063" s="8" t="str">
        <f>IF(OR(E1063&lt;outliers!$C$28,E1063&gt;outliers!$B$27),"Outlier","Normal")</f>
        <v>Normal</v>
      </c>
      <c r="J1063" s="8">
        <f t="shared" si="32"/>
        <v>2021</v>
      </c>
      <c r="K1063">
        <f t="shared" si="33"/>
        <v>10</v>
      </c>
    </row>
    <row r="1064" spans="1:11" x14ac:dyDescent="0.35">
      <c r="A1064" s="13">
        <v>44500</v>
      </c>
      <c r="B1064" s="8">
        <v>22.3</v>
      </c>
      <c r="C1064" s="8">
        <v>19.7</v>
      </c>
      <c r="D1064" s="8">
        <v>26.8</v>
      </c>
      <c r="E1064" s="8">
        <v>8.6</v>
      </c>
      <c r="F1064" s="8" t="str">
        <f>IF(OR(B1064&lt;outliers!$B$7,B1064&gt;outliers!$B$6),"Outlier","Normal")</f>
        <v>Normal</v>
      </c>
      <c r="G1064" s="8" t="str">
        <f>IF(OR(C1064&lt;outliers!$B$14,C1064&gt;outliers!$B$13),"Outlier","Normal")</f>
        <v>Normal</v>
      </c>
      <c r="H1064" s="8" t="str">
        <f>IF(OR(D1064&lt;outliers!$B$21,D1064&gt;outliers!$B$20),"Outlier","Normal")</f>
        <v>Normal</v>
      </c>
      <c r="I1064" s="8" t="str">
        <f>IF(OR(E1064&lt;outliers!$C$28,E1064&gt;outliers!$B$27),"Outlier","Normal")</f>
        <v>Normal</v>
      </c>
      <c r="J1064" s="8">
        <f t="shared" si="32"/>
        <v>2021</v>
      </c>
      <c r="K1064">
        <f t="shared" si="33"/>
        <v>10</v>
      </c>
    </row>
    <row r="1065" spans="1:11" x14ac:dyDescent="0.35">
      <c r="A1065" s="13">
        <v>44501</v>
      </c>
      <c r="B1065" s="8">
        <v>21.7</v>
      </c>
      <c r="C1065" s="8">
        <v>19.600000000000001</v>
      </c>
      <c r="D1065" s="8">
        <v>26.8</v>
      </c>
      <c r="E1065" s="8">
        <v>8.6999999999999993</v>
      </c>
      <c r="F1065" s="8" t="str">
        <f>IF(OR(B1065&lt;outliers!$B$7,B1065&gt;outliers!$B$6),"Outlier","Normal")</f>
        <v>Normal</v>
      </c>
      <c r="G1065" s="8" t="str">
        <f>IF(OR(C1065&lt;outliers!$B$14,C1065&gt;outliers!$B$13),"Outlier","Normal")</f>
        <v>Normal</v>
      </c>
      <c r="H1065" s="8" t="str">
        <f>IF(OR(D1065&lt;outliers!$B$21,D1065&gt;outliers!$B$20),"Outlier","Normal")</f>
        <v>Normal</v>
      </c>
      <c r="I1065" s="8" t="str">
        <f>IF(OR(E1065&lt;outliers!$C$28,E1065&gt;outliers!$B$27),"Outlier","Normal")</f>
        <v>Normal</v>
      </c>
      <c r="J1065" s="8">
        <f t="shared" si="32"/>
        <v>2021</v>
      </c>
      <c r="K1065">
        <f t="shared" si="33"/>
        <v>11</v>
      </c>
    </row>
    <row r="1066" spans="1:11" x14ac:dyDescent="0.35">
      <c r="A1066" s="13">
        <v>44502</v>
      </c>
      <c r="B1066" s="8">
        <v>21.9</v>
      </c>
      <c r="C1066" s="8">
        <v>19.5</v>
      </c>
      <c r="D1066" s="8">
        <v>25.9</v>
      </c>
      <c r="E1066" s="8">
        <v>5.3</v>
      </c>
      <c r="F1066" s="8" t="str">
        <f>IF(OR(B1066&lt;outliers!$B$7,B1066&gt;outliers!$B$6),"Outlier","Normal")</f>
        <v>Normal</v>
      </c>
      <c r="G1066" s="8" t="str">
        <f>IF(OR(C1066&lt;outliers!$B$14,C1066&gt;outliers!$B$13),"Outlier","Normal")</f>
        <v>Normal</v>
      </c>
      <c r="H1066" s="8" t="str">
        <f>IF(OR(D1066&lt;outliers!$B$21,D1066&gt;outliers!$B$20),"Outlier","Normal")</f>
        <v>Normal</v>
      </c>
      <c r="I1066" s="8" t="str">
        <f>IF(OR(E1066&lt;outliers!$C$28,E1066&gt;outliers!$B$27),"Outlier","Normal")</f>
        <v>Normal</v>
      </c>
      <c r="J1066" s="8">
        <f t="shared" si="32"/>
        <v>2021</v>
      </c>
      <c r="K1066">
        <f t="shared" si="33"/>
        <v>11</v>
      </c>
    </row>
    <row r="1067" spans="1:11" x14ac:dyDescent="0.35">
      <c r="A1067" s="13">
        <v>44503</v>
      </c>
      <c r="B1067" s="8">
        <v>22.3</v>
      </c>
      <c r="C1067" s="8">
        <v>20.2</v>
      </c>
      <c r="D1067" s="8">
        <v>26.8</v>
      </c>
      <c r="E1067" s="8">
        <v>0</v>
      </c>
      <c r="F1067" s="8" t="str">
        <f>IF(OR(B1067&lt;outliers!$B$7,B1067&gt;outliers!$B$6),"Outlier","Normal")</f>
        <v>Normal</v>
      </c>
      <c r="G1067" s="8" t="str">
        <f>IF(OR(C1067&lt;outliers!$B$14,C1067&gt;outliers!$B$13),"Outlier","Normal")</f>
        <v>Normal</v>
      </c>
      <c r="H1067" s="8" t="str">
        <f>IF(OR(D1067&lt;outliers!$B$21,D1067&gt;outliers!$B$20),"Outlier","Normal")</f>
        <v>Normal</v>
      </c>
      <c r="I1067" s="8" t="str">
        <f>IF(OR(E1067&lt;outliers!$C$28,E1067&gt;outliers!$B$27),"Outlier","Normal")</f>
        <v>Normal</v>
      </c>
      <c r="J1067" s="8">
        <f t="shared" si="32"/>
        <v>2021</v>
      </c>
      <c r="K1067">
        <f t="shared" si="33"/>
        <v>11</v>
      </c>
    </row>
    <row r="1068" spans="1:11" hidden="1" x14ac:dyDescent="0.35">
      <c r="A1068" s="13">
        <v>44504</v>
      </c>
      <c r="B1068" s="8">
        <v>22.1</v>
      </c>
      <c r="C1068" s="8">
        <v>19.399999999999999</v>
      </c>
      <c r="D1068" s="8">
        <v>27</v>
      </c>
      <c r="E1068" s="8">
        <v>10.7</v>
      </c>
      <c r="F1068" s="8" t="str">
        <f>IF(OR(B1068&lt;outliers!$B$7,B1068&gt;outliers!$B$6),"Outlier","Normal")</f>
        <v>Normal</v>
      </c>
      <c r="G1068" s="8" t="str">
        <f>IF(OR(C1068&lt;outliers!$B$14,C1068&gt;outliers!$B$13),"Outlier","Normal")</f>
        <v>Normal</v>
      </c>
      <c r="H1068" s="8" t="str">
        <f>IF(OR(D1068&lt;outliers!$B$21,D1068&gt;outliers!$B$20),"Outlier","Normal")</f>
        <v>Normal</v>
      </c>
      <c r="I1068" s="8" t="str">
        <f>IF(OR(E1068&lt;outliers!$C$28,E1068&gt;outliers!$B$27),"Outlier","Normal")</f>
        <v>Outlier</v>
      </c>
      <c r="J1068" s="8">
        <f t="shared" si="32"/>
        <v>2021</v>
      </c>
      <c r="K1068">
        <f t="shared" si="33"/>
        <v>11</v>
      </c>
    </row>
    <row r="1069" spans="1:11" hidden="1" x14ac:dyDescent="0.35">
      <c r="A1069" s="13">
        <v>44505</v>
      </c>
      <c r="B1069" s="8">
        <v>21.7</v>
      </c>
      <c r="C1069" s="8">
        <v>19.2</v>
      </c>
      <c r="D1069" s="8">
        <v>28.4</v>
      </c>
      <c r="E1069" s="8">
        <v>55.9</v>
      </c>
      <c r="F1069" s="8" t="str">
        <f>IF(OR(B1069&lt;outliers!$B$7,B1069&gt;outliers!$B$6),"Outlier","Normal")</f>
        <v>Normal</v>
      </c>
      <c r="G1069" s="8" t="str">
        <f>IF(OR(C1069&lt;outliers!$B$14,C1069&gt;outliers!$B$13),"Outlier","Normal")</f>
        <v>Normal</v>
      </c>
      <c r="H1069" s="8" t="str">
        <f>IF(OR(D1069&lt;outliers!$B$21,D1069&gt;outliers!$B$20),"Outlier","Normal")</f>
        <v>Normal</v>
      </c>
      <c r="I1069" s="8" t="str">
        <f>IF(OR(E1069&lt;outliers!$C$28,E1069&gt;outliers!$B$27),"Outlier","Normal")</f>
        <v>Outlier</v>
      </c>
      <c r="J1069" s="8">
        <f t="shared" si="32"/>
        <v>2021</v>
      </c>
      <c r="K1069">
        <f t="shared" si="33"/>
        <v>11</v>
      </c>
    </row>
    <row r="1070" spans="1:11" x14ac:dyDescent="0.35">
      <c r="A1070" s="13">
        <v>44506</v>
      </c>
      <c r="B1070" s="8">
        <v>22.8</v>
      </c>
      <c r="C1070" s="8">
        <v>18.3</v>
      </c>
      <c r="D1070" s="8">
        <v>26.6</v>
      </c>
      <c r="E1070" s="8">
        <v>0</v>
      </c>
      <c r="F1070" s="8" t="str">
        <f>IF(OR(B1070&lt;outliers!$B$7,B1070&gt;outliers!$B$6),"Outlier","Normal")</f>
        <v>Normal</v>
      </c>
      <c r="G1070" s="8" t="str">
        <f>IF(OR(C1070&lt;outliers!$B$14,C1070&gt;outliers!$B$13),"Outlier","Normal")</f>
        <v>Normal</v>
      </c>
      <c r="H1070" s="8" t="str">
        <f>IF(OR(D1070&lt;outliers!$B$21,D1070&gt;outliers!$B$20),"Outlier","Normal")</f>
        <v>Normal</v>
      </c>
      <c r="I1070" s="8" t="str">
        <f>IF(OR(E1070&lt;outliers!$C$28,E1070&gt;outliers!$B$27),"Outlier","Normal")</f>
        <v>Normal</v>
      </c>
      <c r="J1070" s="8">
        <f t="shared" si="32"/>
        <v>2021</v>
      </c>
      <c r="K1070">
        <f t="shared" si="33"/>
        <v>11</v>
      </c>
    </row>
    <row r="1071" spans="1:11" x14ac:dyDescent="0.35">
      <c r="A1071" s="13">
        <v>44507</v>
      </c>
      <c r="B1071" s="8">
        <v>21</v>
      </c>
      <c r="C1071" s="8">
        <v>19.2</v>
      </c>
      <c r="D1071" s="8">
        <v>23.6</v>
      </c>
      <c r="E1071" s="8">
        <v>3.7</v>
      </c>
      <c r="F1071" s="8" t="str">
        <f>IF(OR(B1071&lt;outliers!$B$7,B1071&gt;outliers!$B$6),"Outlier","Normal")</f>
        <v>Normal</v>
      </c>
      <c r="G1071" s="8" t="str">
        <f>IF(OR(C1071&lt;outliers!$B$14,C1071&gt;outliers!$B$13),"Outlier","Normal")</f>
        <v>Normal</v>
      </c>
      <c r="H1071" s="8" t="str">
        <f>IF(OR(D1071&lt;outliers!$B$21,D1071&gt;outliers!$B$20),"Outlier","Normal")</f>
        <v>Normal</v>
      </c>
      <c r="I1071" s="8" t="str">
        <f>IF(OR(E1071&lt;outliers!$C$28,E1071&gt;outliers!$B$27),"Outlier","Normal")</f>
        <v>Normal</v>
      </c>
      <c r="J1071" s="8">
        <f t="shared" si="32"/>
        <v>2021</v>
      </c>
      <c r="K1071">
        <f t="shared" si="33"/>
        <v>11</v>
      </c>
    </row>
    <row r="1072" spans="1:11" x14ac:dyDescent="0.35">
      <c r="A1072" s="13">
        <v>44508</v>
      </c>
      <c r="B1072" s="8">
        <v>20.5</v>
      </c>
      <c r="C1072" s="8">
        <v>19.5</v>
      </c>
      <c r="D1072" s="8">
        <v>24.5</v>
      </c>
      <c r="E1072" s="8">
        <v>2</v>
      </c>
      <c r="F1072" s="8" t="str">
        <f>IF(OR(B1072&lt;outliers!$B$7,B1072&gt;outliers!$B$6),"Outlier","Normal")</f>
        <v>Normal</v>
      </c>
      <c r="G1072" s="8" t="str">
        <f>IF(OR(C1072&lt;outliers!$B$14,C1072&gt;outliers!$B$13),"Outlier","Normal")</f>
        <v>Normal</v>
      </c>
      <c r="H1072" s="8" t="str">
        <f>IF(OR(D1072&lt;outliers!$B$21,D1072&gt;outliers!$B$20),"Outlier","Normal")</f>
        <v>Normal</v>
      </c>
      <c r="I1072" s="8" t="str">
        <f>IF(OR(E1072&lt;outliers!$C$28,E1072&gt;outliers!$B$27),"Outlier","Normal")</f>
        <v>Normal</v>
      </c>
      <c r="J1072" s="8">
        <f t="shared" si="32"/>
        <v>2021</v>
      </c>
      <c r="K1072">
        <f t="shared" si="33"/>
        <v>11</v>
      </c>
    </row>
    <row r="1073" spans="1:11" x14ac:dyDescent="0.35">
      <c r="A1073" s="13">
        <v>44509</v>
      </c>
      <c r="B1073" s="8">
        <v>21.4</v>
      </c>
      <c r="C1073" s="8">
        <v>18.2</v>
      </c>
      <c r="D1073" s="8">
        <v>25.6</v>
      </c>
      <c r="E1073" s="8">
        <v>1</v>
      </c>
      <c r="F1073" s="8" t="str">
        <f>IF(OR(B1073&lt;outliers!$B$7,B1073&gt;outliers!$B$6),"Outlier","Normal")</f>
        <v>Normal</v>
      </c>
      <c r="G1073" s="8" t="str">
        <f>IF(OR(C1073&lt;outliers!$B$14,C1073&gt;outliers!$B$13),"Outlier","Normal")</f>
        <v>Normal</v>
      </c>
      <c r="H1073" s="8" t="str">
        <f>IF(OR(D1073&lt;outliers!$B$21,D1073&gt;outliers!$B$20),"Outlier","Normal")</f>
        <v>Normal</v>
      </c>
      <c r="I1073" s="8" t="str">
        <f>IF(OR(E1073&lt;outliers!$C$28,E1073&gt;outliers!$B$27),"Outlier","Normal")</f>
        <v>Normal</v>
      </c>
      <c r="J1073" s="8">
        <f t="shared" si="32"/>
        <v>2021</v>
      </c>
      <c r="K1073">
        <f t="shared" si="33"/>
        <v>11</v>
      </c>
    </row>
    <row r="1074" spans="1:11" x14ac:dyDescent="0.35">
      <c r="A1074" s="13">
        <v>44510</v>
      </c>
      <c r="B1074" s="8">
        <v>20.7</v>
      </c>
      <c r="C1074" s="8">
        <v>17.399999999999999</v>
      </c>
      <c r="D1074" s="8">
        <v>26.6</v>
      </c>
      <c r="E1074" s="8">
        <v>0</v>
      </c>
      <c r="F1074" s="8" t="str">
        <f>IF(OR(B1074&lt;outliers!$B$7,B1074&gt;outliers!$B$6),"Outlier","Normal")</f>
        <v>Normal</v>
      </c>
      <c r="G1074" s="8" t="str">
        <f>IF(OR(C1074&lt;outliers!$B$14,C1074&gt;outliers!$B$13),"Outlier","Normal")</f>
        <v>Normal</v>
      </c>
      <c r="H1074" s="8" t="str">
        <f>IF(OR(D1074&lt;outliers!$B$21,D1074&gt;outliers!$B$20),"Outlier","Normal")</f>
        <v>Normal</v>
      </c>
      <c r="I1074" s="8" t="str">
        <f>IF(OR(E1074&lt;outliers!$C$28,E1074&gt;outliers!$B$27),"Outlier","Normal")</f>
        <v>Normal</v>
      </c>
      <c r="J1074" s="8">
        <f t="shared" si="32"/>
        <v>2021</v>
      </c>
      <c r="K1074">
        <f t="shared" si="33"/>
        <v>11</v>
      </c>
    </row>
    <row r="1075" spans="1:11" hidden="1" x14ac:dyDescent="0.35">
      <c r="A1075" s="13">
        <v>44512</v>
      </c>
      <c r="B1075" s="8">
        <v>20.399999999999999</v>
      </c>
      <c r="C1075" s="8">
        <v>16.8</v>
      </c>
      <c r="D1075" s="8">
        <v>22.5</v>
      </c>
      <c r="E1075" s="8">
        <v>19.100000000000001</v>
      </c>
      <c r="F1075" s="8" t="str">
        <f>IF(OR(B1075&lt;outliers!$B$7,B1075&gt;outliers!$B$6),"Outlier","Normal")</f>
        <v>Normal</v>
      </c>
      <c r="G1075" s="8" t="str">
        <f>IF(OR(C1075&lt;outliers!$B$14,C1075&gt;outliers!$B$13),"Outlier","Normal")</f>
        <v>Outlier</v>
      </c>
      <c r="H1075" s="8" t="str">
        <f>IF(OR(D1075&lt;outliers!$B$21,D1075&gt;outliers!$B$20),"Outlier","Normal")</f>
        <v>Normal</v>
      </c>
      <c r="I1075" s="8" t="str">
        <f>IF(OR(E1075&lt;outliers!$C$28,E1075&gt;outliers!$B$27),"Outlier","Normal")</f>
        <v>Outlier</v>
      </c>
      <c r="J1075" s="8">
        <f t="shared" si="32"/>
        <v>2021</v>
      </c>
      <c r="K1075">
        <f t="shared" si="33"/>
        <v>11</v>
      </c>
    </row>
    <row r="1076" spans="1:11" x14ac:dyDescent="0.35">
      <c r="A1076" s="13">
        <v>44513</v>
      </c>
      <c r="B1076" s="8">
        <v>21.8</v>
      </c>
      <c r="C1076" s="8">
        <v>20.100000000000001</v>
      </c>
      <c r="D1076" s="8">
        <v>24.7</v>
      </c>
      <c r="E1076" s="8">
        <v>6.6</v>
      </c>
      <c r="F1076" s="8" t="str">
        <f>IF(OR(B1076&lt;outliers!$B$7,B1076&gt;outliers!$B$6),"Outlier","Normal")</f>
        <v>Normal</v>
      </c>
      <c r="G1076" s="8" t="str">
        <f>IF(OR(C1076&lt;outliers!$B$14,C1076&gt;outliers!$B$13),"Outlier","Normal")</f>
        <v>Normal</v>
      </c>
      <c r="H1076" s="8" t="str">
        <f>IF(OR(D1076&lt;outliers!$B$21,D1076&gt;outliers!$B$20),"Outlier","Normal")</f>
        <v>Normal</v>
      </c>
      <c r="I1076" s="8" t="str">
        <f>IF(OR(E1076&lt;outliers!$C$28,E1076&gt;outliers!$B$27),"Outlier","Normal")</f>
        <v>Normal</v>
      </c>
      <c r="J1076" s="8">
        <f t="shared" si="32"/>
        <v>2021</v>
      </c>
      <c r="K1076">
        <f t="shared" si="33"/>
        <v>11</v>
      </c>
    </row>
    <row r="1077" spans="1:11" x14ac:dyDescent="0.35">
      <c r="A1077" s="13">
        <v>44514</v>
      </c>
      <c r="B1077" s="8">
        <v>22.4</v>
      </c>
      <c r="C1077" s="8">
        <v>19.100000000000001</v>
      </c>
      <c r="D1077" s="8">
        <v>26</v>
      </c>
      <c r="E1077" s="8">
        <v>0</v>
      </c>
      <c r="F1077" s="8" t="str">
        <f>IF(OR(B1077&lt;outliers!$B$7,B1077&gt;outliers!$B$6),"Outlier","Normal")</f>
        <v>Normal</v>
      </c>
      <c r="G1077" s="8" t="str">
        <f>IF(OR(C1077&lt;outliers!$B$14,C1077&gt;outliers!$B$13),"Outlier","Normal")</f>
        <v>Normal</v>
      </c>
      <c r="H1077" s="8" t="str">
        <f>IF(OR(D1077&lt;outliers!$B$21,D1077&gt;outliers!$B$20),"Outlier","Normal")</f>
        <v>Normal</v>
      </c>
      <c r="I1077" s="8" t="str">
        <f>IF(OR(E1077&lt;outliers!$C$28,E1077&gt;outliers!$B$27),"Outlier","Normal")</f>
        <v>Normal</v>
      </c>
      <c r="J1077" s="8">
        <f t="shared" si="32"/>
        <v>2021</v>
      </c>
      <c r="K1077">
        <f t="shared" si="33"/>
        <v>11</v>
      </c>
    </row>
    <row r="1078" spans="1:11" x14ac:dyDescent="0.35">
      <c r="A1078" s="13">
        <v>44515</v>
      </c>
      <c r="B1078" s="8">
        <v>22.8</v>
      </c>
      <c r="C1078" s="8">
        <v>20.7</v>
      </c>
      <c r="D1078" s="8">
        <v>26.2</v>
      </c>
      <c r="E1078" s="8">
        <v>1</v>
      </c>
      <c r="F1078" s="8" t="str">
        <f>IF(OR(B1078&lt;outliers!$B$7,B1078&gt;outliers!$B$6),"Outlier","Normal")</f>
        <v>Normal</v>
      </c>
      <c r="G1078" s="8" t="str">
        <f>IF(OR(C1078&lt;outliers!$B$14,C1078&gt;outliers!$B$13),"Outlier","Normal")</f>
        <v>Normal</v>
      </c>
      <c r="H1078" s="8" t="str">
        <f>IF(OR(D1078&lt;outliers!$B$21,D1078&gt;outliers!$B$20),"Outlier","Normal")</f>
        <v>Normal</v>
      </c>
      <c r="I1078" s="8" t="str">
        <f>IF(OR(E1078&lt;outliers!$C$28,E1078&gt;outliers!$B$27),"Outlier","Normal")</f>
        <v>Normal</v>
      </c>
      <c r="J1078" s="8">
        <f t="shared" si="32"/>
        <v>2021</v>
      </c>
      <c r="K1078">
        <f t="shared" si="33"/>
        <v>11</v>
      </c>
    </row>
    <row r="1079" spans="1:11" hidden="1" x14ac:dyDescent="0.35">
      <c r="A1079" s="13">
        <v>44516</v>
      </c>
      <c r="B1079" s="8">
        <v>22.8</v>
      </c>
      <c r="C1079" s="8">
        <v>18.899999999999999</v>
      </c>
      <c r="D1079" s="8">
        <v>26.4</v>
      </c>
      <c r="E1079" s="8">
        <v>52.1</v>
      </c>
      <c r="F1079" s="8" t="str">
        <f>IF(OR(B1079&lt;outliers!$B$7,B1079&gt;outliers!$B$6),"Outlier","Normal")</f>
        <v>Normal</v>
      </c>
      <c r="G1079" s="8" t="str">
        <f>IF(OR(C1079&lt;outliers!$B$14,C1079&gt;outliers!$B$13),"Outlier","Normal")</f>
        <v>Normal</v>
      </c>
      <c r="H1079" s="8" t="str">
        <f>IF(OR(D1079&lt;outliers!$B$21,D1079&gt;outliers!$B$20),"Outlier","Normal")</f>
        <v>Normal</v>
      </c>
      <c r="I1079" s="8" t="str">
        <f>IF(OR(E1079&lt;outliers!$C$28,E1079&gt;outliers!$B$27),"Outlier","Normal")</f>
        <v>Outlier</v>
      </c>
      <c r="J1079" s="8">
        <f t="shared" si="32"/>
        <v>2021</v>
      </c>
      <c r="K1079">
        <f t="shared" si="33"/>
        <v>11</v>
      </c>
    </row>
    <row r="1080" spans="1:11" x14ac:dyDescent="0.35">
      <c r="A1080" s="13">
        <v>44517</v>
      </c>
      <c r="B1080" s="8">
        <v>22.5</v>
      </c>
      <c r="C1080" s="8">
        <v>19.8</v>
      </c>
      <c r="D1080" s="8">
        <v>27.6</v>
      </c>
      <c r="E1080" s="8">
        <v>0.8</v>
      </c>
      <c r="F1080" s="8" t="str">
        <f>IF(OR(B1080&lt;outliers!$B$7,B1080&gt;outliers!$B$6),"Outlier","Normal")</f>
        <v>Normal</v>
      </c>
      <c r="G1080" s="8" t="str">
        <f>IF(OR(C1080&lt;outliers!$B$14,C1080&gt;outliers!$B$13),"Outlier","Normal")</f>
        <v>Normal</v>
      </c>
      <c r="H1080" s="8" t="str">
        <f>IF(OR(D1080&lt;outliers!$B$21,D1080&gt;outliers!$B$20),"Outlier","Normal")</f>
        <v>Normal</v>
      </c>
      <c r="I1080" s="8" t="str">
        <f>IF(OR(E1080&lt;outliers!$C$28,E1080&gt;outliers!$B$27),"Outlier","Normal")</f>
        <v>Normal</v>
      </c>
      <c r="J1080" s="8">
        <f t="shared" si="32"/>
        <v>2021</v>
      </c>
      <c r="K1080">
        <f t="shared" si="33"/>
        <v>11</v>
      </c>
    </row>
    <row r="1081" spans="1:11" x14ac:dyDescent="0.35">
      <c r="A1081" s="13">
        <v>44518</v>
      </c>
      <c r="B1081" s="8">
        <v>20.6</v>
      </c>
      <c r="C1081" s="8">
        <v>20</v>
      </c>
      <c r="D1081" s="8">
        <v>27.2</v>
      </c>
      <c r="E1081" s="8">
        <v>3.6</v>
      </c>
      <c r="F1081" s="8" t="str">
        <f>IF(OR(B1081&lt;outliers!$B$7,B1081&gt;outliers!$B$6),"Outlier","Normal")</f>
        <v>Normal</v>
      </c>
      <c r="G1081" s="8" t="str">
        <f>IF(OR(C1081&lt;outliers!$B$14,C1081&gt;outliers!$B$13),"Outlier","Normal")</f>
        <v>Normal</v>
      </c>
      <c r="H1081" s="8" t="str">
        <f>IF(OR(D1081&lt;outliers!$B$21,D1081&gt;outliers!$B$20),"Outlier","Normal")</f>
        <v>Normal</v>
      </c>
      <c r="I1081" s="8" t="str">
        <f>IF(OR(E1081&lt;outliers!$C$28,E1081&gt;outliers!$B$27),"Outlier","Normal")</f>
        <v>Normal</v>
      </c>
      <c r="J1081" s="8">
        <f t="shared" si="32"/>
        <v>2021</v>
      </c>
      <c r="K1081">
        <f t="shared" si="33"/>
        <v>11</v>
      </c>
    </row>
    <row r="1082" spans="1:11" hidden="1" x14ac:dyDescent="0.35">
      <c r="A1082" s="13">
        <v>44519</v>
      </c>
      <c r="B1082" s="8">
        <v>21.1</v>
      </c>
      <c r="C1082" s="8">
        <v>19.8</v>
      </c>
      <c r="D1082" s="8">
        <v>23.2</v>
      </c>
      <c r="E1082" s="8">
        <v>73.400000000000006</v>
      </c>
      <c r="F1082" s="8" t="str">
        <f>IF(OR(B1082&lt;outliers!$B$7,B1082&gt;outliers!$B$6),"Outlier","Normal")</f>
        <v>Normal</v>
      </c>
      <c r="G1082" s="8" t="str">
        <f>IF(OR(C1082&lt;outliers!$B$14,C1082&gt;outliers!$B$13),"Outlier","Normal")</f>
        <v>Normal</v>
      </c>
      <c r="H1082" s="8" t="str">
        <f>IF(OR(D1082&lt;outliers!$B$21,D1082&gt;outliers!$B$20),"Outlier","Normal")</f>
        <v>Normal</v>
      </c>
      <c r="I1082" s="8" t="str">
        <f>IF(OR(E1082&lt;outliers!$C$28,E1082&gt;outliers!$B$27),"Outlier","Normal")</f>
        <v>Outlier</v>
      </c>
      <c r="J1082" s="8">
        <f t="shared" si="32"/>
        <v>2021</v>
      </c>
      <c r="K1082">
        <f t="shared" si="33"/>
        <v>11</v>
      </c>
    </row>
    <row r="1083" spans="1:11" x14ac:dyDescent="0.35">
      <c r="A1083" s="13">
        <v>44520</v>
      </c>
      <c r="B1083" s="8">
        <v>21.1</v>
      </c>
      <c r="C1083" s="8">
        <v>20.100000000000001</v>
      </c>
      <c r="D1083" s="8">
        <v>22.6</v>
      </c>
      <c r="E1083" s="8">
        <v>3.8</v>
      </c>
      <c r="F1083" s="8" t="str">
        <f>IF(OR(B1083&lt;outliers!$B$7,B1083&gt;outliers!$B$6),"Outlier","Normal")</f>
        <v>Normal</v>
      </c>
      <c r="G1083" s="8" t="str">
        <f>IF(OR(C1083&lt;outliers!$B$14,C1083&gt;outliers!$B$13),"Outlier","Normal")</f>
        <v>Normal</v>
      </c>
      <c r="H1083" s="8" t="str">
        <f>IF(OR(D1083&lt;outliers!$B$21,D1083&gt;outliers!$B$20),"Outlier","Normal")</f>
        <v>Normal</v>
      </c>
      <c r="I1083" s="8" t="str">
        <f>IF(OR(E1083&lt;outliers!$C$28,E1083&gt;outliers!$B$27),"Outlier","Normal")</f>
        <v>Normal</v>
      </c>
      <c r="J1083" s="8">
        <f t="shared" si="32"/>
        <v>2021</v>
      </c>
      <c r="K1083">
        <f t="shared" si="33"/>
        <v>11</v>
      </c>
    </row>
    <row r="1084" spans="1:11" x14ac:dyDescent="0.35">
      <c r="A1084" s="13">
        <v>44521</v>
      </c>
      <c r="B1084" s="8">
        <v>22.5</v>
      </c>
      <c r="C1084" s="8">
        <v>19.3</v>
      </c>
      <c r="D1084" s="8">
        <v>26.2</v>
      </c>
      <c r="E1084" s="8">
        <v>2.2999999999999998</v>
      </c>
      <c r="F1084" s="8" t="str">
        <f>IF(OR(B1084&lt;outliers!$B$7,B1084&gt;outliers!$B$6),"Outlier","Normal")</f>
        <v>Normal</v>
      </c>
      <c r="G1084" s="8" t="str">
        <f>IF(OR(C1084&lt;outliers!$B$14,C1084&gt;outliers!$B$13),"Outlier","Normal")</f>
        <v>Normal</v>
      </c>
      <c r="H1084" s="8" t="str">
        <f>IF(OR(D1084&lt;outliers!$B$21,D1084&gt;outliers!$B$20),"Outlier","Normal")</f>
        <v>Normal</v>
      </c>
      <c r="I1084" s="8" t="str">
        <f>IF(OR(E1084&lt;outliers!$C$28,E1084&gt;outliers!$B$27),"Outlier","Normal")</f>
        <v>Normal</v>
      </c>
      <c r="J1084" s="8">
        <f t="shared" si="32"/>
        <v>2021</v>
      </c>
      <c r="K1084">
        <f t="shared" si="33"/>
        <v>11</v>
      </c>
    </row>
    <row r="1085" spans="1:11" x14ac:dyDescent="0.35">
      <c r="A1085" s="13">
        <v>44522</v>
      </c>
      <c r="B1085" s="8">
        <v>22.8</v>
      </c>
      <c r="C1085" s="8">
        <v>20.5</v>
      </c>
      <c r="D1085" s="8">
        <v>26.5</v>
      </c>
      <c r="E1085" s="8">
        <v>5.0999999999999996</v>
      </c>
      <c r="F1085" s="8" t="str">
        <f>IF(OR(B1085&lt;outliers!$B$7,B1085&gt;outliers!$B$6),"Outlier","Normal")</f>
        <v>Normal</v>
      </c>
      <c r="G1085" s="8" t="str">
        <f>IF(OR(C1085&lt;outliers!$B$14,C1085&gt;outliers!$B$13),"Outlier","Normal")</f>
        <v>Normal</v>
      </c>
      <c r="H1085" s="8" t="str">
        <f>IF(OR(D1085&lt;outliers!$B$21,D1085&gt;outliers!$B$20),"Outlier","Normal")</f>
        <v>Normal</v>
      </c>
      <c r="I1085" s="8" t="str">
        <f>IF(OR(E1085&lt;outliers!$C$28,E1085&gt;outliers!$B$27),"Outlier","Normal")</f>
        <v>Normal</v>
      </c>
      <c r="J1085" s="8">
        <f t="shared" si="32"/>
        <v>2021</v>
      </c>
      <c r="K1085">
        <f t="shared" si="33"/>
        <v>11</v>
      </c>
    </row>
    <row r="1086" spans="1:11" x14ac:dyDescent="0.35">
      <c r="A1086" s="13">
        <v>44523</v>
      </c>
      <c r="B1086" s="8">
        <v>24.2</v>
      </c>
      <c r="C1086" s="8">
        <v>20.100000000000001</v>
      </c>
      <c r="D1086" s="8">
        <v>28.4</v>
      </c>
      <c r="E1086" s="8">
        <v>0</v>
      </c>
      <c r="F1086" s="8" t="str">
        <f>IF(OR(B1086&lt;outliers!$B$7,B1086&gt;outliers!$B$6),"Outlier","Normal")</f>
        <v>Normal</v>
      </c>
      <c r="G1086" s="8" t="str">
        <f>IF(OR(C1086&lt;outliers!$B$14,C1086&gt;outliers!$B$13),"Outlier","Normal")</f>
        <v>Normal</v>
      </c>
      <c r="H1086" s="8" t="str">
        <f>IF(OR(D1086&lt;outliers!$B$21,D1086&gt;outliers!$B$20),"Outlier","Normal")</f>
        <v>Normal</v>
      </c>
      <c r="I1086" s="8" t="str">
        <f>IF(OR(E1086&lt;outliers!$C$28,E1086&gt;outliers!$B$27),"Outlier","Normal")</f>
        <v>Normal</v>
      </c>
      <c r="J1086" s="8">
        <f t="shared" si="32"/>
        <v>2021</v>
      </c>
      <c r="K1086">
        <f t="shared" si="33"/>
        <v>11</v>
      </c>
    </row>
    <row r="1087" spans="1:11" x14ac:dyDescent="0.35">
      <c r="A1087" s="13">
        <v>44524</v>
      </c>
      <c r="B1087" s="8">
        <v>22.8</v>
      </c>
      <c r="C1087" s="8">
        <v>20.100000000000001</v>
      </c>
      <c r="D1087" s="8">
        <v>29.8</v>
      </c>
      <c r="E1087" s="8">
        <v>0</v>
      </c>
      <c r="F1087" s="8" t="str">
        <f>IF(OR(B1087&lt;outliers!$B$7,B1087&gt;outliers!$B$6),"Outlier","Normal")</f>
        <v>Normal</v>
      </c>
      <c r="G1087" s="8" t="str">
        <f>IF(OR(C1087&lt;outliers!$B$14,C1087&gt;outliers!$B$13),"Outlier","Normal")</f>
        <v>Normal</v>
      </c>
      <c r="H1087" s="8" t="str">
        <f>IF(OR(D1087&lt;outliers!$B$21,D1087&gt;outliers!$B$20),"Outlier","Normal")</f>
        <v>Normal</v>
      </c>
      <c r="I1087" s="8" t="str">
        <f>IF(OR(E1087&lt;outliers!$C$28,E1087&gt;outliers!$B$27),"Outlier","Normal")</f>
        <v>Normal</v>
      </c>
      <c r="J1087" s="8">
        <f t="shared" si="32"/>
        <v>2021</v>
      </c>
      <c r="K1087">
        <f t="shared" si="33"/>
        <v>11</v>
      </c>
    </row>
    <row r="1088" spans="1:11" hidden="1" x14ac:dyDescent="0.35">
      <c r="A1088" s="13">
        <v>44525</v>
      </c>
      <c r="B1088" s="8">
        <v>23</v>
      </c>
      <c r="C1088" s="8">
        <v>19.399999999999999</v>
      </c>
      <c r="D1088" s="8">
        <v>27</v>
      </c>
      <c r="E1088" s="8">
        <v>11.4</v>
      </c>
      <c r="F1088" s="8" t="str">
        <f>IF(OR(B1088&lt;outliers!$B$7,B1088&gt;outliers!$B$6),"Outlier","Normal")</f>
        <v>Normal</v>
      </c>
      <c r="G1088" s="8" t="str">
        <f>IF(OR(C1088&lt;outliers!$B$14,C1088&gt;outliers!$B$13),"Outlier","Normal")</f>
        <v>Normal</v>
      </c>
      <c r="H1088" s="8" t="str">
        <f>IF(OR(D1088&lt;outliers!$B$21,D1088&gt;outliers!$B$20),"Outlier","Normal")</f>
        <v>Normal</v>
      </c>
      <c r="I1088" s="8" t="str">
        <f>IF(OR(E1088&lt;outliers!$C$28,E1088&gt;outliers!$B$27),"Outlier","Normal")</f>
        <v>Outlier</v>
      </c>
      <c r="J1088" s="8">
        <f t="shared" si="32"/>
        <v>2021</v>
      </c>
      <c r="K1088">
        <f t="shared" si="33"/>
        <v>11</v>
      </c>
    </row>
    <row r="1089" spans="1:11" x14ac:dyDescent="0.35">
      <c r="A1089" s="13">
        <v>44526</v>
      </c>
      <c r="B1089" s="8">
        <v>21.8</v>
      </c>
      <c r="C1089" s="8">
        <v>19.100000000000001</v>
      </c>
      <c r="D1089" s="8">
        <v>27</v>
      </c>
      <c r="E1089" s="8">
        <v>0</v>
      </c>
      <c r="F1089" s="8" t="str">
        <f>IF(OR(B1089&lt;outliers!$B$7,B1089&gt;outliers!$B$6),"Outlier","Normal")</f>
        <v>Normal</v>
      </c>
      <c r="G1089" s="8" t="str">
        <f>IF(OR(C1089&lt;outliers!$B$14,C1089&gt;outliers!$B$13),"Outlier","Normal")</f>
        <v>Normal</v>
      </c>
      <c r="H1089" s="8" t="str">
        <f>IF(OR(D1089&lt;outliers!$B$21,D1089&gt;outliers!$B$20),"Outlier","Normal")</f>
        <v>Normal</v>
      </c>
      <c r="I1089" s="8" t="str">
        <f>IF(OR(E1089&lt;outliers!$C$28,E1089&gt;outliers!$B$27),"Outlier","Normal")</f>
        <v>Normal</v>
      </c>
      <c r="J1089" s="8">
        <f t="shared" si="32"/>
        <v>2021</v>
      </c>
      <c r="K1089">
        <f t="shared" si="33"/>
        <v>11</v>
      </c>
    </row>
    <row r="1090" spans="1:11" x14ac:dyDescent="0.35">
      <c r="A1090" s="13">
        <v>44527</v>
      </c>
      <c r="B1090" s="8">
        <v>20.399999999999999</v>
      </c>
      <c r="C1090" s="8">
        <v>18.399999999999999</v>
      </c>
      <c r="D1090" s="8">
        <v>23</v>
      </c>
      <c r="E1090" s="8">
        <v>5</v>
      </c>
      <c r="F1090" s="8" t="str">
        <f>IF(OR(B1090&lt;outliers!$B$7,B1090&gt;outliers!$B$6),"Outlier","Normal")</f>
        <v>Normal</v>
      </c>
      <c r="G1090" s="8" t="str">
        <f>IF(OR(C1090&lt;outliers!$B$14,C1090&gt;outliers!$B$13),"Outlier","Normal")</f>
        <v>Normal</v>
      </c>
      <c r="H1090" s="8" t="str">
        <f>IF(OR(D1090&lt;outliers!$B$21,D1090&gt;outliers!$B$20),"Outlier","Normal")</f>
        <v>Normal</v>
      </c>
      <c r="I1090" s="8" t="str">
        <f>IF(OR(E1090&lt;outliers!$C$28,E1090&gt;outliers!$B$27),"Outlier","Normal")</f>
        <v>Normal</v>
      </c>
      <c r="J1090" s="8">
        <f t="shared" si="32"/>
        <v>2021</v>
      </c>
      <c r="K1090">
        <f t="shared" si="33"/>
        <v>11</v>
      </c>
    </row>
    <row r="1091" spans="1:11" x14ac:dyDescent="0.35">
      <c r="A1091" s="13">
        <v>44528</v>
      </c>
      <c r="B1091" s="8">
        <v>21</v>
      </c>
      <c r="C1091" s="8">
        <v>19.8</v>
      </c>
      <c r="D1091" s="8">
        <v>23.4</v>
      </c>
      <c r="E1091" s="8">
        <v>0</v>
      </c>
      <c r="F1091" s="8" t="str">
        <f>IF(OR(B1091&lt;outliers!$B$7,B1091&gt;outliers!$B$6),"Outlier","Normal")</f>
        <v>Normal</v>
      </c>
      <c r="G1091" s="8" t="str">
        <f>IF(OR(C1091&lt;outliers!$B$14,C1091&gt;outliers!$B$13),"Outlier","Normal")</f>
        <v>Normal</v>
      </c>
      <c r="H1091" s="8" t="str">
        <f>IF(OR(D1091&lt;outliers!$B$21,D1091&gt;outliers!$B$20),"Outlier","Normal")</f>
        <v>Normal</v>
      </c>
      <c r="I1091" s="8" t="str">
        <f>IF(OR(E1091&lt;outliers!$C$28,E1091&gt;outliers!$B$27),"Outlier","Normal")</f>
        <v>Normal</v>
      </c>
      <c r="J1091" s="8">
        <f t="shared" si="32"/>
        <v>2021</v>
      </c>
      <c r="K1091">
        <f t="shared" si="33"/>
        <v>11</v>
      </c>
    </row>
    <row r="1092" spans="1:11" x14ac:dyDescent="0.35">
      <c r="A1092" s="13">
        <v>44529</v>
      </c>
      <c r="B1092" s="8">
        <v>21.1</v>
      </c>
      <c r="C1092" s="8">
        <v>19.5</v>
      </c>
      <c r="D1092" s="8">
        <v>22.6</v>
      </c>
      <c r="E1092" s="8">
        <v>0</v>
      </c>
      <c r="F1092" s="8" t="str">
        <f>IF(OR(B1092&lt;outliers!$B$7,B1092&gt;outliers!$B$6),"Outlier","Normal")</f>
        <v>Normal</v>
      </c>
      <c r="G1092" s="8" t="str">
        <f>IF(OR(C1092&lt;outliers!$B$14,C1092&gt;outliers!$B$13),"Outlier","Normal")</f>
        <v>Normal</v>
      </c>
      <c r="H1092" s="8" t="str">
        <f>IF(OR(D1092&lt;outliers!$B$21,D1092&gt;outliers!$B$20),"Outlier","Normal")</f>
        <v>Normal</v>
      </c>
      <c r="I1092" s="8" t="str">
        <f>IF(OR(E1092&lt;outliers!$C$28,E1092&gt;outliers!$B$27),"Outlier","Normal")</f>
        <v>Normal</v>
      </c>
      <c r="J1092" s="8">
        <f t="shared" ref="J1092:J1122" si="34">YEAR(A1092)</f>
        <v>2021</v>
      </c>
      <c r="K1092">
        <f t="shared" ref="K1092:K1122" si="35">MONTH(A1092)</f>
        <v>11</v>
      </c>
    </row>
    <row r="1093" spans="1:11" x14ac:dyDescent="0.35">
      <c r="A1093" s="13">
        <v>44530</v>
      </c>
      <c r="B1093" s="8">
        <v>22.4</v>
      </c>
      <c r="C1093" s="8">
        <v>18.899999999999999</v>
      </c>
      <c r="D1093" s="8">
        <v>25.8</v>
      </c>
      <c r="E1093" s="8">
        <v>0.5</v>
      </c>
      <c r="F1093" s="8" t="str">
        <f>IF(OR(B1093&lt;outliers!$B$7,B1093&gt;outliers!$B$6),"Outlier","Normal")</f>
        <v>Normal</v>
      </c>
      <c r="G1093" s="8" t="str">
        <f>IF(OR(C1093&lt;outliers!$B$14,C1093&gt;outliers!$B$13),"Outlier","Normal")</f>
        <v>Normal</v>
      </c>
      <c r="H1093" s="8" t="str">
        <f>IF(OR(D1093&lt;outliers!$B$21,D1093&gt;outliers!$B$20),"Outlier","Normal")</f>
        <v>Normal</v>
      </c>
      <c r="I1093" s="8" t="str">
        <f>IF(OR(E1093&lt;outliers!$C$28,E1093&gt;outliers!$B$27),"Outlier","Normal")</f>
        <v>Normal</v>
      </c>
      <c r="J1093" s="8">
        <f t="shared" si="34"/>
        <v>2021</v>
      </c>
      <c r="K1093">
        <f t="shared" si="35"/>
        <v>11</v>
      </c>
    </row>
    <row r="1094" spans="1:11" x14ac:dyDescent="0.35">
      <c r="A1094" s="13">
        <v>44531</v>
      </c>
      <c r="B1094" s="8">
        <v>21.7</v>
      </c>
      <c r="C1094" s="8">
        <v>20</v>
      </c>
      <c r="D1094" s="8">
        <v>26.4</v>
      </c>
      <c r="E1094" s="8">
        <v>0</v>
      </c>
      <c r="F1094" s="8" t="str">
        <f>IF(OR(B1094&lt;outliers!$B$7,B1094&gt;outliers!$B$6),"Outlier","Normal")</f>
        <v>Normal</v>
      </c>
      <c r="G1094" s="8" t="str">
        <f>IF(OR(C1094&lt;outliers!$B$14,C1094&gt;outliers!$B$13),"Outlier","Normal")</f>
        <v>Normal</v>
      </c>
      <c r="H1094" s="8" t="str">
        <f>IF(OR(D1094&lt;outliers!$B$21,D1094&gt;outliers!$B$20),"Outlier","Normal")</f>
        <v>Normal</v>
      </c>
      <c r="I1094" s="8" t="str">
        <f>IF(OR(E1094&lt;outliers!$C$28,E1094&gt;outliers!$B$27),"Outlier","Normal")</f>
        <v>Normal</v>
      </c>
      <c r="J1094" s="8">
        <f t="shared" si="34"/>
        <v>2021</v>
      </c>
      <c r="K1094">
        <f t="shared" si="35"/>
        <v>12</v>
      </c>
    </row>
    <row r="1095" spans="1:11" x14ac:dyDescent="0.35">
      <c r="A1095" s="13">
        <v>44532</v>
      </c>
      <c r="B1095" s="8">
        <v>21.6</v>
      </c>
      <c r="C1095" s="8">
        <v>19.2</v>
      </c>
      <c r="D1095" s="8">
        <v>25.9</v>
      </c>
      <c r="E1095" s="8">
        <v>6.9</v>
      </c>
      <c r="F1095" s="8" t="str">
        <f>IF(OR(B1095&lt;outliers!$B$7,B1095&gt;outliers!$B$6),"Outlier","Normal")</f>
        <v>Normal</v>
      </c>
      <c r="G1095" s="8" t="str">
        <f>IF(OR(C1095&lt;outliers!$B$14,C1095&gt;outliers!$B$13),"Outlier","Normal")</f>
        <v>Normal</v>
      </c>
      <c r="H1095" s="8" t="str">
        <f>IF(OR(D1095&lt;outliers!$B$21,D1095&gt;outliers!$B$20),"Outlier","Normal")</f>
        <v>Normal</v>
      </c>
      <c r="I1095" s="8" t="str">
        <f>IF(OR(E1095&lt;outliers!$C$28,E1095&gt;outliers!$B$27),"Outlier","Normal")</f>
        <v>Normal</v>
      </c>
      <c r="J1095" s="8">
        <f t="shared" si="34"/>
        <v>2021</v>
      </c>
      <c r="K1095">
        <f t="shared" si="35"/>
        <v>12</v>
      </c>
    </row>
    <row r="1096" spans="1:11" x14ac:dyDescent="0.35">
      <c r="A1096" s="13">
        <v>44533</v>
      </c>
      <c r="B1096" s="8">
        <v>21.9</v>
      </c>
      <c r="C1096" s="8">
        <v>17.899999999999999</v>
      </c>
      <c r="D1096" s="8">
        <v>27.4</v>
      </c>
      <c r="E1096" s="8">
        <v>3</v>
      </c>
      <c r="F1096" s="8" t="str">
        <f>IF(OR(B1096&lt;outliers!$B$7,B1096&gt;outliers!$B$6),"Outlier","Normal")</f>
        <v>Normal</v>
      </c>
      <c r="G1096" s="8" t="str">
        <f>IF(OR(C1096&lt;outliers!$B$14,C1096&gt;outliers!$B$13),"Outlier","Normal")</f>
        <v>Normal</v>
      </c>
      <c r="H1096" s="8" t="str">
        <f>IF(OR(D1096&lt;outliers!$B$21,D1096&gt;outliers!$B$20),"Outlier","Normal")</f>
        <v>Normal</v>
      </c>
      <c r="I1096" s="8" t="str">
        <f>IF(OR(E1096&lt;outliers!$C$28,E1096&gt;outliers!$B$27),"Outlier","Normal")</f>
        <v>Normal</v>
      </c>
      <c r="J1096" s="8">
        <f t="shared" si="34"/>
        <v>2021</v>
      </c>
      <c r="K1096">
        <f t="shared" si="35"/>
        <v>12</v>
      </c>
    </row>
    <row r="1097" spans="1:11" x14ac:dyDescent="0.35">
      <c r="A1097" s="13">
        <v>44534</v>
      </c>
      <c r="B1097" s="8">
        <v>23.9</v>
      </c>
      <c r="C1097" s="8">
        <v>21</v>
      </c>
      <c r="D1097" s="8">
        <v>28.2</v>
      </c>
      <c r="E1097" s="8">
        <v>0</v>
      </c>
      <c r="F1097" s="8" t="str">
        <f>IF(OR(B1097&lt;outliers!$B$7,B1097&gt;outliers!$B$6),"Outlier","Normal")</f>
        <v>Normal</v>
      </c>
      <c r="G1097" s="8" t="str">
        <f>IF(OR(C1097&lt;outliers!$B$14,C1097&gt;outliers!$B$13),"Outlier","Normal")</f>
        <v>Normal</v>
      </c>
      <c r="H1097" s="8" t="str">
        <f>IF(OR(D1097&lt;outliers!$B$21,D1097&gt;outliers!$B$20),"Outlier","Normal")</f>
        <v>Normal</v>
      </c>
      <c r="I1097" s="8" t="str">
        <f>IF(OR(E1097&lt;outliers!$C$28,E1097&gt;outliers!$B$27),"Outlier","Normal")</f>
        <v>Normal</v>
      </c>
      <c r="J1097" s="8">
        <f t="shared" si="34"/>
        <v>2021</v>
      </c>
      <c r="K1097">
        <f t="shared" si="35"/>
        <v>12</v>
      </c>
    </row>
    <row r="1098" spans="1:11" x14ac:dyDescent="0.35">
      <c r="A1098" s="13">
        <v>44535</v>
      </c>
      <c r="B1098" s="8">
        <v>23.2</v>
      </c>
      <c r="C1098" s="8">
        <v>19.8</v>
      </c>
      <c r="D1098" s="8">
        <v>28.4</v>
      </c>
      <c r="E1098" s="8">
        <v>1</v>
      </c>
      <c r="F1098" s="8" t="str">
        <f>IF(OR(B1098&lt;outliers!$B$7,B1098&gt;outliers!$B$6),"Outlier","Normal")</f>
        <v>Normal</v>
      </c>
      <c r="G1098" s="8" t="str">
        <f>IF(OR(C1098&lt;outliers!$B$14,C1098&gt;outliers!$B$13),"Outlier","Normal")</f>
        <v>Normal</v>
      </c>
      <c r="H1098" s="8" t="str">
        <f>IF(OR(D1098&lt;outliers!$B$21,D1098&gt;outliers!$B$20),"Outlier","Normal")</f>
        <v>Normal</v>
      </c>
      <c r="I1098" s="8" t="str">
        <f>IF(OR(E1098&lt;outliers!$C$28,E1098&gt;outliers!$B$27),"Outlier","Normal")</f>
        <v>Normal</v>
      </c>
      <c r="J1098" s="8">
        <f t="shared" si="34"/>
        <v>2021</v>
      </c>
      <c r="K1098">
        <f t="shared" si="35"/>
        <v>12</v>
      </c>
    </row>
    <row r="1099" spans="1:11" x14ac:dyDescent="0.35">
      <c r="A1099" s="13">
        <v>44536</v>
      </c>
      <c r="B1099" s="8">
        <v>23.2</v>
      </c>
      <c r="C1099" s="8">
        <v>19.3</v>
      </c>
      <c r="D1099" s="8">
        <v>29.2</v>
      </c>
      <c r="E1099" s="8">
        <v>0</v>
      </c>
      <c r="F1099" s="8" t="str">
        <f>IF(OR(B1099&lt;outliers!$B$7,B1099&gt;outliers!$B$6),"Outlier","Normal")</f>
        <v>Normal</v>
      </c>
      <c r="G1099" s="8" t="str">
        <f>IF(OR(C1099&lt;outliers!$B$14,C1099&gt;outliers!$B$13),"Outlier","Normal")</f>
        <v>Normal</v>
      </c>
      <c r="H1099" s="8" t="str">
        <f>IF(OR(D1099&lt;outliers!$B$21,D1099&gt;outliers!$B$20),"Outlier","Normal")</f>
        <v>Normal</v>
      </c>
      <c r="I1099" s="8" t="str">
        <f>IF(OR(E1099&lt;outliers!$C$28,E1099&gt;outliers!$B$27),"Outlier","Normal")</f>
        <v>Normal</v>
      </c>
      <c r="J1099" s="8">
        <f t="shared" si="34"/>
        <v>2021</v>
      </c>
      <c r="K1099">
        <f t="shared" si="35"/>
        <v>12</v>
      </c>
    </row>
    <row r="1100" spans="1:11" x14ac:dyDescent="0.35">
      <c r="A1100" s="13">
        <v>44537</v>
      </c>
      <c r="B1100" s="8">
        <v>22.1</v>
      </c>
      <c r="C1100" s="8">
        <v>17.7</v>
      </c>
      <c r="D1100" s="8">
        <v>26.4</v>
      </c>
      <c r="E1100" s="8">
        <v>0</v>
      </c>
      <c r="F1100" s="8" t="str">
        <f>IF(OR(B1100&lt;outliers!$B$7,B1100&gt;outliers!$B$6),"Outlier","Normal")</f>
        <v>Normal</v>
      </c>
      <c r="G1100" s="8" t="str">
        <f>IF(OR(C1100&lt;outliers!$B$14,C1100&gt;outliers!$B$13),"Outlier","Normal")</f>
        <v>Normal</v>
      </c>
      <c r="H1100" s="8" t="str">
        <f>IF(OR(D1100&lt;outliers!$B$21,D1100&gt;outliers!$B$20),"Outlier","Normal")</f>
        <v>Normal</v>
      </c>
      <c r="I1100" s="8" t="str">
        <f>IF(OR(E1100&lt;outliers!$C$28,E1100&gt;outliers!$B$27),"Outlier","Normal")</f>
        <v>Normal</v>
      </c>
      <c r="J1100" s="8">
        <f t="shared" si="34"/>
        <v>2021</v>
      </c>
      <c r="K1100">
        <f t="shared" si="35"/>
        <v>12</v>
      </c>
    </row>
    <row r="1101" spans="1:11" x14ac:dyDescent="0.35">
      <c r="A1101" s="13">
        <v>44538</v>
      </c>
      <c r="B1101" s="8">
        <v>21.7</v>
      </c>
      <c r="C1101" s="8">
        <v>16.899999999999999</v>
      </c>
      <c r="D1101" s="8">
        <v>27.4</v>
      </c>
      <c r="E1101" s="8">
        <v>0</v>
      </c>
      <c r="F1101" s="8" t="str">
        <f>IF(OR(B1101&lt;outliers!$B$7,B1101&gt;outliers!$B$6),"Outlier","Normal")</f>
        <v>Normal</v>
      </c>
      <c r="G1101" s="8" t="str">
        <f>IF(OR(C1101&lt;outliers!$B$14,C1101&gt;outliers!$B$13),"Outlier","Normal")</f>
        <v>Normal</v>
      </c>
      <c r="H1101" s="8" t="str">
        <f>IF(OR(D1101&lt;outliers!$B$21,D1101&gt;outliers!$B$20),"Outlier","Normal")</f>
        <v>Normal</v>
      </c>
      <c r="I1101" s="8" t="str">
        <f>IF(OR(E1101&lt;outliers!$C$28,E1101&gt;outliers!$B$27),"Outlier","Normal")</f>
        <v>Normal</v>
      </c>
      <c r="J1101" s="8">
        <f t="shared" si="34"/>
        <v>2021</v>
      </c>
      <c r="K1101">
        <f t="shared" si="35"/>
        <v>12</v>
      </c>
    </row>
    <row r="1102" spans="1:11" x14ac:dyDescent="0.35">
      <c r="A1102" s="13">
        <v>44539</v>
      </c>
      <c r="B1102" s="8">
        <v>22.1</v>
      </c>
      <c r="C1102" s="8">
        <v>18.8</v>
      </c>
      <c r="D1102" s="8">
        <v>26.2</v>
      </c>
      <c r="E1102" s="8">
        <v>0.9</v>
      </c>
      <c r="F1102" s="8" t="str">
        <f>IF(OR(B1102&lt;outliers!$B$7,B1102&gt;outliers!$B$6),"Outlier","Normal")</f>
        <v>Normal</v>
      </c>
      <c r="G1102" s="8" t="str">
        <f>IF(OR(C1102&lt;outliers!$B$14,C1102&gt;outliers!$B$13),"Outlier","Normal")</f>
        <v>Normal</v>
      </c>
      <c r="H1102" s="8" t="str">
        <f>IF(OR(D1102&lt;outliers!$B$21,D1102&gt;outliers!$B$20),"Outlier","Normal")</f>
        <v>Normal</v>
      </c>
      <c r="I1102" s="8" t="str">
        <f>IF(OR(E1102&lt;outliers!$C$28,E1102&gt;outliers!$B$27),"Outlier","Normal")</f>
        <v>Normal</v>
      </c>
      <c r="J1102" s="8">
        <f t="shared" si="34"/>
        <v>2021</v>
      </c>
      <c r="K1102">
        <f t="shared" si="35"/>
        <v>12</v>
      </c>
    </row>
    <row r="1103" spans="1:11" x14ac:dyDescent="0.35">
      <c r="A1103" s="13">
        <v>44540</v>
      </c>
      <c r="B1103" s="8">
        <v>22.7</v>
      </c>
      <c r="C1103" s="8">
        <v>18.600000000000001</v>
      </c>
      <c r="D1103" s="8">
        <v>27.2</v>
      </c>
      <c r="E1103" s="8">
        <v>1</v>
      </c>
      <c r="F1103" s="8" t="str">
        <f>IF(OR(B1103&lt;outliers!$B$7,B1103&gt;outliers!$B$6),"Outlier","Normal")</f>
        <v>Normal</v>
      </c>
      <c r="G1103" s="8" t="str">
        <f>IF(OR(C1103&lt;outliers!$B$14,C1103&gt;outliers!$B$13),"Outlier","Normal")</f>
        <v>Normal</v>
      </c>
      <c r="H1103" s="8" t="str">
        <f>IF(OR(D1103&lt;outliers!$B$21,D1103&gt;outliers!$B$20),"Outlier","Normal")</f>
        <v>Normal</v>
      </c>
      <c r="I1103" s="8" t="str">
        <f>IF(OR(E1103&lt;outliers!$C$28,E1103&gt;outliers!$B$27),"Outlier","Normal")</f>
        <v>Normal</v>
      </c>
      <c r="J1103" s="8">
        <f t="shared" si="34"/>
        <v>2021</v>
      </c>
      <c r="K1103">
        <f t="shared" si="35"/>
        <v>12</v>
      </c>
    </row>
    <row r="1104" spans="1:11" x14ac:dyDescent="0.35">
      <c r="A1104" s="13">
        <v>44541</v>
      </c>
      <c r="B1104" s="8">
        <v>21.6</v>
      </c>
      <c r="C1104" s="8">
        <v>18</v>
      </c>
      <c r="D1104" s="8">
        <v>28.4</v>
      </c>
      <c r="E1104" s="8">
        <v>0</v>
      </c>
      <c r="F1104" s="8" t="str">
        <f>IF(OR(B1104&lt;outliers!$B$7,B1104&gt;outliers!$B$6),"Outlier","Normal")</f>
        <v>Normal</v>
      </c>
      <c r="G1104" s="8" t="str">
        <f>IF(OR(C1104&lt;outliers!$B$14,C1104&gt;outliers!$B$13),"Outlier","Normal")</f>
        <v>Normal</v>
      </c>
      <c r="H1104" s="8" t="str">
        <f>IF(OR(D1104&lt;outliers!$B$21,D1104&gt;outliers!$B$20),"Outlier","Normal")</f>
        <v>Normal</v>
      </c>
      <c r="I1104" s="8" t="str">
        <f>IF(OR(E1104&lt;outliers!$C$28,E1104&gt;outliers!$B$27),"Outlier","Normal")</f>
        <v>Normal</v>
      </c>
      <c r="J1104" s="8">
        <f t="shared" si="34"/>
        <v>2021</v>
      </c>
      <c r="K1104">
        <f t="shared" si="35"/>
        <v>12</v>
      </c>
    </row>
    <row r="1105" spans="1:11" x14ac:dyDescent="0.35">
      <c r="A1105" s="13">
        <v>44542</v>
      </c>
      <c r="B1105" s="8">
        <v>20.9</v>
      </c>
      <c r="C1105" s="8">
        <v>17.5</v>
      </c>
      <c r="D1105" s="8">
        <v>24.7</v>
      </c>
      <c r="E1105" s="8">
        <v>0.2</v>
      </c>
      <c r="F1105" s="8" t="str">
        <f>IF(OR(B1105&lt;outliers!$B$7,B1105&gt;outliers!$B$6),"Outlier","Normal")</f>
        <v>Normal</v>
      </c>
      <c r="G1105" s="8" t="str">
        <f>IF(OR(C1105&lt;outliers!$B$14,C1105&gt;outliers!$B$13),"Outlier","Normal")</f>
        <v>Normal</v>
      </c>
      <c r="H1105" s="8" t="str">
        <f>IF(OR(D1105&lt;outliers!$B$21,D1105&gt;outliers!$B$20),"Outlier","Normal")</f>
        <v>Normal</v>
      </c>
      <c r="I1105" s="8" t="str">
        <f>IF(OR(E1105&lt;outliers!$C$28,E1105&gt;outliers!$B$27),"Outlier","Normal")</f>
        <v>Normal</v>
      </c>
      <c r="J1105" s="8">
        <f t="shared" si="34"/>
        <v>2021</v>
      </c>
      <c r="K1105">
        <f t="shared" si="35"/>
        <v>12</v>
      </c>
    </row>
    <row r="1106" spans="1:11" x14ac:dyDescent="0.35">
      <c r="A1106" s="13">
        <v>44543</v>
      </c>
      <c r="B1106" s="8">
        <v>20.6</v>
      </c>
      <c r="C1106" s="8">
        <v>18</v>
      </c>
      <c r="D1106" s="8">
        <v>24.9</v>
      </c>
      <c r="E1106" s="8">
        <v>2.4</v>
      </c>
      <c r="F1106" s="8" t="str">
        <f>IF(OR(B1106&lt;outliers!$B$7,B1106&gt;outliers!$B$6),"Outlier","Normal")</f>
        <v>Normal</v>
      </c>
      <c r="G1106" s="8" t="str">
        <f>IF(OR(C1106&lt;outliers!$B$14,C1106&gt;outliers!$B$13),"Outlier","Normal")</f>
        <v>Normal</v>
      </c>
      <c r="H1106" s="8" t="str">
        <f>IF(OR(D1106&lt;outliers!$B$21,D1106&gt;outliers!$B$20),"Outlier","Normal")</f>
        <v>Normal</v>
      </c>
      <c r="I1106" s="8" t="str">
        <f>IF(OR(E1106&lt;outliers!$C$28,E1106&gt;outliers!$B$27),"Outlier","Normal")</f>
        <v>Normal</v>
      </c>
      <c r="J1106" s="8">
        <f t="shared" si="34"/>
        <v>2021</v>
      </c>
      <c r="K1106">
        <f t="shared" si="35"/>
        <v>12</v>
      </c>
    </row>
    <row r="1107" spans="1:11" x14ac:dyDescent="0.35">
      <c r="A1107" s="13">
        <v>44544</v>
      </c>
      <c r="B1107" s="8">
        <v>21.2</v>
      </c>
      <c r="C1107" s="8">
        <v>18.3</v>
      </c>
      <c r="D1107" s="8">
        <v>24.4</v>
      </c>
      <c r="E1107" s="8">
        <v>2.8</v>
      </c>
      <c r="F1107" s="8" t="str">
        <f>IF(OR(B1107&lt;outliers!$B$7,B1107&gt;outliers!$B$6),"Outlier","Normal")</f>
        <v>Normal</v>
      </c>
      <c r="G1107" s="8" t="str">
        <f>IF(OR(C1107&lt;outliers!$B$14,C1107&gt;outliers!$B$13),"Outlier","Normal")</f>
        <v>Normal</v>
      </c>
      <c r="H1107" s="8" t="str">
        <f>IF(OR(D1107&lt;outliers!$B$21,D1107&gt;outliers!$B$20),"Outlier","Normal")</f>
        <v>Normal</v>
      </c>
      <c r="I1107" s="8" t="str">
        <f>IF(OR(E1107&lt;outliers!$C$28,E1107&gt;outliers!$B$27),"Outlier","Normal")</f>
        <v>Normal</v>
      </c>
      <c r="J1107" s="8">
        <f t="shared" si="34"/>
        <v>2021</v>
      </c>
      <c r="K1107">
        <f t="shared" si="35"/>
        <v>12</v>
      </c>
    </row>
    <row r="1108" spans="1:11" x14ac:dyDescent="0.35">
      <c r="A1108" s="13">
        <v>44545</v>
      </c>
      <c r="B1108" s="8">
        <v>20.6</v>
      </c>
      <c r="C1108" s="8">
        <v>17.399999999999999</v>
      </c>
      <c r="D1108" s="8">
        <v>24.4</v>
      </c>
      <c r="E1108" s="8">
        <v>0.3</v>
      </c>
      <c r="F1108" s="8" t="str">
        <f>IF(OR(B1108&lt;outliers!$B$7,B1108&gt;outliers!$B$6),"Outlier","Normal")</f>
        <v>Normal</v>
      </c>
      <c r="G1108" s="8" t="str">
        <f>IF(OR(C1108&lt;outliers!$B$14,C1108&gt;outliers!$B$13),"Outlier","Normal")</f>
        <v>Normal</v>
      </c>
      <c r="H1108" s="8" t="str">
        <f>IF(OR(D1108&lt;outliers!$B$21,D1108&gt;outliers!$B$20),"Outlier","Normal")</f>
        <v>Normal</v>
      </c>
      <c r="I1108" s="8" t="str">
        <f>IF(OR(E1108&lt;outliers!$C$28,E1108&gt;outliers!$B$27),"Outlier","Normal")</f>
        <v>Normal</v>
      </c>
      <c r="J1108" s="8">
        <f t="shared" si="34"/>
        <v>2021</v>
      </c>
      <c r="K1108">
        <f t="shared" si="35"/>
        <v>12</v>
      </c>
    </row>
    <row r="1109" spans="1:11" x14ac:dyDescent="0.35">
      <c r="A1109" s="13">
        <v>44546</v>
      </c>
      <c r="B1109" s="8">
        <v>21.5</v>
      </c>
      <c r="C1109" s="8">
        <v>17.2</v>
      </c>
      <c r="D1109" s="8">
        <v>26.4</v>
      </c>
      <c r="E1109" s="8">
        <v>0</v>
      </c>
      <c r="F1109" s="8" t="str">
        <f>IF(OR(B1109&lt;outliers!$B$7,B1109&gt;outliers!$B$6),"Outlier","Normal")</f>
        <v>Normal</v>
      </c>
      <c r="G1109" s="8" t="str">
        <f>IF(OR(C1109&lt;outliers!$B$14,C1109&gt;outliers!$B$13),"Outlier","Normal")</f>
        <v>Normal</v>
      </c>
      <c r="H1109" s="8" t="str">
        <f>IF(OR(D1109&lt;outliers!$B$21,D1109&gt;outliers!$B$20),"Outlier","Normal")</f>
        <v>Normal</v>
      </c>
      <c r="I1109" s="8" t="str">
        <f>IF(OR(E1109&lt;outliers!$C$28,E1109&gt;outliers!$B$27),"Outlier","Normal")</f>
        <v>Normal</v>
      </c>
      <c r="J1109" s="8">
        <f t="shared" si="34"/>
        <v>2021</v>
      </c>
      <c r="K1109">
        <f t="shared" si="35"/>
        <v>12</v>
      </c>
    </row>
    <row r="1110" spans="1:11" hidden="1" x14ac:dyDescent="0.35">
      <c r="A1110" s="13">
        <v>44547</v>
      </c>
      <c r="B1110" s="8">
        <v>20.6</v>
      </c>
      <c r="C1110" s="8">
        <v>16.3</v>
      </c>
      <c r="D1110" s="8">
        <v>27.6</v>
      </c>
      <c r="E1110" s="8">
        <v>0</v>
      </c>
      <c r="F1110" s="8" t="str">
        <f>IF(OR(B1110&lt;outliers!$B$7,B1110&gt;outliers!$B$6),"Outlier","Normal")</f>
        <v>Normal</v>
      </c>
      <c r="G1110" s="8" t="str">
        <f>IF(OR(C1110&lt;outliers!$B$14,C1110&gt;outliers!$B$13),"Outlier","Normal")</f>
        <v>Outlier</v>
      </c>
      <c r="H1110" s="8" t="str">
        <f>IF(OR(D1110&lt;outliers!$B$21,D1110&gt;outliers!$B$20),"Outlier","Normal")</f>
        <v>Normal</v>
      </c>
      <c r="I1110" s="8" t="str">
        <f>IF(OR(E1110&lt;outliers!$C$28,E1110&gt;outliers!$B$27),"Outlier","Normal")</f>
        <v>Normal</v>
      </c>
      <c r="J1110" s="8">
        <f t="shared" si="34"/>
        <v>2021</v>
      </c>
      <c r="K1110">
        <f t="shared" si="35"/>
        <v>12</v>
      </c>
    </row>
    <row r="1111" spans="1:11" hidden="1" x14ac:dyDescent="0.35">
      <c r="A1111" s="13">
        <v>44548</v>
      </c>
      <c r="B1111" s="8">
        <v>20.2</v>
      </c>
      <c r="C1111" s="8">
        <v>15.3</v>
      </c>
      <c r="D1111" s="8">
        <v>26</v>
      </c>
      <c r="E1111" s="8">
        <v>0</v>
      </c>
      <c r="F1111" s="8" t="str">
        <f>IF(OR(B1111&lt;outliers!$B$7,B1111&gt;outliers!$B$6),"Outlier","Normal")</f>
        <v>Normal</v>
      </c>
      <c r="G1111" s="8" t="str">
        <f>IF(OR(C1111&lt;outliers!$B$14,C1111&gt;outliers!$B$13),"Outlier","Normal")</f>
        <v>Outlier</v>
      </c>
      <c r="H1111" s="8" t="str">
        <f>IF(OR(D1111&lt;outliers!$B$21,D1111&gt;outliers!$B$20),"Outlier","Normal")</f>
        <v>Normal</v>
      </c>
      <c r="I1111" s="8" t="str">
        <f>IF(OR(E1111&lt;outliers!$C$28,E1111&gt;outliers!$B$27),"Outlier","Normal")</f>
        <v>Normal</v>
      </c>
      <c r="J1111" s="8">
        <f t="shared" si="34"/>
        <v>2021</v>
      </c>
      <c r="K1111">
        <f t="shared" si="35"/>
        <v>12</v>
      </c>
    </row>
    <row r="1112" spans="1:11" hidden="1" x14ac:dyDescent="0.35">
      <c r="A1112" s="13">
        <v>44551</v>
      </c>
      <c r="B1112" s="8">
        <v>19</v>
      </c>
      <c r="C1112" s="8">
        <v>13.9</v>
      </c>
      <c r="D1112" s="8">
        <v>26</v>
      </c>
      <c r="E1112" s="8">
        <v>0</v>
      </c>
      <c r="F1112" s="8" t="str">
        <f>IF(OR(B1112&lt;outliers!$B$7,B1112&gt;outliers!$B$6),"Outlier","Normal")</f>
        <v>Outlier</v>
      </c>
      <c r="G1112" s="8" t="str">
        <f>IF(OR(C1112&lt;outliers!$B$14,C1112&gt;outliers!$B$13),"Outlier","Normal")</f>
        <v>Outlier</v>
      </c>
      <c r="H1112" s="8" t="str">
        <f>IF(OR(D1112&lt;outliers!$B$21,D1112&gt;outliers!$B$20),"Outlier","Normal")</f>
        <v>Normal</v>
      </c>
      <c r="I1112" s="8" t="str">
        <f>IF(OR(E1112&lt;outliers!$C$28,E1112&gt;outliers!$B$27),"Outlier","Normal")</f>
        <v>Normal</v>
      </c>
      <c r="J1112" s="8">
        <f t="shared" si="34"/>
        <v>2021</v>
      </c>
      <c r="K1112">
        <f t="shared" si="35"/>
        <v>12</v>
      </c>
    </row>
    <row r="1113" spans="1:11" hidden="1" x14ac:dyDescent="0.35">
      <c r="A1113" s="13">
        <v>44552</v>
      </c>
      <c r="B1113" s="8">
        <v>19.399999999999999</v>
      </c>
      <c r="C1113" s="8">
        <v>12.8</v>
      </c>
      <c r="D1113" s="8">
        <v>27.4</v>
      </c>
      <c r="E1113" s="8">
        <v>0</v>
      </c>
      <c r="F1113" s="8" t="str">
        <f>IF(OR(B1113&lt;outliers!$B$7,B1113&gt;outliers!$B$6),"Outlier","Normal")</f>
        <v>Normal</v>
      </c>
      <c r="G1113" s="8" t="str">
        <f>IF(OR(C1113&lt;outliers!$B$14,C1113&gt;outliers!$B$13),"Outlier","Normal")</f>
        <v>Outlier</v>
      </c>
      <c r="H1113" s="8" t="str">
        <f>IF(OR(D1113&lt;outliers!$B$21,D1113&gt;outliers!$B$20),"Outlier","Normal")</f>
        <v>Normal</v>
      </c>
      <c r="I1113" s="8" t="str">
        <f>IF(OR(E1113&lt;outliers!$C$28,E1113&gt;outliers!$B$27),"Outlier","Normal")</f>
        <v>Normal</v>
      </c>
      <c r="J1113" s="8">
        <f t="shared" si="34"/>
        <v>2021</v>
      </c>
      <c r="K1113">
        <f t="shared" si="35"/>
        <v>12</v>
      </c>
    </row>
    <row r="1114" spans="1:11" hidden="1" x14ac:dyDescent="0.35">
      <c r="A1114" s="13">
        <v>44553</v>
      </c>
      <c r="B1114" s="8">
        <v>20</v>
      </c>
      <c r="C1114" s="8">
        <v>13.2</v>
      </c>
      <c r="D1114" s="8">
        <v>27.4</v>
      </c>
      <c r="E1114" s="8">
        <v>0</v>
      </c>
      <c r="F1114" s="8" t="str">
        <f>IF(OR(B1114&lt;outliers!$B$7,B1114&gt;outliers!$B$6),"Outlier","Normal")</f>
        <v>Normal</v>
      </c>
      <c r="G1114" s="8" t="str">
        <f>IF(OR(C1114&lt;outliers!$B$14,C1114&gt;outliers!$B$13),"Outlier","Normal")</f>
        <v>Outlier</v>
      </c>
      <c r="H1114" s="8" t="str">
        <f>IF(OR(D1114&lt;outliers!$B$21,D1114&gt;outliers!$B$20),"Outlier","Normal")</f>
        <v>Normal</v>
      </c>
      <c r="I1114" s="8" t="str">
        <f>IF(OR(E1114&lt;outliers!$C$28,E1114&gt;outliers!$B$27),"Outlier","Normal")</f>
        <v>Normal</v>
      </c>
      <c r="J1114" s="8">
        <f t="shared" si="34"/>
        <v>2021</v>
      </c>
      <c r="K1114">
        <f t="shared" si="35"/>
        <v>12</v>
      </c>
    </row>
    <row r="1115" spans="1:11" hidden="1" x14ac:dyDescent="0.35">
      <c r="A1115" s="13">
        <v>44554</v>
      </c>
      <c r="B1115" s="8">
        <v>19.899999999999999</v>
      </c>
      <c r="C1115" s="8">
        <v>12.5</v>
      </c>
      <c r="D1115" s="8">
        <v>27.2</v>
      </c>
      <c r="E1115" s="8">
        <v>0</v>
      </c>
      <c r="F1115" s="8" t="str">
        <f>IF(OR(B1115&lt;outliers!$B$7,B1115&gt;outliers!$B$6),"Outlier","Normal")</f>
        <v>Normal</v>
      </c>
      <c r="G1115" s="8" t="str">
        <f>IF(OR(C1115&lt;outliers!$B$14,C1115&gt;outliers!$B$13),"Outlier","Normal")</f>
        <v>Outlier</v>
      </c>
      <c r="H1115" s="8" t="str">
        <f>IF(OR(D1115&lt;outliers!$B$21,D1115&gt;outliers!$B$20),"Outlier","Normal")</f>
        <v>Normal</v>
      </c>
      <c r="I1115" s="8" t="str">
        <f>IF(OR(E1115&lt;outliers!$C$28,E1115&gt;outliers!$B$27),"Outlier","Normal")</f>
        <v>Normal</v>
      </c>
      <c r="J1115" s="8">
        <f t="shared" si="34"/>
        <v>2021</v>
      </c>
      <c r="K1115">
        <f t="shared" si="35"/>
        <v>12</v>
      </c>
    </row>
    <row r="1116" spans="1:11" hidden="1" x14ac:dyDescent="0.35">
      <c r="A1116" s="13">
        <v>44555</v>
      </c>
      <c r="B1116" s="8">
        <v>20.3</v>
      </c>
      <c r="C1116" s="8">
        <v>12.6</v>
      </c>
      <c r="D1116" s="8">
        <v>29</v>
      </c>
      <c r="E1116" s="8">
        <v>0</v>
      </c>
      <c r="F1116" s="8" t="str">
        <f>IF(OR(B1116&lt;outliers!$B$7,B1116&gt;outliers!$B$6),"Outlier","Normal")</f>
        <v>Normal</v>
      </c>
      <c r="G1116" s="8" t="str">
        <f>IF(OR(C1116&lt;outliers!$B$14,C1116&gt;outliers!$B$13),"Outlier","Normal")</f>
        <v>Outlier</v>
      </c>
      <c r="H1116" s="8" t="str">
        <f>IF(OR(D1116&lt;outliers!$B$21,D1116&gt;outliers!$B$20),"Outlier","Normal")</f>
        <v>Normal</v>
      </c>
      <c r="I1116" s="8" t="str">
        <f>IF(OR(E1116&lt;outliers!$C$28,E1116&gt;outliers!$B$27),"Outlier","Normal")</f>
        <v>Normal</v>
      </c>
      <c r="J1116" s="8">
        <f t="shared" si="34"/>
        <v>2021</v>
      </c>
      <c r="K1116">
        <f t="shared" si="35"/>
        <v>12</v>
      </c>
    </row>
    <row r="1117" spans="1:11" hidden="1" x14ac:dyDescent="0.35">
      <c r="A1117" s="13">
        <v>44556</v>
      </c>
      <c r="B1117" s="8">
        <v>20.7</v>
      </c>
      <c r="C1117" s="8">
        <v>13.5</v>
      </c>
      <c r="D1117" s="8">
        <v>29.2</v>
      </c>
      <c r="E1117" s="8">
        <v>0</v>
      </c>
      <c r="F1117" s="8" t="str">
        <f>IF(OR(B1117&lt;outliers!$B$7,B1117&gt;outliers!$B$6),"Outlier","Normal")</f>
        <v>Normal</v>
      </c>
      <c r="G1117" s="8" t="str">
        <f>IF(OR(C1117&lt;outliers!$B$14,C1117&gt;outliers!$B$13),"Outlier","Normal")</f>
        <v>Outlier</v>
      </c>
      <c r="H1117" s="8" t="str">
        <f>IF(OR(D1117&lt;outliers!$B$21,D1117&gt;outliers!$B$20),"Outlier","Normal")</f>
        <v>Normal</v>
      </c>
      <c r="I1117" s="8" t="str">
        <f>IF(OR(E1117&lt;outliers!$C$28,E1117&gt;outliers!$B$27),"Outlier","Normal")</f>
        <v>Normal</v>
      </c>
      <c r="J1117" s="8">
        <f t="shared" si="34"/>
        <v>2021</v>
      </c>
      <c r="K1117">
        <f t="shared" si="35"/>
        <v>12</v>
      </c>
    </row>
    <row r="1118" spans="1:11" hidden="1" x14ac:dyDescent="0.35">
      <c r="A1118" s="13">
        <v>44557</v>
      </c>
      <c r="B1118" s="8">
        <v>20.2</v>
      </c>
      <c r="C1118" s="8">
        <v>15.2</v>
      </c>
      <c r="D1118" s="8">
        <v>26.6</v>
      </c>
      <c r="E1118" s="8">
        <v>0</v>
      </c>
      <c r="F1118" s="8" t="str">
        <f>IF(OR(B1118&lt;outliers!$B$7,B1118&gt;outliers!$B$6),"Outlier","Normal")</f>
        <v>Normal</v>
      </c>
      <c r="G1118" s="8" t="str">
        <f>IF(OR(C1118&lt;outliers!$B$14,C1118&gt;outliers!$B$13),"Outlier","Normal")</f>
        <v>Outlier</v>
      </c>
      <c r="H1118" s="8" t="str">
        <f>IF(OR(D1118&lt;outliers!$B$21,D1118&gt;outliers!$B$20),"Outlier","Normal")</f>
        <v>Normal</v>
      </c>
      <c r="I1118" s="8" t="str">
        <f>IF(OR(E1118&lt;outliers!$C$28,E1118&gt;outliers!$B$27),"Outlier","Normal")</f>
        <v>Normal</v>
      </c>
      <c r="J1118" s="8">
        <f t="shared" si="34"/>
        <v>2021</v>
      </c>
      <c r="K1118">
        <f t="shared" si="35"/>
        <v>12</v>
      </c>
    </row>
    <row r="1119" spans="1:11" hidden="1" x14ac:dyDescent="0.35">
      <c r="A1119" s="13">
        <v>44558</v>
      </c>
      <c r="B1119" s="8">
        <v>20.3</v>
      </c>
      <c r="C1119" s="8">
        <v>15.4</v>
      </c>
      <c r="D1119" s="8">
        <v>26.4</v>
      </c>
      <c r="E1119" s="8">
        <v>0</v>
      </c>
      <c r="F1119" s="8" t="str">
        <f>IF(OR(B1119&lt;outliers!$B$7,B1119&gt;outliers!$B$6),"Outlier","Normal")</f>
        <v>Normal</v>
      </c>
      <c r="G1119" s="8" t="str">
        <f>IF(OR(C1119&lt;outliers!$B$14,C1119&gt;outliers!$B$13),"Outlier","Normal")</f>
        <v>Outlier</v>
      </c>
      <c r="H1119" s="8" t="str">
        <f>IF(OR(D1119&lt;outliers!$B$21,D1119&gt;outliers!$B$20),"Outlier","Normal")</f>
        <v>Normal</v>
      </c>
      <c r="I1119" s="8" t="str">
        <f>IF(OR(E1119&lt;outliers!$C$28,E1119&gt;outliers!$B$27),"Outlier","Normal")</f>
        <v>Normal</v>
      </c>
      <c r="J1119" s="8">
        <f t="shared" si="34"/>
        <v>2021</v>
      </c>
      <c r="K1119">
        <f t="shared" si="35"/>
        <v>12</v>
      </c>
    </row>
    <row r="1120" spans="1:11" x14ac:dyDescent="0.35">
      <c r="A1120" s="13">
        <v>44559</v>
      </c>
      <c r="B1120" s="8">
        <v>21</v>
      </c>
      <c r="C1120" s="8">
        <v>17</v>
      </c>
      <c r="D1120" s="8">
        <v>26</v>
      </c>
      <c r="E1120" s="8">
        <v>0</v>
      </c>
      <c r="F1120" s="8" t="str">
        <f>IF(OR(B1120&lt;outliers!$B$7,B1120&gt;outliers!$B$6),"Outlier","Normal")</f>
        <v>Normal</v>
      </c>
      <c r="G1120" s="8" t="str">
        <f>IF(OR(C1120&lt;outliers!$B$14,C1120&gt;outliers!$B$13),"Outlier","Normal")</f>
        <v>Normal</v>
      </c>
      <c r="H1120" s="8" t="str">
        <f>IF(OR(D1120&lt;outliers!$B$21,D1120&gt;outliers!$B$20),"Outlier","Normal")</f>
        <v>Normal</v>
      </c>
      <c r="I1120" s="8" t="str">
        <f>IF(OR(E1120&lt;outliers!$C$28,E1120&gt;outliers!$B$27),"Outlier","Normal")</f>
        <v>Normal</v>
      </c>
      <c r="J1120" s="8">
        <f t="shared" si="34"/>
        <v>2021</v>
      </c>
      <c r="K1120">
        <f t="shared" si="35"/>
        <v>12</v>
      </c>
    </row>
    <row r="1121" spans="1:11" hidden="1" x14ac:dyDescent="0.35">
      <c r="A1121" s="13">
        <v>44560</v>
      </c>
      <c r="B1121" s="8">
        <v>20.2</v>
      </c>
      <c r="C1121" s="8">
        <v>15.4</v>
      </c>
      <c r="D1121" s="8">
        <v>26.4</v>
      </c>
      <c r="E1121" s="8">
        <v>0.7</v>
      </c>
      <c r="F1121" s="8" t="str">
        <f>IF(OR(B1121&lt;outliers!$B$7,B1121&gt;outliers!$B$6),"Outlier","Normal")</f>
        <v>Normal</v>
      </c>
      <c r="G1121" s="8" t="str">
        <f>IF(OR(C1121&lt;outliers!$B$14,C1121&gt;outliers!$B$13),"Outlier","Normal")</f>
        <v>Outlier</v>
      </c>
      <c r="H1121" s="8" t="str">
        <f>IF(OR(D1121&lt;outliers!$B$21,D1121&gt;outliers!$B$20),"Outlier","Normal")</f>
        <v>Normal</v>
      </c>
      <c r="I1121" s="8" t="str">
        <f>IF(OR(E1121&lt;outliers!$C$28,E1121&gt;outliers!$B$27),"Outlier","Normal")</f>
        <v>Normal</v>
      </c>
      <c r="J1121" s="8">
        <f t="shared" si="34"/>
        <v>2021</v>
      </c>
      <c r="K1121">
        <f t="shared" si="35"/>
        <v>12</v>
      </c>
    </row>
    <row r="1122" spans="1:11" x14ac:dyDescent="0.35">
      <c r="A1122" s="13">
        <v>44561</v>
      </c>
      <c r="B1122" s="8">
        <v>20.3</v>
      </c>
      <c r="C1122" s="8">
        <v>17.600000000000001</v>
      </c>
      <c r="D1122" s="8">
        <v>26.5</v>
      </c>
      <c r="E1122" s="8">
        <v>0</v>
      </c>
      <c r="F1122" s="8" t="str">
        <f>IF(OR(B1122&lt;outliers!$B$7,B1122&gt;outliers!$B$6),"Outlier","Normal")</f>
        <v>Normal</v>
      </c>
      <c r="G1122" s="8" t="str">
        <f>IF(OR(C1122&lt;outliers!$B$14,C1122&gt;outliers!$B$13),"Outlier","Normal")</f>
        <v>Normal</v>
      </c>
      <c r="H1122" s="8" t="str">
        <f>IF(OR(D1122&lt;outliers!$B$21,D1122&gt;outliers!$B$20),"Outlier","Normal")</f>
        <v>Normal</v>
      </c>
      <c r="I1122" s="8" t="str">
        <f>IF(OR(E1122&lt;outliers!$C$28,E1122&gt;outliers!$B$27),"Outlier","Normal")</f>
        <v>Normal</v>
      </c>
      <c r="J1122" s="8">
        <f t="shared" si="34"/>
        <v>2021</v>
      </c>
      <c r="K1122">
        <f t="shared" si="35"/>
        <v>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AF369-F557-4EA2-9F69-BACCD9F0B645}">
  <dimension ref="A1:C29"/>
  <sheetViews>
    <sheetView topLeftCell="A5" workbookViewId="0">
      <selection activeCell="N14" sqref="N14"/>
    </sheetView>
  </sheetViews>
  <sheetFormatPr defaultRowHeight="14.5" x14ac:dyDescent="0.35"/>
  <cols>
    <col min="1" max="1" width="12.54296875" bestFit="1" customWidth="1"/>
    <col min="2" max="2" width="11.08984375" bestFit="1" customWidth="1"/>
    <col min="3" max="3" width="11.1796875" bestFit="1" customWidth="1"/>
  </cols>
  <sheetData>
    <row r="1" spans="1:3" x14ac:dyDescent="0.35">
      <c r="A1" s="19" t="s">
        <v>42</v>
      </c>
      <c r="B1" s="19"/>
    </row>
    <row r="3" spans="1:3" x14ac:dyDescent="0.35">
      <c r="A3" s="3" t="s">
        <v>20</v>
      </c>
      <c r="B3" t="s">
        <v>22</v>
      </c>
      <c r="C3" t="s">
        <v>23</v>
      </c>
    </row>
    <row r="4" spans="1:3" x14ac:dyDescent="0.35">
      <c r="A4" s="4">
        <v>1</v>
      </c>
      <c r="B4">
        <v>643.69999999999993</v>
      </c>
      <c r="C4">
        <v>18.800000000000004</v>
      </c>
    </row>
    <row r="5" spans="1:3" x14ac:dyDescent="0.35">
      <c r="A5" s="4">
        <v>2</v>
      </c>
      <c r="B5">
        <v>430.6</v>
      </c>
      <c r="C5">
        <v>9.9</v>
      </c>
    </row>
    <row r="6" spans="1:3" x14ac:dyDescent="0.35">
      <c r="A6" s="4">
        <v>3</v>
      </c>
      <c r="B6">
        <v>1205.9000000000001</v>
      </c>
      <c r="C6">
        <v>19.799999999999997</v>
      </c>
    </row>
    <row r="7" spans="1:3" x14ac:dyDescent="0.35">
      <c r="A7" s="4">
        <v>4</v>
      </c>
      <c r="B7">
        <v>1450.4999999999998</v>
      </c>
      <c r="C7">
        <v>47.9</v>
      </c>
    </row>
    <row r="8" spans="1:3" x14ac:dyDescent="0.35">
      <c r="A8" s="4">
        <v>5</v>
      </c>
      <c r="B8">
        <v>1925.6999999999996</v>
      </c>
      <c r="C8">
        <v>99.59999999999998</v>
      </c>
    </row>
    <row r="9" spans="1:3" x14ac:dyDescent="0.35">
      <c r="A9" s="4">
        <v>6</v>
      </c>
      <c r="B9">
        <v>2767.7999999999997</v>
      </c>
      <c r="C9">
        <v>130.59999999999997</v>
      </c>
    </row>
    <row r="10" spans="1:3" x14ac:dyDescent="0.35">
      <c r="A10" s="4">
        <v>7</v>
      </c>
      <c r="B10">
        <v>2856.3999999999996</v>
      </c>
      <c r="C10">
        <v>182.99999999999997</v>
      </c>
    </row>
    <row r="11" spans="1:3" x14ac:dyDescent="0.35">
      <c r="A11" s="4">
        <v>8</v>
      </c>
      <c r="B11">
        <v>2718.7999999999997</v>
      </c>
      <c r="C11">
        <v>209.50000000000011</v>
      </c>
    </row>
    <row r="12" spans="1:3" x14ac:dyDescent="0.35">
      <c r="A12" s="4">
        <v>9</v>
      </c>
      <c r="B12">
        <v>2395.7999999999993</v>
      </c>
      <c r="C12">
        <v>146.89999999999995</v>
      </c>
    </row>
    <row r="13" spans="1:3" x14ac:dyDescent="0.35">
      <c r="A13" s="4">
        <v>10</v>
      </c>
      <c r="B13">
        <v>2111.1000000000004</v>
      </c>
      <c r="C13">
        <v>199.40000000000006</v>
      </c>
    </row>
    <row r="14" spans="1:3" x14ac:dyDescent="0.35">
      <c r="A14" s="4">
        <v>11</v>
      </c>
      <c r="B14">
        <v>1664.2</v>
      </c>
      <c r="C14">
        <v>97.999999999999972</v>
      </c>
    </row>
    <row r="15" spans="1:3" x14ac:dyDescent="0.35">
      <c r="A15" s="4">
        <v>12</v>
      </c>
      <c r="B15">
        <v>992.10000000000048</v>
      </c>
      <c r="C15">
        <v>56.29999999999999</v>
      </c>
    </row>
    <row r="16" spans="1:3" x14ac:dyDescent="0.35">
      <c r="A16" s="4" t="s">
        <v>21</v>
      </c>
      <c r="B16">
        <v>21162.6</v>
      </c>
      <c r="C16">
        <v>1219.7</v>
      </c>
    </row>
    <row r="19" spans="1:3" x14ac:dyDescent="0.35">
      <c r="A19" s="19" t="s">
        <v>44</v>
      </c>
      <c r="B19" s="19"/>
    </row>
    <row r="21" spans="1:3" x14ac:dyDescent="0.35">
      <c r="A21" s="3" t="s">
        <v>20</v>
      </c>
      <c r="B21" t="s">
        <v>22</v>
      </c>
      <c r="C21" t="s">
        <v>23</v>
      </c>
    </row>
    <row r="22" spans="1:3" x14ac:dyDescent="0.35">
      <c r="A22" s="4">
        <v>1</v>
      </c>
      <c r="B22">
        <v>286.09999999999997</v>
      </c>
      <c r="C22">
        <v>6.4999999999999991</v>
      </c>
    </row>
    <row r="23" spans="1:3" x14ac:dyDescent="0.35">
      <c r="A23" s="4">
        <v>2</v>
      </c>
      <c r="B23">
        <v>115.9</v>
      </c>
      <c r="C23">
        <v>0</v>
      </c>
    </row>
    <row r="24" spans="1:3" x14ac:dyDescent="0.35">
      <c r="A24" s="4">
        <v>3</v>
      </c>
      <c r="B24">
        <v>647.19999999999993</v>
      </c>
      <c r="C24">
        <v>16.500000000000004</v>
      </c>
    </row>
    <row r="25" spans="1:3" x14ac:dyDescent="0.35">
      <c r="A25" s="4">
        <v>4</v>
      </c>
      <c r="B25">
        <v>616.1</v>
      </c>
      <c r="C25">
        <v>4.5</v>
      </c>
    </row>
    <row r="26" spans="1:3" x14ac:dyDescent="0.35">
      <c r="A26" s="4">
        <v>5</v>
      </c>
      <c r="B26">
        <v>631.1</v>
      </c>
      <c r="C26">
        <v>57.399999999999984</v>
      </c>
    </row>
    <row r="27" spans="1:3" x14ac:dyDescent="0.35">
      <c r="A27" s="4">
        <v>6</v>
      </c>
      <c r="B27">
        <v>547.5</v>
      </c>
      <c r="C27">
        <v>42.600000000000009</v>
      </c>
    </row>
    <row r="28" spans="1:3" x14ac:dyDescent="0.35">
      <c r="A28" s="4">
        <v>7</v>
      </c>
      <c r="B28">
        <v>523.79999999999995</v>
      </c>
      <c r="C28">
        <v>32.700000000000003</v>
      </c>
    </row>
    <row r="29" spans="1:3" x14ac:dyDescent="0.35">
      <c r="A29" s="4" t="s">
        <v>21</v>
      </c>
      <c r="B29">
        <v>3367.7</v>
      </c>
      <c r="C29">
        <v>160.19999999999999</v>
      </c>
    </row>
  </sheetData>
  <mergeCells count="2">
    <mergeCell ref="A1:B1"/>
    <mergeCell ref="A19:B19"/>
  </mergeCell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F752C-829A-465D-94A6-726A7F699311}">
  <dimension ref="A2:K886"/>
  <sheetViews>
    <sheetView topLeftCell="A866" workbookViewId="0">
      <selection activeCell="P34" sqref="P34"/>
    </sheetView>
  </sheetViews>
  <sheetFormatPr defaultRowHeight="14.5" x14ac:dyDescent="0.35"/>
  <cols>
    <col min="1" max="1" width="10.54296875" style="1" bestFit="1" customWidth="1"/>
    <col min="6" max="7" width="11.54296875" customWidth="1"/>
    <col min="8" max="8" width="11.6328125" customWidth="1"/>
    <col min="9" max="9" width="11.453125" customWidth="1"/>
  </cols>
  <sheetData>
    <row r="2" spans="1:11" x14ac:dyDescent="0.35">
      <c r="A2" s="14" t="s">
        <v>0</v>
      </c>
      <c r="B2" s="15" t="s">
        <v>1</v>
      </c>
      <c r="C2" s="15" t="s">
        <v>2</v>
      </c>
      <c r="D2" s="15" t="s">
        <v>3</v>
      </c>
      <c r="E2" s="15" t="s">
        <v>4</v>
      </c>
      <c r="F2" s="15" t="s">
        <v>15</v>
      </c>
      <c r="G2" s="15" t="s">
        <v>16</v>
      </c>
      <c r="H2" s="15" t="s">
        <v>17</v>
      </c>
      <c r="I2" s="15" t="s">
        <v>18</v>
      </c>
      <c r="J2" s="15" t="s">
        <v>41</v>
      </c>
      <c r="K2" s="15" t="s">
        <v>39</v>
      </c>
    </row>
    <row r="3" spans="1:11" x14ac:dyDescent="0.35">
      <c r="A3" s="13">
        <v>42761</v>
      </c>
      <c r="B3" s="8">
        <v>21.9</v>
      </c>
      <c r="C3" s="8">
        <v>18.3</v>
      </c>
      <c r="D3" s="8">
        <v>29.2</v>
      </c>
      <c r="E3" s="8">
        <v>0</v>
      </c>
      <c r="F3" s="8" t="s">
        <v>30</v>
      </c>
      <c r="G3" s="8" t="s">
        <v>30</v>
      </c>
      <c r="H3" s="8" t="s">
        <v>30</v>
      </c>
      <c r="I3" s="8" t="s">
        <v>30</v>
      </c>
      <c r="J3" s="8">
        <v>2017</v>
      </c>
      <c r="K3" s="8">
        <v>1</v>
      </c>
    </row>
    <row r="4" spans="1:11" x14ac:dyDescent="0.35">
      <c r="A4" s="13">
        <v>42762</v>
      </c>
      <c r="B4" s="8">
        <v>22.1</v>
      </c>
      <c r="C4" s="8">
        <v>19.7</v>
      </c>
      <c r="D4" s="8">
        <v>26</v>
      </c>
      <c r="E4" s="8">
        <v>0.3</v>
      </c>
      <c r="F4" s="8" t="s">
        <v>30</v>
      </c>
      <c r="G4" s="8" t="s">
        <v>30</v>
      </c>
      <c r="H4" s="8" t="s">
        <v>30</v>
      </c>
      <c r="I4" s="8" t="s">
        <v>30</v>
      </c>
      <c r="J4" s="8">
        <v>2017</v>
      </c>
      <c r="K4" s="8">
        <v>1</v>
      </c>
    </row>
    <row r="5" spans="1:11" x14ac:dyDescent="0.35">
      <c r="A5" s="13">
        <v>42763</v>
      </c>
      <c r="B5" s="8">
        <v>22.7</v>
      </c>
      <c r="C5" s="8">
        <v>20</v>
      </c>
      <c r="D5" s="8">
        <v>26.7</v>
      </c>
      <c r="E5" s="8">
        <v>0</v>
      </c>
      <c r="F5" s="8" t="s">
        <v>30</v>
      </c>
      <c r="G5" s="8" t="s">
        <v>30</v>
      </c>
      <c r="H5" s="8" t="s">
        <v>30</v>
      </c>
      <c r="I5" s="8" t="s">
        <v>30</v>
      </c>
      <c r="J5" s="8">
        <v>2017</v>
      </c>
      <c r="K5" s="8">
        <v>1</v>
      </c>
    </row>
    <row r="6" spans="1:11" x14ac:dyDescent="0.35">
      <c r="A6" s="13">
        <v>42764</v>
      </c>
      <c r="B6" s="8">
        <v>23.7</v>
      </c>
      <c r="C6" s="8">
        <v>19.2</v>
      </c>
      <c r="D6" s="8">
        <v>29</v>
      </c>
      <c r="E6" s="8">
        <v>0</v>
      </c>
      <c r="F6" s="8" t="s">
        <v>30</v>
      </c>
      <c r="G6" s="8" t="s">
        <v>30</v>
      </c>
      <c r="H6" s="8" t="s">
        <v>30</v>
      </c>
      <c r="I6" s="8" t="s">
        <v>30</v>
      </c>
      <c r="J6" s="8">
        <v>2017</v>
      </c>
      <c r="K6" s="8">
        <v>1</v>
      </c>
    </row>
    <row r="7" spans="1:11" x14ac:dyDescent="0.35">
      <c r="A7" s="13">
        <v>42801</v>
      </c>
      <c r="B7" s="8">
        <v>26.2</v>
      </c>
      <c r="C7" s="8">
        <v>21.5</v>
      </c>
      <c r="D7" s="8">
        <v>33.1</v>
      </c>
      <c r="E7" s="8">
        <v>8.4</v>
      </c>
      <c r="F7" s="8" t="s">
        <v>30</v>
      </c>
      <c r="G7" s="8" t="s">
        <v>30</v>
      </c>
      <c r="H7" s="8" t="s">
        <v>30</v>
      </c>
      <c r="I7" s="8" t="s">
        <v>30</v>
      </c>
      <c r="J7" s="8">
        <v>2017</v>
      </c>
      <c r="K7" s="8">
        <v>3</v>
      </c>
    </row>
    <row r="8" spans="1:11" x14ac:dyDescent="0.35">
      <c r="A8" s="13">
        <v>42803</v>
      </c>
      <c r="B8" s="8">
        <v>26.7</v>
      </c>
      <c r="C8" s="8">
        <v>21.2</v>
      </c>
      <c r="D8" s="8">
        <v>32.1</v>
      </c>
      <c r="E8" s="8">
        <v>0</v>
      </c>
      <c r="F8" s="8" t="s">
        <v>30</v>
      </c>
      <c r="G8" s="8" t="s">
        <v>30</v>
      </c>
      <c r="H8" s="8" t="s">
        <v>30</v>
      </c>
      <c r="I8" s="8" t="s">
        <v>30</v>
      </c>
      <c r="J8" s="8">
        <v>2017</v>
      </c>
      <c r="K8" s="8">
        <v>3</v>
      </c>
    </row>
    <row r="9" spans="1:11" x14ac:dyDescent="0.35">
      <c r="A9" s="13">
        <v>42805</v>
      </c>
      <c r="B9" s="8">
        <v>27.2</v>
      </c>
      <c r="C9" s="8">
        <v>21</v>
      </c>
      <c r="D9" s="8">
        <v>33.5</v>
      </c>
      <c r="E9" s="8">
        <v>0</v>
      </c>
      <c r="F9" s="8" t="s">
        <v>30</v>
      </c>
      <c r="G9" s="8" t="s">
        <v>30</v>
      </c>
      <c r="H9" s="8" t="s">
        <v>30</v>
      </c>
      <c r="I9" s="8" t="s">
        <v>30</v>
      </c>
      <c r="J9" s="8">
        <v>2017</v>
      </c>
      <c r="K9" s="8">
        <v>3</v>
      </c>
    </row>
    <row r="10" spans="1:11" x14ac:dyDescent="0.35">
      <c r="A10" s="13">
        <v>42808</v>
      </c>
      <c r="B10" s="8">
        <v>25.1</v>
      </c>
      <c r="C10" s="8">
        <v>22</v>
      </c>
      <c r="D10" s="8">
        <v>34</v>
      </c>
      <c r="E10" s="8">
        <v>0</v>
      </c>
      <c r="F10" s="8" t="s">
        <v>30</v>
      </c>
      <c r="G10" s="8" t="s">
        <v>30</v>
      </c>
      <c r="H10" s="8" t="s">
        <v>30</v>
      </c>
      <c r="I10" s="8" t="s">
        <v>30</v>
      </c>
      <c r="J10" s="8">
        <v>2017</v>
      </c>
      <c r="K10" s="8">
        <v>3</v>
      </c>
    </row>
    <row r="11" spans="1:11" x14ac:dyDescent="0.35">
      <c r="A11" s="13">
        <v>42809</v>
      </c>
      <c r="B11" s="8">
        <v>25.3</v>
      </c>
      <c r="C11" s="8">
        <v>20.8</v>
      </c>
      <c r="D11" s="8">
        <v>30.4</v>
      </c>
      <c r="E11" s="8">
        <v>0</v>
      </c>
      <c r="F11" s="8" t="s">
        <v>30</v>
      </c>
      <c r="G11" s="8" t="s">
        <v>30</v>
      </c>
      <c r="H11" s="8" t="s">
        <v>30</v>
      </c>
      <c r="I11" s="8" t="s">
        <v>30</v>
      </c>
      <c r="J11" s="8">
        <v>2017</v>
      </c>
      <c r="K11" s="8">
        <v>3</v>
      </c>
    </row>
    <row r="12" spans="1:11" x14ac:dyDescent="0.35">
      <c r="A12" s="13">
        <v>42830</v>
      </c>
      <c r="B12" s="8">
        <v>27.3</v>
      </c>
      <c r="C12" s="8">
        <v>21.2</v>
      </c>
      <c r="D12" s="8">
        <v>36.1</v>
      </c>
      <c r="E12" s="8">
        <v>0</v>
      </c>
      <c r="F12" s="8" t="s">
        <v>30</v>
      </c>
      <c r="G12" s="8" t="s">
        <v>30</v>
      </c>
      <c r="H12" s="8" t="s">
        <v>30</v>
      </c>
      <c r="I12" s="8" t="s">
        <v>30</v>
      </c>
      <c r="J12" s="8">
        <v>2017</v>
      </c>
      <c r="K12" s="8">
        <v>4</v>
      </c>
    </row>
    <row r="13" spans="1:11" x14ac:dyDescent="0.35">
      <c r="A13" s="13">
        <v>42831</v>
      </c>
      <c r="B13" s="8">
        <v>27.8</v>
      </c>
      <c r="C13" s="8">
        <v>22.4</v>
      </c>
      <c r="D13" s="8">
        <v>35.5</v>
      </c>
      <c r="E13" s="8">
        <v>3.6</v>
      </c>
      <c r="F13" s="8" t="s">
        <v>30</v>
      </c>
      <c r="G13" s="8" t="s">
        <v>30</v>
      </c>
      <c r="H13" s="8" t="s">
        <v>30</v>
      </c>
      <c r="I13" s="8" t="s">
        <v>30</v>
      </c>
      <c r="J13" s="8">
        <v>2017</v>
      </c>
      <c r="K13" s="8">
        <v>4</v>
      </c>
    </row>
    <row r="14" spans="1:11" x14ac:dyDescent="0.35">
      <c r="A14" s="13">
        <v>42842</v>
      </c>
      <c r="B14" s="8">
        <v>25.7</v>
      </c>
      <c r="C14" s="8">
        <v>22.2</v>
      </c>
      <c r="D14" s="8">
        <v>36.200000000000003</v>
      </c>
      <c r="E14" s="8">
        <v>0.5</v>
      </c>
      <c r="F14" s="8" t="s">
        <v>30</v>
      </c>
      <c r="G14" s="8" t="s">
        <v>30</v>
      </c>
      <c r="H14" s="8" t="s">
        <v>30</v>
      </c>
      <c r="I14" s="8" t="s">
        <v>30</v>
      </c>
      <c r="J14" s="8">
        <v>2017</v>
      </c>
      <c r="K14" s="8">
        <v>4</v>
      </c>
    </row>
    <row r="15" spans="1:11" x14ac:dyDescent="0.35">
      <c r="A15" s="13">
        <v>42845</v>
      </c>
      <c r="B15" s="8">
        <v>26.6</v>
      </c>
      <c r="C15" s="8">
        <v>22.8</v>
      </c>
      <c r="D15" s="8">
        <v>35.700000000000003</v>
      </c>
      <c r="E15" s="8">
        <v>0.3</v>
      </c>
      <c r="F15" s="8" t="s">
        <v>30</v>
      </c>
      <c r="G15" s="8" t="s">
        <v>30</v>
      </c>
      <c r="H15" s="8" t="s">
        <v>30</v>
      </c>
      <c r="I15" s="8" t="s">
        <v>30</v>
      </c>
      <c r="J15" s="8">
        <v>2017</v>
      </c>
      <c r="K15" s="8">
        <v>4</v>
      </c>
    </row>
    <row r="16" spans="1:11" x14ac:dyDescent="0.35">
      <c r="A16" s="13">
        <v>42846</v>
      </c>
      <c r="B16" s="8">
        <v>26.8</v>
      </c>
      <c r="C16" s="8">
        <v>21.7</v>
      </c>
      <c r="D16" s="8">
        <v>35.200000000000003</v>
      </c>
      <c r="E16" s="8">
        <v>1</v>
      </c>
      <c r="F16" s="8" t="s">
        <v>30</v>
      </c>
      <c r="G16" s="8" t="s">
        <v>30</v>
      </c>
      <c r="H16" s="8" t="s">
        <v>30</v>
      </c>
      <c r="I16" s="8" t="s">
        <v>30</v>
      </c>
      <c r="J16" s="8">
        <v>2017</v>
      </c>
      <c r="K16" s="8">
        <v>4</v>
      </c>
    </row>
    <row r="17" spans="1:11" x14ac:dyDescent="0.35">
      <c r="A17" s="13">
        <v>42854</v>
      </c>
      <c r="B17" s="8">
        <v>25.6</v>
      </c>
      <c r="C17" s="8">
        <v>21.8</v>
      </c>
      <c r="D17" s="8">
        <v>35.299999999999997</v>
      </c>
      <c r="E17" s="8">
        <v>1.3</v>
      </c>
      <c r="F17" s="8" t="s">
        <v>30</v>
      </c>
      <c r="G17" s="8" t="s">
        <v>30</v>
      </c>
      <c r="H17" s="8" t="s">
        <v>30</v>
      </c>
      <c r="I17" s="8" t="s">
        <v>30</v>
      </c>
      <c r="J17" s="8">
        <v>2017</v>
      </c>
      <c r="K17" s="8">
        <v>4</v>
      </c>
    </row>
    <row r="18" spans="1:11" x14ac:dyDescent="0.35">
      <c r="A18" s="13">
        <v>42855</v>
      </c>
      <c r="B18" s="8">
        <v>28.3</v>
      </c>
      <c r="C18" s="8">
        <v>20.100000000000001</v>
      </c>
      <c r="D18" s="8">
        <v>35.6</v>
      </c>
      <c r="E18" s="8">
        <v>6.1</v>
      </c>
      <c r="F18" s="8" t="s">
        <v>30</v>
      </c>
      <c r="G18" s="8" t="s">
        <v>30</v>
      </c>
      <c r="H18" s="8" t="s">
        <v>30</v>
      </c>
      <c r="I18" s="8" t="s">
        <v>30</v>
      </c>
      <c r="J18" s="8">
        <v>2017</v>
      </c>
      <c r="K18" s="8">
        <v>4</v>
      </c>
    </row>
    <row r="19" spans="1:11" x14ac:dyDescent="0.35">
      <c r="A19" s="13">
        <v>42856</v>
      </c>
      <c r="B19" s="8">
        <v>26.8</v>
      </c>
      <c r="C19" s="8">
        <v>20.5</v>
      </c>
      <c r="D19" s="8">
        <v>35.6</v>
      </c>
      <c r="E19" s="8">
        <v>1</v>
      </c>
      <c r="F19" s="8" t="s">
        <v>30</v>
      </c>
      <c r="G19" s="8" t="s">
        <v>30</v>
      </c>
      <c r="H19" s="8" t="s">
        <v>30</v>
      </c>
      <c r="I19" s="8" t="s">
        <v>30</v>
      </c>
      <c r="J19" s="8">
        <v>2017</v>
      </c>
      <c r="K19" s="8">
        <v>5</v>
      </c>
    </row>
    <row r="20" spans="1:11" x14ac:dyDescent="0.35">
      <c r="A20" s="13">
        <v>42857</v>
      </c>
      <c r="B20" s="8">
        <v>27.6</v>
      </c>
      <c r="C20" s="8">
        <v>22.3</v>
      </c>
      <c r="D20" s="8">
        <v>35.1</v>
      </c>
      <c r="E20" s="8">
        <v>0</v>
      </c>
      <c r="F20" s="8" t="s">
        <v>30</v>
      </c>
      <c r="G20" s="8" t="s">
        <v>30</v>
      </c>
      <c r="H20" s="8" t="s">
        <v>30</v>
      </c>
      <c r="I20" s="8" t="s">
        <v>30</v>
      </c>
      <c r="J20" s="8">
        <v>2017</v>
      </c>
      <c r="K20" s="8">
        <v>5</v>
      </c>
    </row>
    <row r="21" spans="1:11" x14ac:dyDescent="0.35">
      <c r="A21" s="13">
        <v>42858</v>
      </c>
      <c r="B21" s="8">
        <v>28.1</v>
      </c>
      <c r="C21" s="8">
        <v>23.3</v>
      </c>
      <c r="D21" s="8">
        <v>34.200000000000003</v>
      </c>
      <c r="E21" s="8">
        <v>0</v>
      </c>
      <c r="F21" s="8" t="s">
        <v>30</v>
      </c>
      <c r="G21" s="8" t="s">
        <v>30</v>
      </c>
      <c r="H21" s="8" t="s">
        <v>30</v>
      </c>
      <c r="I21" s="8" t="s">
        <v>30</v>
      </c>
      <c r="J21" s="8">
        <v>2017</v>
      </c>
      <c r="K21" s="8">
        <v>5</v>
      </c>
    </row>
    <row r="22" spans="1:11" x14ac:dyDescent="0.35">
      <c r="A22" s="13">
        <v>42862</v>
      </c>
      <c r="B22" s="8">
        <v>27.3</v>
      </c>
      <c r="C22" s="8">
        <v>20.9</v>
      </c>
      <c r="D22" s="8">
        <v>35.799999999999997</v>
      </c>
      <c r="E22" s="8">
        <v>0</v>
      </c>
      <c r="F22" s="8" t="s">
        <v>30</v>
      </c>
      <c r="G22" s="8" t="s">
        <v>30</v>
      </c>
      <c r="H22" s="8" t="s">
        <v>30</v>
      </c>
      <c r="I22" s="8" t="s">
        <v>30</v>
      </c>
      <c r="J22" s="8">
        <v>2017</v>
      </c>
      <c r="K22" s="8">
        <v>5</v>
      </c>
    </row>
    <row r="23" spans="1:11" x14ac:dyDescent="0.35">
      <c r="A23" s="13">
        <v>42864</v>
      </c>
      <c r="B23" s="8">
        <v>26</v>
      </c>
      <c r="C23" s="8">
        <v>21.9</v>
      </c>
      <c r="D23" s="8">
        <v>33.200000000000003</v>
      </c>
      <c r="E23" s="8">
        <v>0</v>
      </c>
      <c r="F23" s="8" t="s">
        <v>30</v>
      </c>
      <c r="G23" s="8" t="s">
        <v>30</v>
      </c>
      <c r="H23" s="8" t="s">
        <v>30</v>
      </c>
      <c r="I23" s="8" t="s">
        <v>30</v>
      </c>
      <c r="J23" s="8">
        <v>2017</v>
      </c>
      <c r="K23" s="8">
        <v>5</v>
      </c>
    </row>
    <row r="24" spans="1:11" x14ac:dyDescent="0.35">
      <c r="A24" s="13">
        <v>42865</v>
      </c>
      <c r="B24" s="8">
        <v>27</v>
      </c>
      <c r="C24" s="8">
        <v>21.5</v>
      </c>
      <c r="D24" s="8">
        <v>33.200000000000003</v>
      </c>
      <c r="E24" s="8">
        <v>0</v>
      </c>
      <c r="F24" s="8" t="s">
        <v>30</v>
      </c>
      <c r="G24" s="8" t="s">
        <v>30</v>
      </c>
      <c r="H24" s="8" t="s">
        <v>30</v>
      </c>
      <c r="I24" s="8" t="s">
        <v>30</v>
      </c>
      <c r="J24" s="8">
        <v>2017</v>
      </c>
      <c r="K24" s="8">
        <v>5</v>
      </c>
    </row>
    <row r="25" spans="1:11" x14ac:dyDescent="0.35">
      <c r="A25" s="13">
        <v>42866</v>
      </c>
      <c r="B25" s="8">
        <v>26.9</v>
      </c>
      <c r="C25" s="8">
        <v>22</v>
      </c>
      <c r="D25" s="8">
        <v>34.4</v>
      </c>
      <c r="E25" s="8">
        <v>0</v>
      </c>
      <c r="F25" s="8" t="s">
        <v>30</v>
      </c>
      <c r="G25" s="8" t="s">
        <v>30</v>
      </c>
      <c r="H25" s="8" t="s">
        <v>30</v>
      </c>
      <c r="I25" s="8" t="s">
        <v>30</v>
      </c>
      <c r="J25" s="8">
        <v>2017</v>
      </c>
      <c r="K25" s="8">
        <v>5</v>
      </c>
    </row>
    <row r="26" spans="1:11" x14ac:dyDescent="0.35">
      <c r="A26" s="13">
        <v>42867</v>
      </c>
      <c r="B26" s="8">
        <v>27.6</v>
      </c>
      <c r="C26" s="8">
        <v>23</v>
      </c>
      <c r="D26" s="8">
        <v>32.5</v>
      </c>
      <c r="E26" s="8">
        <v>1.8</v>
      </c>
      <c r="F26" s="8" t="s">
        <v>30</v>
      </c>
      <c r="G26" s="8" t="s">
        <v>30</v>
      </c>
      <c r="H26" s="8" t="s">
        <v>30</v>
      </c>
      <c r="I26" s="8" t="s">
        <v>30</v>
      </c>
      <c r="J26" s="8">
        <v>2017</v>
      </c>
      <c r="K26" s="8">
        <v>5</v>
      </c>
    </row>
    <row r="27" spans="1:11" x14ac:dyDescent="0.35">
      <c r="A27" s="13">
        <v>42870</v>
      </c>
      <c r="B27" s="8">
        <v>27.1</v>
      </c>
      <c r="C27" s="8">
        <v>21.8</v>
      </c>
      <c r="D27" s="8">
        <v>35</v>
      </c>
      <c r="E27" s="8">
        <v>2.5</v>
      </c>
      <c r="F27" s="8" t="s">
        <v>30</v>
      </c>
      <c r="G27" s="8" t="s">
        <v>30</v>
      </c>
      <c r="H27" s="8" t="s">
        <v>30</v>
      </c>
      <c r="I27" s="8" t="s">
        <v>30</v>
      </c>
      <c r="J27" s="8">
        <v>2017</v>
      </c>
      <c r="K27" s="8">
        <v>5</v>
      </c>
    </row>
    <row r="28" spans="1:11" x14ac:dyDescent="0.35">
      <c r="A28" s="13">
        <v>42873</v>
      </c>
      <c r="B28" s="8">
        <v>26</v>
      </c>
      <c r="C28" s="8">
        <v>19.8</v>
      </c>
      <c r="D28" s="8">
        <v>34.5</v>
      </c>
      <c r="E28" s="8">
        <v>9.9</v>
      </c>
      <c r="F28" s="8" t="s">
        <v>30</v>
      </c>
      <c r="G28" s="8" t="s">
        <v>30</v>
      </c>
      <c r="H28" s="8" t="s">
        <v>30</v>
      </c>
      <c r="I28" s="8" t="s">
        <v>30</v>
      </c>
      <c r="J28" s="8">
        <v>2017</v>
      </c>
      <c r="K28" s="8">
        <v>5</v>
      </c>
    </row>
    <row r="29" spans="1:11" x14ac:dyDescent="0.35">
      <c r="A29" s="13">
        <v>42875</v>
      </c>
      <c r="B29" s="8">
        <v>26.8</v>
      </c>
      <c r="C29" s="8">
        <v>20.9</v>
      </c>
      <c r="D29" s="8">
        <v>34.4</v>
      </c>
      <c r="E29" s="8">
        <v>0</v>
      </c>
      <c r="F29" s="8" t="s">
        <v>30</v>
      </c>
      <c r="G29" s="8" t="s">
        <v>30</v>
      </c>
      <c r="H29" s="8" t="s">
        <v>30</v>
      </c>
      <c r="I29" s="8" t="s">
        <v>30</v>
      </c>
      <c r="J29" s="8">
        <v>2017</v>
      </c>
      <c r="K29" s="8">
        <v>5</v>
      </c>
    </row>
    <row r="30" spans="1:11" x14ac:dyDescent="0.35">
      <c r="A30" s="13">
        <v>42877</v>
      </c>
      <c r="B30" s="8">
        <v>25.7</v>
      </c>
      <c r="C30" s="8">
        <v>23.2</v>
      </c>
      <c r="D30" s="8">
        <v>32</v>
      </c>
      <c r="E30" s="8">
        <v>0</v>
      </c>
      <c r="F30" s="8" t="s">
        <v>30</v>
      </c>
      <c r="G30" s="8" t="s">
        <v>30</v>
      </c>
      <c r="H30" s="8" t="s">
        <v>30</v>
      </c>
      <c r="I30" s="8" t="s">
        <v>30</v>
      </c>
      <c r="J30" s="8">
        <v>2017</v>
      </c>
      <c r="K30" s="8">
        <v>5</v>
      </c>
    </row>
    <row r="31" spans="1:11" x14ac:dyDescent="0.35">
      <c r="A31" s="13">
        <v>42880</v>
      </c>
      <c r="B31" s="8">
        <v>27.6</v>
      </c>
      <c r="C31" s="8">
        <v>21.9</v>
      </c>
      <c r="D31" s="8">
        <v>34</v>
      </c>
      <c r="E31" s="8">
        <v>0</v>
      </c>
      <c r="F31" s="8" t="s">
        <v>30</v>
      </c>
      <c r="G31" s="8" t="s">
        <v>30</v>
      </c>
      <c r="H31" s="8" t="s">
        <v>30</v>
      </c>
      <c r="I31" s="8" t="s">
        <v>30</v>
      </c>
      <c r="J31" s="8">
        <v>2017</v>
      </c>
      <c r="K31" s="8">
        <v>5</v>
      </c>
    </row>
    <row r="32" spans="1:11" x14ac:dyDescent="0.35">
      <c r="A32" s="13">
        <v>42881</v>
      </c>
      <c r="B32" s="8">
        <v>26.2</v>
      </c>
      <c r="C32" s="8">
        <v>20.9</v>
      </c>
      <c r="D32" s="8">
        <v>33.299999999999997</v>
      </c>
      <c r="E32" s="8">
        <v>0</v>
      </c>
      <c r="F32" s="8" t="s">
        <v>30</v>
      </c>
      <c r="G32" s="8" t="s">
        <v>30</v>
      </c>
      <c r="H32" s="8" t="s">
        <v>30</v>
      </c>
      <c r="I32" s="8" t="s">
        <v>30</v>
      </c>
      <c r="J32" s="8">
        <v>2017</v>
      </c>
      <c r="K32" s="8">
        <v>5</v>
      </c>
    </row>
    <row r="33" spans="1:11" x14ac:dyDescent="0.35">
      <c r="A33" s="13">
        <v>42884</v>
      </c>
      <c r="B33" s="8">
        <v>25.5</v>
      </c>
      <c r="C33" s="8">
        <v>21.3</v>
      </c>
      <c r="D33" s="8">
        <v>29.7</v>
      </c>
      <c r="E33" s="8">
        <v>0</v>
      </c>
      <c r="F33" s="8" t="s">
        <v>30</v>
      </c>
      <c r="G33" s="8" t="s">
        <v>30</v>
      </c>
      <c r="H33" s="8" t="s">
        <v>30</v>
      </c>
      <c r="I33" s="8" t="s">
        <v>30</v>
      </c>
      <c r="J33" s="8">
        <v>2017</v>
      </c>
      <c r="K33" s="8">
        <v>5</v>
      </c>
    </row>
    <row r="34" spans="1:11" x14ac:dyDescent="0.35">
      <c r="A34" s="13">
        <v>42886</v>
      </c>
      <c r="B34" s="8">
        <v>24.9</v>
      </c>
      <c r="C34" s="8">
        <v>20.8</v>
      </c>
      <c r="D34" s="8">
        <v>31.2</v>
      </c>
      <c r="E34" s="8">
        <v>0</v>
      </c>
      <c r="F34" s="8" t="s">
        <v>30</v>
      </c>
      <c r="G34" s="8" t="s">
        <v>30</v>
      </c>
      <c r="H34" s="8" t="s">
        <v>30</v>
      </c>
      <c r="I34" s="8" t="s">
        <v>30</v>
      </c>
      <c r="J34" s="8">
        <v>2017</v>
      </c>
      <c r="K34" s="8">
        <v>5</v>
      </c>
    </row>
    <row r="35" spans="1:11" x14ac:dyDescent="0.35">
      <c r="A35" s="13">
        <v>42892</v>
      </c>
      <c r="B35" s="8">
        <v>25.8</v>
      </c>
      <c r="C35" s="8">
        <v>21.8</v>
      </c>
      <c r="D35" s="8">
        <v>32</v>
      </c>
      <c r="E35" s="8">
        <v>0</v>
      </c>
      <c r="F35" s="8" t="s">
        <v>30</v>
      </c>
      <c r="G35" s="8" t="s">
        <v>30</v>
      </c>
      <c r="H35" s="8" t="s">
        <v>30</v>
      </c>
      <c r="I35" s="8" t="s">
        <v>30</v>
      </c>
      <c r="J35" s="8">
        <v>2017</v>
      </c>
      <c r="K35" s="8">
        <v>6</v>
      </c>
    </row>
    <row r="36" spans="1:11" x14ac:dyDescent="0.35">
      <c r="A36" s="13">
        <v>42893</v>
      </c>
      <c r="B36" s="8">
        <v>23.9</v>
      </c>
      <c r="C36" s="8">
        <v>21.7</v>
      </c>
      <c r="D36" s="8">
        <v>31.2</v>
      </c>
      <c r="E36" s="8">
        <v>0</v>
      </c>
      <c r="F36" s="8" t="s">
        <v>30</v>
      </c>
      <c r="G36" s="8" t="s">
        <v>30</v>
      </c>
      <c r="H36" s="8" t="s">
        <v>30</v>
      </c>
      <c r="I36" s="8" t="s">
        <v>30</v>
      </c>
      <c r="J36" s="8">
        <v>2017</v>
      </c>
      <c r="K36" s="8">
        <v>6</v>
      </c>
    </row>
    <row r="37" spans="1:11" x14ac:dyDescent="0.35">
      <c r="A37" s="13">
        <v>42894</v>
      </c>
      <c r="B37" s="8">
        <v>25</v>
      </c>
      <c r="C37" s="8">
        <v>21.5</v>
      </c>
      <c r="D37" s="8">
        <v>28.9</v>
      </c>
      <c r="E37" s="8">
        <v>0.8</v>
      </c>
      <c r="F37" s="8" t="s">
        <v>30</v>
      </c>
      <c r="G37" s="8" t="s">
        <v>30</v>
      </c>
      <c r="H37" s="8" t="s">
        <v>30</v>
      </c>
      <c r="I37" s="8" t="s">
        <v>30</v>
      </c>
      <c r="J37" s="8">
        <v>2017</v>
      </c>
      <c r="K37" s="8">
        <v>6</v>
      </c>
    </row>
    <row r="38" spans="1:11" x14ac:dyDescent="0.35">
      <c r="A38" s="13">
        <v>42895</v>
      </c>
      <c r="B38" s="8">
        <v>23.3</v>
      </c>
      <c r="C38" s="8">
        <v>21.1</v>
      </c>
      <c r="D38" s="8">
        <v>29.6</v>
      </c>
      <c r="E38" s="8">
        <v>0</v>
      </c>
      <c r="F38" s="8" t="s">
        <v>30</v>
      </c>
      <c r="G38" s="8" t="s">
        <v>30</v>
      </c>
      <c r="H38" s="8" t="s">
        <v>30</v>
      </c>
      <c r="I38" s="8" t="s">
        <v>30</v>
      </c>
      <c r="J38" s="8">
        <v>2017</v>
      </c>
      <c r="K38" s="8">
        <v>6</v>
      </c>
    </row>
    <row r="39" spans="1:11" x14ac:dyDescent="0.35">
      <c r="A39" s="13">
        <v>42896</v>
      </c>
      <c r="B39" s="8">
        <v>23.9</v>
      </c>
      <c r="C39" s="8">
        <v>20.7</v>
      </c>
      <c r="D39" s="8">
        <v>28.1</v>
      </c>
      <c r="E39" s="8">
        <v>8.6</v>
      </c>
      <c r="F39" s="8" t="s">
        <v>30</v>
      </c>
      <c r="G39" s="8" t="s">
        <v>30</v>
      </c>
      <c r="H39" s="8" t="s">
        <v>30</v>
      </c>
      <c r="I39" s="8" t="s">
        <v>30</v>
      </c>
      <c r="J39" s="8">
        <v>2017</v>
      </c>
      <c r="K39" s="8">
        <v>6</v>
      </c>
    </row>
    <row r="40" spans="1:11" x14ac:dyDescent="0.35">
      <c r="A40" s="13">
        <v>42897</v>
      </c>
      <c r="B40" s="8">
        <v>23.4</v>
      </c>
      <c r="C40" s="8">
        <v>20.8</v>
      </c>
      <c r="D40" s="8">
        <v>27.9</v>
      </c>
      <c r="E40" s="8">
        <v>0</v>
      </c>
      <c r="F40" s="8" t="s">
        <v>30</v>
      </c>
      <c r="G40" s="8" t="s">
        <v>30</v>
      </c>
      <c r="H40" s="8" t="s">
        <v>30</v>
      </c>
      <c r="I40" s="8" t="s">
        <v>30</v>
      </c>
      <c r="J40" s="8">
        <v>2017</v>
      </c>
      <c r="K40" s="8">
        <v>6</v>
      </c>
    </row>
    <row r="41" spans="1:11" x14ac:dyDescent="0.35">
      <c r="A41" s="13">
        <v>42898</v>
      </c>
      <c r="B41" s="8">
        <v>22.3</v>
      </c>
      <c r="C41" s="8">
        <v>20.2</v>
      </c>
      <c r="D41" s="8">
        <v>28.3</v>
      </c>
      <c r="E41" s="8">
        <v>1.8</v>
      </c>
      <c r="F41" s="8" t="s">
        <v>30</v>
      </c>
      <c r="G41" s="8" t="s">
        <v>30</v>
      </c>
      <c r="H41" s="8" t="s">
        <v>30</v>
      </c>
      <c r="I41" s="8" t="s">
        <v>30</v>
      </c>
      <c r="J41" s="8">
        <v>2017</v>
      </c>
      <c r="K41" s="8">
        <v>6</v>
      </c>
    </row>
    <row r="42" spans="1:11" x14ac:dyDescent="0.35">
      <c r="A42" s="13">
        <v>42899</v>
      </c>
      <c r="B42" s="8">
        <v>24.2</v>
      </c>
      <c r="C42" s="8">
        <v>20.7</v>
      </c>
      <c r="D42" s="8">
        <v>29.2</v>
      </c>
      <c r="E42" s="8">
        <v>1</v>
      </c>
      <c r="F42" s="8" t="s">
        <v>30</v>
      </c>
      <c r="G42" s="8" t="s">
        <v>30</v>
      </c>
      <c r="H42" s="8" t="s">
        <v>30</v>
      </c>
      <c r="I42" s="8" t="s">
        <v>30</v>
      </c>
      <c r="J42" s="8">
        <v>2017</v>
      </c>
      <c r="K42" s="8">
        <v>6</v>
      </c>
    </row>
    <row r="43" spans="1:11" x14ac:dyDescent="0.35">
      <c r="A43" s="13">
        <v>42900</v>
      </c>
      <c r="B43" s="8">
        <v>25.8</v>
      </c>
      <c r="C43" s="8">
        <v>22</v>
      </c>
      <c r="D43" s="8">
        <v>30.9</v>
      </c>
      <c r="E43" s="8">
        <v>1</v>
      </c>
      <c r="F43" s="8" t="s">
        <v>30</v>
      </c>
      <c r="G43" s="8" t="s">
        <v>30</v>
      </c>
      <c r="H43" s="8" t="s">
        <v>30</v>
      </c>
      <c r="I43" s="8" t="s">
        <v>30</v>
      </c>
      <c r="J43" s="8">
        <v>2017</v>
      </c>
      <c r="K43" s="8">
        <v>6</v>
      </c>
    </row>
    <row r="44" spans="1:11" x14ac:dyDescent="0.35">
      <c r="A44" s="13">
        <v>42901</v>
      </c>
      <c r="B44" s="8">
        <v>25.1</v>
      </c>
      <c r="C44" s="8">
        <v>21.5</v>
      </c>
      <c r="D44" s="8">
        <v>31.2</v>
      </c>
      <c r="E44" s="8">
        <v>0</v>
      </c>
      <c r="F44" s="8" t="s">
        <v>30</v>
      </c>
      <c r="G44" s="8" t="s">
        <v>30</v>
      </c>
      <c r="H44" s="8" t="s">
        <v>30</v>
      </c>
      <c r="I44" s="8" t="s">
        <v>30</v>
      </c>
      <c r="J44" s="8">
        <v>2017</v>
      </c>
      <c r="K44" s="8">
        <v>6</v>
      </c>
    </row>
    <row r="45" spans="1:11" x14ac:dyDescent="0.35">
      <c r="A45" s="13">
        <v>42904</v>
      </c>
      <c r="B45" s="8">
        <v>23.8</v>
      </c>
      <c r="C45" s="8">
        <v>20.2</v>
      </c>
      <c r="D45" s="8">
        <v>29.3</v>
      </c>
      <c r="E45" s="8">
        <v>0</v>
      </c>
      <c r="F45" s="8" t="s">
        <v>30</v>
      </c>
      <c r="G45" s="8" t="s">
        <v>30</v>
      </c>
      <c r="H45" s="8" t="s">
        <v>30</v>
      </c>
      <c r="I45" s="8" t="s">
        <v>30</v>
      </c>
      <c r="J45" s="8">
        <v>2017</v>
      </c>
      <c r="K45" s="8">
        <v>6</v>
      </c>
    </row>
    <row r="46" spans="1:11" x14ac:dyDescent="0.35">
      <c r="A46" s="13">
        <v>42905</v>
      </c>
      <c r="B46" s="8">
        <v>23.4</v>
      </c>
      <c r="C46" s="8">
        <v>20</v>
      </c>
      <c r="D46" s="8">
        <v>29</v>
      </c>
      <c r="E46" s="8">
        <v>3.6</v>
      </c>
      <c r="F46" s="8" t="s">
        <v>30</v>
      </c>
      <c r="G46" s="8" t="s">
        <v>30</v>
      </c>
      <c r="H46" s="8" t="s">
        <v>30</v>
      </c>
      <c r="I46" s="8" t="s">
        <v>30</v>
      </c>
      <c r="J46" s="8">
        <v>2017</v>
      </c>
      <c r="K46" s="8">
        <v>6</v>
      </c>
    </row>
    <row r="47" spans="1:11" x14ac:dyDescent="0.35">
      <c r="A47" s="13">
        <v>42906</v>
      </c>
      <c r="B47" s="8">
        <v>24.1</v>
      </c>
      <c r="C47" s="8">
        <v>21</v>
      </c>
      <c r="D47" s="8">
        <v>28</v>
      </c>
      <c r="E47" s="8">
        <v>0</v>
      </c>
      <c r="F47" s="8" t="s">
        <v>30</v>
      </c>
      <c r="G47" s="8" t="s">
        <v>30</v>
      </c>
      <c r="H47" s="8" t="s">
        <v>30</v>
      </c>
      <c r="I47" s="8" t="s">
        <v>30</v>
      </c>
      <c r="J47" s="8">
        <v>2017</v>
      </c>
      <c r="K47" s="8">
        <v>6</v>
      </c>
    </row>
    <row r="48" spans="1:11" x14ac:dyDescent="0.35">
      <c r="A48" s="13">
        <v>42907</v>
      </c>
      <c r="B48" s="8">
        <v>24.6</v>
      </c>
      <c r="C48" s="8">
        <v>20.8</v>
      </c>
      <c r="D48" s="8">
        <v>29.8</v>
      </c>
      <c r="E48" s="8">
        <v>0.3</v>
      </c>
      <c r="F48" s="8" t="s">
        <v>30</v>
      </c>
      <c r="G48" s="8" t="s">
        <v>30</v>
      </c>
      <c r="H48" s="8" t="s">
        <v>30</v>
      </c>
      <c r="I48" s="8" t="s">
        <v>30</v>
      </c>
      <c r="J48" s="8">
        <v>2017</v>
      </c>
      <c r="K48" s="8">
        <v>6</v>
      </c>
    </row>
    <row r="49" spans="1:11" x14ac:dyDescent="0.35">
      <c r="A49" s="13">
        <v>42908</v>
      </c>
      <c r="B49" s="8">
        <v>24.4</v>
      </c>
      <c r="C49" s="8">
        <v>20.5</v>
      </c>
      <c r="D49" s="8">
        <v>29.5</v>
      </c>
      <c r="E49" s="8">
        <v>0</v>
      </c>
      <c r="F49" s="8" t="s">
        <v>30</v>
      </c>
      <c r="G49" s="8" t="s">
        <v>30</v>
      </c>
      <c r="H49" s="8" t="s">
        <v>30</v>
      </c>
      <c r="I49" s="8" t="s">
        <v>30</v>
      </c>
      <c r="J49" s="8">
        <v>2017</v>
      </c>
      <c r="K49" s="8">
        <v>6</v>
      </c>
    </row>
    <row r="50" spans="1:11" x14ac:dyDescent="0.35">
      <c r="A50" s="13">
        <v>42909</v>
      </c>
      <c r="B50" s="8">
        <v>24.9</v>
      </c>
      <c r="C50" s="8">
        <v>19.399999999999999</v>
      </c>
      <c r="D50" s="8">
        <v>30.6</v>
      </c>
      <c r="E50" s="8">
        <v>0.8</v>
      </c>
      <c r="F50" s="8" t="s">
        <v>30</v>
      </c>
      <c r="G50" s="8" t="s">
        <v>30</v>
      </c>
      <c r="H50" s="8" t="s">
        <v>30</v>
      </c>
      <c r="I50" s="8" t="s">
        <v>30</v>
      </c>
      <c r="J50" s="8">
        <v>2017</v>
      </c>
      <c r="K50" s="8">
        <v>6</v>
      </c>
    </row>
    <row r="51" spans="1:11" x14ac:dyDescent="0.35">
      <c r="A51" s="13">
        <v>42910</v>
      </c>
      <c r="B51" s="8">
        <v>24.4</v>
      </c>
      <c r="C51" s="8">
        <v>21</v>
      </c>
      <c r="D51" s="8">
        <v>30.5</v>
      </c>
      <c r="E51" s="8">
        <v>0</v>
      </c>
      <c r="F51" s="8" t="s">
        <v>30</v>
      </c>
      <c r="G51" s="8" t="s">
        <v>30</v>
      </c>
      <c r="H51" s="8" t="s">
        <v>30</v>
      </c>
      <c r="I51" s="8" t="s">
        <v>30</v>
      </c>
      <c r="J51" s="8">
        <v>2017</v>
      </c>
      <c r="K51" s="8">
        <v>6</v>
      </c>
    </row>
    <row r="52" spans="1:11" x14ac:dyDescent="0.35">
      <c r="A52" s="13">
        <v>42911</v>
      </c>
      <c r="B52" s="8">
        <v>23.8</v>
      </c>
      <c r="C52" s="8">
        <v>20.6</v>
      </c>
      <c r="D52" s="8">
        <v>29.4</v>
      </c>
      <c r="E52" s="8">
        <v>0</v>
      </c>
      <c r="F52" s="8" t="s">
        <v>30</v>
      </c>
      <c r="G52" s="8" t="s">
        <v>30</v>
      </c>
      <c r="H52" s="8" t="s">
        <v>30</v>
      </c>
      <c r="I52" s="8" t="s">
        <v>30</v>
      </c>
      <c r="J52" s="8">
        <v>2017</v>
      </c>
      <c r="K52" s="8">
        <v>6</v>
      </c>
    </row>
    <row r="53" spans="1:11" x14ac:dyDescent="0.35">
      <c r="A53" s="13">
        <v>42912</v>
      </c>
      <c r="B53" s="8">
        <v>24</v>
      </c>
      <c r="C53" s="8">
        <v>20.399999999999999</v>
      </c>
      <c r="D53" s="8">
        <v>29</v>
      </c>
      <c r="E53" s="8">
        <v>0</v>
      </c>
      <c r="F53" s="8" t="s">
        <v>30</v>
      </c>
      <c r="G53" s="8" t="s">
        <v>30</v>
      </c>
      <c r="H53" s="8" t="s">
        <v>30</v>
      </c>
      <c r="I53" s="8" t="s">
        <v>30</v>
      </c>
      <c r="J53" s="8">
        <v>2017</v>
      </c>
      <c r="K53" s="8">
        <v>6</v>
      </c>
    </row>
    <row r="54" spans="1:11" x14ac:dyDescent="0.35">
      <c r="A54" s="13">
        <v>42913</v>
      </c>
      <c r="B54" s="8">
        <v>23.6</v>
      </c>
      <c r="C54" s="8">
        <v>20.399999999999999</v>
      </c>
      <c r="D54" s="8">
        <v>30.6</v>
      </c>
      <c r="E54" s="8">
        <v>0</v>
      </c>
      <c r="F54" s="8" t="s">
        <v>30</v>
      </c>
      <c r="G54" s="8" t="s">
        <v>30</v>
      </c>
      <c r="H54" s="8" t="s">
        <v>30</v>
      </c>
      <c r="I54" s="8" t="s">
        <v>30</v>
      </c>
      <c r="J54" s="8">
        <v>2017</v>
      </c>
      <c r="K54" s="8">
        <v>6</v>
      </c>
    </row>
    <row r="55" spans="1:11" x14ac:dyDescent="0.35">
      <c r="A55" s="13">
        <v>42914</v>
      </c>
      <c r="B55" s="8">
        <v>24.3</v>
      </c>
      <c r="C55" s="8">
        <v>20.3</v>
      </c>
      <c r="D55" s="8">
        <v>29.8</v>
      </c>
      <c r="E55" s="8">
        <v>0</v>
      </c>
      <c r="F55" s="8" t="s">
        <v>30</v>
      </c>
      <c r="G55" s="8" t="s">
        <v>30</v>
      </c>
      <c r="H55" s="8" t="s">
        <v>30</v>
      </c>
      <c r="I55" s="8" t="s">
        <v>30</v>
      </c>
      <c r="J55" s="8">
        <v>2017</v>
      </c>
      <c r="K55" s="8">
        <v>6</v>
      </c>
    </row>
    <row r="56" spans="1:11" x14ac:dyDescent="0.35">
      <c r="A56" s="13">
        <v>42915</v>
      </c>
      <c r="B56" s="8">
        <v>24.3</v>
      </c>
      <c r="C56" s="8">
        <v>20.399999999999999</v>
      </c>
      <c r="D56" s="8">
        <v>29.1</v>
      </c>
      <c r="E56" s="8">
        <v>0</v>
      </c>
      <c r="F56" s="8" t="s">
        <v>30</v>
      </c>
      <c r="G56" s="8" t="s">
        <v>30</v>
      </c>
      <c r="H56" s="8" t="s">
        <v>30</v>
      </c>
      <c r="I56" s="8" t="s">
        <v>30</v>
      </c>
      <c r="J56" s="8">
        <v>2017</v>
      </c>
      <c r="K56" s="8">
        <v>6</v>
      </c>
    </row>
    <row r="57" spans="1:11" x14ac:dyDescent="0.35">
      <c r="A57" s="13">
        <v>42917</v>
      </c>
      <c r="B57" s="8">
        <v>24.6</v>
      </c>
      <c r="C57" s="8">
        <v>19.3</v>
      </c>
      <c r="D57" s="8">
        <v>29.2</v>
      </c>
      <c r="E57" s="8">
        <v>0</v>
      </c>
      <c r="F57" s="8" t="s">
        <v>30</v>
      </c>
      <c r="G57" s="8" t="s">
        <v>30</v>
      </c>
      <c r="H57" s="8" t="s">
        <v>30</v>
      </c>
      <c r="I57" s="8" t="s">
        <v>30</v>
      </c>
      <c r="J57" s="8">
        <v>2017</v>
      </c>
      <c r="K57" s="8">
        <v>7</v>
      </c>
    </row>
    <row r="58" spans="1:11" x14ac:dyDescent="0.35">
      <c r="A58" s="13">
        <v>42918</v>
      </c>
      <c r="B58" s="8">
        <v>25.2</v>
      </c>
      <c r="C58" s="8">
        <v>20.5</v>
      </c>
      <c r="D58" s="8">
        <v>30.3</v>
      </c>
      <c r="E58" s="8">
        <v>0</v>
      </c>
      <c r="F58" s="8" t="s">
        <v>30</v>
      </c>
      <c r="G58" s="8" t="s">
        <v>30</v>
      </c>
      <c r="H58" s="8" t="s">
        <v>30</v>
      </c>
      <c r="I58" s="8" t="s">
        <v>30</v>
      </c>
      <c r="J58" s="8">
        <v>2017</v>
      </c>
      <c r="K58" s="8">
        <v>7</v>
      </c>
    </row>
    <row r="59" spans="1:11" x14ac:dyDescent="0.35">
      <c r="A59" s="13">
        <v>42920</v>
      </c>
      <c r="B59" s="8">
        <v>23.7</v>
      </c>
      <c r="C59" s="8">
        <v>20.399999999999999</v>
      </c>
      <c r="D59" s="8">
        <v>28.7</v>
      </c>
      <c r="E59" s="8">
        <v>3.8</v>
      </c>
      <c r="F59" s="8" t="s">
        <v>30</v>
      </c>
      <c r="G59" s="8" t="s">
        <v>30</v>
      </c>
      <c r="H59" s="8" t="s">
        <v>30</v>
      </c>
      <c r="I59" s="8" t="s">
        <v>30</v>
      </c>
      <c r="J59" s="8">
        <v>2017</v>
      </c>
      <c r="K59" s="8">
        <v>7</v>
      </c>
    </row>
    <row r="60" spans="1:11" x14ac:dyDescent="0.35">
      <c r="A60" s="13">
        <v>42921</v>
      </c>
      <c r="B60" s="8">
        <v>23.2</v>
      </c>
      <c r="C60" s="8">
        <v>20</v>
      </c>
      <c r="D60" s="8">
        <v>29.6</v>
      </c>
      <c r="E60" s="8">
        <v>2.2999999999999998</v>
      </c>
      <c r="F60" s="8" t="s">
        <v>30</v>
      </c>
      <c r="G60" s="8" t="s">
        <v>30</v>
      </c>
      <c r="H60" s="8" t="s">
        <v>30</v>
      </c>
      <c r="I60" s="8" t="s">
        <v>30</v>
      </c>
      <c r="J60" s="8">
        <v>2017</v>
      </c>
      <c r="K60" s="8">
        <v>7</v>
      </c>
    </row>
    <row r="61" spans="1:11" x14ac:dyDescent="0.35">
      <c r="A61" s="13">
        <v>42922</v>
      </c>
      <c r="B61" s="8">
        <v>23.7</v>
      </c>
      <c r="C61" s="8">
        <v>20.2</v>
      </c>
      <c r="D61" s="8">
        <v>29.2</v>
      </c>
      <c r="E61" s="8">
        <v>10.199999999999999</v>
      </c>
      <c r="F61" s="8" t="s">
        <v>30</v>
      </c>
      <c r="G61" s="8" t="s">
        <v>30</v>
      </c>
      <c r="H61" s="8" t="s">
        <v>30</v>
      </c>
      <c r="I61" s="8" t="s">
        <v>30</v>
      </c>
      <c r="J61" s="8">
        <v>2017</v>
      </c>
      <c r="K61" s="8">
        <v>7</v>
      </c>
    </row>
    <row r="62" spans="1:11" x14ac:dyDescent="0.35">
      <c r="A62" s="13">
        <v>42923</v>
      </c>
      <c r="B62" s="8">
        <v>23.2</v>
      </c>
      <c r="C62" s="8">
        <v>20.5</v>
      </c>
      <c r="D62" s="8">
        <v>29.3</v>
      </c>
      <c r="E62" s="8">
        <v>5.0999999999999996</v>
      </c>
      <c r="F62" s="8" t="s">
        <v>30</v>
      </c>
      <c r="G62" s="8" t="s">
        <v>30</v>
      </c>
      <c r="H62" s="8" t="s">
        <v>30</v>
      </c>
      <c r="I62" s="8" t="s">
        <v>30</v>
      </c>
      <c r="J62" s="8">
        <v>2017</v>
      </c>
      <c r="K62" s="8">
        <v>7</v>
      </c>
    </row>
    <row r="63" spans="1:11" x14ac:dyDescent="0.35">
      <c r="A63" s="13">
        <v>42924</v>
      </c>
      <c r="B63" s="8">
        <v>23.3</v>
      </c>
      <c r="C63" s="8">
        <v>20.399999999999999</v>
      </c>
      <c r="D63" s="8">
        <v>27.4</v>
      </c>
      <c r="E63" s="8">
        <v>0</v>
      </c>
      <c r="F63" s="8" t="s">
        <v>30</v>
      </c>
      <c r="G63" s="8" t="s">
        <v>30</v>
      </c>
      <c r="H63" s="8" t="s">
        <v>30</v>
      </c>
      <c r="I63" s="8" t="s">
        <v>30</v>
      </c>
      <c r="J63" s="8">
        <v>2017</v>
      </c>
      <c r="K63" s="8">
        <v>7</v>
      </c>
    </row>
    <row r="64" spans="1:11" x14ac:dyDescent="0.35">
      <c r="A64" s="13">
        <v>42925</v>
      </c>
      <c r="B64" s="8">
        <v>24.5</v>
      </c>
      <c r="C64" s="8">
        <v>20.2</v>
      </c>
      <c r="D64" s="8">
        <v>30.3</v>
      </c>
      <c r="E64" s="8">
        <v>0</v>
      </c>
      <c r="F64" s="8" t="s">
        <v>30</v>
      </c>
      <c r="G64" s="8" t="s">
        <v>30</v>
      </c>
      <c r="H64" s="8" t="s">
        <v>30</v>
      </c>
      <c r="I64" s="8" t="s">
        <v>30</v>
      </c>
      <c r="J64" s="8">
        <v>2017</v>
      </c>
      <c r="K64" s="8">
        <v>7</v>
      </c>
    </row>
    <row r="65" spans="1:11" x14ac:dyDescent="0.35">
      <c r="A65" s="13">
        <v>42928</v>
      </c>
      <c r="B65" s="8">
        <v>23.7</v>
      </c>
      <c r="C65" s="8">
        <v>21</v>
      </c>
      <c r="D65" s="8">
        <v>29.5</v>
      </c>
      <c r="E65" s="8">
        <v>0</v>
      </c>
      <c r="F65" s="8" t="s">
        <v>30</v>
      </c>
      <c r="G65" s="8" t="s">
        <v>30</v>
      </c>
      <c r="H65" s="8" t="s">
        <v>30</v>
      </c>
      <c r="I65" s="8" t="s">
        <v>30</v>
      </c>
      <c r="J65" s="8">
        <v>2017</v>
      </c>
      <c r="K65" s="8">
        <v>7</v>
      </c>
    </row>
    <row r="66" spans="1:11" x14ac:dyDescent="0.35">
      <c r="A66" s="13">
        <v>42929</v>
      </c>
      <c r="B66" s="8">
        <v>22.8</v>
      </c>
      <c r="C66" s="8">
        <v>20</v>
      </c>
      <c r="D66" s="8">
        <v>28.5</v>
      </c>
      <c r="E66" s="8">
        <v>1.5</v>
      </c>
      <c r="F66" s="8" t="s">
        <v>30</v>
      </c>
      <c r="G66" s="8" t="s">
        <v>30</v>
      </c>
      <c r="H66" s="8" t="s">
        <v>30</v>
      </c>
      <c r="I66" s="8" t="s">
        <v>30</v>
      </c>
      <c r="J66" s="8">
        <v>2017</v>
      </c>
      <c r="K66" s="8">
        <v>7</v>
      </c>
    </row>
    <row r="67" spans="1:11" x14ac:dyDescent="0.35">
      <c r="A67" s="13">
        <v>42930</v>
      </c>
      <c r="B67" s="8">
        <v>22.9</v>
      </c>
      <c r="C67" s="8">
        <v>20</v>
      </c>
      <c r="D67" s="8">
        <v>25.9</v>
      </c>
      <c r="E67" s="8">
        <v>0</v>
      </c>
      <c r="F67" s="8" t="s">
        <v>30</v>
      </c>
      <c r="G67" s="8" t="s">
        <v>30</v>
      </c>
      <c r="H67" s="8" t="s">
        <v>30</v>
      </c>
      <c r="I67" s="8" t="s">
        <v>30</v>
      </c>
      <c r="J67" s="8">
        <v>2017</v>
      </c>
      <c r="K67" s="8">
        <v>7</v>
      </c>
    </row>
    <row r="68" spans="1:11" x14ac:dyDescent="0.35">
      <c r="A68" s="13">
        <v>42931</v>
      </c>
      <c r="B68" s="8">
        <v>22.2</v>
      </c>
      <c r="C68" s="8">
        <v>20.2</v>
      </c>
      <c r="D68" s="8">
        <v>27.2</v>
      </c>
      <c r="E68" s="8">
        <v>0</v>
      </c>
      <c r="F68" s="8" t="s">
        <v>30</v>
      </c>
      <c r="G68" s="8" t="s">
        <v>30</v>
      </c>
      <c r="H68" s="8" t="s">
        <v>30</v>
      </c>
      <c r="I68" s="8" t="s">
        <v>30</v>
      </c>
      <c r="J68" s="8">
        <v>2017</v>
      </c>
      <c r="K68" s="8">
        <v>7</v>
      </c>
    </row>
    <row r="69" spans="1:11" x14ac:dyDescent="0.35">
      <c r="A69" s="13">
        <v>42932</v>
      </c>
      <c r="B69" s="8">
        <v>23.2</v>
      </c>
      <c r="C69" s="8">
        <v>19.7</v>
      </c>
      <c r="D69" s="8">
        <v>28.4</v>
      </c>
      <c r="E69" s="8">
        <v>0</v>
      </c>
      <c r="F69" s="8" t="s">
        <v>30</v>
      </c>
      <c r="G69" s="8" t="s">
        <v>30</v>
      </c>
      <c r="H69" s="8" t="s">
        <v>30</v>
      </c>
      <c r="I69" s="8" t="s">
        <v>30</v>
      </c>
      <c r="J69" s="8">
        <v>2017</v>
      </c>
      <c r="K69" s="8">
        <v>7</v>
      </c>
    </row>
    <row r="70" spans="1:11" x14ac:dyDescent="0.35">
      <c r="A70" s="13">
        <v>42933</v>
      </c>
      <c r="B70" s="8">
        <v>23.8</v>
      </c>
      <c r="C70" s="8">
        <v>20</v>
      </c>
      <c r="D70" s="8">
        <v>28.8</v>
      </c>
      <c r="E70" s="8">
        <v>0</v>
      </c>
      <c r="F70" s="8" t="s">
        <v>30</v>
      </c>
      <c r="G70" s="8" t="s">
        <v>30</v>
      </c>
      <c r="H70" s="8" t="s">
        <v>30</v>
      </c>
      <c r="I70" s="8" t="s">
        <v>30</v>
      </c>
      <c r="J70" s="8">
        <v>2017</v>
      </c>
      <c r="K70" s="8">
        <v>7</v>
      </c>
    </row>
    <row r="71" spans="1:11" x14ac:dyDescent="0.35">
      <c r="A71" s="13">
        <v>42934</v>
      </c>
      <c r="B71" s="8">
        <v>22.8</v>
      </c>
      <c r="C71" s="8">
        <v>20.7</v>
      </c>
      <c r="D71" s="8">
        <v>28.3</v>
      </c>
      <c r="E71" s="8">
        <v>0</v>
      </c>
      <c r="F71" s="8" t="s">
        <v>30</v>
      </c>
      <c r="G71" s="8" t="s">
        <v>30</v>
      </c>
      <c r="H71" s="8" t="s">
        <v>30</v>
      </c>
      <c r="I71" s="8" t="s">
        <v>30</v>
      </c>
      <c r="J71" s="8">
        <v>2017</v>
      </c>
      <c r="K71" s="8">
        <v>7</v>
      </c>
    </row>
    <row r="72" spans="1:11" x14ac:dyDescent="0.35">
      <c r="A72" s="13">
        <v>42935</v>
      </c>
      <c r="B72" s="8">
        <v>22.2</v>
      </c>
      <c r="C72" s="8">
        <v>20.6</v>
      </c>
      <c r="D72" s="8">
        <v>26.6</v>
      </c>
      <c r="E72" s="8">
        <v>0</v>
      </c>
      <c r="F72" s="8" t="s">
        <v>30</v>
      </c>
      <c r="G72" s="8" t="s">
        <v>30</v>
      </c>
      <c r="H72" s="8" t="s">
        <v>30</v>
      </c>
      <c r="I72" s="8" t="s">
        <v>30</v>
      </c>
      <c r="J72" s="8">
        <v>2017</v>
      </c>
      <c r="K72" s="8">
        <v>7</v>
      </c>
    </row>
    <row r="73" spans="1:11" x14ac:dyDescent="0.35">
      <c r="A73" s="13">
        <v>42936</v>
      </c>
      <c r="B73" s="8">
        <v>23.6</v>
      </c>
      <c r="C73" s="8">
        <v>20.6</v>
      </c>
      <c r="D73" s="8">
        <v>29.1</v>
      </c>
      <c r="E73" s="8">
        <v>9.4</v>
      </c>
      <c r="F73" s="8" t="s">
        <v>30</v>
      </c>
      <c r="G73" s="8" t="s">
        <v>30</v>
      </c>
      <c r="H73" s="8" t="s">
        <v>30</v>
      </c>
      <c r="I73" s="8" t="s">
        <v>30</v>
      </c>
      <c r="J73" s="8">
        <v>2017</v>
      </c>
      <c r="K73" s="8">
        <v>7</v>
      </c>
    </row>
    <row r="74" spans="1:11" x14ac:dyDescent="0.35">
      <c r="A74" s="13">
        <v>42937</v>
      </c>
      <c r="B74" s="8">
        <v>23.8</v>
      </c>
      <c r="C74" s="8">
        <v>19.7</v>
      </c>
      <c r="D74" s="8">
        <v>28.7</v>
      </c>
      <c r="E74" s="8">
        <v>0.8</v>
      </c>
      <c r="F74" s="8" t="s">
        <v>30</v>
      </c>
      <c r="G74" s="8" t="s">
        <v>30</v>
      </c>
      <c r="H74" s="8" t="s">
        <v>30</v>
      </c>
      <c r="I74" s="8" t="s">
        <v>30</v>
      </c>
      <c r="J74" s="8">
        <v>2017</v>
      </c>
      <c r="K74" s="8">
        <v>7</v>
      </c>
    </row>
    <row r="75" spans="1:11" x14ac:dyDescent="0.35">
      <c r="A75" s="13">
        <v>42938</v>
      </c>
      <c r="B75" s="8">
        <v>24.8</v>
      </c>
      <c r="C75" s="8">
        <v>20</v>
      </c>
      <c r="D75" s="8">
        <v>30.8</v>
      </c>
      <c r="E75" s="8">
        <v>0</v>
      </c>
      <c r="F75" s="8" t="s">
        <v>30</v>
      </c>
      <c r="G75" s="8" t="s">
        <v>30</v>
      </c>
      <c r="H75" s="8" t="s">
        <v>30</v>
      </c>
      <c r="I75" s="8" t="s">
        <v>30</v>
      </c>
      <c r="J75" s="8">
        <v>2017</v>
      </c>
      <c r="K75" s="8">
        <v>7</v>
      </c>
    </row>
    <row r="76" spans="1:11" x14ac:dyDescent="0.35">
      <c r="A76" s="13">
        <v>42941</v>
      </c>
      <c r="B76" s="8">
        <v>25.2</v>
      </c>
      <c r="C76" s="8">
        <v>20.5</v>
      </c>
      <c r="D76" s="8">
        <v>30.3</v>
      </c>
      <c r="E76" s="8">
        <v>0</v>
      </c>
      <c r="F76" s="8" t="s">
        <v>30</v>
      </c>
      <c r="G76" s="8" t="s">
        <v>30</v>
      </c>
      <c r="H76" s="8" t="s">
        <v>30</v>
      </c>
      <c r="I76" s="8" t="s">
        <v>30</v>
      </c>
      <c r="J76" s="8">
        <v>2017</v>
      </c>
      <c r="K76" s="8">
        <v>7</v>
      </c>
    </row>
    <row r="77" spans="1:11" x14ac:dyDescent="0.35">
      <c r="A77" s="13">
        <v>42942</v>
      </c>
      <c r="B77" s="8">
        <v>25.4</v>
      </c>
      <c r="C77" s="8">
        <v>20.5</v>
      </c>
      <c r="D77" s="8">
        <v>30.5</v>
      </c>
      <c r="E77" s="8">
        <v>0</v>
      </c>
      <c r="F77" s="8" t="s">
        <v>30</v>
      </c>
      <c r="G77" s="8" t="s">
        <v>30</v>
      </c>
      <c r="H77" s="8" t="s">
        <v>30</v>
      </c>
      <c r="I77" s="8" t="s">
        <v>30</v>
      </c>
      <c r="J77" s="8">
        <v>2017</v>
      </c>
      <c r="K77" s="8">
        <v>7</v>
      </c>
    </row>
    <row r="78" spans="1:11" x14ac:dyDescent="0.35">
      <c r="A78" s="13">
        <v>42946</v>
      </c>
      <c r="B78" s="8">
        <v>25.2</v>
      </c>
      <c r="C78" s="8">
        <v>21.3</v>
      </c>
      <c r="D78" s="8">
        <v>30.7</v>
      </c>
      <c r="E78" s="8">
        <v>0</v>
      </c>
      <c r="F78" s="8" t="s">
        <v>30</v>
      </c>
      <c r="G78" s="8" t="s">
        <v>30</v>
      </c>
      <c r="H78" s="8" t="s">
        <v>30</v>
      </c>
      <c r="I78" s="8" t="s">
        <v>30</v>
      </c>
      <c r="J78" s="8">
        <v>2017</v>
      </c>
      <c r="K78" s="8">
        <v>7</v>
      </c>
    </row>
    <row r="79" spans="1:11" x14ac:dyDescent="0.35">
      <c r="A79" s="13">
        <v>42947</v>
      </c>
      <c r="B79" s="8">
        <v>24.9</v>
      </c>
      <c r="C79" s="8">
        <v>22</v>
      </c>
      <c r="D79" s="8">
        <v>30.7</v>
      </c>
      <c r="E79" s="8">
        <v>1.3</v>
      </c>
      <c r="F79" s="8" t="s">
        <v>30</v>
      </c>
      <c r="G79" s="8" t="s">
        <v>30</v>
      </c>
      <c r="H79" s="8" t="s">
        <v>30</v>
      </c>
      <c r="I79" s="8" t="s">
        <v>30</v>
      </c>
      <c r="J79" s="8">
        <v>2017</v>
      </c>
      <c r="K79" s="8">
        <v>7</v>
      </c>
    </row>
    <row r="80" spans="1:11" x14ac:dyDescent="0.35">
      <c r="A80" s="13">
        <v>42948</v>
      </c>
      <c r="B80" s="8">
        <v>25.2</v>
      </c>
      <c r="C80" s="8">
        <v>21.4</v>
      </c>
      <c r="D80" s="8">
        <v>30.5</v>
      </c>
      <c r="E80" s="8">
        <v>8.4</v>
      </c>
      <c r="F80" s="8" t="s">
        <v>30</v>
      </c>
      <c r="G80" s="8" t="s">
        <v>30</v>
      </c>
      <c r="H80" s="8" t="s">
        <v>30</v>
      </c>
      <c r="I80" s="8" t="s">
        <v>30</v>
      </c>
      <c r="J80" s="8">
        <v>2017</v>
      </c>
      <c r="K80" s="8">
        <v>8</v>
      </c>
    </row>
    <row r="81" spans="1:11" x14ac:dyDescent="0.35">
      <c r="A81" s="13">
        <v>42949</v>
      </c>
      <c r="B81" s="8">
        <v>25.1</v>
      </c>
      <c r="C81" s="8">
        <v>21.6</v>
      </c>
      <c r="D81" s="8">
        <v>31.5</v>
      </c>
      <c r="E81" s="8">
        <v>1.8</v>
      </c>
      <c r="F81" s="8" t="s">
        <v>30</v>
      </c>
      <c r="G81" s="8" t="s">
        <v>30</v>
      </c>
      <c r="H81" s="8" t="s">
        <v>30</v>
      </c>
      <c r="I81" s="8" t="s">
        <v>30</v>
      </c>
      <c r="J81" s="8">
        <v>2017</v>
      </c>
      <c r="K81" s="8">
        <v>8</v>
      </c>
    </row>
    <row r="82" spans="1:11" x14ac:dyDescent="0.35">
      <c r="A82" s="13">
        <v>42950</v>
      </c>
      <c r="B82" s="8">
        <v>24.3</v>
      </c>
      <c r="C82" s="8">
        <v>20.3</v>
      </c>
      <c r="D82" s="8">
        <v>31.2</v>
      </c>
      <c r="E82" s="8">
        <v>0</v>
      </c>
      <c r="F82" s="8" t="s">
        <v>30</v>
      </c>
      <c r="G82" s="8" t="s">
        <v>30</v>
      </c>
      <c r="H82" s="8" t="s">
        <v>30</v>
      </c>
      <c r="I82" s="8" t="s">
        <v>30</v>
      </c>
      <c r="J82" s="8">
        <v>2017</v>
      </c>
      <c r="K82" s="8">
        <v>8</v>
      </c>
    </row>
    <row r="83" spans="1:11" x14ac:dyDescent="0.35">
      <c r="A83" s="13">
        <v>42951</v>
      </c>
      <c r="B83" s="8">
        <v>23.8</v>
      </c>
      <c r="C83" s="8">
        <v>20.3</v>
      </c>
      <c r="D83" s="8">
        <v>29.5</v>
      </c>
      <c r="E83" s="8">
        <v>0</v>
      </c>
      <c r="F83" s="8" t="s">
        <v>30</v>
      </c>
      <c r="G83" s="8" t="s">
        <v>30</v>
      </c>
      <c r="H83" s="8" t="s">
        <v>30</v>
      </c>
      <c r="I83" s="8" t="s">
        <v>30</v>
      </c>
      <c r="J83" s="8">
        <v>2017</v>
      </c>
      <c r="K83" s="8">
        <v>8</v>
      </c>
    </row>
    <row r="84" spans="1:11" x14ac:dyDescent="0.35">
      <c r="A84" s="13">
        <v>42952</v>
      </c>
      <c r="B84" s="8">
        <v>24.4</v>
      </c>
      <c r="C84" s="8">
        <v>21.3</v>
      </c>
      <c r="D84" s="8">
        <v>29.5</v>
      </c>
      <c r="E84" s="8">
        <v>0</v>
      </c>
      <c r="F84" s="8" t="s">
        <v>30</v>
      </c>
      <c r="G84" s="8" t="s">
        <v>30</v>
      </c>
      <c r="H84" s="8" t="s">
        <v>30</v>
      </c>
      <c r="I84" s="8" t="s">
        <v>30</v>
      </c>
      <c r="J84" s="8">
        <v>2017</v>
      </c>
      <c r="K84" s="8">
        <v>8</v>
      </c>
    </row>
    <row r="85" spans="1:11" x14ac:dyDescent="0.35">
      <c r="A85" s="13">
        <v>42953</v>
      </c>
      <c r="B85" s="8">
        <v>24.8</v>
      </c>
      <c r="C85" s="8">
        <v>21.3</v>
      </c>
      <c r="D85" s="8">
        <v>29.5</v>
      </c>
      <c r="E85" s="8">
        <v>0</v>
      </c>
      <c r="F85" s="8" t="s">
        <v>30</v>
      </c>
      <c r="G85" s="8" t="s">
        <v>30</v>
      </c>
      <c r="H85" s="8" t="s">
        <v>30</v>
      </c>
      <c r="I85" s="8" t="s">
        <v>30</v>
      </c>
      <c r="J85" s="8">
        <v>2017</v>
      </c>
      <c r="K85" s="8">
        <v>8</v>
      </c>
    </row>
    <row r="86" spans="1:11" x14ac:dyDescent="0.35">
      <c r="A86" s="13">
        <v>42954</v>
      </c>
      <c r="B86" s="8">
        <v>25.7</v>
      </c>
      <c r="C86" s="8">
        <v>21.2</v>
      </c>
      <c r="D86" s="8">
        <v>30.2</v>
      </c>
      <c r="E86" s="8">
        <v>0</v>
      </c>
      <c r="F86" s="8" t="s">
        <v>30</v>
      </c>
      <c r="G86" s="8" t="s">
        <v>30</v>
      </c>
      <c r="H86" s="8" t="s">
        <v>30</v>
      </c>
      <c r="I86" s="8" t="s">
        <v>30</v>
      </c>
      <c r="J86" s="8">
        <v>2017</v>
      </c>
      <c r="K86" s="8">
        <v>8</v>
      </c>
    </row>
    <row r="87" spans="1:11" x14ac:dyDescent="0.35">
      <c r="A87" s="13">
        <v>42956</v>
      </c>
      <c r="B87" s="8">
        <v>23.7</v>
      </c>
      <c r="C87" s="8">
        <v>21.9</v>
      </c>
      <c r="D87" s="8">
        <v>31.3</v>
      </c>
      <c r="E87" s="8">
        <v>1</v>
      </c>
      <c r="F87" s="8" t="s">
        <v>30</v>
      </c>
      <c r="G87" s="8" t="s">
        <v>30</v>
      </c>
      <c r="H87" s="8" t="s">
        <v>30</v>
      </c>
      <c r="I87" s="8" t="s">
        <v>30</v>
      </c>
      <c r="J87" s="8">
        <v>2017</v>
      </c>
      <c r="K87" s="8">
        <v>8</v>
      </c>
    </row>
    <row r="88" spans="1:11" x14ac:dyDescent="0.35">
      <c r="A88" s="13">
        <v>42958</v>
      </c>
      <c r="B88" s="8">
        <v>23.5</v>
      </c>
      <c r="C88" s="8">
        <v>19.8</v>
      </c>
      <c r="D88" s="8">
        <v>28</v>
      </c>
      <c r="E88" s="8">
        <v>4.0999999999999996</v>
      </c>
      <c r="F88" s="8" t="s">
        <v>30</v>
      </c>
      <c r="G88" s="8" t="s">
        <v>30</v>
      </c>
      <c r="H88" s="8" t="s">
        <v>30</v>
      </c>
      <c r="I88" s="8" t="s">
        <v>30</v>
      </c>
      <c r="J88" s="8">
        <v>2017</v>
      </c>
      <c r="K88" s="8">
        <v>8</v>
      </c>
    </row>
    <row r="89" spans="1:11" x14ac:dyDescent="0.35">
      <c r="A89" s="13">
        <v>42960</v>
      </c>
      <c r="B89" s="8">
        <v>23.3</v>
      </c>
      <c r="C89" s="8">
        <v>21.2</v>
      </c>
      <c r="D89" s="8">
        <v>27.6</v>
      </c>
      <c r="E89" s="8">
        <v>0</v>
      </c>
      <c r="F89" s="8" t="s">
        <v>30</v>
      </c>
      <c r="G89" s="8" t="s">
        <v>30</v>
      </c>
      <c r="H89" s="8" t="s">
        <v>30</v>
      </c>
      <c r="I89" s="8" t="s">
        <v>30</v>
      </c>
      <c r="J89" s="8">
        <v>2017</v>
      </c>
      <c r="K89" s="8">
        <v>8</v>
      </c>
    </row>
    <row r="90" spans="1:11" x14ac:dyDescent="0.35">
      <c r="A90" s="13">
        <v>42961</v>
      </c>
      <c r="B90" s="8">
        <v>24.7</v>
      </c>
      <c r="C90" s="8">
        <v>21.6</v>
      </c>
      <c r="D90" s="8">
        <v>28.8</v>
      </c>
      <c r="E90" s="8">
        <v>0</v>
      </c>
      <c r="F90" s="8" t="s">
        <v>30</v>
      </c>
      <c r="G90" s="8" t="s">
        <v>30</v>
      </c>
      <c r="H90" s="8" t="s">
        <v>30</v>
      </c>
      <c r="I90" s="8" t="s">
        <v>30</v>
      </c>
      <c r="J90" s="8">
        <v>2017</v>
      </c>
      <c r="K90" s="8">
        <v>8</v>
      </c>
    </row>
    <row r="91" spans="1:11" x14ac:dyDescent="0.35">
      <c r="A91" s="13">
        <v>42965</v>
      </c>
      <c r="B91" s="8">
        <v>23.2</v>
      </c>
      <c r="C91" s="8">
        <v>20.399999999999999</v>
      </c>
      <c r="D91" s="8">
        <v>29.2</v>
      </c>
      <c r="E91" s="8">
        <v>7.9</v>
      </c>
      <c r="F91" s="8" t="s">
        <v>30</v>
      </c>
      <c r="G91" s="8" t="s">
        <v>30</v>
      </c>
      <c r="H91" s="8" t="s">
        <v>30</v>
      </c>
      <c r="I91" s="8" t="s">
        <v>30</v>
      </c>
      <c r="J91" s="8">
        <v>2017</v>
      </c>
      <c r="K91" s="8">
        <v>8</v>
      </c>
    </row>
    <row r="92" spans="1:11" x14ac:dyDescent="0.35">
      <c r="A92" s="13">
        <v>42966</v>
      </c>
      <c r="B92" s="8">
        <v>22.6</v>
      </c>
      <c r="C92" s="8">
        <v>20.3</v>
      </c>
      <c r="D92" s="8">
        <v>28.9</v>
      </c>
      <c r="E92" s="8">
        <v>5.3</v>
      </c>
      <c r="F92" s="8" t="s">
        <v>30</v>
      </c>
      <c r="G92" s="8" t="s">
        <v>30</v>
      </c>
      <c r="H92" s="8" t="s">
        <v>30</v>
      </c>
      <c r="I92" s="8" t="s">
        <v>30</v>
      </c>
      <c r="J92" s="8">
        <v>2017</v>
      </c>
      <c r="K92" s="8">
        <v>8</v>
      </c>
    </row>
    <row r="93" spans="1:11" x14ac:dyDescent="0.35">
      <c r="A93" s="13">
        <v>42968</v>
      </c>
      <c r="B93" s="8">
        <v>23.6</v>
      </c>
      <c r="C93" s="8">
        <v>20.3</v>
      </c>
      <c r="D93" s="8">
        <v>28.8</v>
      </c>
      <c r="E93" s="8">
        <v>3.3</v>
      </c>
      <c r="F93" s="8" t="s">
        <v>30</v>
      </c>
      <c r="G93" s="8" t="s">
        <v>30</v>
      </c>
      <c r="H93" s="8" t="s">
        <v>30</v>
      </c>
      <c r="I93" s="8" t="s">
        <v>30</v>
      </c>
      <c r="J93" s="8">
        <v>2017</v>
      </c>
      <c r="K93" s="8">
        <v>8</v>
      </c>
    </row>
    <row r="94" spans="1:11" x14ac:dyDescent="0.35">
      <c r="A94" s="13">
        <v>42969</v>
      </c>
      <c r="B94" s="8">
        <v>23.4</v>
      </c>
      <c r="C94" s="8">
        <v>20.2</v>
      </c>
      <c r="D94" s="8">
        <v>28</v>
      </c>
      <c r="E94" s="8">
        <v>0</v>
      </c>
      <c r="F94" s="8" t="s">
        <v>30</v>
      </c>
      <c r="G94" s="8" t="s">
        <v>30</v>
      </c>
      <c r="H94" s="8" t="s">
        <v>30</v>
      </c>
      <c r="I94" s="8" t="s">
        <v>30</v>
      </c>
      <c r="J94" s="8">
        <v>2017</v>
      </c>
      <c r="K94" s="8">
        <v>8</v>
      </c>
    </row>
    <row r="95" spans="1:11" x14ac:dyDescent="0.35">
      <c r="A95" s="13">
        <v>42973</v>
      </c>
      <c r="B95" s="8">
        <v>23.8</v>
      </c>
      <c r="C95" s="8">
        <v>20.8</v>
      </c>
      <c r="D95" s="8">
        <v>29.8</v>
      </c>
      <c r="E95" s="8">
        <v>0.3</v>
      </c>
      <c r="F95" s="8" t="s">
        <v>30</v>
      </c>
      <c r="G95" s="8" t="s">
        <v>30</v>
      </c>
      <c r="H95" s="8" t="s">
        <v>30</v>
      </c>
      <c r="I95" s="8" t="s">
        <v>30</v>
      </c>
      <c r="J95" s="8">
        <v>2017</v>
      </c>
      <c r="K95" s="8">
        <v>8</v>
      </c>
    </row>
    <row r="96" spans="1:11" x14ac:dyDescent="0.35">
      <c r="A96" s="13">
        <v>42974</v>
      </c>
      <c r="B96" s="8">
        <v>22.3</v>
      </c>
      <c r="C96" s="8">
        <v>21</v>
      </c>
      <c r="D96" s="8">
        <v>28.5</v>
      </c>
      <c r="E96" s="8">
        <v>0.3</v>
      </c>
      <c r="F96" s="8" t="s">
        <v>30</v>
      </c>
      <c r="G96" s="8" t="s">
        <v>30</v>
      </c>
      <c r="H96" s="8" t="s">
        <v>30</v>
      </c>
      <c r="I96" s="8" t="s">
        <v>30</v>
      </c>
      <c r="J96" s="8">
        <v>2017</v>
      </c>
      <c r="K96" s="8">
        <v>8</v>
      </c>
    </row>
    <row r="97" spans="1:11" x14ac:dyDescent="0.35">
      <c r="A97" s="13">
        <v>42975</v>
      </c>
      <c r="B97" s="8">
        <v>22.8</v>
      </c>
      <c r="C97" s="8">
        <v>20.5</v>
      </c>
      <c r="D97" s="8">
        <v>26.5</v>
      </c>
      <c r="E97" s="8">
        <v>6.1</v>
      </c>
      <c r="F97" s="8" t="s">
        <v>30</v>
      </c>
      <c r="G97" s="8" t="s">
        <v>30</v>
      </c>
      <c r="H97" s="8" t="s">
        <v>30</v>
      </c>
      <c r="I97" s="8" t="s">
        <v>30</v>
      </c>
      <c r="J97" s="8">
        <v>2017</v>
      </c>
      <c r="K97" s="8">
        <v>8</v>
      </c>
    </row>
    <row r="98" spans="1:11" x14ac:dyDescent="0.35">
      <c r="A98" s="13">
        <v>42976</v>
      </c>
      <c r="B98" s="8">
        <v>22.4</v>
      </c>
      <c r="C98" s="8">
        <v>20.5</v>
      </c>
      <c r="D98" s="8">
        <v>26.2</v>
      </c>
      <c r="E98" s="8">
        <v>0</v>
      </c>
      <c r="F98" s="8" t="s">
        <v>30</v>
      </c>
      <c r="G98" s="8" t="s">
        <v>30</v>
      </c>
      <c r="H98" s="8" t="s">
        <v>30</v>
      </c>
      <c r="I98" s="8" t="s">
        <v>30</v>
      </c>
      <c r="J98" s="8">
        <v>2017</v>
      </c>
      <c r="K98" s="8">
        <v>8</v>
      </c>
    </row>
    <row r="99" spans="1:11" x14ac:dyDescent="0.35">
      <c r="A99" s="13">
        <v>42977</v>
      </c>
      <c r="B99" s="8">
        <v>24.5</v>
      </c>
      <c r="C99" s="8">
        <v>21.1</v>
      </c>
      <c r="D99" s="8">
        <v>29.7</v>
      </c>
      <c r="E99" s="8">
        <v>0</v>
      </c>
      <c r="F99" s="8" t="s">
        <v>30</v>
      </c>
      <c r="G99" s="8" t="s">
        <v>30</v>
      </c>
      <c r="H99" s="8" t="s">
        <v>30</v>
      </c>
      <c r="I99" s="8" t="s">
        <v>30</v>
      </c>
      <c r="J99" s="8">
        <v>2017</v>
      </c>
      <c r="K99" s="8">
        <v>8</v>
      </c>
    </row>
    <row r="100" spans="1:11" x14ac:dyDescent="0.35">
      <c r="A100" s="13">
        <v>42978</v>
      </c>
      <c r="B100" s="8">
        <v>24.8</v>
      </c>
      <c r="C100" s="8">
        <v>21</v>
      </c>
      <c r="D100" s="8">
        <v>29.9</v>
      </c>
      <c r="E100" s="8">
        <v>0</v>
      </c>
      <c r="F100" s="8" t="s">
        <v>30</v>
      </c>
      <c r="G100" s="8" t="s">
        <v>30</v>
      </c>
      <c r="H100" s="8" t="s">
        <v>30</v>
      </c>
      <c r="I100" s="8" t="s">
        <v>30</v>
      </c>
      <c r="J100" s="8">
        <v>2017</v>
      </c>
      <c r="K100" s="8">
        <v>8</v>
      </c>
    </row>
    <row r="101" spans="1:11" x14ac:dyDescent="0.35">
      <c r="A101" s="13">
        <v>42983</v>
      </c>
      <c r="B101" s="8">
        <v>24.8</v>
      </c>
      <c r="C101" s="8">
        <v>19.899999999999999</v>
      </c>
      <c r="D101" s="8">
        <v>30.2</v>
      </c>
      <c r="E101" s="8">
        <v>2.5</v>
      </c>
      <c r="F101" s="8" t="s">
        <v>30</v>
      </c>
      <c r="G101" s="8" t="s">
        <v>30</v>
      </c>
      <c r="H101" s="8" t="s">
        <v>30</v>
      </c>
      <c r="I101" s="8" t="s">
        <v>30</v>
      </c>
      <c r="J101" s="8">
        <v>2017</v>
      </c>
      <c r="K101" s="8">
        <v>9</v>
      </c>
    </row>
    <row r="102" spans="1:11" x14ac:dyDescent="0.35">
      <c r="A102" s="13">
        <v>42985</v>
      </c>
      <c r="B102" s="8">
        <v>24.1</v>
      </c>
      <c r="C102" s="8">
        <v>21.3</v>
      </c>
      <c r="D102" s="8">
        <v>28.5</v>
      </c>
      <c r="E102" s="8">
        <v>6.6</v>
      </c>
      <c r="F102" s="8" t="s">
        <v>30</v>
      </c>
      <c r="G102" s="8" t="s">
        <v>30</v>
      </c>
      <c r="H102" s="8" t="s">
        <v>30</v>
      </c>
      <c r="I102" s="8" t="s">
        <v>30</v>
      </c>
      <c r="J102" s="8">
        <v>2017</v>
      </c>
      <c r="K102" s="8">
        <v>9</v>
      </c>
    </row>
    <row r="103" spans="1:11" x14ac:dyDescent="0.35">
      <c r="A103" s="13">
        <v>42986</v>
      </c>
      <c r="B103" s="8">
        <v>23.2</v>
      </c>
      <c r="C103" s="8">
        <v>19.8</v>
      </c>
      <c r="D103" s="8">
        <v>29.3</v>
      </c>
      <c r="E103" s="8">
        <v>1.3</v>
      </c>
      <c r="F103" s="8" t="s">
        <v>30</v>
      </c>
      <c r="G103" s="8" t="s">
        <v>30</v>
      </c>
      <c r="H103" s="8" t="s">
        <v>30</v>
      </c>
      <c r="I103" s="8" t="s">
        <v>30</v>
      </c>
      <c r="J103" s="8">
        <v>2017</v>
      </c>
      <c r="K103" s="8">
        <v>9</v>
      </c>
    </row>
    <row r="104" spans="1:11" x14ac:dyDescent="0.35">
      <c r="A104" s="13">
        <v>42989</v>
      </c>
      <c r="B104" s="8">
        <v>24.8</v>
      </c>
      <c r="C104" s="8">
        <v>21.9</v>
      </c>
      <c r="D104" s="8">
        <v>27.8</v>
      </c>
      <c r="E104" s="8">
        <v>0</v>
      </c>
      <c r="F104" s="8" t="s">
        <v>30</v>
      </c>
      <c r="G104" s="8" t="s">
        <v>30</v>
      </c>
      <c r="H104" s="8" t="s">
        <v>30</v>
      </c>
      <c r="I104" s="8" t="s">
        <v>30</v>
      </c>
      <c r="J104" s="8">
        <v>2017</v>
      </c>
      <c r="K104" s="8">
        <v>9</v>
      </c>
    </row>
    <row r="105" spans="1:11" x14ac:dyDescent="0.35">
      <c r="A105" s="13">
        <v>42993</v>
      </c>
      <c r="B105" s="8">
        <v>23.7</v>
      </c>
      <c r="C105" s="8">
        <v>21</v>
      </c>
      <c r="D105" s="8">
        <v>31.1</v>
      </c>
      <c r="E105" s="8">
        <v>2.2999999999999998</v>
      </c>
      <c r="F105" s="8" t="s">
        <v>30</v>
      </c>
      <c r="G105" s="8" t="s">
        <v>30</v>
      </c>
      <c r="H105" s="8" t="s">
        <v>30</v>
      </c>
      <c r="I105" s="8" t="s">
        <v>30</v>
      </c>
      <c r="J105" s="8">
        <v>2017</v>
      </c>
      <c r="K105" s="8">
        <v>9</v>
      </c>
    </row>
    <row r="106" spans="1:11" x14ac:dyDescent="0.35">
      <c r="A106" s="13">
        <v>42994</v>
      </c>
      <c r="B106" s="8">
        <v>23.7</v>
      </c>
      <c r="C106" s="8">
        <v>20.8</v>
      </c>
      <c r="D106" s="8">
        <v>29.4</v>
      </c>
      <c r="E106" s="8">
        <v>0</v>
      </c>
      <c r="F106" s="8" t="s">
        <v>30</v>
      </c>
      <c r="G106" s="8" t="s">
        <v>30</v>
      </c>
      <c r="H106" s="8" t="s">
        <v>30</v>
      </c>
      <c r="I106" s="8" t="s">
        <v>30</v>
      </c>
      <c r="J106" s="8">
        <v>2017</v>
      </c>
      <c r="K106" s="8">
        <v>9</v>
      </c>
    </row>
    <row r="107" spans="1:11" x14ac:dyDescent="0.35">
      <c r="A107" s="13">
        <v>42996</v>
      </c>
      <c r="B107" s="8">
        <v>22.6</v>
      </c>
      <c r="C107" s="8">
        <v>19.3</v>
      </c>
      <c r="D107" s="8">
        <v>27.3</v>
      </c>
      <c r="E107" s="8">
        <v>0.5</v>
      </c>
      <c r="F107" s="8" t="s">
        <v>30</v>
      </c>
      <c r="G107" s="8" t="s">
        <v>30</v>
      </c>
      <c r="H107" s="8" t="s">
        <v>30</v>
      </c>
      <c r="I107" s="8" t="s">
        <v>30</v>
      </c>
      <c r="J107" s="8">
        <v>2017</v>
      </c>
      <c r="K107" s="8">
        <v>9</v>
      </c>
    </row>
    <row r="108" spans="1:11" x14ac:dyDescent="0.35">
      <c r="A108" s="13">
        <v>42997</v>
      </c>
      <c r="B108" s="8">
        <v>23.1</v>
      </c>
      <c r="C108" s="8">
        <v>20.399999999999999</v>
      </c>
      <c r="D108" s="8">
        <v>28.3</v>
      </c>
      <c r="E108" s="8">
        <v>0</v>
      </c>
      <c r="F108" s="8" t="s">
        <v>30</v>
      </c>
      <c r="G108" s="8" t="s">
        <v>30</v>
      </c>
      <c r="H108" s="8" t="s">
        <v>30</v>
      </c>
      <c r="I108" s="8" t="s">
        <v>30</v>
      </c>
      <c r="J108" s="8">
        <v>2017</v>
      </c>
      <c r="K108" s="8">
        <v>9</v>
      </c>
    </row>
    <row r="109" spans="1:11" x14ac:dyDescent="0.35">
      <c r="A109" s="13">
        <v>42998</v>
      </c>
      <c r="B109" s="8">
        <v>23.2</v>
      </c>
      <c r="C109" s="8">
        <v>19.399999999999999</v>
      </c>
      <c r="D109" s="8">
        <v>28.8</v>
      </c>
      <c r="E109" s="8">
        <v>0</v>
      </c>
      <c r="F109" s="8" t="s">
        <v>30</v>
      </c>
      <c r="G109" s="8" t="s">
        <v>30</v>
      </c>
      <c r="H109" s="8" t="s">
        <v>30</v>
      </c>
      <c r="I109" s="8" t="s">
        <v>30</v>
      </c>
      <c r="J109" s="8">
        <v>2017</v>
      </c>
      <c r="K109" s="8">
        <v>9</v>
      </c>
    </row>
    <row r="110" spans="1:11" x14ac:dyDescent="0.35">
      <c r="A110" s="13">
        <v>43000</v>
      </c>
      <c r="B110" s="8">
        <v>24.3</v>
      </c>
      <c r="C110" s="8">
        <v>20.5</v>
      </c>
      <c r="D110" s="8">
        <v>28.4</v>
      </c>
      <c r="E110" s="8">
        <v>0</v>
      </c>
      <c r="F110" s="8" t="s">
        <v>30</v>
      </c>
      <c r="G110" s="8" t="s">
        <v>30</v>
      </c>
      <c r="H110" s="8" t="s">
        <v>30</v>
      </c>
      <c r="I110" s="8" t="s">
        <v>30</v>
      </c>
      <c r="J110" s="8">
        <v>2017</v>
      </c>
      <c r="K110" s="8">
        <v>9</v>
      </c>
    </row>
    <row r="111" spans="1:11" x14ac:dyDescent="0.35">
      <c r="A111" s="13">
        <v>43001</v>
      </c>
      <c r="B111" s="8">
        <v>25.6</v>
      </c>
      <c r="C111" s="8">
        <v>20.6</v>
      </c>
      <c r="D111" s="8">
        <v>29.4</v>
      </c>
      <c r="E111" s="8">
        <v>0</v>
      </c>
      <c r="F111" s="8" t="s">
        <v>30</v>
      </c>
      <c r="G111" s="8" t="s">
        <v>30</v>
      </c>
      <c r="H111" s="8" t="s">
        <v>30</v>
      </c>
      <c r="I111" s="8" t="s">
        <v>30</v>
      </c>
      <c r="J111" s="8">
        <v>2017</v>
      </c>
      <c r="K111" s="8">
        <v>9</v>
      </c>
    </row>
    <row r="112" spans="1:11" x14ac:dyDescent="0.35">
      <c r="A112" s="13">
        <v>43002</v>
      </c>
      <c r="B112" s="8">
        <v>24.2</v>
      </c>
      <c r="C112" s="8">
        <v>20.9</v>
      </c>
      <c r="D112" s="8">
        <v>30.5</v>
      </c>
      <c r="E112" s="8">
        <v>0</v>
      </c>
      <c r="F112" s="8" t="s">
        <v>30</v>
      </c>
      <c r="G112" s="8" t="s">
        <v>30</v>
      </c>
      <c r="H112" s="8" t="s">
        <v>30</v>
      </c>
      <c r="I112" s="8" t="s">
        <v>30</v>
      </c>
      <c r="J112" s="8">
        <v>2017</v>
      </c>
      <c r="K112" s="8">
        <v>9</v>
      </c>
    </row>
    <row r="113" spans="1:11" x14ac:dyDescent="0.35">
      <c r="A113" s="13">
        <v>43004</v>
      </c>
      <c r="B113" s="8">
        <v>23.8</v>
      </c>
      <c r="C113" s="8">
        <v>19.8</v>
      </c>
      <c r="D113" s="8">
        <v>27.6</v>
      </c>
      <c r="E113" s="8">
        <v>9.1</v>
      </c>
      <c r="F113" s="8" t="s">
        <v>30</v>
      </c>
      <c r="G113" s="8" t="s">
        <v>30</v>
      </c>
      <c r="H113" s="8" t="s">
        <v>30</v>
      </c>
      <c r="I113" s="8" t="s">
        <v>30</v>
      </c>
      <c r="J113" s="8">
        <v>2017</v>
      </c>
      <c r="K113" s="8">
        <v>9</v>
      </c>
    </row>
    <row r="114" spans="1:11" x14ac:dyDescent="0.35">
      <c r="A114" s="13">
        <v>43006</v>
      </c>
      <c r="B114" s="8">
        <v>22.5</v>
      </c>
      <c r="C114" s="8">
        <v>19.399999999999999</v>
      </c>
      <c r="D114" s="8">
        <v>26.8</v>
      </c>
      <c r="E114" s="8">
        <v>1.8</v>
      </c>
      <c r="F114" s="8" t="s">
        <v>30</v>
      </c>
      <c r="G114" s="8" t="s">
        <v>30</v>
      </c>
      <c r="H114" s="8" t="s">
        <v>30</v>
      </c>
      <c r="I114" s="8" t="s">
        <v>30</v>
      </c>
      <c r="J114" s="8">
        <v>2017</v>
      </c>
      <c r="K114" s="8">
        <v>9</v>
      </c>
    </row>
    <row r="115" spans="1:11" x14ac:dyDescent="0.35">
      <c r="A115" s="13">
        <v>43007</v>
      </c>
      <c r="B115" s="8">
        <v>22.7</v>
      </c>
      <c r="C115" s="8">
        <v>20.3</v>
      </c>
      <c r="D115" s="8">
        <v>26.2</v>
      </c>
      <c r="E115" s="8">
        <v>0.5</v>
      </c>
      <c r="F115" s="8" t="s">
        <v>30</v>
      </c>
      <c r="G115" s="8" t="s">
        <v>30</v>
      </c>
      <c r="H115" s="8" t="s">
        <v>30</v>
      </c>
      <c r="I115" s="8" t="s">
        <v>30</v>
      </c>
      <c r="J115" s="8">
        <v>2017</v>
      </c>
      <c r="K115" s="8">
        <v>9</v>
      </c>
    </row>
    <row r="116" spans="1:11" x14ac:dyDescent="0.35">
      <c r="A116" s="13">
        <v>43009</v>
      </c>
      <c r="B116" s="8">
        <v>23.1</v>
      </c>
      <c r="C116" s="8">
        <v>20.3</v>
      </c>
      <c r="D116" s="8">
        <v>28.6</v>
      </c>
      <c r="E116" s="8">
        <v>0.5</v>
      </c>
      <c r="F116" s="8" t="s">
        <v>30</v>
      </c>
      <c r="G116" s="8" t="s">
        <v>30</v>
      </c>
      <c r="H116" s="8" t="s">
        <v>30</v>
      </c>
      <c r="I116" s="8" t="s">
        <v>30</v>
      </c>
      <c r="J116" s="8">
        <v>2017</v>
      </c>
      <c r="K116" s="8">
        <v>10</v>
      </c>
    </row>
    <row r="117" spans="1:11" x14ac:dyDescent="0.35">
      <c r="A117" s="13">
        <v>43011</v>
      </c>
      <c r="B117" s="8">
        <v>24.9</v>
      </c>
      <c r="C117" s="8">
        <v>20.6</v>
      </c>
      <c r="D117" s="8">
        <v>28.8</v>
      </c>
      <c r="E117" s="8">
        <v>0</v>
      </c>
      <c r="F117" s="8" t="s">
        <v>30</v>
      </c>
      <c r="G117" s="8" t="s">
        <v>30</v>
      </c>
      <c r="H117" s="8" t="s">
        <v>30</v>
      </c>
      <c r="I117" s="8" t="s">
        <v>30</v>
      </c>
      <c r="J117" s="8">
        <v>2017</v>
      </c>
      <c r="K117" s="8">
        <v>10</v>
      </c>
    </row>
    <row r="118" spans="1:11" x14ac:dyDescent="0.35">
      <c r="A118" s="13">
        <v>43012</v>
      </c>
      <c r="B118" s="8">
        <v>24.3</v>
      </c>
      <c r="C118" s="8">
        <v>20.5</v>
      </c>
      <c r="D118" s="8">
        <v>29.3</v>
      </c>
      <c r="E118" s="8">
        <v>0</v>
      </c>
      <c r="F118" s="8" t="s">
        <v>30</v>
      </c>
      <c r="G118" s="8" t="s">
        <v>30</v>
      </c>
      <c r="H118" s="8" t="s">
        <v>30</v>
      </c>
      <c r="I118" s="8" t="s">
        <v>30</v>
      </c>
      <c r="J118" s="8">
        <v>2017</v>
      </c>
      <c r="K118" s="8">
        <v>10</v>
      </c>
    </row>
    <row r="119" spans="1:11" x14ac:dyDescent="0.35">
      <c r="A119" s="13">
        <v>43017</v>
      </c>
      <c r="B119" s="8">
        <v>24.8</v>
      </c>
      <c r="C119" s="8">
        <v>21.5</v>
      </c>
      <c r="D119" s="8">
        <v>29</v>
      </c>
      <c r="E119" s="8">
        <v>2</v>
      </c>
      <c r="F119" s="8" t="s">
        <v>30</v>
      </c>
      <c r="G119" s="8" t="s">
        <v>30</v>
      </c>
      <c r="H119" s="8" t="s">
        <v>30</v>
      </c>
      <c r="I119" s="8" t="s">
        <v>30</v>
      </c>
      <c r="J119" s="8">
        <v>2017</v>
      </c>
      <c r="K119" s="8">
        <v>10</v>
      </c>
    </row>
    <row r="120" spans="1:11" x14ac:dyDescent="0.35">
      <c r="A120" s="13">
        <v>43018</v>
      </c>
      <c r="B120" s="8">
        <v>24.5</v>
      </c>
      <c r="C120" s="8">
        <v>19.600000000000001</v>
      </c>
      <c r="D120" s="8">
        <v>29.3</v>
      </c>
      <c r="E120" s="8">
        <v>9.1</v>
      </c>
      <c r="F120" s="8" t="s">
        <v>30</v>
      </c>
      <c r="G120" s="8" t="s">
        <v>30</v>
      </c>
      <c r="H120" s="8" t="s">
        <v>30</v>
      </c>
      <c r="I120" s="8" t="s">
        <v>30</v>
      </c>
      <c r="J120" s="8">
        <v>2017</v>
      </c>
      <c r="K120" s="8">
        <v>10</v>
      </c>
    </row>
    <row r="121" spans="1:11" x14ac:dyDescent="0.35">
      <c r="A121" s="13">
        <v>43019</v>
      </c>
      <c r="B121" s="8">
        <v>23.8</v>
      </c>
      <c r="C121" s="8">
        <v>20.2</v>
      </c>
      <c r="D121" s="8">
        <v>29.9</v>
      </c>
      <c r="E121" s="8">
        <v>5.3</v>
      </c>
      <c r="F121" s="8" t="s">
        <v>30</v>
      </c>
      <c r="G121" s="8" t="s">
        <v>30</v>
      </c>
      <c r="H121" s="8" t="s">
        <v>30</v>
      </c>
      <c r="I121" s="8" t="s">
        <v>30</v>
      </c>
      <c r="J121" s="8">
        <v>2017</v>
      </c>
      <c r="K121" s="8">
        <v>10</v>
      </c>
    </row>
    <row r="122" spans="1:11" x14ac:dyDescent="0.35">
      <c r="A122" s="13">
        <v>43024</v>
      </c>
      <c r="B122" s="8">
        <v>22.4</v>
      </c>
      <c r="C122" s="8">
        <v>19.8</v>
      </c>
      <c r="D122" s="8">
        <v>26</v>
      </c>
      <c r="E122" s="8">
        <v>0</v>
      </c>
      <c r="F122" s="8" t="s">
        <v>30</v>
      </c>
      <c r="G122" s="8" t="s">
        <v>30</v>
      </c>
      <c r="H122" s="8" t="s">
        <v>30</v>
      </c>
      <c r="I122" s="8" t="s">
        <v>30</v>
      </c>
      <c r="J122" s="8">
        <v>2017</v>
      </c>
      <c r="K122" s="8">
        <v>10</v>
      </c>
    </row>
    <row r="123" spans="1:11" x14ac:dyDescent="0.35">
      <c r="A123" s="13">
        <v>43025</v>
      </c>
      <c r="B123" s="8">
        <v>23.1</v>
      </c>
      <c r="C123" s="8">
        <v>20.9</v>
      </c>
      <c r="D123" s="8">
        <v>26.8</v>
      </c>
      <c r="E123" s="8">
        <v>0</v>
      </c>
      <c r="F123" s="8" t="s">
        <v>30</v>
      </c>
      <c r="G123" s="8" t="s">
        <v>30</v>
      </c>
      <c r="H123" s="8" t="s">
        <v>30</v>
      </c>
      <c r="I123" s="8" t="s">
        <v>30</v>
      </c>
      <c r="J123" s="8">
        <v>2017</v>
      </c>
      <c r="K123" s="8">
        <v>10</v>
      </c>
    </row>
    <row r="124" spans="1:11" x14ac:dyDescent="0.35">
      <c r="A124" s="13">
        <v>43027</v>
      </c>
      <c r="B124" s="8">
        <v>23.7</v>
      </c>
      <c r="C124" s="8">
        <v>20.100000000000001</v>
      </c>
      <c r="D124" s="8">
        <v>29.8</v>
      </c>
      <c r="E124" s="8">
        <v>0</v>
      </c>
      <c r="F124" s="8" t="s">
        <v>30</v>
      </c>
      <c r="G124" s="8" t="s">
        <v>30</v>
      </c>
      <c r="H124" s="8" t="s">
        <v>30</v>
      </c>
      <c r="I124" s="8" t="s">
        <v>30</v>
      </c>
      <c r="J124" s="8">
        <v>2017</v>
      </c>
      <c r="K124" s="8">
        <v>10</v>
      </c>
    </row>
    <row r="125" spans="1:11" x14ac:dyDescent="0.35">
      <c r="A125" s="13">
        <v>43035</v>
      </c>
      <c r="B125" s="8">
        <v>23.9</v>
      </c>
      <c r="C125" s="8">
        <v>20.2</v>
      </c>
      <c r="D125" s="8">
        <v>28.1</v>
      </c>
      <c r="E125" s="8">
        <v>0</v>
      </c>
      <c r="F125" s="8" t="s">
        <v>30</v>
      </c>
      <c r="G125" s="8" t="s">
        <v>30</v>
      </c>
      <c r="H125" s="8" t="s">
        <v>30</v>
      </c>
      <c r="I125" s="8" t="s">
        <v>30</v>
      </c>
      <c r="J125" s="8">
        <v>2017</v>
      </c>
      <c r="K125" s="8">
        <v>10</v>
      </c>
    </row>
    <row r="126" spans="1:11" x14ac:dyDescent="0.35">
      <c r="A126" s="13">
        <v>43036</v>
      </c>
      <c r="B126" s="8">
        <v>23.9</v>
      </c>
      <c r="C126" s="8">
        <v>19.8</v>
      </c>
      <c r="D126" s="8">
        <v>30</v>
      </c>
      <c r="E126" s="8">
        <v>0</v>
      </c>
      <c r="F126" s="8" t="s">
        <v>30</v>
      </c>
      <c r="G126" s="8" t="s">
        <v>30</v>
      </c>
      <c r="H126" s="8" t="s">
        <v>30</v>
      </c>
      <c r="I126" s="8" t="s">
        <v>30</v>
      </c>
      <c r="J126" s="8">
        <v>2017</v>
      </c>
      <c r="K126" s="8">
        <v>10</v>
      </c>
    </row>
    <row r="127" spans="1:11" x14ac:dyDescent="0.35">
      <c r="A127" s="13">
        <v>43039</v>
      </c>
      <c r="B127" s="8">
        <v>22.2</v>
      </c>
      <c r="C127" s="8">
        <v>19.399999999999999</v>
      </c>
      <c r="D127" s="8">
        <v>26.7</v>
      </c>
      <c r="E127" s="8">
        <v>0</v>
      </c>
      <c r="F127" s="8" t="s">
        <v>30</v>
      </c>
      <c r="G127" s="8" t="s">
        <v>30</v>
      </c>
      <c r="H127" s="8" t="s">
        <v>30</v>
      </c>
      <c r="I127" s="8" t="s">
        <v>30</v>
      </c>
      <c r="J127" s="8">
        <v>2017</v>
      </c>
      <c r="K127" s="8">
        <v>10</v>
      </c>
    </row>
    <row r="128" spans="1:11" x14ac:dyDescent="0.35">
      <c r="A128" s="13">
        <v>43040</v>
      </c>
      <c r="B128" s="8">
        <v>21.7</v>
      </c>
      <c r="C128" s="8">
        <v>19.899999999999999</v>
      </c>
      <c r="D128" s="8">
        <v>25</v>
      </c>
      <c r="E128" s="8">
        <v>0</v>
      </c>
      <c r="F128" s="8" t="s">
        <v>30</v>
      </c>
      <c r="G128" s="8" t="s">
        <v>30</v>
      </c>
      <c r="H128" s="8" t="s">
        <v>30</v>
      </c>
      <c r="I128" s="8" t="s">
        <v>30</v>
      </c>
      <c r="J128" s="8">
        <v>2017</v>
      </c>
      <c r="K128" s="8">
        <v>11</v>
      </c>
    </row>
    <row r="129" spans="1:11" x14ac:dyDescent="0.35">
      <c r="A129" s="13">
        <v>43041</v>
      </c>
      <c r="B129" s="8">
        <v>22.9</v>
      </c>
      <c r="C129" s="8">
        <v>18.8</v>
      </c>
      <c r="D129" s="8">
        <v>26.8</v>
      </c>
      <c r="E129" s="8">
        <v>0.3</v>
      </c>
      <c r="F129" s="8" t="s">
        <v>30</v>
      </c>
      <c r="G129" s="8" t="s">
        <v>30</v>
      </c>
      <c r="H129" s="8" t="s">
        <v>30</v>
      </c>
      <c r="I129" s="8" t="s">
        <v>30</v>
      </c>
      <c r="J129" s="8">
        <v>2017</v>
      </c>
      <c r="K129" s="8">
        <v>11</v>
      </c>
    </row>
    <row r="130" spans="1:11" x14ac:dyDescent="0.35">
      <c r="A130" s="13">
        <v>43042</v>
      </c>
      <c r="B130" s="8">
        <v>23.2</v>
      </c>
      <c r="C130" s="8">
        <v>19.3</v>
      </c>
      <c r="D130" s="8">
        <v>27.8</v>
      </c>
      <c r="E130" s="8">
        <v>0</v>
      </c>
      <c r="F130" s="8" t="s">
        <v>30</v>
      </c>
      <c r="G130" s="8" t="s">
        <v>30</v>
      </c>
      <c r="H130" s="8" t="s">
        <v>30</v>
      </c>
      <c r="I130" s="8" t="s">
        <v>30</v>
      </c>
      <c r="J130" s="8">
        <v>2017</v>
      </c>
      <c r="K130" s="8">
        <v>11</v>
      </c>
    </row>
    <row r="131" spans="1:11" x14ac:dyDescent="0.35">
      <c r="A131" s="13">
        <v>43044</v>
      </c>
      <c r="B131" s="8">
        <v>21.5</v>
      </c>
      <c r="C131" s="8">
        <v>19.3</v>
      </c>
      <c r="D131" s="8">
        <v>25.6</v>
      </c>
      <c r="E131" s="8">
        <v>2</v>
      </c>
      <c r="F131" s="8" t="s">
        <v>30</v>
      </c>
      <c r="G131" s="8" t="s">
        <v>30</v>
      </c>
      <c r="H131" s="8" t="s">
        <v>30</v>
      </c>
      <c r="I131" s="8" t="s">
        <v>30</v>
      </c>
      <c r="J131" s="8">
        <v>2017</v>
      </c>
      <c r="K131" s="8">
        <v>11</v>
      </c>
    </row>
    <row r="132" spans="1:11" x14ac:dyDescent="0.35">
      <c r="A132" s="13">
        <v>43045</v>
      </c>
      <c r="B132" s="8">
        <v>21.7</v>
      </c>
      <c r="C132" s="8">
        <v>19.7</v>
      </c>
      <c r="D132" s="8">
        <v>25.4</v>
      </c>
      <c r="E132" s="8">
        <v>3.3</v>
      </c>
      <c r="F132" s="8" t="s">
        <v>30</v>
      </c>
      <c r="G132" s="8" t="s">
        <v>30</v>
      </c>
      <c r="H132" s="8" t="s">
        <v>30</v>
      </c>
      <c r="I132" s="8" t="s">
        <v>30</v>
      </c>
      <c r="J132" s="8">
        <v>2017</v>
      </c>
      <c r="K132" s="8">
        <v>11</v>
      </c>
    </row>
    <row r="133" spans="1:11" x14ac:dyDescent="0.35">
      <c r="A133" s="13">
        <v>43046</v>
      </c>
      <c r="B133" s="8">
        <v>21.5</v>
      </c>
      <c r="C133" s="8">
        <v>18.899999999999999</v>
      </c>
      <c r="D133" s="8">
        <v>25.6</v>
      </c>
      <c r="E133" s="8">
        <v>1.5</v>
      </c>
      <c r="F133" s="8" t="s">
        <v>30</v>
      </c>
      <c r="G133" s="8" t="s">
        <v>30</v>
      </c>
      <c r="H133" s="8" t="s">
        <v>30</v>
      </c>
      <c r="I133" s="8" t="s">
        <v>30</v>
      </c>
      <c r="J133" s="8">
        <v>2017</v>
      </c>
      <c r="K133" s="8">
        <v>11</v>
      </c>
    </row>
    <row r="134" spans="1:11" x14ac:dyDescent="0.35">
      <c r="A134" s="13">
        <v>43048</v>
      </c>
      <c r="B134" s="8">
        <v>22.5</v>
      </c>
      <c r="C134" s="8">
        <v>18.600000000000001</v>
      </c>
      <c r="D134" s="8">
        <v>27</v>
      </c>
      <c r="E134" s="8">
        <v>0</v>
      </c>
      <c r="F134" s="8" t="s">
        <v>30</v>
      </c>
      <c r="G134" s="8" t="s">
        <v>30</v>
      </c>
      <c r="H134" s="8" t="s">
        <v>30</v>
      </c>
      <c r="I134" s="8" t="s">
        <v>30</v>
      </c>
      <c r="J134" s="8">
        <v>2017</v>
      </c>
      <c r="K134" s="8">
        <v>11</v>
      </c>
    </row>
    <row r="135" spans="1:11" x14ac:dyDescent="0.35">
      <c r="A135" s="13">
        <v>43056</v>
      </c>
      <c r="B135" s="8">
        <v>23.8</v>
      </c>
      <c r="C135" s="8">
        <v>21.3</v>
      </c>
      <c r="D135" s="8">
        <v>29.2</v>
      </c>
      <c r="E135" s="8">
        <v>0</v>
      </c>
      <c r="F135" s="8" t="s">
        <v>30</v>
      </c>
      <c r="G135" s="8" t="s">
        <v>30</v>
      </c>
      <c r="H135" s="8" t="s">
        <v>30</v>
      </c>
      <c r="I135" s="8" t="s">
        <v>30</v>
      </c>
      <c r="J135" s="8">
        <v>2017</v>
      </c>
      <c r="K135" s="8">
        <v>11</v>
      </c>
    </row>
    <row r="136" spans="1:11" x14ac:dyDescent="0.35">
      <c r="A136" s="13">
        <v>43069</v>
      </c>
      <c r="B136" s="8">
        <v>21.3</v>
      </c>
      <c r="C136" s="8">
        <v>19.3</v>
      </c>
      <c r="D136" s="8">
        <v>27.6</v>
      </c>
      <c r="E136" s="8">
        <v>0</v>
      </c>
      <c r="F136" s="8" t="s">
        <v>30</v>
      </c>
      <c r="G136" s="8" t="s">
        <v>30</v>
      </c>
      <c r="H136" s="8" t="s">
        <v>30</v>
      </c>
      <c r="I136" s="8" t="s">
        <v>30</v>
      </c>
      <c r="J136" s="8">
        <v>2017</v>
      </c>
      <c r="K136" s="8">
        <v>11</v>
      </c>
    </row>
    <row r="137" spans="1:11" x14ac:dyDescent="0.35">
      <c r="A137" s="13">
        <v>43072</v>
      </c>
      <c r="B137" s="8">
        <v>20.8</v>
      </c>
      <c r="C137" s="8">
        <v>18.3</v>
      </c>
      <c r="D137" s="8">
        <v>24.2</v>
      </c>
      <c r="E137" s="8">
        <v>0</v>
      </c>
      <c r="F137" s="8" t="s">
        <v>30</v>
      </c>
      <c r="G137" s="8" t="s">
        <v>30</v>
      </c>
      <c r="H137" s="8" t="s">
        <v>30</v>
      </c>
      <c r="I137" s="8" t="s">
        <v>30</v>
      </c>
      <c r="J137" s="8">
        <v>2017</v>
      </c>
      <c r="K137" s="8">
        <v>12</v>
      </c>
    </row>
    <row r="138" spans="1:11" x14ac:dyDescent="0.35">
      <c r="A138" s="13">
        <v>43082</v>
      </c>
      <c r="B138" s="8">
        <v>22.7</v>
      </c>
      <c r="C138" s="8">
        <v>18.100000000000001</v>
      </c>
      <c r="D138" s="8">
        <v>28.1</v>
      </c>
      <c r="E138" s="8">
        <v>0</v>
      </c>
      <c r="F138" s="8" t="s">
        <v>30</v>
      </c>
      <c r="G138" s="8" t="s">
        <v>30</v>
      </c>
      <c r="H138" s="8" t="s">
        <v>30</v>
      </c>
      <c r="I138" s="8" t="s">
        <v>30</v>
      </c>
      <c r="J138" s="8">
        <v>2017</v>
      </c>
      <c r="K138" s="8">
        <v>12</v>
      </c>
    </row>
    <row r="139" spans="1:11" x14ac:dyDescent="0.35">
      <c r="A139" s="13">
        <v>43139</v>
      </c>
      <c r="B139" s="8">
        <v>23.3</v>
      </c>
      <c r="C139" s="8">
        <v>19.2</v>
      </c>
      <c r="D139" s="8">
        <v>30</v>
      </c>
      <c r="E139" s="8">
        <v>1.5</v>
      </c>
      <c r="F139" s="8" t="s">
        <v>30</v>
      </c>
      <c r="G139" s="8" t="s">
        <v>30</v>
      </c>
      <c r="H139" s="8" t="s">
        <v>30</v>
      </c>
      <c r="I139" s="8" t="s">
        <v>30</v>
      </c>
      <c r="J139" s="8">
        <v>2018</v>
      </c>
      <c r="K139" s="8">
        <v>2</v>
      </c>
    </row>
    <row r="140" spans="1:11" x14ac:dyDescent="0.35">
      <c r="A140" s="13">
        <v>43140</v>
      </c>
      <c r="B140" s="8">
        <v>24.4</v>
      </c>
      <c r="C140" s="8">
        <v>19.7</v>
      </c>
      <c r="D140" s="8">
        <v>30.6</v>
      </c>
      <c r="E140" s="8">
        <v>0</v>
      </c>
      <c r="F140" s="8" t="s">
        <v>30</v>
      </c>
      <c r="G140" s="8" t="s">
        <v>30</v>
      </c>
      <c r="H140" s="8" t="s">
        <v>30</v>
      </c>
      <c r="I140" s="8" t="s">
        <v>30</v>
      </c>
      <c r="J140" s="8">
        <v>2018</v>
      </c>
      <c r="K140" s="8">
        <v>2</v>
      </c>
    </row>
    <row r="141" spans="1:11" x14ac:dyDescent="0.35">
      <c r="A141" s="13">
        <v>43141</v>
      </c>
      <c r="B141" s="8">
        <v>24.2</v>
      </c>
      <c r="C141" s="8">
        <v>19.7</v>
      </c>
      <c r="D141" s="8">
        <v>31.6</v>
      </c>
      <c r="E141" s="8">
        <v>1.5</v>
      </c>
      <c r="F141" s="8" t="s">
        <v>30</v>
      </c>
      <c r="G141" s="8" t="s">
        <v>30</v>
      </c>
      <c r="H141" s="8" t="s">
        <v>30</v>
      </c>
      <c r="I141" s="8" t="s">
        <v>30</v>
      </c>
      <c r="J141" s="8">
        <v>2018</v>
      </c>
      <c r="K141" s="8">
        <v>2</v>
      </c>
    </row>
    <row r="142" spans="1:11" x14ac:dyDescent="0.35">
      <c r="A142" s="13">
        <v>43142</v>
      </c>
      <c r="B142" s="8">
        <v>24</v>
      </c>
      <c r="C142" s="8">
        <v>17.7</v>
      </c>
      <c r="D142" s="8">
        <v>30.7</v>
      </c>
      <c r="E142" s="8">
        <v>0</v>
      </c>
      <c r="F142" s="8" t="s">
        <v>30</v>
      </c>
      <c r="G142" s="8" t="s">
        <v>30</v>
      </c>
      <c r="H142" s="8" t="s">
        <v>30</v>
      </c>
      <c r="I142" s="8" t="s">
        <v>30</v>
      </c>
      <c r="J142" s="8">
        <v>2018</v>
      </c>
      <c r="K142" s="8">
        <v>2</v>
      </c>
    </row>
    <row r="143" spans="1:11" x14ac:dyDescent="0.35">
      <c r="A143" s="13">
        <v>43173</v>
      </c>
      <c r="B143" s="8">
        <v>26.5</v>
      </c>
      <c r="C143" s="8">
        <v>22.4</v>
      </c>
      <c r="D143" s="8">
        <v>31.6</v>
      </c>
      <c r="E143" s="8">
        <v>0</v>
      </c>
      <c r="F143" s="8" t="s">
        <v>30</v>
      </c>
      <c r="G143" s="8" t="s">
        <v>30</v>
      </c>
      <c r="H143" s="8" t="s">
        <v>30</v>
      </c>
      <c r="I143" s="8" t="s">
        <v>30</v>
      </c>
      <c r="J143" s="8">
        <v>2018</v>
      </c>
      <c r="K143" s="8">
        <v>3</v>
      </c>
    </row>
    <row r="144" spans="1:11" x14ac:dyDescent="0.35">
      <c r="A144" s="13">
        <v>43174</v>
      </c>
      <c r="B144" s="8">
        <v>25.8</v>
      </c>
      <c r="C144" s="8">
        <v>21.9</v>
      </c>
      <c r="D144" s="8">
        <v>32.1</v>
      </c>
      <c r="E144" s="8">
        <v>0</v>
      </c>
      <c r="F144" s="8" t="s">
        <v>30</v>
      </c>
      <c r="G144" s="8" t="s">
        <v>30</v>
      </c>
      <c r="H144" s="8" t="s">
        <v>30</v>
      </c>
      <c r="I144" s="8" t="s">
        <v>30</v>
      </c>
      <c r="J144" s="8">
        <v>2018</v>
      </c>
      <c r="K144" s="8">
        <v>3</v>
      </c>
    </row>
    <row r="145" spans="1:11" x14ac:dyDescent="0.35">
      <c r="A145" s="13">
        <v>43176</v>
      </c>
      <c r="B145" s="8">
        <v>23.7</v>
      </c>
      <c r="C145" s="8">
        <v>18.899999999999999</v>
      </c>
      <c r="D145" s="8">
        <v>32</v>
      </c>
      <c r="E145" s="8">
        <v>0</v>
      </c>
      <c r="F145" s="8" t="s">
        <v>30</v>
      </c>
      <c r="G145" s="8" t="s">
        <v>30</v>
      </c>
      <c r="H145" s="8" t="s">
        <v>30</v>
      </c>
      <c r="I145" s="8" t="s">
        <v>30</v>
      </c>
      <c r="J145" s="8">
        <v>2018</v>
      </c>
      <c r="K145" s="8">
        <v>3</v>
      </c>
    </row>
    <row r="146" spans="1:11" x14ac:dyDescent="0.35">
      <c r="A146" s="13">
        <v>43177</v>
      </c>
      <c r="B146" s="8">
        <v>24.7</v>
      </c>
      <c r="C146" s="8">
        <v>20.3</v>
      </c>
      <c r="D146" s="8">
        <v>29.1</v>
      </c>
      <c r="E146" s="8">
        <v>0</v>
      </c>
      <c r="F146" s="8" t="s">
        <v>30</v>
      </c>
      <c r="G146" s="8" t="s">
        <v>30</v>
      </c>
      <c r="H146" s="8" t="s">
        <v>30</v>
      </c>
      <c r="I146" s="8" t="s">
        <v>30</v>
      </c>
      <c r="J146" s="8">
        <v>2018</v>
      </c>
      <c r="K146" s="8">
        <v>3</v>
      </c>
    </row>
    <row r="147" spans="1:11" x14ac:dyDescent="0.35">
      <c r="A147" s="13">
        <v>43189</v>
      </c>
      <c r="B147" s="8">
        <v>25.7</v>
      </c>
      <c r="C147" s="8">
        <v>21.4</v>
      </c>
      <c r="D147" s="8">
        <v>34</v>
      </c>
      <c r="E147" s="8">
        <v>0</v>
      </c>
      <c r="F147" s="8" t="s">
        <v>30</v>
      </c>
      <c r="G147" s="8" t="s">
        <v>30</v>
      </c>
      <c r="H147" s="8" t="s">
        <v>30</v>
      </c>
      <c r="I147" s="8" t="s">
        <v>30</v>
      </c>
      <c r="J147" s="8">
        <v>2018</v>
      </c>
      <c r="K147" s="8">
        <v>3</v>
      </c>
    </row>
    <row r="148" spans="1:11" x14ac:dyDescent="0.35">
      <c r="A148" s="13">
        <v>43190</v>
      </c>
      <c r="B148" s="8">
        <v>25.9</v>
      </c>
      <c r="C148" s="8">
        <v>21.1</v>
      </c>
      <c r="D148" s="8">
        <v>34.799999999999997</v>
      </c>
      <c r="E148" s="8">
        <v>3.3</v>
      </c>
      <c r="F148" s="8" t="s">
        <v>30</v>
      </c>
      <c r="G148" s="8" t="s">
        <v>30</v>
      </c>
      <c r="H148" s="8" t="s">
        <v>30</v>
      </c>
      <c r="I148" s="8" t="s">
        <v>30</v>
      </c>
      <c r="J148" s="8">
        <v>2018</v>
      </c>
      <c r="K148" s="8">
        <v>3</v>
      </c>
    </row>
    <row r="149" spans="1:11" x14ac:dyDescent="0.35">
      <c r="A149" s="13">
        <v>43191</v>
      </c>
      <c r="B149" s="8">
        <v>27.6</v>
      </c>
      <c r="C149" s="8">
        <v>21.2</v>
      </c>
      <c r="D149" s="8">
        <v>33.200000000000003</v>
      </c>
      <c r="E149" s="8">
        <v>0</v>
      </c>
      <c r="F149" s="8" t="s">
        <v>30</v>
      </c>
      <c r="G149" s="8" t="s">
        <v>30</v>
      </c>
      <c r="H149" s="8" t="s">
        <v>30</v>
      </c>
      <c r="I149" s="8" t="s">
        <v>30</v>
      </c>
      <c r="J149" s="8">
        <v>2018</v>
      </c>
      <c r="K149" s="8">
        <v>4</v>
      </c>
    </row>
    <row r="150" spans="1:11" x14ac:dyDescent="0.35">
      <c r="A150" s="13">
        <v>43194</v>
      </c>
      <c r="B150" s="8">
        <v>26.2</v>
      </c>
      <c r="C150" s="8">
        <v>21.4</v>
      </c>
      <c r="D150" s="8">
        <v>31.5</v>
      </c>
      <c r="E150" s="8">
        <v>0</v>
      </c>
      <c r="F150" s="8" t="s">
        <v>30</v>
      </c>
      <c r="G150" s="8" t="s">
        <v>30</v>
      </c>
      <c r="H150" s="8" t="s">
        <v>30</v>
      </c>
      <c r="I150" s="8" t="s">
        <v>30</v>
      </c>
      <c r="J150" s="8">
        <v>2018</v>
      </c>
      <c r="K150" s="8">
        <v>4</v>
      </c>
    </row>
    <row r="151" spans="1:11" x14ac:dyDescent="0.35">
      <c r="A151" s="13">
        <v>43213</v>
      </c>
      <c r="B151" s="8">
        <v>27.2</v>
      </c>
      <c r="C151" s="8">
        <v>22</v>
      </c>
      <c r="D151" s="8">
        <v>33.799999999999997</v>
      </c>
      <c r="E151" s="8">
        <v>4.8</v>
      </c>
      <c r="F151" s="8" t="s">
        <v>30</v>
      </c>
      <c r="G151" s="8" t="s">
        <v>30</v>
      </c>
      <c r="H151" s="8" t="s">
        <v>30</v>
      </c>
      <c r="I151" s="8" t="s">
        <v>30</v>
      </c>
      <c r="J151" s="8">
        <v>2018</v>
      </c>
      <c r="K151" s="8">
        <v>4</v>
      </c>
    </row>
    <row r="152" spans="1:11" x14ac:dyDescent="0.35">
      <c r="A152" s="13">
        <v>43214</v>
      </c>
      <c r="B152" s="8">
        <v>25.1</v>
      </c>
      <c r="C152" s="8">
        <v>22.4</v>
      </c>
      <c r="D152" s="8">
        <v>34.200000000000003</v>
      </c>
      <c r="E152" s="8">
        <v>0</v>
      </c>
      <c r="F152" s="8" t="s">
        <v>30</v>
      </c>
      <c r="G152" s="8" t="s">
        <v>30</v>
      </c>
      <c r="H152" s="8" t="s">
        <v>30</v>
      </c>
      <c r="I152" s="8" t="s">
        <v>30</v>
      </c>
      <c r="J152" s="8">
        <v>2018</v>
      </c>
      <c r="K152" s="8">
        <v>4</v>
      </c>
    </row>
    <row r="153" spans="1:11" x14ac:dyDescent="0.35">
      <c r="A153" s="13">
        <v>43215</v>
      </c>
      <c r="B153" s="8">
        <v>26.6</v>
      </c>
      <c r="C153" s="8">
        <v>22.2</v>
      </c>
      <c r="D153" s="8">
        <v>34</v>
      </c>
      <c r="E153" s="8">
        <v>3.8</v>
      </c>
      <c r="F153" s="8" t="s">
        <v>30</v>
      </c>
      <c r="G153" s="8" t="s">
        <v>30</v>
      </c>
      <c r="H153" s="8" t="s">
        <v>30</v>
      </c>
      <c r="I153" s="8" t="s">
        <v>30</v>
      </c>
      <c r="J153" s="8">
        <v>2018</v>
      </c>
      <c r="K153" s="8">
        <v>4</v>
      </c>
    </row>
    <row r="154" spans="1:11" x14ac:dyDescent="0.35">
      <c r="A154" s="13">
        <v>43216</v>
      </c>
      <c r="B154" s="8">
        <v>27.2</v>
      </c>
      <c r="C154" s="8">
        <v>22.8</v>
      </c>
      <c r="D154" s="8">
        <v>34.4</v>
      </c>
      <c r="E154" s="8">
        <v>0.5</v>
      </c>
      <c r="F154" s="8" t="s">
        <v>30</v>
      </c>
      <c r="G154" s="8" t="s">
        <v>30</v>
      </c>
      <c r="H154" s="8" t="s">
        <v>30</v>
      </c>
      <c r="I154" s="8" t="s">
        <v>30</v>
      </c>
      <c r="J154" s="8">
        <v>2018</v>
      </c>
      <c r="K154" s="8">
        <v>4</v>
      </c>
    </row>
    <row r="155" spans="1:11" x14ac:dyDescent="0.35">
      <c r="A155" s="13">
        <v>43217</v>
      </c>
      <c r="B155" s="8">
        <v>28.3</v>
      </c>
      <c r="C155" s="8">
        <v>22</v>
      </c>
      <c r="D155" s="8">
        <v>34.700000000000003</v>
      </c>
      <c r="E155" s="8">
        <v>0.5</v>
      </c>
      <c r="F155" s="8" t="s">
        <v>30</v>
      </c>
      <c r="G155" s="8" t="s">
        <v>30</v>
      </c>
      <c r="H155" s="8" t="s">
        <v>30</v>
      </c>
      <c r="I155" s="8" t="s">
        <v>30</v>
      </c>
      <c r="J155" s="8">
        <v>2018</v>
      </c>
      <c r="K155" s="8">
        <v>4</v>
      </c>
    </row>
    <row r="156" spans="1:11" x14ac:dyDescent="0.35">
      <c r="A156" s="13">
        <v>43218</v>
      </c>
      <c r="B156" s="8">
        <v>27.7</v>
      </c>
      <c r="C156" s="8">
        <v>22.5</v>
      </c>
      <c r="D156" s="8">
        <v>34.200000000000003</v>
      </c>
      <c r="E156" s="8">
        <v>0</v>
      </c>
      <c r="F156" s="8" t="s">
        <v>30</v>
      </c>
      <c r="G156" s="8" t="s">
        <v>30</v>
      </c>
      <c r="H156" s="8" t="s">
        <v>30</v>
      </c>
      <c r="I156" s="8" t="s">
        <v>30</v>
      </c>
      <c r="J156" s="8">
        <v>2018</v>
      </c>
      <c r="K156" s="8">
        <v>4</v>
      </c>
    </row>
    <row r="157" spans="1:11" x14ac:dyDescent="0.35">
      <c r="A157" s="13">
        <v>43220</v>
      </c>
      <c r="B157" s="8">
        <v>27</v>
      </c>
      <c r="C157" s="8">
        <v>23.2</v>
      </c>
      <c r="D157" s="8">
        <v>34.9</v>
      </c>
      <c r="E157" s="8">
        <v>0.3</v>
      </c>
      <c r="F157" s="8" t="s">
        <v>30</v>
      </c>
      <c r="G157" s="8" t="s">
        <v>30</v>
      </c>
      <c r="H157" s="8" t="s">
        <v>30</v>
      </c>
      <c r="I157" s="8" t="s">
        <v>30</v>
      </c>
      <c r="J157" s="8">
        <v>2018</v>
      </c>
      <c r="K157" s="8">
        <v>4</v>
      </c>
    </row>
    <row r="158" spans="1:11" x14ac:dyDescent="0.35">
      <c r="A158" s="13">
        <v>43221</v>
      </c>
      <c r="B158" s="8">
        <v>26.9</v>
      </c>
      <c r="C158" s="8">
        <v>21.4</v>
      </c>
      <c r="D158" s="8">
        <v>35.200000000000003</v>
      </c>
      <c r="E158" s="8">
        <v>5.6</v>
      </c>
      <c r="F158" s="8" t="s">
        <v>30</v>
      </c>
      <c r="G158" s="8" t="s">
        <v>30</v>
      </c>
      <c r="H158" s="8" t="s">
        <v>30</v>
      </c>
      <c r="I158" s="8" t="s">
        <v>30</v>
      </c>
      <c r="J158" s="8">
        <v>2018</v>
      </c>
      <c r="K158" s="8">
        <v>5</v>
      </c>
    </row>
    <row r="159" spans="1:11" x14ac:dyDescent="0.35">
      <c r="A159" s="13">
        <v>43222</v>
      </c>
      <c r="B159" s="8">
        <v>26.5</v>
      </c>
      <c r="C159" s="8">
        <v>23.3</v>
      </c>
      <c r="D159" s="8">
        <v>33</v>
      </c>
      <c r="E159" s="8">
        <v>0</v>
      </c>
      <c r="F159" s="8" t="s">
        <v>30</v>
      </c>
      <c r="G159" s="8" t="s">
        <v>30</v>
      </c>
      <c r="H159" s="8" t="s">
        <v>30</v>
      </c>
      <c r="I159" s="8" t="s">
        <v>30</v>
      </c>
      <c r="J159" s="8">
        <v>2018</v>
      </c>
      <c r="K159" s="8">
        <v>5</v>
      </c>
    </row>
    <row r="160" spans="1:11" x14ac:dyDescent="0.35">
      <c r="A160" s="13">
        <v>43223</v>
      </c>
      <c r="B160" s="8">
        <v>25.9</v>
      </c>
      <c r="C160" s="8">
        <v>18.899999999999999</v>
      </c>
      <c r="D160" s="8">
        <v>34</v>
      </c>
      <c r="E160" s="8">
        <v>0.8</v>
      </c>
      <c r="F160" s="8" t="s">
        <v>30</v>
      </c>
      <c r="G160" s="8" t="s">
        <v>30</v>
      </c>
      <c r="H160" s="8" t="s">
        <v>30</v>
      </c>
      <c r="I160" s="8" t="s">
        <v>30</v>
      </c>
      <c r="J160" s="8">
        <v>2018</v>
      </c>
      <c r="K160" s="8">
        <v>5</v>
      </c>
    </row>
    <row r="161" spans="1:11" x14ac:dyDescent="0.35">
      <c r="A161" s="13">
        <v>43225</v>
      </c>
      <c r="B161" s="8">
        <v>27</v>
      </c>
      <c r="C161" s="8">
        <v>23.1</v>
      </c>
      <c r="D161" s="8">
        <v>32</v>
      </c>
      <c r="E161" s="8">
        <v>0</v>
      </c>
      <c r="F161" s="8" t="s">
        <v>30</v>
      </c>
      <c r="G161" s="8" t="s">
        <v>30</v>
      </c>
      <c r="H161" s="8" t="s">
        <v>30</v>
      </c>
      <c r="I161" s="8" t="s">
        <v>30</v>
      </c>
      <c r="J161" s="8">
        <v>2018</v>
      </c>
      <c r="K161" s="8">
        <v>5</v>
      </c>
    </row>
    <row r="162" spans="1:11" x14ac:dyDescent="0.35">
      <c r="A162" s="13">
        <v>43229</v>
      </c>
      <c r="B162" s="8">
        <v>27.2</v>
      </c>
      <c r="C162" s="8">
        <v>21.8</v>
      </c>
      <c r="D162" s="8">
        <v>32.799999999999997</v>
      </c>
      <c r="E162" s="8">
        <v>0</v>
      </c>
      <c r="F162" s="8" t="s">
        <v>30</v>
      </c>
      <c r="G162" s="8" t="s">
        <v>30</v>
      </c>
      <c r="H162" s="8" t="s">
        <v>30</v>
      </c>
      <c r="I162" s="8" t="s">
        <v>30</v>
      </c>
      <c r="J162" s="8">
        <v>2018</v>
      </c>
      <c r="K162" s="8">
        <v>5</v>
      </c>
    </row>
    <row r="163" spans="1:11" x14ac:dyDescent="0.35">
      <c r="A163" s="13">
        <v>43233</v>
      </c>
      <c r="B163" s="8">
        <v>24.9</v>
      </c>
      <c r="C163" s="8">
        <v>20.8</v>
      </c>
      <c r="D163" s="8">
        <v>32</v>
      </c>
      <c r="E163" s="8">
        <v>0</v>
      </c>
      <c r="F163" s="8" t="s">
        <v>30</v>
      </c>
      <c r="G163" s="8" t="s">
        <v>30</v>
      </c>
      <c r="H163" s="8" t="s">
        <v>30</v>
      </c>
      <c r="I163" s="8" t="s">
        <v>30</v>
      </c>
      <c r="J163" s="8">
        <v>2018</v>
      </c>
      <c r="K163" s="8">
        <v>5</v>
      </c>
    </row>
    <row r="164" spans="1:11" x14ac:dyDescent="0.35">
      <c r="A164" s="13">
        <v>43236</v>
      </c>
      <c r="B164" s="8">
        <v>26.2</v>
      </c>
      <c r="C164" s="8">
        <v>20.7</v>
      </c>
      <c r="D164" s="8">
        <v>32.4</v>
      </c>
      <c r="E164" s="8">
        <v>4.3</v>
      </c>
      <c r="F164" s="8" t="s">
        <v>30</v>
      </c>
      <c r="G164" s="8" t="s">
        <v>30</v>
      </c>
      <c r="H164" s="8" t="s">
        <v>30</v>
      </c>
      <c r="I164" s="8" t="s">
        <v>30</v>
      </c>
      <c r="J164" s="8">
        <v>2018</v>
      </c>
      <c r="K164" s="8">
        <v>5</v>
      </c>
    </row>
    <row r="165" spans="1:11" x14ac:dyDescent="0.35">
      <c r="A165" s="13">
        <v>43237</v>
      </c>
      <c r="B165" s="8">
        <v>26.7</v>
      </c>
      <c r="C165" s="8">
        <v>21.9</v>
      </c>
      <c r="D165" s="8">
        <v>31</v>
      </c>
      <c r="E165" s="8">
        <v>0</v>
      </c>
      <c r="F165" s="8" t="s">
        <v>30</v>
      </c>
      <c r="G165" s="8" t="s">
        <v>30</v>
      </c>
      <c r="H165" s="8" t="s">
        <v>30</v>
      </c>
      <c r="I165" s="8" t="s">
        <v>30</v>
      </c>
      <c r="J165" s="8">
        <v>2018</v>
      </c>
      <c r="K165" s="8">
        <v>5</v>
      </c>
    </row>
    <row r="166" spans="1:11" x14ac:dyDescent="0.35">
      <c r="A166" s="13">
        <v>43240</v>
      </c>
      <c r="B166" s="8">
        <v>25.2</v>
      </c>
      <c r="C166" s="8">
        <v>20.5</v>
      </c>
      <c r="D166" s="8">
        <v>32.4</v>
      </c>
      <c r="E166" s="8">
        <v>8.6</v>
      </c>
      <c r="F166" s="8" t="s">
        <v>30</v>
      </c>
      <c r="G166" s="8" t="s">
        <v>30</v>
      </c>
      <c r="H166" s="8" t="s">
        <v>30</v>
      </c>
      <c r="I166" s="8" t="s">
        <v>30</v>
      </c>
      <c r="J166" s="8">
        <v>2018</v>
      </c>
      <c r="K166" s="8">
        <v>5</v>
      </c>
    </row>
    <row r="167" spans="1:11" x14ac:dyDescent="0.35">
      <c r="A167" s="13">
        <v>43241</v>
      </c>
      <c r="B167" s="8">
        <v>24</v>
      </c>
      <c r="C167" s="8">
        <v>21.6</v>
      </c>
      <c r="D167" s="8">
        <v>32.4</v>
      </c>
      <c r="E167" s="8">
        <v>0</v>
      </c>
      <c r="F167" s="8" t="s">
        <v>30</v>
      </c>
      <c r="G167" s="8" t="s">
        <v>30</v>
      </c>
      <c r="H167" s="8" t="s">
        <v>30</v>
      </c>
      <c r="I167" s="8" t="s">
        <v>30</v>
      </c>
      <c r="J167" s="8">
        <v>2018</v>
      </c>
      <c r="K167" s="8">
        <v>5</v>
      </c>
    </row>
    <row r="168" spans="1:11" x14ac:dyDescent="0.35">
      <c r="A168" s="13">
        <v>43242</v>
      </c>
      <c r="B168" s="8">
        <v>26.3</v>
      </c>
      <c r="C168" s="8">
        <v>20.5</v>
      </c>
      <c r="D168" s="8">
        <v>31.8</v>
      </c>
      <c r="E168" s="8">
        <v>9.4</v>
      </c>
      <c r="F168" s="8" t="s">
        <v>30</v>
      </c>
      <c r="G168" s="8" t="s">
        <v>30</v>
      </c>
      <c r="H168" s="8" t="s">
        <v>30</v>
      </c>
      <c r="I168" s="8" t="s">
        <v>30</v>
      </c>
      <c r="J168" s="8">
        <v>2018</v>
      </c>
      <c r="K168" s="8">
        <v>5</v>
      </c>
    </row>
    <row r="169" spans="1:11" x14ac:dyDescent="0.35">
      <c r="A169" s="13">
        <v>43247</v>
      </c>
      <c r="B169" s="8">
        <v>26</v>
      </c>
      <c r="C169" s="8">
        <v>22.2</v>
      </c>
      <c r="D169" s="8">
        <v>30.8</v>
      </c>
      <c r="E169" s="8">
        <v>0</v>
      </c>
      <c r="F169" s="8" t="s">
        <v>30</v>
      </c>
      <c r="G169" s="8" t="s">
        <v>30</v>
      </c>
      <c r="H169" s="8" t="s">
        <v>30</v>
      </c>
      <c r="I169" s="8" t="s">
        <v>30</v>
      </c>
      <c r="J169" s="8">
        <v>2018</v>
      </c>
      <c r="K169" s="8">
        <v>5</v>
      </c>
    </row>
    <row r="170" spans="1:11" x14ac:dyDescent="0.35">
      <c r="A170" s="13">
        <v>43248</v>
      </c>
      <c r="B170" s="8">
        <v>26.3</v>
      </c>
      <c r="C170" s="8">
        <v>22.3</v>
      </c>
      <c r="D170" s="8">
        <v>32</v>
      </c>
      <c r="E170" s="8">
        <v>0</v>
      </c>
      <c r="F170" s="8" t="s">
        <v>30</v>
      </c>
      <c r="G170" s="8" t="s">
        <v>30</v>
      </c>
      <c r="H170" s="8" t="s">
        <v>30</v>
      </c>
      <c r="I170" s="8" t="s">
        <v>30</v>
      </c>
      <c r="J170" s="8">
        <v>2018</v>
      </c>
      <c r="K170" s="8">
        <v>5</v>
      </c>
    </row>
    <row r="171" spans="1:11" x14ac:dyDescent="0.35">
      <c r="A171" s="13">
        <v>43250</v>
      </c>
      <c r="B171" s="8">
        <v>24.5</v>
      </c>
      <c r="C171" s="8">
        <v>20.9</v>
      </c>
      <c r="D171" s="8">
        <v>30.5</v>
      </c>
      <c r="E171" s="8">
        <v>0</v>
      </c>
      <c r="F171" s="8" t="s">
        <v>30</v>
      </c>
      <c r="G171" s="8" t="s">
        <v>30</v>
      </c>
      <c r="H171" s="8" t="s">
        <v>30</v>
      </c>
      <c r="I171" s="8" t="s">
        <v>30</v>
      </c>
      <c r="J171" s="8">
        <v>2018</v>
      </c>
      <c r="K171" s="8">
        <v>5</v>
      </c>
    </row>
    <row r="172" spans="1:11" x14ac:dyDescent="0.35">
      <c r="A172" s="13">
        <v>43252</v>
      </c>
      <c r="B172" s="8">
        <v>24.4</v>
      </c>
      <c r="C172" s="8">
        <v>21.9</v>
      </c>
      <c r="D172" s="8">
        <v>30.3</v>
      </c>
      <c r="E172" s="8">
        <v>0</v>
      </c>
      <c r="F172" s="8" t="s">
        <v>30</v>
      </c>
      <c r="G172" s="8" t="s">
        <v>30</v>
      </c>
      <c r="H172" s="8" t="s">
        <v>30</v>
      </c>
      <c r="I172" s="8" t="s">
        <v>30</v>
      </c>
      <c r="J172" s="8">
        <v>2018</v>
      </c>
      <c r="K172" s="8">
        <v>6</v>
      </c>
    </row>
    <row r="173" spans="1:11" x14ac:dyDescent="0.35">
      <c r="A173" s="13">
        <v>43253</v>
      </c>
      <c r="B173" s="8">
        <v>23.8</v>
      </c>
      <c r="C173" s="8">
        <v>20.9</v>
      </c>
      <c r="D173" s="8">
        <v>31</v>
      </c>
      <c r="E173" s="8">
        <v>1.5</v>
      </c>
      <c r="F173" s="8" t="s">
        <v>30</v>
      </c>
      <c r="G173" s="8" t="s">
        <v>30</v>
      </c>
      <c r="H173" s="8" t="s">
        <v>30</v>
      </c>
      <c r="I173" s="8" t="s">
        <v>30</v>
      </c>
      <c r="J173" s="8">
        <v>2018</v>
      </c>
      <c r="K173" s="8">
        <v>6</v>
      </c>
    </row>
    <row r="174" spans="1:11" x14ac:dyDescent="0.35">
      <c r="A174" s="13">
        <v>43254</v>
      </c>
      <c r="B174" s="8">
        <v>23.7</v>
      </c>
      <c r="C174" s="8">
        <v>20.8</v>
      </c>
      <c r="D174" s="8">
        <v>30.3</v>
      </c>
      <c r="E174" s="8">
        <v>1.8</v>
      </c>
      <c r="F174" s="8" t="s">
        <v>30</v>
      </c>
      <c r="G174" s="8" t="s">
        <v>30</v>
      </c>
      <c r="H174" s="8" t="s">
        <v>30</v>
      </c>
      <c r="I174" s="8" t="s">
        <v>30</v>
      </c>
      <c r="J174" s="8">
        <v>2018</v>
      </c>
      <c r="K174" s="8">
        <v>6</v>
      </c>
    </row>
    <row r="175" spans="1:11" x14ac:dyDescent="0.35">
      <c r="A175" s="13">
        <v>43255</v>
      </c>
      <c r="B175" s="8">
        <v>23.8</v>
      </c>
      <c r="C175" s="8">
        <v>21</v>
      </c>
      <c r="D175" s="8">
        <v>30.4</v>
      </c>
      <c r="E175" s="8">
        <v>6.1</v>
      </c>
      <c r="F175" s="8" t="s">
        <v>30</v>
      </c>
      <c r="G175" s="8" t="s">
        <v>30</v>
      </c>
      <c r="H175" s="8" t="s">
        <v>30</v>
      </c>
      <c r="I175" s="8" t="s">
        <v>30</v>
      </c>
      <c r="J175" s="8">
        <v>2018</v>
      </c>
      <c r="K175" s="8">
        <v>6</v>
      </c>
    </row>
    <row r="176" spans="1:11" x14ac:dyDescent="0.35">
      <c r="A176" s="13">
        <v>43256</v>
      </c>
      <c r="B176" s="8">
        <v>24.8</v>
      </c>
      <c r="C176" s="8">
        <v>21.2</v>
      </c>
      <c r="D176" s="8">
        <v>30</v>
      </c>
      <c r="E176" s="8">
        <v>0</v>
      </c>
      <c r="F176" s="8" t="s">
        <v>30</v>
      </c>
      <c r="G176" s="8" t="s">
        <v>30</v>
      </c>
      <c r="H176" s="8" t="s">
        <v>30</v>
      </c>
      <c r="I176" s="8" t="s">
        <v>30</v>
      </c>
      <c r="J176" s="8">
        <v>2018</v>
      </c>
      <c r="K176" s="8">
        <v>6</v>
      </c>
    </row>
    <row r="177" spans="1:11" x14ac:dyDescent="0.35">
      <c r="A177" s="13">
        <v>43257</v>
      </c>
      <c r="B177" s="8">
        <v>25.6</v>
      </c>
      <c r="C177" s="8">
        <v>21.9</v>
      </c>
      <c r="D177" s="8">
        <v>29.7</v>
      </c>
      <c r="E177" s="8">
        <v>0</v>
      </c>
      <c r="F177" s="8" t="s">
        <v>30</v>
      </c>
      <c r="G177" s="8" t="s">
        <v>30</v>
      </c>
      <c r="H177" s="8" t="s">
        <v>30</v>
      </c>
      <c r="I177" s="8" t="s">
        <v>30</v>
      </c>
      <c r="J177" s="8">
        <v>2018</v>
      </c>
      <c r="K177" s="8">
        <v>6</v>
      </c>
    </row>
    <row r="178" spans="1:11" x14ac:dyDescent="0.35">
      <c r="A178" s="13">
        <v>43258</v>
      </c>
      <c r="B178" s="8">
        <v>23.9</v>
      </c>
      <c r="C178" s="8">
        <v>21.7</v>
      </c>
      <c r="D178" s="8">
        <v>30.1</v>
      </c>
      <c r="E178" s="8">
        <v>0</v>
      </c>
      <c r="F178" s="8" t="s">
        <v>30</v>
      </c>
      <c r="G178" s="8" t="s">
        <v>30</v>
      </c>
      <c r="H178" s="8" t="s">
        <v>30</v>
      </c>
      <c r="I178" s="8" t="s">
        <v>30</v>
      </c>
      <c r="J178" s="8">
        <v>2018</v>
      </c>
      <c r="K178" s="8">
        <v>6</v>
      </c>
    </row>
    <row r="179" spans="1:11" x14ac:dyDescent="0.35">
      <c r="A179" s="13">
        <v>43259</v>
      </c>
      <c r="B179" s="8">
        <v>23.3</v>
      </c>
      <c r="C179" s="8">
        <v>21</v>
      </c>
      <c r="D179" s="8">
        <v>29</v>
      </c>
      <c r="E179" s="8">
        <v>0</v>
      </c>
      <c r="F179" s="8" t="s">
        <v>30</v>
      </c>
      <c r="G179" s="8" t="s">
        <v>30</v>
      </c>
      <c r="H179" s="8" t="s">
        <v>30</v>
      </c>
      <c r="I179" s="8" t="s">
        <v>30</v>
      </c>
      <c r="J179" s="8">
        <v>2018</v>
      </c>
      <c r="K179" s="8">
        <v>6</v>
      </c>
    </row>
    <row r="180" spans="1:11" x14ac:dyDescent="0.35">
      <c r="A180" s="13">
        <v>43260</v>
      </c>
      <c r="B180" s="8">
        <v>22</v>
      </c>
      <c r="C180" s="8">
        <v>20.7</v>
      </c>
      <c r="D180" s="8">
        <v>25.8</v>
      </c>
      <c r="E180" s="8">
        <v>3.8</v>
      </c>
      <c r="F180" s="8" t="s">
        <v>30</v>
      </c>
      <c r="G180" s="8" t="s">
        <v>30</v>
      </c>
      <c r="H180" s="8" t="s">
        <v>30</v>
      </c>
      <c r="I180" s="8" t="s">
        <v>30</v>
      </c>
      <c r="J180" s="8">
        <v>2018</v>
      </c>
      <c r="K180" s="8">
        <v>6</v>
      </c>
    </row>
    <row r="181" spans="1:11" x14ac:dyDescent="0.35">
      <c r="A181" s="13">
        <v>43261</v>
      </c>
      <c r="B181" s="8">
        <v>22.7</v>
      </c>
      <c r="C181" s="8">
        <v>20.5</v>
      </c>
      <c r="D181" s="8">
        <v>27</v>
      </c>
      <c r="E181" s="8">
        <v>1.3</v>
      </c>
      <c r="F181" s="8" t="s">
        <v>30</v>
      </c>
      <c r="G181" s="8" t="s">
        <v>30</v>
      </c>
      <c r="H181" s="8" t="s">
        <v>30</v>
      </c>
      <c r="I181" s="8" t="s">
        <v>30</v>
      </c>
      <c r="J181" s="8">
        <v>2018</v>
      </c>
      <c r="K181" s="8">
        <v>6</v>
      </c>
    </row>
    <row r="182" spans="1:11" x14ac:dyDescent="0.35">
      <c r="A182" s="13">
        <v>43262</v>
      </c>
      <c r="B182" s="8">
        <v>23.7</v>
      </c>
      <c r="C182" s="8">
        <v>21</v>
      </c>
      <c r="D182" s="8">
        <v>26.9</v>
      </c>
      <c r="E182" s="8">
        <v>2</v>
      </c>
      <c r="F182" s="8" t="s">
        <v>30</v>
      </c>
      <c r="G182" s="8" t="s">
        <v>30</v>
      </c>
      <c r="H182" s="8" t="s">
        <v>30</v>
      </c>
      <c r="I182" s="8" t="s">
        <v>30</v>
      </c>
      <c r="J182" s="8">
        <v>2018</v>
      </c>
      <c r="K182" s="8">
        <v>6</v>
      </c>
    </row>
    <row r="183" spans="1:11" x14ac:dyDescent="0.35">
      <c r="A183" s="13">
        <v>43265</v>
      </c>
      <c r="B183" s="8">
        <v>23.2</v>
      </c>
      <c r="C183" s="8">
        <v>21</v>
      </c>
      <c r="D183" s="8">
        <v>27.9</v>
      </c>
      <c r="E183" s="8">
        <v>0</v>
      </c>
      <c r="F183" s="8" t="s">
        <v>30</v>
      </c>
      <c r="G183" s="8" t="s">
        <v>30</v>
      </c>
      <c r="H183" s="8" t="s">
        <v>30</v>
      </c>
      <c r="I183" s="8" t="s">
        <v>30</v>
      </c>
      <c r="J183" s="8">
        <v>2018</v>
      </c>
      <c r="K183" s="8">
        <v>6</v>
      </c>
    </row>
    <row r="184" spans="1:11" x14ac:dyDescent="0.35">
      <c r="A184" s="13">
        <v>43266</v>
      </c>
      <c r="B184" s="8">
        <v>23.8</v>
      </c>
      <c r="C184" s="8">
        <v>20.5</v>
      </c>
      <c r="D184" s="8">
        <v>31.2</v>
      </c>
      <c r="E184" s="8">
        <v>3</v>
      </c>
      <c r="F184" s="8" t="s">
        <v>30</v>
      </c>
      <c r="G184" s="8" t="s">
        <v>30</v>
      </c>
      <c r="H184" s="8" t="s">
        <v>30</v>
      </c>
      <c r="I184" s="8" t="s">
        <v>30</v>
      </c>
      <c r="J184" s="8">
        <v>2018</v>
      </c>
      <c r="K184" s="8">
        <v>6</v>
      </c>
    </row>
    <row r="185" spans="1:11" x14ac:dyDescent="0.35">
      <c r="A185" s="13">
        <v>43267</v>
      </c>
      <c r="B185" s="8">
        <v>24.1</v>
      </c>
      <c r="C185" s="8">
        <v>20.100000000000001</v>
      </c>
      <c r="D185" s="8">
        <v>31</v>
      </c>
      <c r="E185" s="8">
        <v>5.6</v>
      </c>
      <c r="F185" s="8" t="s">
        <v>30</v>
      </c>
      <c r="G185" s="8" t="s">
        <v>30</v>
      </c>
      <c r="H185" s="8" t="s">
        <v>30</v>
      </c>
      <c r="I185" s="8" t="s">
        <v>30</v>
      </c>
      <c r="J185" s="8">
        <v>2018</v>
      </c>
      <c r="K185" s="8">
        <v>6</v>
      </c>
    </row>
    <row r="186" spans="1:11" x14ac:dyDescent="0.35">
      <c r="A186" s="13">
        <v>43268</v>
      </c>
      <c r="B186" s="8">
        <v>23.6</v>
      </c>
      <c r="C186" s="8">
        <v>20.9</v>
      </c>
      <c r="D186" s="8">
        <v>30</v>
      </c>
      <c r="E186" s="8">
        <v>0</v>
      </c>
      <c r="F186" s="8" t="s">
        <v>30</v>
      </c>
      <c r="G186" s="8" t="s">
        <v>30</v>
      </c>
      <c r="H186" s="8" t="s">
        <v>30</v>
      </c>
      <c r="I186" s="8" t="s">
        <v>30</v>
      </c>
      <c r="J186" s="8">
        <v>2018</v>
      </c>
      <c r="K186" s="8">
        <v>6</v>
      </c>
    </row>
    <row r="187" spans="1:11" x14ac:dyDescent="0.35">
      <c r="A187" s="13">
        <v>43270</v>
      </c>
      <c r="B187" s="8">
        <v>23.8</v>
      </c>
      <c r="C187" s="8">
        <v>20.100000000000001</v>
      </c>
      <c r="D187" s="8">
        <v>28.9</v>
      </c>
      <c r="E187" s="8">
        <v>7.1</v>
      </c>
      <c r="F187" s="8" t="s">
        <v>30</v>
      </c>
      <c r="G187" s="8" t="s">
        <v>30</v>
      </c>
      <c r="H187" s="8" t="s">
        <v>30</v>
      </c>
      <c r="I187" s="8" t="s">
        <v>30</v>
      </c>
      <c r="J187" s="8">
        <v>2018</v>
      </c>
      <c r="K187" s="8">
        <v>6</v>
      </c>
    </row>
    <row r="188" spans="1:11" x14ac:dyDescent="0.35">
      <c r="A188" s="13">
        <v>43271</v>
      </c>
      <c r="B188" s="8">
        <v>23.4</v>
      </c>
      <c r="C188" s="8">
        <v>20.7</v>
      </c>
      <c r="D188" s="8">
        <v>29.1</v>
      </c>
      <c r="E188" s="8">
        <v>0</v>
      </c>
      <c r="F188" s="8" t="s">
        <v>30</v>
      </c>
      <c r="G188" s="8" t="s">
        <v>30</v>
      </c>
      <c r="H188" s="8" t="s">
        <v>30</v>
      </c>
      <c r="I188" s="8" t="s">
        <v>30</v>
      </c>
      <c r="J188" s="8">
        <v>2018</v>
      </c>
      <c r="K188" s="8">
        <v>6</v>
      </c>
    </row>
    <row r="189" spans="1:11" x14ac:dyDescent="0.35">
      <c r="A189" s="13">
        <v>43273</v>
      </c>
      <c r="B189" s="8">
        <v>23.2</v>
      </c>
      <c r="C189" s="8">
        <v>19.7</v>
      </c>
      <c r="D189" s="8">
        <v>28</v>
      </c>
      <c r="E189" s="8">
        <v>0</v>
      </c>
      <c r="F189" s="8" t="s">
        <v>30</v>
      </c>
      <c r="G189" s="8" t="s">
        <v>30</v>
      </c>
      <c r="H189" s="8" t="s">
        <v>30</v>
      </c>
      <c r="I189" s="8" t="s">
        <v>30</v>
      </c>
      <c r="J189" s="8">
        <v>2018</v>
      </c>
      <c r="K189" s="8">
        <v>6</v>
      </c>
    </row>
    <row r="190" spans="1:11" x14ac:dyDescent="0.35">
      <c r="A190" s="13">
        <v>43274</v>
      </c>
      <c r="B190" s="8">
        <v>22.5</v>
      </c>
      <c r="C190" s="8">
        <v>20.3</v>
      </c>
      <c r="D190" s="8">
        <v>28</v>
      </c>
      <c r="E190" s="8">
        <v>1</v>
      </c>
      <c r="F190" s="8" t="s">
        <v>30</v>
      </c>
      <c r="G190" s="8" t="s">
        <v>30</v>
      </c>
      <c r="H190" s="8" t="s">
        <v>30</v>
      </c>
      <c r="I190" s="8" t="s">
        <v>30</v>
      </c>
      <c r="J190" s="8">
        <v>2018</v>
      </c>
      <c r="K190" s="8">
        <v>6</v>
      </c>
    </row>
    <row r="191" spans="1:11" x14ac:dyDescent="0.35">
      <c r="A191" s="13">
        <v>43276</v>
      </c>
      <c r="B191" s="8">
        <v>23.5</v>
      </c>
      <c r="C191" s="8">
        <v>20.100000000000001</v>
      </c>
      <c r="D191" s="8">
        <v>27.8</v>
      </c>
      <c r="E191" s="8">
        <v>0</v>
      </c>
      <c r="F191" s="8" t="s">
        <v>30</v>
      </c>
      <c r="G191" s="8" t="s">
        <v>30</v>
      </c>
      <c r="H191" s="8" t="s">
        <v>30</v>
      </c>
      <c r="I191" s="8" t="s">
        <v>30</v>
      </c>
      <c r="J191" s="8">
        <v>2018</v>
      </c>
      <c r="K191" s="8">
        <v>6</v>
      </c>
    </row>
    <row r="192" spans="1:11" x14ac:dyDescent="0.35">
      <c r="A192" s="13">
        <v>43277</v>
      </c>
      <c r="B192" s="8">
        <v>23.1</v>
      </c>
      <c r="C192" s="8">
        <v>20.2</v>
      </c>
      <c r="D192" s="8">
        <v>28.1</v>
      </c>
      <c r="E192" s="8">
        <v>0</v>
      </c>
      <c r="F192" s="8" t="s">
        <v>30</v>
      </c>
      <c r="G192" s="8" t="s">
        <v>30</v>
      </c>
      <c r="H192" s="8" t="s">
        <v>30</v>
      </c>
      <c r="I192" s="8" t="s">
        <v>30</v>
      </c>
      <c r="J192" s="8">
        <v>2018</v>
      </c>
      <c r="K192" s="8">
        <v>6</v>
      </c>
    </row>
    <row r="193" spans="1:11" x14ac:dyDescent="0.35">
      <c r="A193" s="13">
        <v>43279</v>
      </c>
      <c r="B193" s="8">
        <v>22.4</v>
      </c>
      <c r="C193" s="8">
        <v>20</v>
      </c>
      <c r="D193" s="8">
        <v>26.2</v>
      </c>
      <c r="E193" s="8">
        <v>4.5999999999999996</v>
      </c>
      <c r="F193" s="8" t="s">
        <v>30</v>
      </c>
      <c r="G193" s="8" t="s">
        <v>30</v>
      </c>
      <c r="H193" s="8" t="s">
        <v>30</v>
      </c>
      <c r="I193" s="8" t="s">
        <v>30</v>
      </c>
      <c r="J193" s="8">
        <v>2018</v>
      </c>
      <c r="K193" s="8">
        <v>6</v>
      </c>
    </row>
    <row r="194" spans="1:11" x14ac:dyDescent="0.35">
      <c r="A194" s="13">
        <v>43280</v>
      </c>
      <c r="B194" s="8">
        <v>23.1</v>
      </c>
      <c r="C194" s="8">
        <v>20.100000000000001</v>
      </c>
      <c r="D194" s="8">
        <v>28.2</v>
      </c>
      <c r="E194" s="8">
        <v>0</v>
      </c>
      <c r="F194" s="8" t="s">
        <v>30</v>
      </c>
      <c r="G194" s="8" t="s">
        <v>30</v>
      </c>
      <c r="H194" s="8" t="s">
        <v>30</v>
      </c>
      <c r="I194" s="8" t="s">
        <v>30</v>
      </c>
      <c r="J194" s="8">
        <v>2018</v>
      </c>
      <c r="K194" s="8">
        <v>6</v>
      </c>
    </row>
    <row r="195" spans="1:11" x14ac:dyDescent="0.35">
      <c r="A195" s="13">
        <v>43281</v>
      </c>
      <c r="B195" s="8">
        <v>23.8</v>
      </c>
      <c r="C195" s="8">
        <v>19.5</v>
      </c>
      <c r="D195" s="8">
        <v>29.3</v>
      </c>
      <c r="E195" s="8">
        <v>0</v>
      </c>
      <c r="F195" s="8" t="s">
        <v>30</v>
      </c>
      <c r="G195" s="8" t="s">
        <v>30</v>
      </c>
      <c r="H195" s="8" t="s">
        <v>30</v>
      </c>
      <c r="I195" s="8" t="s">
        <v>30</v>
      </c>
      <c r="J195" s="8">
        <v>2018</v>
      </c>
      <c r="K195" s="8">
        <v>6</v>
      </c>
    </row>
    <row r="196" spans="1:11" x14ac:dyDescent="0.35">
      <c r="A196" s="13">
        <v>43282</v>
      </c>
      <c r="B196" s="8">
        <v>24.2</v>
      </c>
      <c r="C196" s="8">
        <v>20.6</v>
      </c>
      <c r="D196" s="8">
        <v>29.5</v>
      </c>
      <c r="E196" s="8">
        <v>0.5</v>
      </c>
      <c r="F196" s="8" t="s">
        <v>30</v>
      </c>
      <c r="G196" s="8" t="s">
        <v>30</v>
      </c>
      <c r="H196" s="8" t="s">
        <v>30</v>
      </c>
      <c r="I196" s="8" t="s">
        <v>30</v>
      </c>
      <c r="J196" s="8">
        <v>2018</v>
      </c>
      <c r="K196" s="8">
        <v>7</v>
      </c>
    </row>
    <row r="197" spans="1:11" x14ac:dyDescent="0.35">
      <c r="A197" s="13">
        <v>43283</v>
      </c>
      <c r="B197" s="8">
        <v>24.8</v>
      </c>
      <c r="C197" s="8">
        <v>20.9</v>
      </c>
      <c r="D197" s="8">
        <v>30.7</v>
      </c>
      <c r="E197" s="8">
        <v>0</v>
      </c>
      <c r="F197" s="8" t="s">
        <v>30</v>
      </c>
      <c r="G197" s="8" t="s">
        <v>30</v>
      </c>
      <c r="H197" s="8" t="s">
        <v>30</v>
      </c>
      <c r="I197" s="8" t="s">
        <v>30</v>
      </c>
      <c r="J197" s="8">
        <v>2018</v>
      </c>
      <c r="K197" s="8">
        <v>7</v>
      </c>
    </row>
    <row r="198" spans="1:11" x14ac:dyDescent="0.35">
      <c r="A198" s="13">
        <v>43284</v>
      </c>
      <c r="B198" s="8">
        <v>24.4</v>
      </c>
      <c r="C198" s="8">
        <v>20.7</v>
      </c>
      <c r="D198" s="8">
        <v>30.2</v>
      </c>
      <c r="E198" s="8">
        <v>0.5</v>
      </c>
      <c r="F198" s="8" t="s">
        <v>30</v>
      </c>
      <c r="G198" s="8" t="s">
        <v>30</v>
      </c>
      <c r="H198" s="8" t="s">
        <v>30</v>
      </c>
      <c r="I198" s="8" t="s">
        <v>30</v>
      </c>
      <c r="J198" s="8">
        <v>2018</v>
      </c>
      <c r="K198" s="8">
        <v>7</v>
      </c>
    </row>
    <row r="199" spans="1:11" x14ac:dyDescent="0.35">
      <c r="A199" s="13">
        <v>43285</v>
      </c>
      <c r="B199" s="8">
        <v>24.1</v>
      </c>
      <c r="C199" s="8">
        <v>20.5</v>
      </c>
      <c r="D199" s="8">
        <v>29</v>
      </c>
      <c r="E199" s="8">
        <v>0</v>
      </c>
      <c r="F199" s="8" t="s">
        <v>30</v>
      </c>
      <c r="G199" s="8" t="s">
        <v>30</v>
      </c>
      <c r="H199" s="8" t="s">
        <v>30</v>
      </c>
      <c r="I199" s="8" t="s">
        <v>30</v>
      </c>
      <c r="J199" s="8">
        <v>2018</v>
      </c>
      <c r="K199" s="8">
        <v>7</v>
      </c>
    </row>
    <row r="200" spans="1:11" x14ac:dyDescent="0.35">
      <c r="A200" s="13">
        <v>43288</v>
      </c>
      <c r="B200" s="8">
        <v>22.9</v>
      </c>
      <c r="C200" s="8">
        <v>20.5</v>
      </c>
      <c r="D200" s="8">
        <v>26.3</v>
      </c>
      <c r="E200" s="8">
        <v>0.3</v>
      </c>
      <c r="F200" s="8" t="s">
        <v>30</v>
      </c>
      <c r="G200" s="8" t="s">
        <v>30</v>
      </c>
      <c r="H200" s="8" t="s">
        <v>30</v>
      </c>
      <c r="I200" s="8" t="s">
        <v>30</v>
      </c>
      <c r="J200" s="8">
        <v>2018</v>
      </c>
      <c r="K200" s="8">
        <v>7</v>
      </c>
    </row>
    <row r="201" spans="1:11" x14ac:dyDescent="0.35">
      <c r="A201" s="13">
        <v>43289</v>
      </c>
      <c r="B201" s="8">
        <v>22.4</v>
      </c>
      <c r="C201" s="8">
        <v>20.3</v>
      </c>
      <c r="D201" s="8">
        <v>26.4</v>
      </c>
      <c r="E201" s="8">
        <v>0</v>
      </c>
      <c r="F201" s="8" t="s">
        <v>30</v>
      </c>
      <c r="G201" s="8" t="s">
        <v>30</v>
      </c>
      <c r="H201" s="8" t="s">
        <v>30</v>
      </c>
      <c r="I201" s="8" t="s">
        <v>30</v>
      </c>
      <c r="J201" s="8">
        <v>2018</v>
      </c>
      <c r="K201" s="8">
        <v>7</v>
      </c>
    </row>
    <row r="202" spans="1:11" x14ac:dyDescent="0.35">
      <c r="A202" s="13">
        <v>43290</v>
      </c>
      <c r="B202" s="8">
        <v>22.8</v>
      </c>
      <c r="C202" s="8">
        <v>20.7</v>
      </c>
      <c r="D202" s="8">
        <v>26.4</v>
      </c>
      <c r="E202" s="8">
        <v>1</v>
      </c>
      <c r="F202" s="8" t="s">
        <v>30</v>
      </c>
      <c r="G202" s="8" t="s">
        <v>30</v>
      </c>
      <c r="H202" s="8" t="s">
        <v>30</v>
      </c>
      <c r="I202" s="8" t="s">
        <v>30</v>
      </c>
      <c r="J202" s="8">
        <v>2018</v>
      </c>
      <c r="K202" s="8">
        <v>7</v>
      </c>
    </row>
    <row r="203" spans="1:11" x14ac:dyDescent="0.35">
      <c r="A203" s="13">
        <v>43291</v>
      </c>
      <c r="B203" s="8">
        <v>22.7</v>
      </c>
      <c r="C203" s="8">
        <v>20.6</v>
      </c>
      <c r="D203" s="8">
        <v>26.9</v>
      </c>
      <c r="E203" s="8">
        <v>2</v>
      </c>
      <c r="F203" s="8" t="s">
        <v>30</v>
      </c>
      <c r="G203" s="8" t="s">
        <v>30</v>
      </c>
      <c r="H203" s="8" t="s">
        <v>30</v>
      </c>
      <c r="I203" s="8" t="s">
        <v>30</v>
      </c>
      <c r="J203" s="8">
        <v>2018</v>
      </c>
      <c r="K203" s="8">
        <v>7</v>
      </c>
    </row>
    <row r="204" spans="1:11" x14ac:dyDescent="0.35">
      <c r="A204" s="13">
        <v>43293</v>
      </c>
      <c r="B204" s="8">
        <v>22.8</v>
      </c>
      <c r="C204" s="8">
        <v>20.100000000000001</v>
      </c>
      <c r="D204" s="8">
        <v>27.3</v>
      </c>
      <c r="E204" s="8">
        <v>4.3</v>
      </c>
      <c r="F204" s="8" t="s">
        <v>30</v>
      </c>
      <c r="G204" s="8" t="s">
        <v>30</v>
      </c>
      <c r="H204" s="8" t="s">
        <v>30</v>
      </c>
      <c r="I204" s="8" t="s">
        <v>30</v>
      </c>
      <c r="J204" s="8">
        <v>2018</v>
      </c>
      <c r="K204" s="8">
        <v>7</v>
      </c>
    </row>
    <row r="205" spans="1:11" x14ac:dyDescent="0.35">
      <c r="A205" s="13">
        <v>43294</v>
      </c>
      <c r="B205" s="8">
        <v>22.2</v>
      </c>
      <c r="C205" s="8">
        <v>20.5</v>
      </c>
      <c r="D205" s="8">
        <v>27.4</v>
      </c>
      <c r="E205" s="8">
        <v>0</v>
      </c>
      <c r="F205" s="8" t="s">
        <v>30</v>
      </c>
      <c r="G205" s="8" t="s">
        <v>30</v>
      </c>
      <c r="H205" s="8" t="s">
        <v>30</v>
      </c>
      <c r="I205" s="8" t="s">
        <v>30</v>
      </c>
      <c r="J205" s="8">
        <v>2018</v>
      </c>
      <c r="K205" s="8">
        <v>7</v>
      </c>
    </row>
    <row r="206" spans="1:11" x14ac:dyDescent="0.35">
      <c r="A206" s="13">
        <v>43295</v>
      </c>
      <c r="B206" s="8">
        <v>22.4</v>
      </c>
      <c r="C206" s="8">
        <v>20.3</v>
      </c>
      <c r="D206" s="8">
        <v>26.5</v>
      </c>
      <c r="E206" s="8">
        <v>4.5999999999999996</v>
      </c>
      <c r="F206" s="8" t="s">
        <v>30</v>
      </c>
      <c r="G206" s="8" t="s">
        <v>30</v>
      </c>
      <c r="H206" s="8" t="s">
        <v>30</v>
      </c>
      <c r="I206" s="8" t="s">
        <v>30</v>
      </c>
      <c r="J206" s="8">
        <v>2018</v>
      </c>
      <c r="K206" s="8">
        <v>7</v>
      </c>
    </row>
    <row r="207" spans="1:11" x14ac:dyDescent="0.35">
      <c r="A207" s="13">
        <v>43296</v>
      </c>
      <c r="B207" s="8">
        <v>23.6</v>
      </c>
      <c r="C207" s="8">
        <v>20.399999999999999</v>
      </c>
      <c r="D207" s="8">
        <v>28.2</v>
      </c>
      <c r="E207" s="8">
        <v>1.8</v>
      </c>
      <c r="F207" s="8" t="s">
        <v>30</v>
      </c>
      <c r="G207" s="8" t="s">
        <v>30</v>
      </c>
      <c r="H207" s="8" t="s">
        <v>30</v>
      </c>
      <c r="I207" s="8" t="s">
        <v>30</v>
      </c>
      <c r="J207" s="8">
        <v>2018</v>
      </c>
      <c r="K207" s="8">
        <v>7</v>
      </c>
    </row>
    <row r="208" spans="1:11" x14ac:dyDescent="0.35">
      <c r="A208" s="13">
        <v>43297</v>
      </c>
      <c r="B208" s="8">
        <v>22.2</v>
      </c>
      <c r="C208" s="8">
        <v>20.2</v>
      </c>
      <c r="D208" s="8">
        <v>28.4</v>
      </c>
      <c r="E208" s="8">
        <v>0</v>
      </c>
      <c r="F208" s="8" t="s">
        <v>30</v>
      </c>
      <c r="G208" s="8" t="s">
        <v>30</v>
      </c>
      <c r="H208" s="8" t="s">
        <v>30</v>
      </c>
      <c r="I208" s="8" t="s">
        <v>30</v>
      </c>
      <c r="J208" s="8">
        <v>2018</v>
      </c>
      <c r="K208" s="8">
        <v>7</v>
      </c>
    </row>
    <row r="209" spans="1:11" x14ac:dyDescent="0.35">
      <c r="A209" s="13">
        <v>43298</v>
      </c>
      <c r="B209" s="8">
        <v>22.5</v>
      </c>
      <c r="C209" s="8">
        <v>19.2</v>
      </c>
      <c r="D209" s="8">
        <v>26.2</v>
      </c>
      <c r="E209" s="8">
        <v>1.5</v>
      </c>
      <c r="F209" s="8" t="s">
        <v>30</v>
      </c>
      <c r="G209" s="8" t="s">
        <v>30</v>
      </c>
      <c r="H209" s="8" t="s">
        <v>30</v>
      </c>
      <c r="I209" s="8" t="s">
        <v>30</v>
      </c>
      <c r="J209" s="8">
        <v>2018</v>
      </c>
      <c r="K209" s="8">
        <v>7</v>
      </c>
    </row>
    <row r="210" spans="1:11" x14ac:dyDescent="0.35">
      <c r="A210" s="13">
        <v>43299</v>
      </c>
      <c r="B210" s="8">
        <v>23.8</v>
      </c>
      <c r="C210" s="8">
        <v>19.7</v>
      </c>
      <c r="D210" s="8">
        <v>29.2</v>
      </c>
      <c r="E210" s="8">
        <v>0</v>
      </c>
      <c r="F210" s="8" t="s">
        <v>30</v>
      </c>
      <c r="G210" s="8" t="s">
        <v>30</v>
      </c>
      <c r="H210" s="8" t="s">
        <v>30</v>
      </c>
      <c r="I210" s="8" t="s">
        <v>30</v>
      </c>
      <c r="J210" s="8">
        <v>2018</v>
      </c>
      <c r="K210" s="8">
        <v>7</v>
      </c>
    </row>
    <row r="211" spans="1:11" x14ac:dyDescent="0.35">
      <c r="A211" s="13">
        <v>43301</v>
      </c>
      <c r="B211" s="8">
        <v>23</v>
      </c>
      <c r="C211" s="8">
        <v>20.399999999999999</v>
      </c>
      <c r="D211" s="8">
        <v>27</v>
      </c>
      <c r="E211" s="8">
        <v>0</v>
      </c>
      <c r="F211" s="8" t="s">
        <v>30</v>
      </c>
      <c r="G211" s="8" t="s">
        <v>30</v>
      </c>
      <c r="H211" s="8" t="s">
        <v>30</v>
      </c>
      <c r="I211" s="8" t="s">
        <v>30</v>
      </c>
      <c r="J211" s="8">
        <v>2018</v>
      </c>
      <c r="K211" s="8">
        <v>7</v>
      </c>
    </row>
    <row r="212" spans="1:11" x14ac:dyDescent="0.35">
      <c r="A212" s="13">
        <v>43302</v>
      </c>
      <c r="B212" s="8">
        <v>22.7</v>
      </c>
      <c r="C212" s="8">
        <v>20.3</v>
      </c>
      <c r="D212" s="8">
        <v>26.9</v>
      </c>
      <c r="E212" s="8">
        <v>0</v>
      </c>
      <c r="F212" s="8" t="s">
        <v>30</v>
      </c>
      <c r="G212" s="8" t="s">
        <v>30</v>
      </c>
      <c r="H212" s="8" t="s">
        <v>30</v>
      </c>
      <c r="I212" s="8" t="s">
        <v>30</v>
      </c>
      <c r="J212" s="8">
        <v>2018</v>
      </c>
      <c r="K212" s="8">
        <v>7</v>
      </c>
    </row>
    <row r="213" spans="1:11" x14ac:dyDescent="0.35">
      <c r="A213" s="13">
        <v>43303</v>
      </c>
      <c r="B213" s="8">
        <v>23.6</v>
      </c>
      <c r="C213" s="8">
        <v>20.3</v>
      </c>
      <c r="D213" s="8">
        <v>28.9</v>
      </c>
      <c r="E213" s="8">
        <v>0.3</v>
      </c>
      <c r="F213" s="8" t="s">
        <v>30</v>
      </c>
      <c r="G213" s="8" t="s">
        <v>30</v>
      </c>
      <c r="H213" s="8" t="s">
        <v>30</v>
      </c>
      <c r="I213" s="8" t="s">
        <v>30</v>
      </c>
      <c r="J213" s="8">
        <v>2018</v>
      </c>
      <c r="K213" s="8">
        <v>7</v>
      </c>
    </row>
    <row r="214" spans="1:11" x14ac:dyDescent="0.35">
      <c r="A214" s="13">
        <v>43304</v>
      </c>
      <c r="B214" s="8">
        <v>22.7</v>
      </c>
      <c r="C214" s="8">
        <v>20.2</v>
      </c>
      <c r="D214" s="8">
        <v>28.3</v>
      </c>
      <c r="E214" s="8">
        <v>0</v>
      </c>
      <c r="F214" s="8" t="s">
        <v>30</v>
      </c>
      <c r="G214" s="8" t="s">
        <v>30</v>
      </c>
      <c r="H214" s="8" t="s">
        <v>30</v>
      </c>
      <c r="I214" s="8" t="s">
        <v>30</v>
      </c>
      <c r="J214" s="8">
        <v>2018</v>
      </c>
      <c r="K214" s="8">
        <v>7</v>
      </c>
    </row>
    <row r="215" spans="1:11" x14ac:dyDescent="0.35">
      <c r="A215" s="13">
        <v>43306</v>
      </c>
      <c r="B215" s="8">
        <v>23.3</v>
      </c>
      <c r="C215" s="8">
        <v>20.2</v>
      </c>
      <c r="D215" s="8">
        <v>28.2</v>
      </c>
      <c r="E215" s="8">
        <v>2</v>
      </c>
      <c r="F215" s="8" t="s">
        <v>30</v>
      </c>
      <c r="G215" s="8" t="s">
        <v>30</v>
      </c>
      <c r="H215" s="8" t="s">
        <v>30</v>
      </c>
      <c r="I215" s="8" t="s">
        <v>30</v>
      </c>
      <c r="J215" s="8">
        <v>2018</v>
      </c>
      <c r="K215" s="8">
        <v>7</v>
      </c>
    </row>
    <row r="216" spans="1:11" x14ac:dyDescent="0.35">
      <c r="A216" s="13">
        <v>43307</v>
      </c>
      <c r="B216" s="8">
        <v>23.7</v>
      </c>
      <c r="C216" s="8">
        <v>20.6</v>
      </c>
      <c r="D216" s="8">
        <v>28.8</v>
      </c>
      <c r="E216" s="8">
        <v>0.8</v>
      </c>
      <c r="F216" s="8" t="s">
        <v>30</v>
      </c>
      <c r="G216" s="8" t="s">
        <v>30</v>
      </c>
      <c r="H216" s="8" t="s">
        <v>30</v>
      </c>
      <c r="I216" s="8" t="s">
        <v>30</v>
      </c>
      <c r="J216" s="8">
        <v>2018</v>
      </c>
      <c r="K216" s="8">
        <v>7</v>
      </c>
    </row>
    <row r="217" spans="1:11" x14ac:dyDescent="0.35">
      <c r="A217" s="13">
        <v>43308</v>
      </c>
      <c r="B217" s="8">
        <v>23.3</v>
      </c>
      <c r="C217" s="8">
        <v>20.5</v>
      </c>
      <c r="D217" s="8">
        <v>27.3</v>
      </c>
      <c r="E217" s="8">
        <v>0</v>
      </c>
      <c r="F217" s="8" t="s">
        <v>30</v>
      </c>
      <c r="G217" s="8" t="s">
        <v>30</v>
      </c>
      <c r="H217" s="8" t="s">
        <v>30</v>
      </c>
      <c r="I217" s="8" t="s">
        <v>30</v>
      </c>
      <c r="J217" s="8">
        <v>2018</v>
      </c>
      <c r="K217" s="8">
        <v>7</v>
      </c>
    </row>
    <row r="218" spans="1:11" x14ac:dyDescent="0.35">
      <c r="A218" s="13">
        <v>43309</v>
      </c>
      <c r="B218" s="8">
        <v>23.5</v>
      </c>
      <c r="C218" s="8">
        <v>20</v>
      </c>
      <c r="D218" s="8">
        <v>27.3</v>
      </c>
      <c r="E218" s="8">
        <v>0.3</v>
      </c>
      <c r="F218" s="8" t="s">
        <v>30</v>
      </c>
      <c r="G218" s="8" t="s">
        <v>30</v>
      </c>
      <c r="H218" s="8" t="s">
        <v>30</v>
      </c>
      <c r="I218" s="8" t="s">
        <v>30</v>
      </c>
      <c r="J218" s="8">
        <v>2018</v>
      </c>
      <c r="K218" s="8">
        <v>7</v>
      </c>
    </row>
    <row r="219" spans="1:11" x14ac:dyDescent="0.35">
      <c r="A219" s="13">
        <v>43311</v>
      </c>
      <c r="B219" s="8">
        <v>23.8</v>
      </c>
      <c r="C219" s="8">
        <v>20.5</v>
      </c>
      <c r="D219" s="8">
        <v>27.8</v>
      </c>
      <c r="E219" s="8">
        <v>0.5</v>
      </c>
      <c r="F219" s="8" t="s">
        <v>30</v>
      </c>
      <c r="G219" s="8" t="s">
        <v>30</v>
      </c>
      <c r="H219" s="8" t="s">
        <v>30</v>
      </c>
      <c r="I219" s="8" t="s">
        <v>30</v>
      </c>
      <c r="J219" s="8">
        <v>2018</v>
      </c>
      <c r="K219" s="8">
        <v>7</v>
      </c>
    </row>
    <row r="220" spans="1:11" x14ac:dyDescent="0.35">
      <c r="A220" s="13">
        <v>43312</v>
      </c>
      <c r="B220" s="8">
        <v>23.1</v>
      </c>
      <c r="C220" s="8">
        <v>20.3</v>
      </c>
      <c r="D220" s="8">
        <v>28.3</v>
      </c>
      <c r="E220" s="8">
        <v>4.8</v>
      </c>
      <c r="F220" s="8" t="s">
        <v>30</v>
      </c>
      <c r="G220" s="8" t="s">
        <v>30</v>
      </c>
      <c r="H220" s="8" t="s">
        <v>30</v>
      </c>
      <c r="I220" s="8" t="s">
        <v>30</v>
      </c>
      <c r="J220" s="8">
        <v>2018</v>
      </c>
      <c r="K220" s="8">
        <v>7</v>
      </c>
    </row>
    <row r="221" spans="1:11" x14ac:dyDescent="0.35">
      <c r="A221" s="13">
        <v>43313</v>
      </c>
      <c r="B221" s="8">
        <v>21.9</v>
      </c>
      <c r="C221" s="8">
        <v>19.399999999999999</v>
      </c>
      <c r="D221" s="8">
        <v>27.2</v>
      </c>
      <c r="E221" s="8">
        <v>5.3</v>
      </c>
      <c r="F221" s="8" t="s">
        <v>30</v>
      </c>
      <c r="G221" s="8" t="s">
        <v>30</v>
      </c>
      <c r="H221" s="8" t="s">
        <v>30</v>
      </c>
      <c r="I221" s="8" t="s">
        <v>30</v>
      </c>
      <c r="J221" s="8">
        <v>2018</v>
      </c>
      <c r="K221" s="8">
        <v>8</v>
      </c>
    </row>
    <row r="222" spans="1:11" x14ac:dyDescent="0.35">
      <c r="A222" s="13">
        <v>43315</v>
      </c>
      <c r="B222" s="8">
        <v>23.3</v>
      </c>
      <c r="C222" s="8">
        <v>20.8</v>
      </c>
      <c r="D222" s="8">
        <v>28.6</v>
      </c>
      <c r="E222" s="8">
        <v>0</v>
      </c>
      <c r="F222" s="8" t="s">
        <v>30</v>
      </c>
      <c r="G222" s="8" t="s">
        <v>30</v>
      </c>
      <c r="H222" s="8" t="s">
        <v>30</v>
      </c>
      <c r="I222" s="8" t="s">
        <v>30</v>
      </c>
      <c r="J222" s="8">
        <v>2018</v>
      </c>
      <c r="K222" s="8">
        <v>8</v>
      </c>
    </row>
    <row r="223" spans="1:11" x14ac:dyDescent="0.35">
      <c r="A223" s="13">
        <v>43316</v>
      </c>
      <c r="B223" s="8">
        <v>22.8</v>
      </c>
      <c r="C223" s="8">
        <v>20.100000000000001</v>
      </c>
      <c r="D223" s="8">
        <v>28.8</v>
      </c>
      <c r="E223" s="8">
        <v>2.5</v>
      </c>
      <c r="F223" s="8" t="s">
        <v>30</v>
      </c>
      <c r="G223" s="8" t="s">
        <v>30</v>
      </c>
      <c r="H223" s="8" t="s">
        <v>30</v>
      </c>
      <c r="I223" s="8" t="s">
        <v>30</v>
      </c>
      <c r="J223" s="8">
        <v>2018</v>
      </c>
      <c r="K223" s="8">
        <v>8</v>
      </c>
    </row>
    <row r="224" spans="1:11" x14ac:dyDescent="0.35">
      <c r="A224" s="13">
        <v>43317</v>
      </c>
      <c r="B224" s="8">
        <v>23.8</v>
      </c>
      <c r="C224" s="8">
        <v>20.3</v>
      </c>
      <c r="D224" s="8">
        <v>27.8</v>
      </c>
      <c r="E224" s="8">
        <v>0</v>
      </c>
      <c r="F224" s="8" t="s">
        <v>30</v>
      </c>
      <c r="G224" s="8" t="s">
        <v>30</v>
      </c>
      <c r="H224" s="8" t="s">
        <v>30</v>
      </c>
      <c r="I224" s="8" t="s">
        <v>30</v>
      </c>
      <c r="J224" s="8">
        <v>2018</v>
      </c>
      <c r="K224" s="8">
        <v>8</v>
      </c>
    </row>
    <row r="225" spans="1:11" x14ac:dyDescent="0.35">
      <c r="A225" s="13">
        <v>43318</v>
      </c>
      <c r="B225" s="8">
        <v>22.7</v>
      </c>
      <c r="C225" s="8">
        <v>20.2</v>
      </c>
      <c r="D225" s="8">
        <v>28.1</v>
      </c>
      <c r="E225" s="8">
        <v>0.5</v>
      </c>
      <c r="F225" s="8" t="s">
        <v>30</v>
      </c>
      <c r="G225" s="8" t="s">
        <v>30</v>
      </c>
      <c r="H225" s="8" t="s">
        <v>30</v>
      </c>
      <c r="I225" s="8" t="s">
        <v>30</v>
      </c>
      <c r="J225" s="8">
        <v>2018</v>
      </c>
      <c r="K225" s="8">
        <v>8</v>
      </c>
    </row>
    <row r="226" spans="1:11" x14ac:dyDescent="0.35">
      <c r="A226" s="13">
        <v>43320</v>
      </c>
      <c r="B226" s="8">
        <v>22</v>
      </c>
      <c r="C226" s="8">
        <v>20</v>
      </c>
      <c r="D226" s="8">
        <v>25.4</v>
      </c>
      <c r="E226" s="8">
        <v>3.6</v>
      </c>
      <c r="F226" s="8" t="s">
        <v>30</v>
      </c>
      <c r="G226" s="8" t="s">
        <v>30</v>
      </c>
      <c r="H226" s="8" t="s">
        <v>30</v>
      </c>
      <c r="I226" s="8" t="s">
        <v>30</v>
      </c>
      <c r="J226" s="8">
        <v>2018</v>
      </c>
      <c r="K226" s="8">
        <v>8</v>
      </c>
    </row>
    <row r="227" spans="1:11" x14ac:dyDescent="0.35">
      <c r="A227" s="13">
        <v>43321</v>
      </c>
      <c r="B227" s="8">
        <v>23.4</v>
      </c>
      <c r="C227" s="8">
        <v>20.2</v>
      </c>
      <c r="D227" s="8">
        <v>28.7</v>
      </c>
      <c r="E227" s="8">
        <v>8.9</v>
      </c>
      <c r="F227" s="8" t="s">
        <v>30</v>
      </c>
      <c r="G227" s="8" t="s">
        <v>30</v>
      </c>
      <c r="H227" s="8" t="s">
        <v>30</v>
      </c>
      <c r="I227" s="8" t="s">
        <v>30</v>
      </c>
      <c r="J227" s="8">
        <v>2018</v>
      </c>
      <c r="K227" s="8">
        <v>8</v>
      </c>
    </row>
    <row r="228" spans="1:11" x14ac:dyDescent="0.35">
      <c r="A228" s="13">
        <v>43322</v>
      </c>
      <c r="B228" s="8">
        <v>22.7</v>
      </c>
      <c r="C228" s="8">
        <v>20.5</v>
      </c>
      <c r="D228" s="8">
        <v>28.2</v>
      </c>
      <c r="E228" s="8">
        <v>0</v>
      </c>
      <c r="F228" s="8" t="s">
        <v>30</v>
      </c>
      <c r="G228" s="8" t="s">
        <v>30</v>
      </c>
      <c r="H228" s="8" t="s">
        <v>30</v>
      </c>
      <c r="I228" s="8" t="s">
        <v>30</v>
      </c>
      <c r="J228" s="8">
        <v>2018</v>
      </c>
      <c r="K228" s="8">
        <v>8</v>
      </c>
    </row>
    <row r="229" spans="1:11" x14ac:dyDescent="0.35">
      <c r="A229" s="13">
        <v>43323</v>
      </c>
      <c r="B229" s="8">
        <v>21.9</v>
      </c>
      <c r="C229" s="8">
        <v>20</v>
      </c>
      <c r="D229" s="8">
        <v>26.5</v>
      </c>
      <c r="E229" s="8">
        <v>1.8</v>
      </c>
      <c r="F229" s="8" t="s">
        <v>30</v>
      </c>
      <c r="G229" s="8" t="s">
        <v>30</v>
      </c>
      <c r="H229" s="8" t="s">
        <v>30</v>
      </c>
      <c r="I229" s="8" t="s">
        <v>30</v>
      </c>
      <c r="J229" s="8">
        <v>2018</v>
      </c>
      <c r="K229" s="8">
        <v>8</v>
      </c>
    </row>
    <row r="230" spans="1:11" x14ac:dyDescent="0.35">
      <c r="A230" s="13">
        <v>43324</v>
      </c>
      <c r="B230" s="8">
        <v>21.5</v>
      </c>
      <c r="C230" s="8">
        <v>19.899999999999999</v>
      </c>
      <c r="D230" s="8">
        <v>25.6</v>
      </c>
      <c r="E230" s="8">
        <v>2.2999999999999998</v>
      </c>
      <c r="F230" s="8" t="s">
        <v>30</v>
      </c>
      <c r="G230" s="8" t="s">
        <v>30</v>
      </c>
      <c r="H230" s="8" t="s">
        <v>30</v>
      </c>
      <c r="I230" s="8" t="s">
        <v>30</v>
      </c>
      <c r="J230" s="8">
        <v>2018</v>
      </c>
      <c r="K230" s="8">
        <v>8</v>
      </c>
    </row>
    <row r="231" spans="1:11" x14ac:dyDescent="0.35">
      <c r="A231" s="13">
        <v>43325</v>
      </c>
      <c r="B231" s="8">
        <v>21.7</v>
      </c>
      <c r="C231" s="8">
        <v>19.399999999999999</v>
      </c>
      <c r="D231" s="8">
        <v>24.6</v>
      </c>
      <c r="E231" s="8">
        <v>3.3</v>
      </c>
      <c r="F231" s="8" t="s">
        <v>30</v>
      </c>
      <c r="G231" s="8" t="s">
        <v>30</v>
      </c>
      <c r="H231" s="8" t="s">
        <v>30</v>
      </c>
      <c r="I231" s="8" t="s">
        <v>30</v>
      </c>
      <c r="J231" s="8">
        <v>2018</v>
      </c>
      <c r="K231" s="8">
        <v>8</v>
      </c>
    </row>
    <row r="232" spans="1:11" x14ac:dyDescent="0.35">
      <c r="A232" s="13">
        <v>43326</v>
      </c>
      <c r="B232" s="8">
        <v>21.9</v>
      </c>
      <c r="C232" s="8">
        <v>19.600000000000001</v>
      </c>
      <c r="D232" s="8">
        <v>26.9</v>
      </c>
      <c r="E232" s="8">
        <v>1</v>
      </c>
      <c r="F232" s="8" t="s">
        <v>30</v>
      </c>
      <c r="G232" s="8" t="s">
        <v>30</v>
      </c>
      <c r="H232" s="8" t="s">
        <v>30</v>
      </c>
      <c r="I232" s="8" t="s">
        <v>30</v>
      </c>
      <c r="J232" s="8">
        <v>2018</v>
      </c>
      <c r="K232" s="8">
        <v>8</v>
      </c>
    </row>
    <row r="233" spans="1:11" x14ac:dyDescent="0.35">
      <c r="A233" s="13">
        <v>43327</v>
      </c>
      <c r="B233" s="8">
        <v>22.2</v>
      </c>
      <c r="C233" s="8">
        <v>20.100000000000001</v>
      </c>
      <c r="D233" s="8">
        <v>25.7</v>
      </c>
      <c r="E233" s="8">
        <v>6.4</v>
      </c>
      <c r="F233" s="8" t="s">
        <v>30</v>
      </c>
      <c r="G233" s="8" t="s">
        <v>30</v>
      </c>
      <c r="H233" s="8" t="s">
        <v>30</v>
      </c>
      <c r="I233" s="8" t="s">
        <v>30</v>
      </c>
      <c r="J233" s="8">
        <v>2018</v>
      </c>
      <c r="K233" s="8">
        <v>8</v>
      </c>
    </row>
    <row r="234" spans="1:11" x14ac:dyDescent="0.35">
      <c r="A234" s="13">
        <v>43329</v>
      </c>
      <c r="B234" s="8">
        <v>23.2</v>
      </c>
      <c r="C234" s="8">
        <v>20.3</v>
      </c>
      <c r="D234" s="8">
        <v>28.3</v>
      </c>
      <c r="E234" s="8">
        <v>0.5</v>
      </c>
      <c r="F234" s="8" t="s">
        <v>30</v>
      </c>
      <c r="G234" s="8" t="s">
        <v>30</v>
      </c>
      <c r="H234" s="8" t="s">
        <v>30</v>
      </c>
      <c r="I234" s="8" t="s">
        <v>30</v>
      </c>
      <c r="J234" s="8">
        <v>2018</v>
      </c>
      <c r="K234" s="8">
        <v>8</v>
      </c>
    </row>
    <row r="235" spans="1:11" x14ac:dyDescent="0.35">
      <c r="A235" s="13">
        <v>43330</v>
      </c>
      <c r="B235" s="8">
        <v>23.4</v>
      </c>
      <c r="C235" s="8">
        <v>20</v>
      </c>
      <c r="D235" s="8">
        <v>27.5</v>
      </c>
      <c r="E235" s="8">
        <v>0</v>
      </c>
      <c r="F235" s="8" t="s">
        <v>30</v>
      </c>
      <c r="G235" s="8" t="s">
        <v>30</v>
      </c>
      <c r="H235" s="8" t="s">
        <v>30</v>
      </c>
      <c r="I235" s="8" t="s">
        <v>30</v>
      </c>
      <c r="J235" s="8">
        <v>2018</v>
      </c>
      <c r="K235" s="8">
        <v>8</v>
      </c>
    </row>
    <row r="236" spans="1:11" x14ac:dyDescent="0.35">
      <c r="A236" s="13">
        <v>43331</v>
      </c>
      <c r="B236" s="8">
        <v>23.3</v>
      </c>
      <c r="C236" s="8">
        <v>20.7</v>
      </c>
      <c r="D236" s="8">
        <v>27.4</v>
      </c>
      <c r="E236" s="8">
        <v>0</v>
      </c>
      <c r="F236" s="8" t="s">
        <v>30</v>
      </c>
      <c r="G236" s="8" t="s">
        <v>30</v>
      </c>
      <c r="H236" s="8" t="s">
        <v>30</v>
      </c>
      <c r="I236" s="8" t="s">
        <v>30</v>
      </c>
      <c r="J236" s="8">
        <v>2018</v>
      </c>
      <c r="K236" s="8">
        <v>8</v>
      </c>
    </row>
    <row r="237" spans="1:11" x14ac:dyDescent="0.35">
      <c r="A237" s="13">
        <v>43332</v>
      </c>
      <c r="B237" s="8">
        <v>22.8</v>
      </c>
      <c r="C237" s="8">
        <v>20.2</v>
      </c>
      <c r="D237" s="8">
        <v>27.3</v>
      </c>
      <c r="E237" s="8">
        <v>0</v>
      </c>
      <c r="F237" s="8" t="s">
        <v>30</v>
      </c>
      <c r="G237" s="8" t="s">
        <v>30</v>
      </c>
      <c r="H237" s="8" t="s">
        <v>30</v>
      </c>
      <c r="I237" s="8" t="s">
        <v>30</v>
      </c>
      <c r="J237" s="8">
        <v>2018</v>
      </c>
      <c r="K237" s="8">
        <v>8</v>
      </c>
    </row>
    <row r="238" spans="1:11" x14ac:dyDescent="0.35">
      <c r="A238" s="13">
        <v>43333</v>
      </c>
      <c r="B238" s="8">
        <v>23.3</v>
      </c>
      <c r="C238" s="8">
        <v>19.7</v>
      </c>
      <c r="D238" s="8">
        <v>28.9</v>
      </c>
      <c r="E238" s="8">
        <v>0</v>
      </c>
      <c r="F238" s="8" t="s">
        <v>30</v>
      </c>
      <c r="G238" s="8" t="s">
        <v>30</v>
      </c>
      <c r="H238" s="8" t="s">
        <v>30</v>
      </c>
      <c r="I238" s="8" t="s">
        <v>30</v>
      </c>
      <c r="J238" s="8">
        <v>2018</v>
      </c>
      <c r="K238" s="8">
        <v>8</v>
      </c>
    </row>
    <row r="239" spans="1:11" x14ac:dyDescent="0.35">
      <c r="A239" s="13">
        <v>43334</v>
      </c>
      <c r="B239" s="8">
        <v>23.7</v>
      </c>
      <c r="C239" s="8">
        <v>19.7</v>
      </c>
      <c r="D239" s="8">
        <v>28.2</v>
      </c>
      <c r="E239" s="8">
        <v>0</v>
      </c>
      <c r="F239" s="8" t="s">
        <v>30</v>
      </c>
      <c r="G239" s="8" t="s">
        <v>30</v>
      </c>
      <c r="H239" s="8" t="s">
        <v>30</v>
      </c>
      <c r="I239" s="8" t="s">
        <v>30</v>
      </c>
      <c r="J239" s="8">
        <v>2018</v>
      </c>
      <c r="K239" s="8">
        <v>8</v>
      </c>
    </row>
    <row r="240" spans="1:11" x14ac:dyDescent="0.35">
      <c r="A240" s="13">
        <v>43335</v>
      </c>
      <c r="B240" s="8">
        <v>23.3</v>
      </c>
      <c r="C240" s="8">
        <v>20.5</v>
      </c>
      <c r="D240" s="8">
        <v>28</v>
      </c>
      <c r="E240" s="8">
        <v>0</v>
      </c>
      <c r="F240" s="8" t="s">
        <v>30</v>
      </c>
      <c r="G240" s="8" t="s">
        <v>30</v>
      </c>
      <c r="H240" s="8" t="s">
        <v>30</v>
      </c>
      <c r="I240" s="8" t="s">
        <v>30</v>
      </c>
      <c r="J240" s="8">
        <v>2018</v>
      </c>
      <c r="K240" s="8">
        <v>8</v>
      </c>
    </row>
    <row r="241" spans="1:11" x14ac:dyDescent="0.35">
      <c r="A241" s="13">
        <v>43336</v>
      </c>
      <c r="B241" s="8">
        <v>22.4</v>
      </c>
      <c r="C241" s="8">
        <v>19.899999999999999</v>
      </c>
      <c r="D241" s="8">
        <v>28.8</v>
      </c>
      <c r="E241" s="8">
        <v>3.3</v>
      </c>
      <c r="F241" s="8" t="s">
        <v>30</v>
      </c>
      <c r="G241" s="8" t="s">
        <v>30</v>
      </c>
      <c r="H241" s="8" t="s">
        <v>30</v>
      </c>
      <c r="I241" s="8" t="s">
        <v>30</v>
      </c>
      <c r="J241" s="8">
        <v>2018</v>
      </c>
      <c r="K241" s="8">
        <v>8</v>
      </c>
    </row>
    <row r="242" spans="1:11" x14ac:dyDescent="0.35">
      <c r="A242" s="13">
        <v>43338</v>
      </c>
      <c r="B242" s="8">
        <v>22.4</v>
      </c>
      <c r="C242" s="8">
        <v>19.899999999999999</v>
      </c>
      <c r="D242" s="8">
        <v>28.5</v>
      </c>
      <c r="E242" s="8">
        <v>0</v>
      </c>
      <c r="F242" s="8" t="s">
        <v>30</v>
      </c>
      <c r="G242" s="8" t="s">
        <v>30</v>
      </c>
      <c r="H242" s="8" t="s">
        <v>30</v>
      </c>
      <c r="I242" s="8" t="s">
        <v>30</v>
      </c>
      <c r="J242" s="8">
        <v>2018</v>
      </c>
      <c r="K242" s="8">
        <v>8</v>
      </c>
    </row>
    <row r="243" spans="1:11" x14ac:dyDescent="0.35">
      <c r="A243" s="13">
        <v>43339</v>
      </c>
      <c r="B243" s="8">
        <v>21.9</v>
      </c>
      <c r="C243" s="8">
        <v>19.5</v>
      </c>
      <c r="D243" s="8">
        <v>28.3</v>
      </c>
      <c r="E243" s="8">
        <v>8.4</v>
      </c>
      <c r="F243" s="8" t="s">
        <v>30</v>
      </c>
      <c r="G243" s="8" t="s">
        <v>30</v>
      </c>
      <c r="H243" s="8" t="s">
        <v>30</v>
      </c>
      <c r="I243" s="8" t="s">
        <v>30</v>
      </c>
      <c r="J243" s="8">
        <v>2018</v>
      </c>
      <c r="K243" s="8">
        <v>8</v>
      </c>
    </row>
    <row r="244" spans="1:11" x14ac:dyDescent="0.35">
      <c r="A244" s="13">
        <v>43340</v>
      </c>
      <c r="B244" s="8">
        <v>22.6</v>
      </c>
      <c r="C244" s="8">
        <v>19.600000000000001</v>
      </c>
      <c r="D244" s="8">
        <v>27.6</v>
      </c>
      <c r="E244" s="8">
        <v>0.5</v>
      </c>
      <c r="F244" s="8" t="s">
        <v>30</v>
      </c>
      <c r="G244" s="8" t="s">
        <v>30</v>
      </c>
      <c r="H244" s="8" t="s">
        <v>30</v>
      </c>
      <c r="I244" s="8" t="s">
        <v>30</v>
      </c>
      <c r="J244" s="8">
        <v>2018</v>
      </c>
      <c r="K244" s="8">
        <v>8</v>
      </c>
    </row>
    <row r="245" spans="1:11" x14ac:dyDescent="0.35">
      <c r="A245" s="13">
        <v>43341</v>
      </c>
      <c r="B245" s="8">
        <v>22.9</v>
      </c>
      <c r="C245" s="8">
        <v>20</v>
      </c>
      <c r="D245" s="8">
        <v>28</v>
      </c>
      <c r="E245" s="8">
        <v>8.4</v>
      </c>
      <c r="F245" s="8" t="s">
        <v>30</v>
      </c>
      <c r="G245" s="8" t="s">
        <v>30</v>
      </c>
      <c r="H245" s="8" t="s">
        <v>30</v>
      </c>
      <c r="I245" s="8" t="s">
        <v>30</v>
      </c>
      <c r="J245" s="8">
        <v>2018</v>
      </c>
      <c r="K245" s="8">
        <v>8</v>
      </c>
    </row>
    <row r="246" spans="1:11" x14ac:dyDescent="0.35">
      <c r="A246" s="13">
        <v>43342</v>
      </c>
      <c r="B246" s="8">
        <v>23.3</v>
      </c>
      <c r="C246" s="8">
        <v>20.3</v>
      </c>
      <c r="D246" s="8">
        <v>28.2</v>
      </c>
      <c r="E246" s="8">
        <v>3</v>
      </c>
      <c r="F246" s="8" t="s">
        <v>30</v>
      </c>
      <c r="G246" s="8" t="s">
        <v>30</v>
      </c>
      <c r="H246" s="8" t="s">
        <v>30</v>
      </c>
      <c r="I246" s="8" t="s">
        <v>30</v>
      </c>
      <c r="J246" s="8">
        <v>2018</v>
      </c>
      <c r="K246" s="8">
        <v>8</v>
      </c>
    </row>
    <row r="247" spans="1:11" x14ac:dyDescent="0.35">
      <c r="A247" s="13">
        <v>43344</v>
      </c>
      <c r="B247" s="8">
        <v>23.7</v>
      </c>
      <c r="C247" s="8">
        <v>20</v>
      </c>
      <c r="D247" s="8">
        <v>28.3</v>
      </c>
      <c r="E247" s="8">
        <v>0</v>
      </c>
      <c r="F247" s="8" t="s">
        <v>30</v>
      </c>
      <c r="G247" s="8" t="s">
        <v>30</v>
      </c>
      <c r="H247" s="8" t="s">
        <v>30</v>
      </c>
      <c r="I247" s="8" t="s">
        <v>30</v>
      </c>
      <c r="J247" s="8">
        <v>2018</v>
      </c>
      <c r="K247" s="8">
        <v>9</v>
      </c>
    </row>
    <row r="248" spans="1:11" x14ac:dyDescent="0.35">
      <c r="A248" s="13">
        <v>43345</v>
      </c>
      <c r="B248" s="8">
        <v>23.7</v>
      </c>
      <c r="C248" s="8">
        <v>20.3</v>
      </c>
      <c r="D248" s="8">
        <v>28.2</v>
      </c>
      <c r="E248" s="8">
        <v>0.3</v>
      </c>
      <c r="F248" s="8" t="s">
        <v>30</v>
      </c>
      <c r="G248" s="8" t="s">
        <v>30</v>
      </c>
      <c r="H248" s="8" t="s">
        <v>30</v>
      </c>
      <c r="I248" s="8" t="s">
        <v>30</v>
      </c>
      <c r="J248" s="8">
        <v>2018</v>
      </c>
      <c r="K248" s="8">
        <v>9</v>
      </c>
    </row>
    <row r="249" spans="1:11" x14ac:dyDescent="0.35">
      <c r="A249" s="13">
        <v>43346</v>
      </c>
      <c r="B249" s="8">
        <v>24.7</v>
      </c>
      <c r="C249" s="8">
        <v>19.7</v>
      </c>
      <c r="D249" s="8">
        <v>29.3</v>
      </c>
      <c r="E249" s="8">
        <v>0</v>
      </c>
      <c r="F249" s="8" t="s">
        <v>30</v>
      </c>
      <c r="G249" s="8" t="s">
        <v>30</v>
      </c>
      <c r="H249" s="8" t="s">
        <v>30</v>
      </c>
      <c r="I249" s="8" t="s">
        <v>30</v>
      </c>
      <c r="J249" s="8">
        <v>2018</v>
      </c>
      <c r="K249" s="8">
        <v>9</v>
      </c>
    </row>
    <row r="250" spans="1:11" x14ac:dyDescent="0.35">
      <c r="A250" s="13">
        <v>43350</v>
      </c>
      <c r="B250" s="8">
        <v>24.4</v>
      </c>
      <c r="C250" s="8">
        <v>20.3</v>
      </c>
      <c r="D250" s="8">
        <v>29.2</v>
      </c>
      <c r="E250" s="8">
        <v>0</v>
      </c>
      <c r="F250" s="8" t="s">
        <v>30</v>
      </c>
      <c r="G250" s="8" t="s">
        <v>30</v>
      </c>
      <c r="H250" s="8" t="s">
        <v>30</v>
      </c>
      <c r="I250" s="8" t="s">
        <v>30</v>
      </c>
      <c r="J250" s="8">
        <v>2018</v>
      </c>
      <c r="K250" s="8">
        <v>9</v>
      </c>
    </row>
    <row r="251" spans="1:11" x14ac:dyDescent="0.35">
      <c r="A251" s="13">
        <v>43351</v>
      </c>
      <c r="B251" s="8">
        <v>24.3</v>
      </c>
      <c r="C251" s="8">
        <v>20.100000000000001</v>
      </c>
      <c r="D251" s="8">
        <v>29.1</v>
      </c>
      <c r="E251" s="8">
        <v>0</v>
      </c>
      <c r="F251" s="8" t="s">
        <v>30</v>
      </c>
      <c r="G251" s="8" t="s">
        <v>30</v>
      </c>
      <c r="H251" s="8" t="s">
        <v>30</v>
      </c>
      <c r="I251" s="8" t="s">
        <v>30</v>
      </c>
      <c r="J251" s="8">
        <v>2018</v>
      </c>
      <c r="K251" s="8">
        <v>9</v>
      </c>
    </row>
    <row r="252" spans="1:11" x14ac:dyDescent="0.35">
      <c r="A252" s="13">
        <v>43352</v>
      </c>
      <c r="B252" s="8">
        <v>25.7</v>
      </c>
      <c r="C252" s="8">
        <v>20.5</v>
      </c>
      <c r="D252" s="8">
        <v>30.3</v>
      </c>
      <c r="E252" s="8">
        <v>0</v>
      </c>
      <c r="F252" s="8" t="s">
        <v>30</v>
      </c>
      <c r="G252" s="8" t="s">
        <v>30</v>
      </c>
      <c r="H252" s="8" t="s">
        <v>30</v>
      </c>
      <c r="I252" s="8" t="s">
        <v>30</v>
      </c>
      <c r="J252" s="8">
        <v>2018</v>
      </c>
      <c r="K252" s="8">
        <v>9</v>
      </c>
    </row>
    <row r="253" spans="1:11" x14ac:dyDescent="0.35">
      <c r="A253" s="13">
        <v>43354</v>
      </c>
      <c r="B253" s="8">
        <v>25.3</v>
      </c>
      <c r="C253" s="8">
        <v>21.7</v>
      </c>
      <c r="D253" s="8">
        <v>30.8</v>
      </c>
      <c r="E253" s="8">
        <v>0</v>
      </c>
      <c r="F253" s="8" t="s">
        <v>30</v>
      </c>
      <c r="G253" s="8" t="s">
        <v>30</v>
      </c>
      <c r="H253" s="8" t="s">
        <v>30</v>
      </c>
      <c r="I253" s="8" t="s">
        <v>30</v>
      </c>
      <c r="J253" s="8">
        <v>2018</v>
      </c>
      <c r="K253" s="8">
        <v>9</v>
      </c>
    </row>
    <row r="254" spans="1:11" x14ac:dyDescent="0.35">
      <c r="A254" s="13">
        <v>43355</v>
      </c>
      <c r="B254" s="8">
        <v>25.9</v>
      </c>
      <c r="C254" s="8">
        <v>20.9</v>
      </c>
      <c r="D254" s="8">
        <v>31.1</v>
      </c>
      <c r="E254" s="8">
        <v>0</v>
      </c>
      <c r="F254" s="8" t="s">
        <v>30</v>
      </c>
      <c r="G254" s="8" t="s">
        <v>30</v>
      </c>
      <c r="H254" s="8" t="s">
        <v>30</v>
      </c>
      <c r="I254" s="8" t="s">
        <v>30</v>
      </c>
      <c r="J254" s="8">
        <v>2018</v>
      </c>
      <c r="K254" s="8">
        <v>9</v>
      </c>
    </row>
    <row r="255" spans="1:11" x14ac:dyDescent="0.35">
      <c r="A255" s="13">
        <v>43357</v>
      </c>
      <c r="B255" s="8">
        <v>24.8</v>
      </c>
      <c r="C255" s="8">
        <v>20.399999999999999</v>
      </c>
      <c r="D255" s="8">
        <v>30.3</v>
      </c>
      <c r="E255" s="8">
        <v>2</v>
      </c>
      <c r="F255" s="8" t="s">
        <v>30</v>
      </c>
      <c r="G255" s="8" t="s">
        <v>30</v>
      </c>
      <c r="H255" s="8" t="s">
        <v>30</v>
      </c>
      <c r="I255" s="8" t="s">
        <v>30</v>
      </c>
      <c r="J255" s="8">
        <v>2018</v>
      </c>
      <c r="K255" s="8">
        <v>9</v>
      </c>
    </row>
    <row r="256" spans="1:11" x14ac:dyDescent="0.35">
      <c r="A256" s="13">
        <v>43358</v>
      </c>
      <c r="B256" s="8">
        <v>23.2</v>
      </c>
      <c r="C256" s="8">
        <v>20.100000000000001</v>
      </c>
      <c r="D256" s="8">
        <v>31.7</v>
      </c>
      <c r="E256" s="8">
        <v>9.9</v>
      </c>
      <c r="F256" s="8" t="s">
        <v>30</v>
      </c>
      <c r="G256" s="8" t="s">
        <v>30</v>
      </c>
      <c r="H256" s="8" t="s">
        <v>30</v>
      </c>
      <c r="I256" s="8" t="s">
        <v>30</v>
      </c>
      <c r="J256" s="8">
        <v>2018</v>
      </c>
      <c r="K256" s="8">
        <v>9</v>
      </c>
    </row>
    <row r="257" spans="1:11" x14ac:dyDescent="0.35">
      <c r="A257" s="13">
        <v>43359</v>
      </c>
      <c r="B257" s="8">
        <v>23.3</v>
      </c>
      <c r="C257" s="8">
        <v>20.5</v>
      </c>
      <c r="D257" s="8">
        <v>30.3</v>
      </c>
      <c r="E257" s="8">
        <v>6.4</v>
      </c>
      <c r="F257" s="8" t="s">
        <v>30</v>
      </c>
      <c r="G257" s="8" t="s">
        <v>30</v>
      </c>
      <c r="H257" s="8" t="s">
        <v>30</v>
      </c>
      <c r="I257" s="8" t="s">
        <v>30</v>
      </c>
      <c r="J257" s="8">
        <v>2018</v>
      </c>
      <c r="K257" s="8">
        <v>9</v>
      </c>
    </row>
    <row r="258" spans="1:11" x14ac:dyDescent="0.35">
      <c r="A258" s="13">
        <v>43364</v>
      </c>
      <c r="B258" s="8">
        <v>23.5</v>
      </c>
      <c r="C258" s="8">
        <v>20</v>
      </c>
      <c r="D258" s="8">
        <v>28.4</v>
      </c>
      <c r="E258" s="8">
        <v>7.6</v>
      </c>
      <c r="F258" s="8" t="s">
        <v>30</v>
      </c>
      <c r="G258" s="8" t="s">
        <v>30</v>
      </c>
      <c r="H258" s="8" t="s">
        <v>30</v>
      </c>
      <c r="I258" s="8" t="s">
        <v>30</v>
      </c>
      <c r="J258" s="8">
        <v>2018</v>
      </c>
      <c r="K258" s="8">
        <v>9</v>
      </c>
    </row>
    <row r="259" spans="1:11" x14ac:dyDescent="0.35">
      <c r="A259" s="13">
        <v>43365</v>
      </c>
      <c r="B259" s="8">
        <v>23.9</v>
      </c>
      <c r="C259" s="8">
        <v>18.399999999999999</v>
      </c>
      <c r="D259" s="8">
        <v>28.2</v>
      </c>
      <c r="E259" s="8">
        <v>0</v>
      </c>
      <c r="F259" s="8" t="s">
        <v>30</v>
      </c>
      <c r="G259" s="8" t="s">
        <v>30</v>
      </c>
      <c r="H259" s="8" t="s">
        <v>30</v>
      </c>
      <c r="I259" s="8" t="s">
        <v>30</v>
      </c>
      <c r="J259" s="8">
        <v>2018</v>
      </c>
      <c r="K259" s="8">
        <v>9</v>
      </c>
    </row>
    <row r="260" spans="1:11" x14ac:dyDescent="0.35">
      <c r="A260" s="13">
        <v>43369</v>
      </c>
      <c r="B260" s="8">
        <v>24.4</v>
      </c>
      <c r="C260" s="8">
        <v>20.399999999999999</v>
      </c>
      <c r="D260" s="8">
        <v>29.7</v>
      </c>
      <c r="E260" s="8">
        <v>0.3</v>
      </c>
      <c r="F260" s="8" t="s">
        <v>30</v>
      </c>
      <c r="G260" s="8" t="s">
        <v>30</v>
      </c>
      <c r="H260" s="8" t="s">
        <v>30</v>
      </c>
      <c r="I260" s="8" t="s">
        <v>30</v>
      </c>
      <c r="J260" s="8">
        <v>2018</v>
      </c>
      <c r="K260" s="8">
        <v>9</v>
      </c>
    </row>
    <row r="261" spans="1:11" x14ac:dyDescent="0.35">
      <c r="A261" s="13">
        <v>43371</v>
      </c>
      <c r="B261" s="8">
        <v>25.1</v>
      </c>
      <c r="C261" s="8">
        <v>21.3</v>
      </c>
      <c r="D261" s="8">
        <v>29.5</v>
      </c>
      <c r="E261" s="8">
        <v>1.3</v>
      </c>
      <c r="F261" s="8" t="s">
        <v>30</v>
      </c>
      <c r="G261" s="8" t="s">
        <v>30</v>
      </c>
      <c r="H261" s="8" t="s">
        <v>30</v>
      </c>
      <c r="I261" s="8" t="s">
        <v>30</v>
      </c>
      <c r="J261" s="8">
        <v>2018</v>
      </c>
      <c r="K261" s="8">
        <v>9</v>
      </c>
    </row>
    <row r="262" spans="1:11" x14ac:dyDescent="0.35">
      <c r="A262" s="13">
        <v>43372</v>
      </c>
      <c r="B262" s="8">
        <v>25.3</v>
      </c>
      <c r="C262" s="8">
        <v>21.4</v>
      </c>
      <c r="D262" s="8">
        <v>29.9</v>
      </c>
      <c r="E262" s="8">
        <v>4.3</v>
      </c>
      <c r="F262" s="8" t="s">
        <v>30</v>
      </c>
      <c r="G262" s="8" t="s">
        <v>30</v>
      </c>
      <c r="H262" s="8" t="s">
        <v>30</v>
      </c>
      <c r="I262" s="8" t="s">
        <v>30</v>
      </c>
      <c r="J262" s="8">
        <v>2018</v>
      </c>
      <c r="K262" s="8">
        <v>9</v>
      </c>
    </row>
    <row r="263" spans="1:11" x14ac:dyDescent="0.35">
      <c r="A263" s="13">
        <v>43373</v>
      </c>
      <c r="B263" s="8">
        <v>25.4</v>
      </c>
      <c r="C263" s="8">
        <v>21.8</v>
      </c>
      <c r="D263" s="8">
        <v>30.2</v>
      </c>
      <c r="E263" s="8">
        <v>0</v>
      </c>
      <c r="F263" s="8" t="s">
        <v>30</v>
      </c>
      <c r="G263" s="8" t="s">
        <v>30</v>
      </c>
      <c r="H263" s="8" t="s">
        <v>30</v>
      </c>
      <c r="I263" s="8" t="s">
        <v>30</v>
      </c>
      <c r="J263" s="8">
        <v>2018</v>
      </c>
      <c r="K263" s="8">
        <v>9</v>
      </c>
    </row>
    <row r="264" spans="1:11" x14ac:dyDescent="0.35">
      <c r="A264" s="13">
        <v>43374</v>
      </c>
      <c r="B264" s="8">
        <v>25.5</v>
      </c>
      <c r="C264" s="8">
        <v>21.6</v>
      </c>
      <c r="D264" s="8">
        <v>30.9</v>
      </c>
      <c r="E264" s="8">
        <v>0.3</v>
      </c>
      <c r="F264" s="8" t="s">
        <v>30</v>
      </c>
      <c r="G264" s="8" t="s">
        <v>30</v>
      </c>
      <c r="H264" s="8" t="s">
        <v>30</v>
      </c>
      <c r="I264" s="8" t="s">
        <v>30</v>
      </c>
      <c r="J264" s="8">
        <v>2018</v>
      </c>
      <c r="K264" s="8">
        <v>10</v>
      </c>
    </row>
    <row r="265" spans="1:11" x14ac:dyDescent="0.35">
      <c r="A265" s="13">
        <v>43375</v>
      </c>
      <c r="B265" s="8">
        <v>24.9</v>
      </c>
      <c r="C265" s="8">
        <v>21.3</v>
      </c>
      <c r="D265" s="8">
        <v>30.3</v>
      </c>
      <c r="E265" s="8">
        <v>0</v>
      </c>
      <c r="F265" s="8" t="s">
        <v>30</v>
      </c>
      <c r="G265" s="8" t="s">
        <v>30</v>
      </c>
      <c r="H265" s="8" t="s">
        <v>30</v>
      </c>
      <c r="I265" s="8" t="s">
        <v>30</v>
      </c>
      <c r="J265" s="8">
        <v>2018</v>
      </c>
      <c r="K265" s="8">
        <v>10</v>
      </c>
    </row>
    <row r="266" spans="1:11" x14ac:dyDescent="0.35">
      <c r="A266" s="13">
        <v>43376</v>
      </c>
      <c r="B266" s="8">
        <v>24.1</v>
      </c>
      <c r="C266" s="8">
        <v>21.6</v>
      </c>
      <c r="D266" s="8">
        <v>30.4</v>
      </c>
      <c r="E266" s="8">
        <v>0.3</v>
      </c>
      <c r="F266" s="8" t="s">
        <v>30</v>
      </c>
      <c r="G266" s="8" t="s">
        <v>30</v>
      </c>
      <c r="H266" s="8" t="s">
        <v>30</v>
      </c>
      <c r="I266" s="8" t="s">
        <v>30</v>
      </c>
      <c r="J266" s="8">
        <v>2018</v>
      </c>
      <c r="K266" s="8">
        <v>10</v>
      </c>
    </row>
    <row r="267" spans="1:11" x14ac:dyDescent="0.35">
      <c r="A267" s="13">
        <v>43378</v>
      </c>
      <c r="B267" s="8">
        <v>23</v>
      </c>
      <c r="C267" s="8">
        <v>20.6</v>
      </c>
      <c r="D267" s="8">
        <v>25.9</v>
      </c>
      <c r="E267" s="8">
        <v>10.199999999999999</v>
      </c>
      <c r="F267" s="8" t="s">
        <v>30</v>
      </c>
      <c r="G267" s="8" t="s">
        <v>30</v>
      </c>
      <c r="H267" s="8" t="s">
        <v>30</v>
      </c>
      <c r="I267" s="8" t="s">
        <v>30</v>
      </c>
      <c r="J267" s="8">
        <v>2018</v>
      </c>
      <c r="K267" s="8">
        <v>10</v>
      </c>
    </row>
    <row r="268" spans="1:11" x14ac:dyDescent="0.35">
      <c r="A268" s="13">
        <v>43379</v>
      </c>
      <c r="B268" s="8">
        <v>22.5</v>
      </c>
      <c r="C268" s="8">
        <v>20.399999999999999</v>
      </c>
      <c r="D268" s="8">
        <v>26.4</v>
      </c>
      <c r="E268" s="8">
        <v>2.5</v>
      </c>
      <c r="F268" s="8" t="s">
        <v>30</v>
      </c>
      <c r="G268" s="8" t="s">
        <v>30</v>
      </c>
      <c r="H268" s="8" t="s">
        <v>30</v>
      </c>
      <c r="I268" s="8" t="s">
        <v>30</v>
      </c>
      <c r="J268" s="8">
        <v>2018</v>
      </c>
      <c r="K268" s="8">
        <v>10</v>
      </c>
    </row>
    <row r="269" spans="1:11" x14ac:dyDescent="0.35">
      <c r="A269" s="13">
        <v>43380</v>
      </c>
      <c r="B269" s="8">
        <v>24.3</v>
      </c>
      <c r="C269" s="8">
        <v>20.2</v>
      </c>
      <c r="D269" s="8">
        <v>28.4</v>
      </c>
      <c r="E269" s="8">
        <v>7.9</v>
      </c>
      <c r="F269" s="8" t="s">
        <v>30</v>
      </c>
      <c r="G269" s="8" t="s">
        <v>30</v>
      </c>
      <c r="H269" s="8" t="s">
        <v>30</v>
      </c>
      <c r="I269" s="8" t="s">
        <v>30</v>
      </c>
      <c r="J269" s="8">
        <v>2018</v>
      </c>
      <c r="K269" s="8">
        <v>10</v>
      </c>
    </row>
    <row r="270" spans="1:11" x14ac:dyDescent="0.35">
      <c r="A270" s="13">
        <v>43381</v>
      </c>
      <c r="B270" s="8">
        <v>24.1</v>
      </c>
      <c r="C270" s="8">
        <v>20.8</v>
      </c>
      <c r="D270" s="8">
        <v>29.5</v>
      </c>
      <c r="E270" s="8">
        <v>0</v>
      </c>
      <c r="F270" s="8" t="s">
        <v>30</v>
      </c>
      <c r="G270" s="8" t="s">
        <v>30</v>
      </c>
      <c r="H270" s="8" t="s">
        <v>30</v>
      </c>
      <c r="I270" s="8" t="s">
        <v>30</v>
      </c>
      <c r="J270" s="8">
        <v>2018</v>
      </c>
      <c r="K270" s="8">
        <v>10</v>
      </c>
    </row>
    <row r="271" spans="1:11" x14ac:dyDescent="0.35">
      <c r="A271" s="13">
        <v>43382</v>
      </c>
      <c r="B271" s="8">
        <v>24.3</v>
      </c>
      <c r="C271" s="8">
        <v>20.6</v>
      </c>
      <c r="D271" s="8">
        <v>29.5</v>
      </c>
      <c r="E271" s="8">
        <v>4.3</v>
      </c>
      <c r="F271" s="8" t="s">
        <v>30</v>
      </c>
      <c r="G271" s="8" t="s">
        <v>30</v>
      </c>
      <c r="H271" s="8" t="s">
        <v>30</v>
      </c>
      <c r="I271" s="8" t="s">
        <v>30</v>
      </c>
      <c r="J271" s="8">
        <v>2018</v>
      </c>
      <c r="K271" s="8">
        <v>10</v>
      </c>
    </row>
    <row r="272" spans="1:11" x14ac:dyDescent="0.35">
      <c r="A272" s="13">
        <v>43383</v>
      </c>
      <c r="B272" s="8">
        <v>24</v>
      </c>
      <c r="C272" s="8">
        <v>19.100000000000001</v>
      </c>
      <c r="D272" s="8">
        <v>30</v>
      </c>
      <c r="E272" s="8">
        <v>0</v>
      </c>
      <c r="F272" s="8" t="s">
        <v>30</v>
      </c>
      <c r="G272" s="8" t="s">
        <v>30</v>
      </c>
      <c r="H272" s="8" t="s">
        <v>30</v>
      </c>
      <c r="I272" s="8" t="s">
        <v>30</v>
      </c>
      <c r="J272" s="8">
        <v>2018</v>
      </c>
      <c r="K272" s="8">
        <v>10</v>
      </c>
    </row>
    <row r="273" spans="1:11" x14ac:dyDescent="0.35">
      <c r="A273" s="13">
        <v>43388</v>
      </c>
      <c r="B273" s="8">
        <v>23.4</v>
      </c>
      <c r="C273" s="8">
        <v>20.100000000000001</v>
      </c>
      <c r="D273" s="8">
        <v>29.8</v>
      </c>
      <c r="E273" s="8">
        <v>3.8</v>
      </c>
      <c r="F273" s="8" t="s">
        <v>30</v>
      </c>
      <c r="G273" s="8" t="s">
        <v>30</v>
      </c>
      <c r="H273" s="8" t="s">
        <v>30</v>
      </c>
      <c r="I273" s="8" t="s">
        <v>30</v>
      </c>
      <c r="J273" s="8">
        <v>2018</v>
      </c>
      <c r="K273" s="8">
        <v>10</v>
      </c>
    </row>
    <row r="274" spans="1:11" x14ac:dyDescent="0.35">
      <c r="A274" s="13">
        <v>43389</v>
      </c>
      <c r="B274" s="8">
        <v>24.3</v>
      </c>
      <c r="C274" s="8">
        <v>20.7</v>
      </c>
      <c r="D274" s="8">
        <v>29</v>
      </c>
      <c r="E274" s="8">
        <v>5.0999999999999996</v>
      </c>
      <c r="F274" s="8" t="s">
        <v>30</v>
      </c>
      <c r="G274" s="8" t="s">
        <v>30</v>
      </c>
      <c r="H274" s="8" t="s">
        <v>30</v>
      </c>
      <c r="I274" s="8" t="s">
        <v>30</v>
      </c>
      <c r="J274" s="8">
        <v>2018</v>
      </c>
      <c r="K274" s="8">
        <v>10</v>
      </c>
    </row>
    <row r="275" spans="1:11" x14ac:dyDescent="0.35">
      <c r="A275" s="13">
        <v>43390</v>
      </c>
      <c r="B275" s="8">
        <v>22.4</v>
      </c>
      <c r="C275" s="8">
        <v>19.399999999999999</v>
      </c>
      <c r="D275" s="8">
        <v>29.3</v>
      </c>
      <c r="E275" s="8">
        <v>0</v>
      </c>
      <c r="F275" s="8" t="s">
        <v>30</v>
      </c>
      <c r="G275" s="8" t="s">
        <v>30</v>
      </c>
      <c r="H275" s="8" t="s">
        <v>30</v>
      </c>
      <c r="I275" s="8" t="s">
        <v>30</v>
      </c>
      <c r="J275" s="8">
        <v>2018</v>
      </c>
      <c r="K275" s="8">
        <v>10</v>
      </c>
    </row>
    <row r="276" spans="1:11" x14ac:dyDescent="0.35">
      <c r="A276" s="13">
        <v>43392</v>
      </c>
      <c r="B276" s="8">
        <v>23.9</v>
      </c>
      <c r="C276" s="8">
        <v>20.2</v>
      </c>
      <c r="D276" s="8">
        <v>28.7</v>
      </c>
      <c r="E276" s="8">
        <v>1</v>
      </c>
      <c r="F276" s="8" t="s">
        <v>30</v>
      </c>
      <c r="G276" s="8" t="s">
        <v>30</v>
      </c>
      <c r="H276" s="8" t="s">
        <v>30</v>
      </c>
      <c r="I276" s="8" t="s">
        <v>30</v>
      </c>
      <c r="J276" s="8">
        <v>2018</v>
      </c>
      <c r="K276" s="8">
        <v>10</v>
      </c>
    </row>
    <row r="277" spans="1:11" x14ac:dyDescent="0.35">
      <c r="A277" s="13">
        <v>43393</v>
      </c>
      <c r="B277" s="8">
        <v>23.8</v>
      </c>
      <c r="C277" s="8">
        <v>19.7</v>
      </c>
      <c r="D277" s="8">
        <v>29.3</v>
      </c>
      <c r="E277" s="8">
        <v>0</v>
      </c>
      <c r="F277" s="8" t="s">
        <v>30</v>
      </c>
      <c r="G277" s="8" t="s">
        <v>30</v>
      </c>
      <c r="H277" s="8" t="s">
        <v>30</v>
      </c>
      <c r="I277" s="8" t="s">
        <v>30</v>
      </c>
      <c r="J277" s="8">
        <v>2018</v>
      </c>
      <c r="K277" s="8">
        <v>10</v>
      </c>
    </row>
    <row r="278" spans="1:11" x14ac:dyDescent="0.35">
      <c r="A278" s="13">
        <v>43407</v>
      </c>
      <c r="B278" s="8">
        <v>22.8</v>
      </c>
      <c r="C278" s="8">
        <v>19.600000000000001</v>
      </c>
      <c r="D278" s="8">
        <v>27.7</v>
      </c>
      <c r="E278" s="8">
        <v>0.5</v>
      </c>
      <c r="F278" s="8" t="s">
        <v>30</v>
      </c>
      <c r="G278" s="8" t="s">
        <v>30</v>
      </c>
      <c r="H278" s="8" t="s">
        <v>30</v>
      </c>
      <c r="I278" s="8" t="s">
        <v>30</v>
      </c>
      <c r="J278" s="8">
        <v>2018</v>
      </c>
      <c r="K278" s="8">
        <v>11</v>
      </c>
    </row>
    <row r="279" spans="1:11" x14ac:dyDescent="0.35">
      <c r="A279" s="13">
        <v>43408</v>
      </c>
      <c r="B279" s="8">
        <v>23.5</v>
      </c>
      <c r="C279" s="8">
        <v>18.8</v>
      </c>
      <c r="D279" s="8">
        <v>28.1</v>
      </c>
      <c r="E279" s="8">
        <v>4.5999999999999996</v>
      </c>
      <c r="F279" s="8" t="s">
        <v>30</v>
      </c>
      <c r="G279" s="8" t="s">
        <v>30</v>
      </c>
      <c r="H279" s="8" t="s">
        <v>30</v>
      </c>
      <c r="I279" s="8" t="s">
        <v>30</v>
      </c>
      <c r="J279" s="8">
        <v>2018</v>
      </c>
      <c r="K279" s="8">
        <v>11</v>
      </c>
    </row>
    <row r="280" spans="1:11" x14ac:dyDescent="0.35">
      <c r="A280" s="13">
        <v>43409</v>
      </c>
      <c r="B280" s="8">
        <v>23.6</v>
      </c>
      <c r="C280" s="8">
        <v>19.7</v>
      </c>
      <c r="D280" s="8">
        <v>29.2</v>
      </c>
      <c r="E280" s="8">
        <v>0</v>
      </c>
      <c r="F280" s="8" t="s">
        <v>30</v>
      </c>
      <c r="G280" s="8" t="s">
        <v>30</v>
      </c>
      <c r="H280" s="8" t="s">
        <v>30</v>
      </c>
      <c r="I280" s="8" t="s">
        <v>30</v>
      </c>
      <c r="J280" s="8">
        <v>2018</v>
      </c>
      <c r="K280" s="8">
        <v>11</v>
      </c>
    </row>
    <row r="281" spans="1:11" x14ac:dyDescent="0.35">
      <c r="A281" s="13">
        <v>43420</v>
      </c>
      <c r="B281" s="8">
        <v>21.9</v>
      </c>
      <c r="C281" s="8">
        <v>19.7</v>
      </c>
      <c r="D281" s="8">
        <v>28.6</v>
      </c>
      <c r="E281" s="8">
        <v>0</v>
      </c>
      <c r="F281" s="8" t="s">
        <v>30</v>
      </c>
      <c r="G281" s="8" t="s">
        <v>30</v>
      </c>
      <c r="H281" s="8" t="s">
        <v>30</v>
      </c>
      <c r="I281" s="8" t="s">
        <v>30</v>
      </c>
      <c r="J281" s="8">
        <v>2018</v>
      </c>
      <c r="K281" s="8">
        <v>11</v>
      </c>
    </row>
    <row r="282" spans="1:11" x14ac:dyDescent="0.35">
      <c r="A282" s="13">
        <v>43421</v>
      </c>
      <c r="B282" s="8">
        <v>23.9</v>
      </c>
      <c r="C282" s="8">
        <v>19.2</v>
      </c>
      <c r="D282" s="8">
        <v>29.3</v>
      </c>
      <c r="E282" s="8">
        <v>0.3</v>
      </c>
      <c r="F282" s="8" t="s">
        <v>30</v>
      </c>
      <c r="G282" s="8" t="s">
        <v>30</v>
      </c>
      <c r="H282" s="8" t="s">
        <v>30</v>
      </c>
      <c r="I282" s="8" t="s">
        <v>30</v>
      </c>
      <c r="J282" s="8">
        <v>2018</v>
      </c>
      <c r="K282" s="8">
        <v>11</v>
      </c>
    </row>
    <row r="283" spans="1:11" x14ac:dyDescent="0.35">
      <c r="A283" s="13">
        <v>43422</v>
      </c>
      <c r="B283" s="8">
        <v>24.3</v>
      </c>
      <c r="C283" s="8">
        <v>20.6</v>
      </c>
      <c r="D283" s="8">
        <v>30.2</v>
      </c>
      <c r="E283" s="8">
        <v>0</v>
      </c>
      <c r="F283" s="8" t="s">
        <v>30</v>
      </c>
      <c r="G283" s="8" t="s">
        <v>30</v>
      </c>
      <c r="H283" s="8" t="s">
        <v>30</v>
      </c>
      <c r="I283" s="8" t="s">
        <v>30</v>
      </c>
      <c r="J283" s="8">
        <v>2018</v>
      </c>
      <c r="K283" s="8">
        <v>11</v>
      </c>
    </row>
    <row r="284" spans="1:11" x14ac:dyDescent="0.35">
      <c r="A284" s="13">
        <v>43424</v>
      </c>
      <c r="B284" s="8">
        <v>24.4</v>
      </c>
      <c r="C284" s="8">
        <v>19.7</v>
      </c>
      <c r="D284" s="8">
        <v>29.8</v>
      </c>
      <c r="E284" s="8">
        <v>0</v>
      </c>
      <c r="F284" s="8" t="s">
        <v>30</v>
      </c>
      <c r="G284" s="8" t="s">
        <v>30</v>
      </c>
      <c r="H284" s="8" t="s">
        <v>30</v>
      </c>
      <c r="I284" s="8" t="s">
        <v>30</v>
      </c>
      <c r="J284" s="8">
        <v>2018</v>
      </c>
      <c r="K284" s="8">
        <v>11</v>
      </c>
    </row>
    <row r="285" spans="1:11" x14ac:dyDescent="0.35">
      <c r="A285" s="13">
        <v>43426</v>
      </c>
      <c r="B285" s="8">
        <v>21.6</v>
      </c>
      <c r="C285" s="8">
        <v>19.600000000000001</v>
      </c>
      <c r="D285" s="8">
        <v>26.6</v>
      </c>
      <c r="E285" s="8">
        <v>0</v>
      </c>
      <c r="F285" s="8" t="s">
        <v>30</v>
      </c>
      <c r="G285" s="8" t="s">
        <v>30</v>
      </c>
      <c r="H285" s="8" t="s">
        <v>30</v>
      </c>
      <c r="I285" s="8" t="s">
        <v>30</v>
      </c>
      <c r="J285" s="8">
        <v>2018</v>
      </c>
      <c r="K285" s="8">
        <v>11</v>
      </c>
    </row>
    <row r="286" spans="1:11" x14ac:dyDescent="0.35">
      <c r="A286" s="13">
        <v>43427</v>
      </c>
      <c r="B286" s="8">
        <v>20.9</v>
      </c>
      <c r="C286" s="8">
        <v>19.600000000000001</v>
      </c>
      <c r="D286" s="8">
        <v>24.8</v>
      </c>
      <c r="E286" s="8">
        <v>0.5</v>
      </c>
      <c r="F286" s="8" t="s">
        <v>30</v>
      </c>
      <c r="G286" s="8" t="s">
        <v>30</v>
      </c>
      <c r="H286" s="8" t="s">
        <v>30</v>
      </c>
      <c r="I286" s="8" t="s">
        <v>30</v>
      </c>
      <c r="J286" s="8">
        <v>2018</v>
      </c>
      <c r="K286" s="8">
        <v>11</v>
      </c>
    </row>
    <row r="287" spans="1:11" x14ac:dyDescent="0.35">
      <c r="A287" s="13">
        <v>43429</v>
      </c>
      <c r="B287" s="8">
        <v>22.6</v>
      </c>
      <c r="C287" s="8">
        <v>19.2</v>
      </c>
      <c r="D287" s="8">
        <v>28.5</v>
      </c>
      <c r="E287" s="8">
        <v>0</v>
      </c>
      <c r="F287" s="8" t="s">
        <v>30</v>
      </c>
      <c r="G287" s="8" t="s">
        <v>30</v>
      </c>
      <c r="H287" s="8" t="s">
        <v>30</v>
      </c>
      <c r="I287" s="8" t="s">
        <v>30</v>
      </c>
      <c r="J287" s="8">
        <v>2018</v>
      </c>
      <c r="K287" s="8">
        <v>11</v>
      </c>
    </row>
    <row r="288" spans="1:11" x14ac:dyDescent="0.35">
      <c r="A288" s="13">
        <v>43439</v>
      </c>
      <c r="B288" s="8">
        <v>23.2</v>
      </c>
      <c r="C288" s="8">
        <v>19.5</v>
      </c>
      <c r="D288" s="8">
        <v>28.1</v>
      </c>
      <c r="E288" s="8">
        <v>4.8</v>
      </c>
      <c r="F288" s="8" t="s">
        <v>30</v>
      </c>
      <c r="G288" s="8" t="s">
        <v>30</v>
      </c>
      <c r="H288" s="8" t="s">
        <v>30</v>
      </c>
      <c r="I288" s="8" t="s">
        <v>30</v>
      </c>
      <c r="J288" s="8">
        <v>2018</v>
      </c>
      <c r="K288" s="8">
        <v>12</v>
      </c>
    </row>
    <row r="289" spans="1:11" x14ac:dyDescent="0.35">
      <c r="A289" s="13">
        <v>43440</v>
      </c>
      <c r="B289" s="8">
        <v>23.5</v>
      </c>
      <c r="C289" s="8">
        <v>20</v>
      </c>
      <c r="D289" s="8">
        <v>28.3</v>
      </c>
      <c r="E289" s="8">
        <v>0</v>
      </c>
      <c r="F289" s="8" t="s">
        <v>30</v>
      </c>
      <c r="G289" s="8" t="s">
        <v>30</v>
      </c>
      <c r="H289" s="8" t="s">
        <v>30</v>
      </c>
      <c r="I289" s="8" t="s">
        <v>30</v>
      </c>
      <c r="J289" s="8">
        <v>2018</v>
      </c>
      <c r="K289" s="8">
        <v>12</v>
      </c>
    </row>
    <row r="290" spans="1:11" x14ac:dyDescent="0.35">
      <c r="A290" s="13">
        <v>43454</v>
      </c>
      <c r="B290" s="8">
        <v>22.2</v>
      </c>
      <c r="C290" s="8">
        <v>17.7</v>
      </c>
      <c r="D290" s="8">
        <v>27.7</v>
      </c>
      <c r="E290" s="8">
        <v>0</v>
      </c>
      <c r="F290" s="8" t="s">
        <v>30</v>
      </c>
      <c r="G290" s="8" t="s">
        <v>30</v>
      </c>
      <c r="H290" s="8" t="s">
        <v>30</v>
      </c>
      <c r="I290" s="8" t="s">
        <v>30</v>
      </c>
      <c r="J290" s="8">
        <v>2018</v>
      </c>
      <c r="K290" s="8">
        <v>12</v>
      </c>
    </row>
    <row r="291" spans="1:11" x14ac:dyDescent="0.35">
      <c r="A291" s="13">
        <v>43464</v>
      </c>
      <c r="B291" s="8">
        <v>20.6</v>
      </c>
      <c r="C291" s="8">
        <v>17.2</v>
      </c>
      <c r="D291" s="8">
        <v>26.6</v>
      </c>
      <c r="E291" s="8">
        <v>0</v>
      </c>
      <c r="F291" s="8" t="s">
        <v>30</v>
      </c>
      <c r="G291" s="8" t="s">
        <v>30</v>
      </c>
      <c r="H291" s="8" t="s">
        <v>30</v>
      </c>
      <c r="I291" s="8" t="s">
        <v>30</v>
      </c>
      <c r="J291" s="8">
        <v>2018</v>
      </c>
      <c r="K291" s="8">
        <v>12</v>
      </c>
    </row>
    <row r="292" spans="1:11" x14ac:dyDescent="0.35">
      <c r="A292" s="13">
        <v>43494</v>
      </c>
      <c r="B292" s="8">
        <v>21.9</v>
      </c>
      <c r="C292" s="8">
        <v>17.7</v>
      </c>
      <c r="D292" s="8">
        <v>29.6</v>
      </c>
      <c r="E292" s="8">
        <v>0.8</v>
      </c>
      <c r="F292" s="8" t="s">
        <v>30</v>
      </c>
      <c r="G292" s="8" t="s">
        <v>30</v>
      </c>
      <c r="H292" s="8" t="s">
        <v>30</v>
      </c>
      <c r="I292" s="8" t="s">
        <v>30</v>
      </c>
      <c r="J292" s="8">
        <v>2019</v>
      </c>
      <c r="K292" s="8">
        <v>1</v>
      </c>
    </row>
    <row r="293" spans="1:11" x14ac:dyDescent="0.35">
      <c r="A293" s="13">
        <v>43495</v>
      </c>
      <c r="B293" s="8">
        <v>22.1</v>
      </c>
      <c r="C293" s="8">
        <v>17.2</v>
      </c>
      <c r="D293" s="8">
        <v>27.4</v>
      </c>
      <c r="E293" s="8">
        <v>0</v>
      </c>
      <c r="F293" s="8" t="s">
        <v>30</v>
      </c>
      <c r="G293" s="8" t="s">
        <v>30</v>
      </c>
      <c r="H293" s="8" t="s">
        <v>30</v>
      </c>
      <c r="I293" s="8" t="s">
        <v>30</v>
      </c>
      <c r="J293" s="8">
        <v>2019</v>
      </c>
      <c r="K293" s="8">
        <v>1</v>
      </c>
    </row>
    <row r="294" spans="1:11" x14ac:dyDescent="0.35">
      <c r="A294" s="13">
        <v>43529</v>
      </c>
      <c r="B294" s="8">
        <v>27.8</v>
      </c>
      <c r="C294" s="8">
        <v>23.1</v>
      </c>
      <c r="D294" s="8">
        <v>34.299999999999997</v>
      </c>
      <c r="E294" s="8">
        <v>0</v>
      </c>
      <c r="F294" s="8" t="s">
        <v>30</v>
      </c>
      <c r="G294" s="8" t="s">
        <v>30</v>
      </c>
      <c r="H294" s="8" t="s">
        <v>30</v>
      </c>
      <c r="I294" s="8" t="s">
        <v>30</v>
      </c>
      <c r="J294" s="8">
        <v>2019</v>
      </c>
      <c r="K294" s="8">
        <v>3</v>
      </c>
    </row>
    <row r="295" spans="1:11" x14ac:dyDescent="0.35">
      <c r="A295" s="13">
        <v>43564</v>
      </c>
      <c r="B295" s="8">
        <v>28.2</v>
      </c>
      <c r="C295" s="8">
        <v>22.8</v>
      </c>
      <c r="D295" s="8">
        <v>35.6</v>
      </c>
      <c r="E295" s="8">
        <v>7.6</v>
      </c>
      <c r="F295" s="8" t="s">
        <v>30</v>
      </c>
      <c r="G295" s="8" t="s">
        <v>30</v>
      </c>
      <c r="H295" s="8" t="s">
        <v>30</v>
      </c>
      <c r="I295" s="8" t="s">
        <v>30</v>
      </c>
      <c r="J295" s="8">
        <v>2019</v>
      </c>
      <c r="K295" s="8">
        <v>4</v>
      </c>
    </row>
    <row r="296" spans="1:11" x14ac:dyDescent="0.35">
      <c r="A296" s="13">
        <v>43575</v>
      </c>
      <c r="B296" s="8">
        <v>26.8</v>
      </c>
      <c r="C296" s="8">
        <v>22.4</v>
      </c>
      <c r="D296" s="8">
        <v>33.200000000000003</v>
      </c>
      <c r="E296" s="8">
        <v>0.3</v>
      </c>
      <c r="F296" s="8" t="s">
        <v>30</v>
      </c>
      <c r="G296" s="8" t="s">
        <v>30</v>
      </c>
      <c r="H296" s="8" t="s">
        <v>30</v>
      </c>
      <c r="I296" s="8" t="s">
        <v>30</v>
      </c>
      <c r="J296" s="8">
        <v>2019</v>
      </c>
      <c r="K296" s="8">
        <v>4</v>
      </c>
    </row>
    <row r="297" spans="1:11" x14ac:dyDescent="0.35">
      <c r="A297" s="13">
        <v>43576</v>
      </c>
      <c r="B297" s="8">
        <v>27.4</v>
      </c>
      <c r="C297" s="8">
        <v>21.6</v>
      </c>
      <c r="D297" s="8">
        <v>34.200000000000003</v>
      </c>
      <c r="E297" s="8">
        <v>0</v>
      </c>
      <c r="F297" s="8" t="s">
        <v>30</v>
      </c>
      <c r="G297" s="8" t="s">
        <v>30</v>
      </c>
      <c r="H297" s="8" t="s">
        <v>30</v>
      </c>
      <c r="I297" s="8" t="s">
        <v>30</v>
      </c>
      <c r="J297" s="8">
        <v>2019</v>
      </c>
      <c r="K297" s="8">
        <v>4</v>
      </c>
    </row>
    <row r="298" spans="1:11" x14ac:dyDescent="0.35">
      <c r="A298" s="13">
        <v>43578</v>
      </c>
      <c r="B298" s="8">
        <v>27.9</v>
      </c>
      <c r="C298" s="8">
        <v>23.2</v>
      </c>
      <c r="D298" s="8">
        <v>35</v>
      </c>
      <c r="E298" s="8">
        <v>0</v>
      </c>
      <c r="F298" s="8" t="s">
        <v>30</v>
      </c>
      <c r="G298" s="8" t="s">
        <v>30</v>
      </c>
      <c r="H298" s="8" t="s">
        <v>30</v>
      </c>
      <c r="I298" s="8" t="s">
        <v>30</v>
      </c>
      <c r="J298" s="8">
        <v>2019</v>
      </c>
      <c r="K298" s="8">
        <v>4</v>
      </c>
    </row>
    <row r="299" spans="1:11" x14ac:dyDescent="0.35">
      <c r="A299" s="13">
        <v>43586</v>
      </c>
      <c r="B299" s="8">
        <v>26.3</v>
      </c>
      <c r="C299" s="8">
        <v>20.9</v>
      </c>
      <c r="D299" s="8">
        <v>28.9</v>
      </c>
      <c r="E299" s="8">
        <v>0</v>
      </c>
      <c r="F299" s="8" t="s">
        <v>30</v>
      </c>
      <c r="G299" s="8" t="s">
        <v>30</v>
      </c>
      <c r="H299" s="8" t="s">
        <v>30</v>
      </c>
      <c r="I299" s="8" t="s">
        <v>30</v>
      </c>
      <c r="J299" s="8">
        <v>2019</v>
      </c>
      <c r="K299" s="8">
        <v>5</v>
      </c>
    </row>
    <row r="300" spans="1:11" x14ac:dyDescent="0.35">
      <c r="A300" s="13">
        <v>43592</v>
      </c>
      <c r="B300" s="8">
        <v>25.5</v>
      </c>
      <c r="C300" s="8">
        <v>21.9</v>
      </c>
      <c r="D300" s="8">
        <v>36.200000000000003</v>
      </c>
      <c r="E300" s="8">
        <v>0</v>
      </c>
      <c r="F300" s="8" t="s">
        <v>30</v>
      </c>
      <c r="G300" s="8" t="s">
        <v>30</v>
      </c>
      <c r="H300" s="8" t="s">
        <v>30</v>
      </c>
      <c r="I300" s="8" t="s">
        <v>30</v>
      </c>
      <c r="J300" s="8">
        <v>2019</v>
      </c>
      <c r="K300" s="8">
        <v>5</v>
      </c>
    </row>
    <row r="301" spans="1:11" x14ac:dyDescent="0.35">
      <c r="A301" s="13">
        <v>43594</v>
      </c>
      <c r="B301" s="8">
        <v>27.9</v>
      </c>
      <c r="C301" s="8">
        <v>20.8</v>
      </c>
      <c r="D301" s="8">
        <v>33.1</v>
      </c>
      <c r="E301" s="8">
        <v>0</v>
      </c>
      <c r="F301" s="8" t="s">
        <v>30</v>
      </c>
      <c r="G301" s="8" t="s">
        <v>30</v>
      </c>
      <c r="H301" s="8" t="s">
        <v>30</v>
      </c>
      <c r="I301" s="8" t="s">
        <v>30</v>
      </c>
      <c r="J301" s="8">
        <v>2019</v>
      </c>
      <c r="K301" s="8">
        <v>5</v>
      </c>
    </row>
    <row r="302" spans="1:11" x14ac:dyDescent="0.35">
      <c r="A302" s="13">
        <v>43598</v>
      </c>
      <c r="B302" s="8">
        <v>26.7</v>
      </c>
      <c r="C302" s="8">
        <v>21.7</v>
      </c>
      <c r="D302" s="8">
        <v>35</v>
      </c>
      <c r="E302" s="8">
        <v>0</v>
      </c>
      <c r="F302" s="8" t="s">
        <v>30</v>
      </c>
      <c r="G302" s="8" t="s">
        <v>30</v>
      </c>
      <c r="H302" s="8" t="s">
        <v>30</v>
      </c>
      <c r="I302" s="8" t="s">
        <v>30</v>
      </c>
      <c r="J302" s="8">
        <v>2019</v>
      </c>
      <c r="K302" s="8">
        <v>5</v>
      </c>
    </row>
    <row r="303" spans="1:11" x14ac:dyDescent="0.35">
      <c r="A303" s="13">
        <v>43599</v>
      </c>
      <c r="B303" s="8">
        <v>27.9</v>
      </c>
      <c r="C303" s="8">
        <v>21.8</v>
      </c>
      <c r="D303" s="8">
        <v>35</v>
      </c>
      <c r="E303" s="8">
        <v>0</v>
      </c>
      <c r="F303" s="8" t="s">
        <v>30</v>
      </c>
      <c r="G303" s="8" t="s">
        <v>30</v>
      </c>
      <c r="H303" s="8" t="s">
        <v>30</v>
      </c>
      <c r="I303" s="8" t="s">
        <v>30</v>
      </c>
      <c r="J303" s="8">
        <v>2019</v>
      </c>
      <c r="K303" s="8">
        <v>5</v>
      </c>
    </row>
    <row r="304" spans="1:11" x14ac:dyDescent="0.35">
      <c r="A304" s="13">
        <v>43600</v>
      </c>
      <c r="B304" s="8">
        <v>25.6</v>
      </c>
      <c r="C304" s="8">
        <v>22.2</v>
      </c>
      <c r="D304" s="8">
        <v>34.799999999999997</v>
      </c>
      <c r="E304" s="8">
        <v>0</v>
      </c>
      <c r="F304" s="8" t="s">
        <v>30</v>
      </c>
      <c r="G304" s="8" t="s">
        <v>30</v>
      </c>
      <c r="H304" s="8" t="s">
        <v>30</v>
      </c>
      <c r="I304" s="8" t="s">
        <v>30</v>
      </c>
      <c r="J304" s="8">
        <v>2019</v>
      </c>
      <c r="K304" s="8">
        <v>5</v>
      </c>
    </row>
    <row r="305" spans="1:11" x14ac:dyDescent="0.35">
      <c r="A305" s="13">
        <v>43602</v>
      </c>
      <c r="B305" s="8">
        <v>24</v>
      </c>
      <c r="C305" s="8">
        <v>21.4</v>
      </c>
      <c r="D305" s="8">
        <v>33.6</v>
      </c>
      <c r="E305" s="8">
        <v>9.9</v>
      </c>
      <c r="F305" s="8" t="s">
        <v>30</v>
      </c>
      <c r="G305" s="8" t="s">
        <v>30</v>
      </c>
      <c r="H305" s="8" t="s">
        <v>30</v>
      </c>
      <c r="I305" s="8" t="s">
        <v>30</v>
      </c>
      <c r="J305" s="8">
        <v>2019</v>
      </c>
      <c r="K305" s="8">
        <v>5</v>
      </c>
    </row>
    <row r="306" spans="1:11" x14ac:dyDescent="0.35">
      <c r="A306" s="13">
        <v>43609</v>
      </c>
      <c r="B306" s="8">
        <v>26.1</v>
      </c>
      <c r="C306" s="8">
        <v>22.4</v>
      </c>
      <c r="D306" s="8">
        <v>34</v>
      </c>
      <c r="E306" s="8">
        <v>3.8</v>
      </c>
      <c r="F306" s="8" t="s">
        <v>30</v>
      </c>
      <c r="G306" s="8" t="s">
        <v>30</v>
      </c>
      <c r="H306" s="8" t="s">
        <v>30</v>
      </c>
      <c r="I306" s="8" t="s">
        <v>30</v>
      </c>
      <c r="J306" s="8">
        <v>2019</v>
      </c>
      <c r="K306" s="8">
        <v>5</v>
      </c>
    </row>
    <row r="307" spans="1:11" x14ac:dyDescent="0.35">
      <c r="A307" s="13">
        <v>43610</v>
      </c>
      <c r="B307" s="8">
        <v>24.8</v>
      </c>
      <c r="C307" s="8">
        <v>21</v>
      </c>
      <c r="D307" s="8">
        <v>33.5</v>
      </c>
      <c r="E307" s="8">
        <v>0</v>
      </c>
      <c r="F307" s="8" t="s">
        <v>30</v>
      </c>
      <c r="G307" s="8" t="s">
        <v>30</v>
      </c>
      <c r="H307" s="8" t="s">
        <v>30</v>
      </c>
      <c r="I307" s="8" t="s">
        <v>30</v>
      </c>
      <c r="J307" s="8">
        <v>2019</v>
      </c>
      <c r="K307" s="8">
        <v>5</v>
      </c>
    </row>
    <row r="308" spans="1:11" x14ac:dyDescent="0.35">
      <c r="A308" s="13">
        <v>43614</v>
      </c>
      <c r="B308" s="8">
        <v>27.9</v>
      </c>
      <c r="C308" s="8">
        <v>23</v>
      </c>
      <c r="D308" s="8">
        <v>33.6</v>
      </c>
      <c r="E308" s="8">
        <v>0.3</v>
      </c>
      <c r="F308" s="8" t="s">
        <v>30</v>
      </c>
      <c r="G308" s="8" t="s">
        <v>30</v>
      </c>
      <c r="H308" s="8" t="s">
        <v>30</v>
      </c>
      <c r="I308" s="8" t="s">
        <v>30</v>
      </c>
      <c r="J308" s="8">
        <v>2019</v>
      </c>
      <c r="K308" s="8">
        <v>5</v>
      </c>
    </row>
    <row r="309" spans="1:11" x14ac:dyDescent="0.35">
      <c r="A309" s="13">
        <v>43615</v>
      </c>
      <c r="B309" s="8">
        <v>27.8</v>
      </c>
      <c r="C309" s="8">
        <v>23</v>
      </c>
      <c r="D309" s="8">
        <v>34</v>
      </c>
      <c r="E309" s="8">
        <v>0</v>
      </c>
      <c r="F309" s="8" t="s">
        <v>30</v>
      </c>
      <c r="G309" s="8" t="s">
        <v>30</v>
      </c>
      <c r="H309" s="8" t="s">
        <v>30</v>
      </c>
      <c r="I309" s="8" t="s">
        <v>30</v>
      </c>
      <c r="J309" s="8">
        <v>2019</v>
      </c>
      <c r="K309" s="8">
        <v>5</v>
      </c>
    </row>
    <row r="310" spans="1:11" x14ac:dyDescent="0.35">
      <c r="A310" s="13">
        <v>43617</v>
      </c>
      <c r="B310" s="8">
        <v>27.5</v>
      </c>
      <c r="C310" s="8">
        <v>21</v>
      </c>
      <c r="D310" s="8">
        <v>33.200000000000003</v>
      </c>
      <c r="E310" s="8">
        <v>1.5</v>
      </c>
      <c r="F310" s="8" t="s">
        <v>30</v>
      </c>
      <c r="G310" s="8" t="s">
        <v>30</v>
      </c>
      <c r="H310" s="8" t="s">
        <v>30</v>
      </c>
      <c r="I310" s="8" t="s">
        <v>30</v>
      </c>
      <c r="J310" s="8">
        <v>2019</v>
      </c>
      <c r="K310" s="8">
        <v>6</v>
      </c>
    </row>
    <row r="311" spans="1:11" x14ac:dyDescent="0.35">
      <c r="A311" s="13">
        <v>43618</v>
      </c>
      <c r="B311" s="8">
        <v>26.2</v>
      </c>
      <c r="C311" s="8">
        <v>21.8</v>
      </c>
      <c r="D311" s="8">
        <v>33.200000000000003</v>
      </c>
      <c r="E311" s="8">
        <v>0</v>
      </c>
      <c r="F311" s="8" t="s">
        <v>30</v>
      </c>
      <c r="G311" s="8" t="s">
        <v>30</v>
      </c>
      <c r="H311" s="8" t="s">
        <v>30</v>
      </c>
      <c r="I311" s="8" t="s">
        <v>30</v>
      </c>
      <c r="J311" s="8">
        <v>2019</v>
      </c>
      <c r="K311" s="8">
        <v>6</v>
      </c>
    </row>
    <row r="312" spans="1:11" x14ac:dyDescent="0.35">
      <c r="A312" s="13">
        <v>43619</v>
      </c>
      <c r="B312" s="8">
        <v>25.5</v>
      </c>
      <c r="C312" s="8">
        <v>21.2</v>
      </c>
      <c r="D312" s="8">
        <v>32.1</v>
      </c>
      <c r="E312" s="8">
        <v>8.4</v>
      </c>
      <c r="F312" s="8" t="s">
        <v>30</v>
      </c>
      <c r="G312" s="8" t="s">
        <v>30</v>
      </c>
      <c r="H312" s="8" t="s">
        <v>30</v>
      </c>
      <c r="I312" s="8" t="s">
        <v>30</v>
      </c>
      <c r="J312" s="8">
        <v>2019</v>
      </c>
      <c r="K312" s="8">
        <v>6</v>
      </c>
    </row>
    <row r="313" spans="1:11" x14ac:dyDescent="0.35">
      <c r="A313" s="13">
        <v>43620</v>
      </c>
      <c r="B313" s="8">
        <v>26.9</v>
      </c>
      <c r="C313" s="8">
        <v>22.1</v>
      </c>
      <c r="D313" s="8">
        <v>30.5</v>
      </c>
      <c r="E313" s="8">
        <v>0</v>
      </c>
      <c r="F313" s="8" t="s">
        <v>30</v>
      </c>
      <c r="G313" s="8" t="s">
        <v>30</v>
      </c>
      <c r="H313" s="8" t="s">
        <v>30</v>
      </c>
      <c r="I313" s="8" t="s">
        <v>30</v>
      </c>
      <c r="J313" s="8">
        <v>2019</v>
      </c>
      <c r="K313" s="8">
        <v>6</v>
      </c>
    </row>
    <row r="314" spans="1:11" x14ac:dyDescent="0.35">
      <c r="A314" s="13">
        <v>43624</v>
      </c>
      <c r="B314" s="8">
        <v>26.3</v>
      </c>
      <c r="C314" s="8">
        <v>22.5</v>
      </c>
      <c r="D314" s="8">
        <v>31.5</v>
      </c>
      <c r="E314" s="8">
        <v>0</v>
      </c>
      <c r="F314" s="8" t="s">
        <v>30</v>
      </c>
      <c r="G314" s="8" t="s">
        <v>30</v>
      </c>
      <c r="H314" s="8" t="s">
        <v>30</v>
      </c>
      <c r="I314" s="8" t="s">
        <v>30</v>
      </c>
      <c r="J314" s="8">
        <v>2019</v>
      </c>
      <c r="K314" s="8">
        <v>6</v>
      </c>
    </row>
    <row r="315" spans="1:11" x14ac:dyDescent="0.35">
      <c r="A315" s="13">
        <v>43629</v>
      </c>
      <c r="B315" s="8">
        <v>24.8</v>
      </c>
      <c r="C315" s="8">
        <v>22</v>
      </c>
      <c r="D315" s="8">
        <v>29.4</v>
      </c>
      <c r="E315" s="8">
        <v>0</v>
      </c>
      <c r="F315" s="8" t="s">
        <v>30</v>
      </c>
      <c r="G315" s="8" t="s">
        <v>30</v>
      </c>
      <c r="H315" s="8" t="s">
        <v>30</v>
      </c>
      <c r="I315" s="8" t="s">
        <v>30</v>
      </c>
      <c r="J315" s="8">
        <v>2019</v>
      </c>
      <c r="K315" s="8">
        <v>6</v>
      </c>
    </row>
    <row r="316" spans="1:11" x14ac:dyDescent="0.35">
      <c r="A316" s="13">
        <v>43635</v>
      </c>
      <c r="B316" s="8">
        <v>26.6</v>
      </c>
      <c r="C316" s="8">
        <v>21.5</v>
      </c>
      <c r="D316" s="8">
        <v>31.2</v>
      </c>
      <c r="E316" s="8">
        <v>0</v>
      </c>
      <c r="F316" s="8" t="s">
        <v>30</v>
      </c>
      <c r="G316" s="8" t="s">
        <v>30</v>
      </c>
      <c r="H316" s="8" t="s">
        <v>30</v>
      </c>
      <c r="I316" s="8" t="s">
        <v>30</v>
      </c>
      <c r="J316" s="8">
        <v>2019</v>
      </c>
      <c r="K316" s="8">
        <v>6</v>
      </c>
    </row>
    <row r="317" spans="1:11" x14ac:dyDescent="0.35">
      <c r="A317" s="13">
        <v>43636</v>
      </c>
      <c r="B317" s="8">
        <v>25.7</v>
      </c>
      <c r="C317" s="8">
        <v>22.2</v>
      </c>
      <c r="D317" s="8">
        <v>32.299999999999997</v>
      </c>
      <c r="E317" s="8">
        <v>1.3</v>
      </c>
      <c r="F317" s="8" t="s">
        <v>30</v>
      </c>
      <c r="G317" s="8" t="s">
        <v>30</v>
      </c>
      <c r="H317" s="8" t="s">
        <v>30</v>
      </c>
      <c r="I317" s="8" t="s">
        <v>30</v>
      </c>
      <c r="J317" s="8">
        <v>2019</v>
      </c>
      <c r="K317" s="8">
        <v>6</v>
      </c>
    </row>
    <row r="318" spans="1:11" x14ac:dyDescent="0.35">
      <c r="A318" s="13">
        <v>43637</v>
      </c>
      <c r="B318" s="8">
        <v>24.6</v>
      </c>
      <c r="C318" s="8">
        <v>20.7</v>
      </c>
      <c r="D318" s="8">
        <v>30.6</v>
      </c>
      <c r="E318" s="8">
        <v>0</v>
      </c>
      <c r="F318" s="8" t="s">
        <v>30</v>
      </c>
      <c r="G318" s="8" t="s">
        <v>30</v>
      </c>
      <c r="H318" s="8" t="s">
        <v>30</v>
      </c>
      <c r="I318" s="8" t="s">
        <v>30</v>
      </c>
      <c r="J318" s="8">
        <v>2019</v>
      </c>
      <c r="K318" s="8">
        <v>6</v>
      </c>
    </row>
    <row r="319" spans="1:11" x14ac:dyDescent="0.35">
      <c r="A319" s="13">
        <v>43638</v>
      </c>
      <c r="B319" s="8">
        <v>25.1</v>
      </c>
      <c r="C319" s="8">
        <v>21.6</v>
      </c>
      <c r="D319" s="8">
        <v>29.4</v>
      </c>
      <c r="E319" s="8">
        <v>0</v>
      </c>
      <c r="F319" s="8" t="s">
        <v>30</v>
      </c>
      <c r="G319" s="8" t="s">
        <v>30</v>
      </c>
      <c r="H319" s="8" t="s">
        <v>30</v>
      </c>
      <c r="I319" s="8" t="s">
        <v>30</v>
      </c>
      <c r="J319" s="8">
        <v>2019</v>
      </c>
      <c r="K319" s="8">
        <v>6</v>
      </c>
    </row>
    <row r="320" spans="1:11" x14ac:dyDescent="0.35">
      <c r="A320" s="13">
        <v>43639</v>
      </c>
      <c r="B320" s="8">
        <v>23.8</v>
      </c>
      <c r="C320" s="8">
        <v>20.8</v>
      </c>
      <c r="D320" s="8">
        <v>29.4</v>
      </c>
      <c r="E320" s="8">
        <v>3</v>
      </c>
      <c r="F320" s="8" t="s">
        <v>30</v>
      </c>
      <c r="G320" s="8" t="s">
        <v>30</v>
      </c>
      <c r="H320" s="8" t="s">
        <v>30</v>
      </c>
      <c r="I320" s="8" t="s">
        <v>30</v>
      </c>
      <c r="J320" s="8">
        <v>2019</v>
      </c>
      <c r="K320" s="8">
        <v>6</v>
      </c>
    </row>
    <row r="321" spans="1:11" x14ac:dyDescent="0.35">
      <c r="A321" s="13">
        <v>43641</v>
      </c>
      <c r="B321" s="8">
        <v>25</v>
      </c>
      <c r="C321" s="8">
        <v>21.4</v>
      </c>
      <c r="D321" s="8">
        <v>29.7</v>
      </c>
      <c r="E321" s="8">
        <v>0</v>
      </c>
      <c r="F321" s="8" t="s">
        <v>30</v>
      </c>
      <c r="G321" s="8" t="s">
        <v>30</v>
      </c>
      <c r="H321" s="8" t="s">
        <v>30</v>
      </c>
      <c r="I321" s="8" t="s">
        <v>30</v>
      </c>
      <c r="J321" s="8">
        <v>2019</v>
      </c>
      <c r="K321" s="8">
        <v>6</v>
      </c>
    </row>
    <row r="322" spans="1:11" x14ac:dyDescent="0.35">
      <c r="A322" s="13">
        <v>43642</v>
      </c>
      <c r="B322" s="8">
        <v>24.6</v>
      </c>
      <c r="C322" s="8">
        <v>21.6</v>
      </c>
      <c r="D322" s="8">
        <v>29.8</v>
      </c>
      <c r="E322" s="8">
        <v>0</v>
      </c>
      <c r="F322" s="8" t="s">
        <v>30</v>
      </c>
      <c r="G322" s="8" t="s">
        <v>30</v>
      </c>
      <c r="H322" s="8" t="s">
        <v>30</v>
      </c>
      <c r="I322" s="8" t="s">
        <v>30</v>
      </c>
      <c r="J322" s="8">
        <v>2019</v>
      </c>
      <c r="K322" s="8">
        <v>6</v>
      </c>
    </row>
    <row r="323" spans="1:11" x14ac:dyDescent="0.35">
      <c r="A323" s="13">
        <v>43644</v>
      </c>
      <c r="B323" s="8">
        <v>25.2</v>
      </c>
      <c r="C323" s="8">
        <v>21</v>
      </c>
      <c r="D323" s="8">
        <v>31</v>
      </c>
      <c r="E323" s="8">
        <v>2</v>
      </c>
      <c r="F323" s="8" t="s">
        <v>30</v>
      </c>
      <c r="G323" s="8" t="s">
        <v>30</v>
      </c>
      <c r="H323" s="8" t="s">
        <v>30</v>
      </c>
      <c r="I323" s="8" t="s">
        <v>30</v>
      </c>
      <c r="J323" s="8">
        <v>2019</v>
      </c>
      <c r="K323" s="8">
        <v>6</v>
      </c>
    </row>
    <row r="324" spans="1:11" x14ac:dyDescent="0.35">
      <c r="A324" s="13">
        <v>43645</v>
      </c>
      <c r="B324" s="8">
        <v>25.1</v>
      </c>
      <c r="C324" s="8">
        <v>21</v>
      </c>
      <c r="D324" s="8">
        <v>31.2</v>
      </c>
      <c r="E324" s="8">
        <v>0</v>
      </c>
      <c r="F324" s="8" t="s">
        <v>30</v>
      </c>
      <c r="G324" s="8" t="s">
        <v>30</v>
      </c>
      <c r="H324" s="8" t="s">
        <v>30</v>
      </c>
      <c r="I324" s="8" t="s">
        <v>30</v>
      </c>
      <c r="J324" s="8">
        <v>2019</v>
      </c>
      <c r="K324" s="8">
        <v>6</v>
      </c>
    </row>
    <row r="325" spans="1:11" x14ac:dyDescent="0.35">
      <c r="A325" s="13">
        <v>43647</v>
      </c>
      <c r="B325" s="8">
        <v>25.6</v>
      </c>
      <c r="C325" s="8">
        <v>21</v>
      </c>
      <c r="D325" s="8">
        <v>29.8</v>
      </c>
      <c r="E325" s="8">
        <v>0</v>
      </c>
      <c r="F325" s="8" t="s">
        <v>30</v>
      </c>
      <c r="G325" s="8" t="s">
        <v>30</v>
      </c>
      <c r="H325" s="8" t="s">
        <v>30</v>
      </c>
      <c r="I325" s="8" t="s">
        <v>30</v>
      </c>
      <c r="J325" s="8">
        <v>2019</v>
      </c>
      <c r="K325" s="8">
        <v>7</v>
      </c>
    </row>
    <row r="326" spans="1:11" x14ac:dyDescent="0.35">
      <c r="A326" s="13">
        <v>43649</v>
      </c>
      <c r="B326" s="8">
        <v>25.4</v>
      </c>
      <c r="C326" s="8">
        <v>21.4</v>
      </c>
      <c r="D326" s="8">
        <v>30.8</v>
      </c>
      <c r="E326" s="8">
        <v>0</v>
      </c>
      <c r="F326" s="8" t="s">
        <v>30</v>
      </c>
      <c r="G326" s="8" t="s">
        <v>30</v>
      </c>
      <c r="H326" s="8" t="s">
        <v>30</v>
      </c>
      <c r="I326" s="8" t="s">
        <v>30</v>
      </c>
      <c r="J326" s="8">
        <v>2019</v>
      </c>
      <c r="K326" s="8">
        <v>7</v>
      </c>
    </row>
    <row r="327" spans="1:11" x14ac:dyDescent="0.35">
      <c r="A327" s="13">
        <v>43651</v>
      </c>
      <c r="B327" s="8">
        <v>23.7</v>
      </c>
      <c r="C327" s="8">
        <v>20.8</v>
      </c>
      <c r="D327" s="8">
        <v>30.3</v>
      </c>
      <c r="E327" s="8">
        <v>0</v>
      </c>
      <c r="F327" s="8" t="s">
        <v>30</v>
      </c>
      <c r="G327" s="8" t="s">
        <v>30</v>
      </c>
      <c r="H327" s="8" t="s">
        <v>30</v>
      </c>
      <c r="I327" s="8" t="s">
        <v>30</v>
      </c>
      <c r="J327" s="8">
        <v>2019</v>
      </c>
      <c r="K327" s="8">
        <v>7</v>
      </c>
    </row>
    <row r="328" spans="1:11" x14ac:dyDescent="0.35">
      <c r="A328" s="13">
        <v>43653</v>
      </c>
      <c r="B328" s="8">
        <v>24.5</v>
      </c>
      <c r="C328" s="8">
        <v>20.7</v>
      </c>
      <c r="D328" s="8">
        <v>28.6</v>
      </c>
      <c r="E328" s="8">
        <v>1</v>
      </c>
      <c r="F328" s="8" t="s">
        <v>30</v>
      </c>
      <c r="G328" s="8" t="s">
        <v>30</v>
      </c>
      <c r="H328" s="8" t="s">
        <v>30</v>
      </c>
      <c r="I328" s="8" t="s">
        <v>30</v>
      </c>
      <c r="J328" s="8">
        <v>2019</v>
      </c>
      <c r="K328" s="8">
        <v>7</v>
      </c>
    </row>
    <row r="329" spans="1:11" x14ac:dyDescent="0.35">
      <c r="A329" s="13">
        <v>43654</v>
      </c>
      <c r="B329" s="8">
        <v>24.4</v>
      </c>
      <c r="C329" s="8">
        <v>20.6</v>
      </c>
      <c r="D329" s="8">
        <v>29.2</v>
      </c>
      <c r="E329" s="8">
        <v>0</v>
      </c>
      <c r="F329" s="8" t="s">
        <v>30</v>
      </c>
      <c r="G329" s="8" t="s">
        <v>30</v>
      </c>
      <c r="H329" s="8" t="s">
        <v>30</v>
      </c>
      <c r="I329" s="8" t="s">
        <v>30</v>
      </c>
      <c r="J329" s="8">
        <v>2019</v>
      </c>
      <c r="K329" s="8">
        <v>7</v>
      </c>
    </row>
    <row r="330" spans="1:11" x14ac:dyDescent="0.35">
      <c r="A330" s="13">
        <v>43655</v>
      </c>
      <c r="B330" s="8">
        <v>23.8</v>
      </c>
      <c r="C330" s="8">
        <v>20</v>
      </c>
      <c r="D330" s="8">
        <v>29.5</v>
      </c>
      <c r="E330" s="8">
        <v>0</v>
      </c>
      <c r="F330" s="8" t="s">
        <v>30</v>
      </c>
      <c r="G330" s="8" t="s">
        <v>30</v>
      </c>
      <c r="H330" s="8" t="s">
        <v>30</v>
      </c>
      <c r="I330" s="8" t="s">
        <v>30</v>
      </c>
      <c r="J330" s="8">
        <v>2019</v>
      </c>
      <c r="K330" s="8">
        <v>7</v>
      </c>
    </row>
    <row r="331" spans="1:11" x14ac:dyDescent="0.35">
      <c r="A331" s="13">
        <v>43656</v>
      </c>
      <c r="B331" s="8">
        <v>23.2</v>
      </c>
      <c r="C331" s="8">
        <v>19.5</v>
      </c>
      <c r="D331" s="8">
        <v>29.6</v>
      </c>
      <c r="E331" s="8">
        <v>0</v>
      </c>
      <c r="F331" s="8" t="s">
        <v>30</v>
      </c>
      <c r="G331" s="8" t="s">
        <v>30</v>
      </c>
      <c r="H331" s="8" t="s">
        <v>30</v>
      </c>
      <c r="I331" s="8" t="s">
        <v>30</v>
      </c>
      <c r="J331" s="8">
        <v>2019</v>
      </c>
      <c r="K331" s="8">
        <v>7</v>
      </c>
    </row>
    <row r="332" spans="1:11" x14ac:dyDescent="0.35">
      <c r="A332" s="13">
        <v>43657</v>
      </c>
      <c r="B332" s="8">
        <v>24.2</v>
      </c>
      <c r="C332" s="8">
        <v>20.2</v>
      </c>
      <c r="D332" s="8">
        <v>29.4</v>
      </c>
      <c r="E332" s="8">
        <v>0</v>
      </c>
      <c r="F332" s="8" t="s">
        <v>30</v>
      </c>
      <c r="G332" s="8" t="s">
        <v>30</v>
      </c>
      <c r="H332" s="8" t="s">
        <v>30</v>
      </c>
      <c r="I332" s="8" t="s">
        <v>30</v>
      </c>
      <c r="J332" s="8">
        <v>2019</v>
      </c>
      <c r="K332" s="8">
        <v>7</v>
      </c>
    </row>
    <row r="333" spans="1:11" x14ac:dyDescent="0.35">
      <c r="A333" s="13">
        <v>43658</v>
      </c>
      <c r="B333" s="8">
        <v>25.3</v>
      </c>
      <c r="C333" s="8">
        <v>20.8</v>
      </c>
      <c r="D333" s="8">
        <v>31.4</v>
      </c>
      <c r="E333" s="8">
        <v>7.1</v>
      </c>
      <c r="F333" s="8" t="s">
        <v>30</v>
      </c>
      <c r="G333" s="8" t="s">
        <v>30</v>
      </c>
      <c r="H333" s="8" t="s">
        <v>30</v>
      </c>
      <c r="I333" s="8" t="s">
        <v>30</v>
      </c>
      <c r="J333" s="8">
        <v>2019</v>
      </c>
      <c r="K333" s="8">
        <v>7</v>
      </c>
    </row>
    <row r="334" spans="1:11" x14ac:dyDescent="0.35">
      <c r="A334" s="13">
        <v>43659</v>
      </c>
      <c r="B334" s="8">
        <v>25.2</v>
      </c>
      <c r="C334" s="8">
        <v>21</v>
      </c>
      <c r="D334" s="8">
        <v>31.2</v>
      </c>
      <c r="E334" s="8">
        <v>2.5</v>
      </c>
      <c r="F334" s="8" t="s">
        <v>30</v>
      </c>
      <c r="G334" s="8" t="s">
        <v>30</v>
      </c>
      <c r="H334" s="8" t="s">
        <v>30</v>
      </c>
      <c r="I334" s="8" t="s">
        <v>30</v>
      </c>
      <c r="J334" s="8">
        <v>2019</v>
      </c>
      <c r="K334" s="8">
        <v>7</v>
      </c>
    </row>
    <row r="335" spans="1:11" x14ac:dyDescent="0.35">
      <c r="A335" s="13">
        <v>43660</v>
      </c>
      <c r="B335" s="8">
        <v>24.7</v>
      </c>
      <c r="C335" s="8">
        <v>21.3</v>
      </c>
      <c r="D335" s="8">
        <v>30</v>
      </c>
      <c r="E335" s="8">
        <v>1</v>
      </c>
      <c r="F335" s="8" t="s">
        <v>30</v>
      </c>
      <c r="G335" s="8" t="s">
        <v>30</v>
      </c>
      <c r="H335" s="8" t="s">
        <v>30</v>
      </c>
      <c r="I335" s="8" t="s">
        <v>30</v>
      </c>
      <c r="J335" s="8">
        <v>2019</v>
      </c>
      <c r="K335" s="8">
        <v>7</v>
      </c>
    </row>
    <row r="336" spans="1:11" x14ac:dyDescent="0.35">
      <c r="A336" s="13">
        <v>43661</v>
      </c>
      <c r="B336" s="8">
        <v>24.2</v>
      </c>
      <c r="C336" s="8">
        <v>21.4</v>
      </c>
      <c r="D336" s="8">
        <v>30.8</v>
      </c>
      <c r="E336" s="8">
        <v>0.3</v>
      </c>
      <c r="F336" s="8" t="s">
        <v>30</v>
      </c>
      <c r="G336" s="8" t="s">
        <v>30</v>
      </c>
      <c r="H336" s="8" t="s">
        <v>30</v>
      </c>
      <c r="I336" s="8" t="s">
        <v>30</v>
      </c>
      <c r="J336" s="8">
        <v>2019</v>
      </c>
      <c r="K336" s="8">
        <v>7</v>
      </c>
    </row>
    <row r="337" spans="1:11" x14ac:dyDescent="0.35">
      <c r="A337" s="13">
        <v>43662</v>
      </c>
      <c r="B337" s="8">
        <v>24.8</v>
      </c>
      <c r="C337" s="8">
        <v>21</v>
      </c>
      <c r="D337" s="8">
        <v>30.4</v>
      </c>
      <c r="E337" s="8">
        <v>3</v>
      </c>
      <c r="F337" s="8" t="s">
        <v>30</v>
      </c>
      <c r="G337" s="8" t="s">
        <v>30</v>
      </c>
      <c r="H337" s="8" t="s">
        <v>30</v>
      </c>
      <c r="I337" s="8" t="s">
        <v>30</v>
      </c>
      <c r="J337" s="8">
        <v>2019</v>
      </c>
      <c r="K337" s="8">
        <v>7</v>
      </c>
    </row>
    <row r="338" spans="1:11" x14ac:dyDescent="0.35">
      <c r="A338" s="13">
        <v>43663</v>
      </c>
      <c r="B338" s="8">
        <v>24.8</v>
      </c>
      <c r="C338" s="8">
        <v>21</v>
      </c>
      <c r="D338" s="8">
        <v>30.3</v>
      </c>
      <c r="E338" s="8">
        <v>3</v>
      </c>
      <c r="F338" s="8" t="s">
        <v>30</v>
      </c>
      <c r="G338" s="8" t="s">
        <v>30</v>
      </c>
      <c r="H338" s="8" t="s">
        <v>30</v>
      </c>
      <c r="I338" s="8" t="s">
        <v>30</v>
      </c>
      <c r="J338" s="8">
        <v>2019</v>
      </c>
      <c r="K338" s="8">
        <v>7</v>
      </c>
    </row>
    <row r="339" spans="1:11" x14ac:dyDescent="0.35">
      <c r="A339" s="13">
        <v>43665</v>
      </c>
      <c r="B339" s="8">
        <v>23.6</v>
      </c>
      <c r="C339" s="8">
        <v>21.6</v>
      </c>
      <c r="D339" s="8">
        <v>28.4</v>
      </c>
      <c r="E339" s="8">
        <v>1</v>
      </c>
      <c r="F339" s="8" t="s">
        <v>30</v>
      </c>
      <c r="G339" s="8" t="s">
        <v>30</v>
      </c>
      <c r="H339" s="8" t="s">
        <v>30</v>
      </c>
      <c r="I339" s="8" t="s">
        <v>30</v>
      </c>
      <c r="J339" s="8">
        <v>2019</v>
      </c>
      <c r="K339" s="8">
        <v>7</v>
      </c>
    </row>
    <row r="340" spans="1:11" x14ac:dyDescent="0.35">
      <c r="A340" s="13">
        <v>43666</v>
      </c>
      <c r="B340" s="8">
        <v>23.4</v>
      </c>
      <c r="C340" s="8">
        <v>20.6</v>
      </c>
      <c r="D340" s="8">
        <v>28.4</v>
      </c>
      <c r="E340" s="8">
        <v>1.3</v>
      </c>
      <c r="F340" s="8" t="s">
        <v>30</v>
      </c>
      <c r="G340" s="8" t="s">
        <v>30</v>
      </c>
      <c r="H340" s="8" t="s">
        <v>30</v>
      </c>
      <c r="I340" s="8" t="s">
        <v>30</v>
      </c>
      <c r="J340" s="8">
        <v>2019</v>
      </c>
      <c r="K340" s="8">
        <v>7</v>
      </c>
    </row>
    <row r="341" spans="1:11" x14ac:dyDescent="0.35">
      <c r="A341" s="13">
        <v>43667</v>
      </c>
      <c r="B341" s="8">
        <v>23</v>
      </c>
      <c r="C341" s="8">
        <v>20.6</v>
      </c>
      <c r="D341" s="8">
        <v>27.7</v>
      </c>
      <c r="E341" s="8">
        <v>0</v>
      </c>
      <c r="F341" s="8" t="s">
        <v>30</v>
      </c>
      <c r="G341" s="8" t="s">
        <v>30</v>
      </c>
      <c r="H341" s="8" t="s">
        <v>30</v>
      </c>
      <c r="I341" s="8" t="s">
        <v>30</v>
      </c>
      <c r="J341" s="8">
        <v>2019</v>
      </c>
      <c r="K341" s="8">
        <v>7</v>
      </c>
    </row>
    <row r="342" spans="1:11" x14ac:dyDescent="0.35">
      <c r="A342" s="13">
        <v>43668</v>
      </c>
      <c r="B342" s="8">
        <v>22.2</v>
      </c>
      <c r="C342" s="8">
        <v>19.899999999999999</v>
      </c>
      <c r="D342" s="8">
        <v>27.6</v>
      </c>
      <c r="E342" s="8">
        <v>3.3</v>
      </c>
      <c r="F342" s="8" t="s">
        <v>30</v>
      </c>
      <c r="G342" s="8" t="s">
        <v>30</v>
      </c>
      <c r="H342" s="8" t="s">
        <v>30</v>
      </c>
      <c r="I342" s="8" t="s">
        <v>30</v>
      </c>
      <c r="J342" s="8">
        <v>2019</v>
      </c>
      <c r="K342" s="8">
        <v>7</v>
      </c>
    </row>
    <row r="343" spans="1:11" x14ac:dyDescent="0.35">
      <c r="A343" s="13">
        <v>43670</v>
      </c>
      <c r="B343" s="8">
        <v>24.3</v>
      </c>
      <c r="C343" s="8">
        <v>20</v>
      </c>
      <c r="D343" s="8">
        <v>29.7</v>
      </c>
      <c r="E343" s="8">
        <v>0.3</v>
      </c>
      <c r="F343" s="8" t="s">
        <v>30</v>
      </c>
      <c r="G343" s="8" t="s">
        <v>30</v>
      </c>
      <c r="H343" s="8" t="s">
        <v>30</v>
      </c>
      <c r="I343" s="8" t="s">
        <v>30</v>
      </c>
      <c r="J343" s="8">
        <v>2019</v>
      </c>
      <c r="K343" s="8">
        <v>7</v>
      </c>
    </row>
    <row r="344" spans="1:11" x14ac:dyDescent="0.35">
      <c r="A344" s="13">
        <v>43671</v>
      </c>
      <c r="B344" s="8">
        <v>23.8</v>
      </c>
      <c r="C344" s="8">
        <v>21.3</v>
      </c>
      <c r="D344" s="8">
        <v>29.5</v>
      </c>
      <c r="E344" s="8">
        <v>1</v>
      </c>
      <c r="F344" s="8" t="s">
        <v>30</v>
      </c>
      <c r="G344" s="8" t="s">
        <v>30</v>
      </c>
      <c r="H344" s="8" t="s">
        <v>30</v>
      </c>
      <c r="I344" s="8" t="s">
        <v>30</v>
      </c>
      <c r="J344" s="8">
        <v>2019</v>
      </c>
      <c r="K344" s="8">
        <v>7</v>
      </c>
    </row>
    <row r="345" spans="1:11" x14ac:dyDescent="0.35">
      <c r="A345" s="13">
        <v>43673</v>
      </c>
      <c r="B345" s="8">
        <v>24.1</v>
      </c>
      <c r="C345" s="8">
        <v>20.399999999999999</v>
      </c>
      <c r="D345" s="8">
        <v>28.3</v>
      </c>
      <c r="E345" s="8">
        <v>0</v>
      </c>
      <c r="F345" s="8" t="s">
        <v>30</v>
      </c>
      <c r="G345" s="8" t="s">
        <v>30</v>
      </c>
      <c r="H345" s="8" t="s">
        <v>30</v>
      </c>
      <c r="I345" s="8" t="s">
        <v>30</v>
      </c>
      <c r="J345" s="8">
        <v>2019</v>
      </c>
      <c r="K345" s="8">
        <v>7</v>
      </c>
    </row>
    <row r="346" spans="1:11" x14ac:dyDescent="0.35">
      <c r="A346" s="13">
        <v>43674</v>
      </c>
      <c r="B346" s="8">
        <v>23.4</v>
      </c>
      <c r="C346" s="8">
        <v>20.6</v>
      </c>
      <c r="D346" s="8">
        <v>29</v>
      </c>
      <c r="E346" s="8">
        <v>0</v>
      </c>
      <c r="F346" s="8" t="s">
        <v>30</v>
      </c>
      <c r="G346" s="8" t="s">
        <v>30</v>
      </c>
      <c r="H346" s="8" t="s">
        <v>30</v>
      </c>
      <c r="I346" s="8" t="s">
        <v>30</v>
      </c>
      <c r="J346" s="8">
        <v>2019</v>
      </c>
      <c r="K346" s="8">
        <v>7</v>
      </c>
    </row>
    <row r="347" spans="1:11" x14ac:dyDescent="0.35">
      <c r="A347" s="13">
        <v>43675</v>
      </c>
      <c r="B347" s="8">
        <v>23.4</v>
      </c>
      <c r="C347" s="8">
        <v>20.8</v>
      </c>
      <c r="D347" s="8">
        <v>28.2</v>
      </c>
      <c r="E347" s="8">
        <v>0</v>
      </c>
      <c r="F347" s="8" t="s">
        <v>30</v>
      </c>
      <c r="G347" s="8" t="s">
        <v>30</v>
      </c>
      <c r="H347" s="8" t="s">
        <v>30</v>
      </c>
      <c r="I347" s="8" t="s">
        <v>30</v>
      </c>
      <c r="J347" s="8">
        <v>2019</v>
      </c>
      <c r="K347" s="8">
        <v>7</v>
      </c>
    </row>
    <row r="348" spans="1:11" x14ac:dyDescent="0.35">
      <c r="A348" s="13">
        <v>43676</v>
      </c>
      <c r="B348" s="8">
        <v>22.9</v>
      </c>
      <c r="C348" s="8">
        <v>20.100000000000001</v>
      </c>
      <c r="D348" s="8">
        <v>27.6</v>
      </c>
      <c r="E348" s="8">
        <v>0</v>
      </c>
      <c r="F348" s="8" t="s">
        <v>30</v>
      </c>
      <c r="G348" s="8" t="s">
        <v>30</v>
      </c>
      <c r="H348" s="8" t="s">
        <v>30</v>
      </c>
      <c r="I348" s="8" t="s">
        <v>30</v>
      </c>
      <c r="J348" s="8">
        <v>2019</v>
      </c>
      <c r="K348" s="8">
        <v>7</v>
      </c>
    </row>
    <row r="349" spans="1:11" x14ac:dyDescent="0.35">
      <c r="A349" s="13">
        <v>43682</v>
      </c>
      <c r="B349" s="8">
        <v>22.4</v>
      </c>
      <c r="C349" s="8">
        <v>20.6</v>
      </c>
      <c r="D349" s="8">
        <v>27.9</v>
      </c>
      <c r="E349" s="8">
        <v>2</v>
      </c>
      <c r="F349" s="8" t="s">
        <v>30</v>
      </c>
      <c r="G349" s="8" t="s">
        <v>30</v>
      </c>
      <c r="H349" s="8" t="s">
        <v>30</v>
      </c>
      <c r="I349" s="8" t="s">
        <v>30</v>
      </c>
      <c r="J349" s="8">
        <v>2019</v>
      </c>
      <c r="K349" s="8">
        <v>8</v>
      </c>
    </row>
    <row r="350" spans="1:11" x14ac:dyDescent="0.35">
      <c r="A350" s="13">
        <v>43683</v>
      </c>
      <c r="B350" s="8">
        <v>21.8</v>
      </c>
      <c r="C350" s="8">
        <v>20</v>
      </c>
      <c r="D350" s="8">
        <v>25.6</v>
      </c>
      <c r="E350" s="8">
        <v>2.8</v>
      </c>
      <c r="F350" s="8" t="s">
        <v>30</v>
      </c>
      <c r="G350" s="8" t="s">
        <v>30</v>
      </c>
      <c r="H350" s="8" t="s">
        <v>30</v>
      </c>
      <c r="I350" s="8" t="s">
        <v>30</v>
      </c>
      <c r="J350" s="8">
        <v>2019</v>
      </c>
      <c r="K350" s="8">
        <v>8</v>
      </c>
    </row>
    <row r="351" spans="1:11" x14ac:dyDescent="0.35">
      <c r="A351" s="13">
        <v>43684</v>
      </c>
      <c r="B351" s="8">
        <v>22.1</v>
      </c>
      <c r="C351" s="8">
        <v>20.3</v>
      </c>
      <c r="D351" s="8">
        <v>25.4</v>
      </c>
      <c r="E351" s="8">
        <v>2</v>
      </c>
      <c r="F351" s="8" t="s">
        <v>30</v>
      </c>
      <c r="G351" s="8" t="s">
        <v>30</v>
      </c>
      <c r="H351" s="8" t="s">
        <v>30</v>
      </c>
      <c r="I351" s="8" t="s">
        <v>30</v>
      </c>
      <c r="J351" s="8">
        <v>2019</v>
      </c>
      <c r="K351" s="8">
        <v>8</v>
      </c>
    </row>
    <row r="352" spans="1:11" x14ac:dyDescent="0.35">
      <c r="A352" s="13">
        <v>43685</v>
      </c>
      <c r="B352" s="8">
        <v>22</v>
      </c>
      <c r="C352" s="8">
        <v>20.8</v>
      </c>
      <c r="D352" s="8">
        <v>25.2</v>
      </c>
      <c r="E352" s="8">
        <v>3</v>
      </c>
      <c r="F352" s="8" t="s">
        <v>30</v>
      </c>
      <c r="G352" s="8" t="s">
        <v>30</v>
      </c>
      <c r="H352" s="8" t="s">
        <v>30</v>
      </c>
      <c r="I352" s="8" t="s">
        <v>30</v>
      </c>
      <c r="J352" s="8">
        <v>2019</v>
      </c>
      <c r="K352" s="8">
        <v>8</v>
      </c>
    </row>
    <row r="353" spans="1:11" x14ac:dyDescent="0.35">
      <c r="A353" s="13">
        <v>43687</v>
      </c>
      <c r="B353" s="8">
        <v>22.7</v>
      </c>
      <c r="C353" s="8">
        <v>19.8</v>
      </c>
      <c r="D353" s="8">
        <v>26.2</v>
      </c>
      <c r="E353" s="8">
        <v>0.8</v>
      </c>
      <c r="F353" s="8" t="s">
        <v>30</v>
      </c>
      <c r="G353" s="8" t="s">
        <v>30</v>
      </c>
      <c r="H353" s="8" t="s">
        <v>30</v>
      </c>
      <c r="I353" s="8" t="s">
        <v>30</v>
      </c>
      <c r="J353" s="8">
        <v>2019</v>
      </c>
      <c r="K353" s="8">
        <v>8</v>
      </c>
    </row>
    <row r="354" spans="1:11" x14ac:dyDescent="0.35">
      <c r="A354" s="13">
        <v>43688</v>
      </c>
      <c r="B354" s="8">
        <v>23</v>
      </c>
      <c r="C354" s="8">
        <v>20</v>
      </c>
      <c r="D354" s="8">
        <v>28.5</v>
      </c>
      <c r="E354" s="8">
        <v>0</v>
      </c>
      <c r="F354" s="8" t="s">
        <v>30</v>
      </c>
      <c r="G354" s="8" t="s">
        <v>30</v>
      </c>
      <c r="H354" s="8" t="s">
        <v>30</v>
      </c>
      <c r="I354" s="8" t="s">
        <v>30</v>
      </c>
      <c r="J354" s="8">
        <v>2019</v>
      </c>
      <c r="K354" s="8">
        <v>8</v>
      </c>
    </row>
    <row r="355" spans="1:11" x14ac:dyDescent="0.35">
      <c r="A355" s="13">
        <v>43689</v>
      </c>
      <c r="B355" s="8">
        <v>23.2</v>
      </c>
      <c r="C355" s="8">
        <v>20.2</v>
      </c>
      <c r="D355" s="8">
        <v>27.5</v>
      </c>
      <c r="E355" s="8">
        <v>6.1</v>
      </c>
      <c r="F355" s="8" t="s">
        <v>30</v>
      </c>
      <c r="G355" s="8" t="s">
        <v>30</v>
      </c>
      <c r="H355" s="8" t="s">
        <v>30</v>
      </c>
      <c r="I355" s="8" t="s">
        <v>30</v>
      </c>
      <c r="J355" s="8">
        <v>2019</v>
      </c>
      <c r="K355" s="8">
        <v>8</v>
      </c>
    </row>
    <row r="356" spans="1:11" x14ac:dyDescent="0.35">
      <c r="A356" s="13">
        <v>43691</v>
      </c>
      <c r="B356" s="8">
        <v>22.8</v>
      </c>
      <c r="C356" s="8">
        <v>20.7</v>
      </c>
      <c r="D356" s="8">
        <v>27.4</v>
      </c>
      <c r="E356" s="8">
        <v>0.3</v>
      </c>
      <c r="F356" s="8" t="s">
        <v>30</v>
      </c>
      <c r="G356" s="8" t="s">
        <v>30</v>
      </c>
      <c r="H356" s="8" t="s">
        <v>30</v>
      </c>
      <c r="I356" s="8" t="s">
        <v>30</v>
      </c>
      <c r="J356" s="8">
        <v>2019</v>
      </c>
      <c r="K356" s="8">
        <v>8</v>
      </c>
    </row>
    <row r="357" spans="1:11" x14ac:dyDescent="0.35">
      <c r="A357" s="13">
        <v>43692</v>
      </c>
      <c r="B357" s="8">
        <v>23.2</v>
      </c>
      <c r="C357" s="8">
        <v>20.5</v>
      </c>
      <c r="D357" s="8">
        <v>28.4</v>
      </c>
      <c r="E357" s="8">
        <v>9.1</v>
      </c>
      <c r="F357" s="8" t="s">
        <v>30</v>
      </c>
      <c r="G357" s="8" t="s">
        <v>30</v>
      </c>
      <c r="H357" s="8" t="s">
        <v>30</v>
      </c>
      <c r="I357" s="8" t="s">
        <v>30</v>
      </c>
      <c r="J357" s="8">
        <v>2019</v>
      </c>
      <c r="K357" s="8">
        <v>8</v>
      </c>
    </row>
    <row r="358" spans="1:11" x14ac:dyDescent="0.35">
      <c r="A358" s="13">
        <v>43693</v>
      </c>
      <c r="B358" s="8">
        <v>23.1</v>
      </c>
      <c r="C358" s="8">
        <v>20.8</v>
      </c>
      <c r="D358" s="8">
        <v>29.2</v>
      </c>
      <c r="E358" s="8">
        <v>0</v>
      </c>
      <c r="F358" s="8" t="s">
        <v>30</v>
      </c>
      <c r="G358" s="8" t="s">
        <v>30</v>
      </c>
      <c r="H358" s="8" t="s">
        <v>30</v>
      </c>
      <c r="I358" s="8" t="s">
        <v>30</v>
      </c>
      <c r="J358" s="8">
        <v>2019</v>
      </c>
      <c r="K358" s="8">
        <v>8</v>
      </c>
    </row>
    <row r="359" spans="1:11" x14ac:dyDescent="0.35">
      <c r="A359" s="13">
        <v>43694</v>
      </c>
      <c r="B359" s="8">
        <v>22.2</v>
      </c>
      <c r="C359" s="8">
        <v>20</v>
      </c>
      <c r="D359" s="8">
        <v>28.6</v>
      </c>
      <c r="E359" s="8">
        <v>3</v>
      </c>
      <c r="F359" s="8" t="s">
        <v>30</v>
      </c>
      <c r="G359" s="8" t="s">
        <v>30</v>
      </c>
      <c r="H359" s="8" t="s">
        <v>30</v>
      </c>
      <c r="I359" s="8" t="s">
        <v>30</v>
      </c>
      <c r="J359" s="8">
        <v>2019</v>
      </c>
      <c r="K359" s="8">
        <v>8</v>
      </c>
    </row>
    <row r="360" spans="1:11" x14ac:dyDescent="0.35">
      <c r="A360" s="13">
        <v>43699</v>
      </c>
      <c r="B360" s="8">
        <v>22.7</v>
      </c>
      <c r="C360" s="8">
        <v>20.8</v>
      </c>
      <c r="D360" s="8">
        <v>27.3</v>
      </c>
      <c r="E360" s="8">
        <v>0</v>
      </c>
      <c r="F360" s="8" t="s">
        <v>30</v>
      </c>
      <c r="G360" s="8" t="s">
        <v>30</v>
      </c>
      <c r="H360" s="8" t="s">
        <v>30</v>
      </c>
      <c r="I360" s="8" t="s">
        <v>30</v>
      </c>
      <c r="J360" s="8">
        <v>2019</v>
      </c>
      <c r="K360" s="8">
        <v>8</v>
      </c>
    </row>
    <row r="361" spans="1:11" x14ac:dyDescent="0.35">
      <c r="A361" s="13">
        <v>43700</v>
      </c>
      <c r="B361" s="8">
        <v>22.7</v>
      </c>
      <c r="C361" s="8">
        <v>20.3</v>
      </c>
      <c r="D361" s="8">
        <v>27.5</v>
      </c>
      <c r="E361" s="8">
        <v>5.3</v>
      </c>
      <c r="F361" s="8" t="s">
        <v>30</v>
      </c>
      <c r="G361" s="8" t="s">
        <v>30</v>
      </c>
      <c r="H361" s="8" t="s">
        <v>30</v>
      </c>
      <c r="I361" s="8" t="s">
        <v>30</v>
      </c>
      <c r="J361" s="8">
        <v>2019</v>
      </c>
      <c r="K361" s="8">
        <v>8</v>
      </c>
    </row>
    <row r="362" spans="1:11" x14ac:dyDescent="0.35">
      <c r="A362" s="13">
        <v>43701</v>
      </c>
      <c r="B362" s="8">
        <v>22.7</v>
      </c>
      <c r="C362" s="8">
        <v>20</v>
      </c>
      <c r="D362" s="8">
        <v>27.6</v>
      </c>
      <c r="E362" s="8">
        <v>1.5</v>
      </c>
      <c r="F362" s="8" t="s">
        <v>30</v>
      </c>
      <c r="G362" s="8" t="s">
        <v>30</v>
      </c>
      <c r="H362" s="8" t="s">
        <v>30</v>
      </c>
      <c r="I362" s="8" t="s">
        <v>30</v>
      </c>
      <c r="J362" s="8">
        <v>2019</v>
      </c>
      <c r="K362" s="8">
        <v>8</v>
      </c>
    </row>
    <row r="363" spans="1:11" x14ac:dyDescent="0.35">
      <c r="A363" s="13">
        <v>43702</v>
      </c>
      <c r="B363" s="8">
        <v>23</v>
      </c>
      <c r="C363" s="8">
        <v>20</v>
      </c>
      <c r="D363" s="8">
        <v>28.4</v>
      </c>
      <c r="E363" s="8">
        <v>0</v>
      </c>
      <c r="F363" s="8" t="s">
        <v>30</v>
      </c>
      <c r="G363" s="8" t="s">
        <v>30</v>
      </c>
      <c r="H363" s="8" t="s">
        <v>30</v>
      </c>
      <c r="I363" s="8" t="s">
        <v>30</v>
      </c>
      <c r="J363" s="8">
        <v>2019</v>
      </c>
      <c r="K363" s="8">
        <v>8</v>
      </c>
    </row>
    <row r="364" spans="1:11" x14ac:dyDescent="0.35">
      <c r="A364" s="13">
        <v>43703</v>
      </c>
      <c r="B364" s="8">
        <v>23</v>
      </c>
      <c r="C364" s="8">
        <v>20</v>
      </c>
      <c r="D364" s="8">
        <v>28.3</v>
      </c>
      <c r="E364" s="8">
        <v>0</v>
      </c>
      <c r="F364" s="8" t="s">
        <v>30</v>
      </c>
      <c r="G364" s="8" t="s">
        <v>30</v>
      </c>
      <c r="H364" s="8" t="s">
        <v>30</v>
      </c>
      <c r="I364" s="8" t="s">
        <v>30</v>
      </c>
      <c r="J364" s="8">
        <v>2019</v>
      </c>
      <c r="K364" s="8">
        <v>8</v>
      </c>
    </row>
    <row r="365" spans="1:11" x14ac:dyDescent="0.35">
      <c r="A365" s="13">
        <v>43704</v>
      </c>
      <c r="B365" s="8">
        <v>23.9</v>
      </c>
      <c r="C365" s="8">
        <v>20.399999999999999</v>
      </c>
      <c r="D365" s="8">
        <v>29.4</v>
      </c>
      <c r="E365" s="8">
        <v>0.3</v>
      </c>
      <c r="F365" s="8" t="s">
        <v>30</v>
      </c>
      <c r="G365" s="8" t="s">
        <v>30</v>
      </c>
      <c r="H365" s="8" t="s">
        <v>30</v>
      </c>
      <c r="I365" s="8" t="s">
        <v>30</v>
      </c>
      <c r="J365" s="8">
        <v>2019</v>
      </c>
      <c r="K365" s="8">
        <v>8</v>
      </c>
    </row>
    <row r="366" spans="1:11" x14ac:dyDescent="0.35">
      <c r="A366" s="13">
        <v>43705</v>
      </c>
      <c r="B366" s="8">
        <v>23.7</v>
      </c>
      <c r="C366" s="8">
        <v>20</v>
      </c>
      <c r="D366" s="8">
        <v>29</v>
      </c>
      <c r="E366" s="8">
        <v>0</v>
      </c>
      <c r="F366" s="8" t="s">
        <v>30</v>
      </c>
      <c r="G366" s="8" t="s">
        <v>30</v>
      </c>
      <c r="H366" s="8" t="s">
        <v>30</v>
      </c>
      <c r="I366" s="8" t="s">
        <v>30</v>
      </c>
      <c r="J366" s="8">
        <v>2019</v>
      </c>
      <c r="K366" s="8">
        <v>8</v>
      </c>
    </row>
    <row r="367" spans="1:11" x14ac:dyDescent="0.35">
      <c r="A367" s="13">
        <v>43706</v>
      </c>
      <c r="B367" s="8">
        <v>24.1</v>
      </c>
      <c r="C367" s="8">
        <v>20.6</v>
      </c>
      <c r="D367" s="8">
        <v>29.3</v>
      </c>
      <c r="E367" s="8">
        <v>0</v>
      </c>
      <c r="F367" s="8" t="s">
        <v>30</v>
      </c>
      <c r="G367" s="8" t="s">
        <v>30</v>
      </c>
      <c r="H367" s="8" t="s">
        <v>30</v>
      </c>
      <c r="I367" s="8" t="s">
        <v>30</v>
      </c>
      <c r="J367" s="8">
        <v>2019</v>
      </c>
      <c r="K367" s="8">
        <v>8</v>
      </c>
    </row>
    <row r="368" spans="1:11" x14ac:dyDescent="0.35">
      <c r="A368" s="13">
        <v>43707</v>
      </c>
      <c r="B368" s="8">
        <v>24.3</v>
      </c>
      <c r="C368" s="8">
        <v>20.6</v>
      </c>
      <c r="D368" s="8">
        <v>29</v>
      </c>
      <c r="E368" s="8">
        <v>0</v>
      </c>
      <c r="F368" s="8" t="s">
        <v>30</v>
      </c>
      <c r="G368" s="8" t="s">
        <v>30</v>
      </c>
      <c r="H368" s="8" t="s">
        <v>30</v>
      </c>
      <c r="I368" s="8" t="s">
        <v>30</v>
      </c>
      <c r="J368" s="8">
        <v>2019</v>
      </c>
      <c r="K368" s="8">
        <v>8</v>
      </c>
    </row>
    <row r="369" spans="1:11" x14ac:dyDescent="0.35">
      <c r="A369" s="13">
        <v>43708</v>
      </c>
      <c r="B369" s="8">
        <v>23</v>
      </c>
      <c r="C369" s="8">
        <v>20.399999999999999</v>
      </c>
      <c r="D369" s="8">
        <v>28.7</v>
      </c>
      <c r="E369" s="8">
        <v>0</v>
      </c>
      <c r="F369" s="8" t="s">
        <v>30</v>
      </c>
      <c r="G369" s="8" t="s">
        <v>30</v>
      </c>
      <c r="H369" s="8" t="s">
        <v>30</v>
      </c>
      <c r="I369" s="8" t="s">
        <v>30</v>
      </c>
      <c r="J369" s="8">
        <v>2019</v>
      </c>
      <c r="K369" s="8">
        <v>8</v>
      </c>
    </row>
    <row r="370" spans="1:11" x14ac:dyDescent="0.35">
      <c r="A370" s="13">
        <v>43709</v>
      </c>
      <c r="B370" s="8">
        <v>23</v>
      </c>
      <c r="C370" s="8">
        <v>20.100000000000001</v>
      </c>
      <c r="D370" s="8">
        <v>26.4</v>
      </c>
      <c r="E370" s="8">
        <v>0</v>
      </c>
      <c r="F370" s="8" t="s">
        <v>30</v>
      </c>
      <c r="G370" s="8" t="s">
        <v>30</v>
      </c>
      <c r="H370" s="8" t="s">
        <v>30</v>
      </c>
      <c r="I370" s="8" t="s">
        <v>30</v>
      </c>
      <c r="J370" s="8">
        <v>2019</v>
      </c>
      <c r="K370" s="8">
        <v>9</v>
      </c>
    </row>
    <row r="371" spans="1:11" x14ac:dyDescent="0.35">
      <c r="A371" s="13">
        <v>43710</v>
      </c>
      <c r="B371" s="8">
        <v>22.3</v>
      </c>
      <c r="C371" s="8">
        <v>20.3</v>
      </c>
      <c r="D371" s="8">
        <v>26.8</v>
      </c>
      <c r="E371" s="8">
        <v>0.5</v>
      </c>
      <c r="F371" s="8" t="s">
        <v>30</v>
      </c>
      <c r="G371" s="8" t="s">
        <v>30</v>
      </c>
      <c r="H371" s="8" t="s">
        <v>30</v>
      </c>
      <c r="I371" s="8" t="s">
        <v>30</v>
      </c>
      <c r="J371" s="8">
        <v>2019</v>
      </c>
      <c r="K371" s="8">
        <v>9</v>
      </c>
    </row>
    <row r="372" spans="1:11" x14ac:dyDescent="0.35">
      <c r="A372" s="13">
        <v>43712</v>
      </c>
      <c r="B372" s="8">
        <v>22.2</v>
      </c>
      <c r="C372" s="8">
        <v>20.3</v>
      </c>
      <c r="D372" s="8">
        <v>26.4</v>
      </c>
      <c r="E372" s="8">
        <v>4.5999999999999996</v>
      </c>
      <c r="F372" s="8" t="s">
        <v>30</v>
      </c>
      <c r="G372" s="8" t="s">
        <v>30</v>
      </c>
      <c r="H372" s="8" t="s">
        <v>30</v>
      </c>
      <c r="I372" s="8" t="s">
        <v>30</v>
      </c>
      <c r="J372" s="8">
        <v>2019</v>
      </c>
      <c r="K372" s="8">
        <v>9</v>
      </c>
    </row>
    <row r="373" spans="1:11" x14ac:dyDescent="0.35">
      <c r="A373" s="13">
        <v>43713</v>
      </c>
      <c r="B373" s="8">
        <v>22.6</v>
      </c>
      <c r="C373" s="8">
        <v>20.399999999999999</v>
      </c>
      <c r="D373" s="8">
        <v>27.8</v>
      </c>
      <c r="E373" s="8">
        <v>0</v>
      </c>
      <c r="F373" s="8" t="s">
        <v>30</v>
      </c>
      <c r="G373" s="8" t="s">
        <v>30</v>
      </c>
      <c r="H373" s="8" t="s">
        <v>30</v>
      </c>
      <c r="I373" s="8" t="s">
        <v>30</v>
      </c>
      <c r="J373" s="8">
        <v>2019</v>
      </c>
      <c r="K373" s="8">
        <v>9</v>
      </c>
    </row>
    <row r="374" spans="1:11" x14ac:dyDescent="0.35">
      <c r="A374" s="13">
        <v>43714</v>
      </c>
      <c r="B374" s="8">
        <v>22.8</v>
      </c>
      <c r="C374" s="8">
        <v>20.399999999999999</v>
      </c>
      <c r="D374" s="8">
        <v>27.4</v>
      </c>
      <c r="E374" s="8">
        <v>0.5</v>
      </c>
      <c r="F374" s="8" t="s">
        <v>30</v>
      </c>
      <c r="G374" s="8" t="s">
        <v>30</v>
      </c>
      <c r="H374" s="8" t="s">
        <v>30</v>
      </c>
      <c r="I374" s="8" t="s">
        <v>30</v>
      </c>
      <c r="J374" s="8">
        <v>2019</v>
      </c>
      <c r="K374" s="8">
        <v>9</v>
      </c>
    </row>
    <row r="375" spans="1:11" x14ac:dyDescent="0.35">
      <c r="A375" s="13">
        <v>43715</v>
      </c>
      <c r="B375" s="8">
        <v>23.2</v>
      </c>
      <c r="C375" s="8">
        <v>20.399999999999999</v>
      </c>
      <c r="D375" s="8">
        <v>27.3</v>
      </c>
      <c r="E375" s="8">
        <v>2.2999999999999998</v>
      </c>
      <c r="F375" s="8" t="s">
        <v>30</v>
      </c>
      <c r="G375" s="8" t="s">
        <v>30</v>
      </c>
      <c r="H375" s="8" t="s">
        <v>30</v>
      </c>
      <c r="I375" s="8" t="s">
        <v>30</v>
      </c>
      <c r="J375" s="8">
        <v>2019</v>
      </c>
      <c r="K375" s="8">
        <v>9</v>
      </c>
    </row>
    <row r="376" spans="1:11" x14ac:dyDescent="0.35">
      <c r="A376" s="13">
        <v>43716</v>
      </c>
      <c r="B376" s="8">
        <v>23.6</v>
      </c>
      <c r="C376" s="8">
        <v>20.8</v>
      </c>
      <c r="D376" s="8">
        <v>27.8</v>
      </c>
      <c r="E376" s="8">
        <v>0.3</v>
      </c>
      <c r="F376" s="8" t="s">
        <v>30</v>
      </c>
      <c r="G376" s="8" t="s">
        <v>30</v>
      </c>
      <c r="H376" s="8" t="s">
        <v>30</v>
      </c>
      <c r="I376" s="8" t="s">
        <v>30</v>
      </c>
      <c r="J376" s="8">
        <v>2019</v>
      </c>
      <c r="K376" s="8">
        <v>9</v>
      </c>
    </row>
    <row r="377" spans="1:11" x14ac:dyDescent="0.35">
      <c r="A377" s="13">
        <v>43717</v>
      </c>
      <c r="B377" s="8">
        <v>24.1</v>
      </c>
      <c r="C377" s="8">
        <v>21</v>
      </c>
      <c r="D377" s="8">
        <v>27.5</v>
      </c>
      <c r="E377" s="8">
        <v>0.3</v>
      </c>
      <c r="F377" s="8" t="s">
        <v>30</v>
      </c>
      <c r="G377" s="8" t="s">
        <v>30</v>
      </c>
      <c r="H377" s="8" t="s">
        <v>30</v>
      </c>
      <c r="I377" s="8" t="s">
        <v>30</v>
      </c>
      <c r="J377" s="8">
        <v>2019</v>
      </c>
      <c r="K377" s="8">
        <v>9</v>
      </c>
    </row>
    <row r="378" spans="1:11" x14ac:dyDescent="0.35">
      <c r="A378" s="13">
        <v>43718</v>
      </c>
      <c r="B378" s="8">
        <v>24.2</v>
      </c>
      <c r="C378" s="8">
        <v>20.6</v>
      </c>
      <c r="D378" s="8">
        <v>27.9</v>
      </c>
      <c r="E378" s="8">
        <v>0</v>
      </c>
      <c r="F378" s="8" t="s">
        <v>30</v>
      </c>
      <c r="G378" s="8" t="s">
        <v>30</v>
      </c>
      <c r="H378" s="8" t="s">
        <v>30</v>
      </c>
      <c r="I378" s="8" t="s">
        <v>30</v>
      </c>
      <c r="J378" s="8">
        <v>2019</v>
      </c>
      <c r="K378" s="8">
        <v>9</v>
      </c>
    </row>
    <row r="379" spans="1:11" x14ac:dyDescent="0.35">
      <c r="A379" s="13">
        <v>43720</v>
      </c>
      <c r="B379" s="8">
        <v>24</v>
      </c>
      <c r="C379" s="8">
        <v>21</v>
      </c>
      <c r="D379" s="8">
        <v>29.6</v>
      </c>
      <c r="E379" s="8">
        <v>0</v>
      </c>
      <c r="F379" s="8" t="s">
        <v>30</v>
      </c>
      <c r="G379" s="8" t="s">
        <v>30</v>
      </c>
      <c r="H379" s="8" t="s">
        <v>30</v>
      </c>
      <c r="I379" s="8" t="s">
        <v>30</v>
      </c>
      <c r="J379" s="8">
        <v>2019</v>
      </c>
      <c r="K379" s="8">
        <v>9</v>
      </c>
    </row>
    <row r="380" spans="1:11" x14ac:dyDescent="0.35">
      <c r="A380" s="13">
        <v>43721</v>
      </c>
      <c r="B380" s="8">
        <v>24.7</v>
      </c>
      <c r="C380" s="8">
        <v>21</v>
      </c>
      <c r="D380" s="8">
        <v>29.8</v>
      </c>
      <c r="E380" s="8">
        <v>0.5</v>
      </c>
      <c r="F380" s="8" t="s">
        <v>30</v>
      </c>
      <c r="G380" s="8" t="s">
        <v>30</v>
      </c>
      <c r="H380" s="8" t="s">
        <v>30</v>
      </c>
      <c r="I380" s="8" t="s">
        <v>30</v>
      </c>
      <c r="J380" s="8">
        <v>2019</v>
      </c>
      <c r="K380" s="8">
        <v>9</v>
      </c>
    </row>
    <row r="381" spans="1:11" x14ac:dyDescent="0.35">
      <c r="A381" s="13">
        <v>43722</v>
      </c>
      <c r="B381" s="8">
        <v>25.1</v>
      </c>
      <c r="C381" s="8">
        <v>21.2</v>
      </c>
      <c r="D381" s="8">
        <v>30.2</v>
      </c>
      <c r="E381" s="8">
        <v>0</v>
      </c>
      <c r="F381" s="8" t="s">
        <v>30</v>
      </c>
      <c r="G381" s="8" t="s">
        <v>30</v>
      </c>
      <c r="H381" s="8" t="s">
        <v>30</v>
      </c>
      <c r="I381" s="8" t="s">
        <v>30</v>
      </c>
      <c r="J381" s="8">
        <v>2019</v>
      </c>
      <c r="K381" s="8">
        <v>9</v>
      </c>
    </row>
    <row r="382" spans="1:11" x14ac:dyDescent="0.35">
      <c r="A382" s="13">
        <v>43723</v>
      </c>
      <c r="B382" s="8">
        <v>24.8</v>
      </c>
      <c r="C382" s="8">
        <v>21.3</v>
      </c>
      <c r="D382" s="8">
        <v>30.7</v>
      </c>
      <c r="E382" s="8">
        <v>0</v>
      </c>
      <c r="F382" s="8" t="s">
        <v>30</v>
      </c>
      <c r="G382" s="8" t="s">
        <v>30</v>
      </c>
      <c r="H382" s="8" t="s">
        <v>30</v>
      </c>
      <c r="I382" s="8" t="s">
        <v>30</v>
      </c>
      <c r="J382" s="8">
        <v>2019</v>
      </c>
      <c r="K382" s="8">
        <v>9</v>
      </c>
    </row>
    <row r="383" spans="1:11" x14ac:dyDescent="0.35">
      <c r="A383" s="13">
        <v>43724</v>
      </c>
      <c r="B383" s="8">
        <v>23.2</v>
      </c>
      <c r="C383" s="8">
        <v>20.2</v>
      </c>
      <c r="D383" s="8">
        <v>29.5</v>
      </c>
      <c r="E383" s="8">
        <v>0.3</v>
      </c>
      <c r="F383" s="8" t="s">
        <v>30</v>
      </c>
      <c r="G383" s="8" t="s">
        <v>30</v>
      </c>
      <c r="H383" s="8" t="s">
        <v>30</v>
      </c>
      <c r="I383" s="8" t="s">
        <v>30</v>
      </c>
      <c r="J383" s="8">
        <v>2019</v>
      </c>
      <c r="K383" s="8">
        <v>9</v>
      </c>
    </row>
    <row r="384" spans="1:11" x14ac:dyDescent="0.35">
      <c r="A384" s="13">
        <v>43726</v>
      </c>
      <c r="B384" s="8">
        <v>23.9</v>
      </c>
      <c r="C384" s="8">
        <v>21.6</v>
      </c>
      <c r="D384" s="8">
        <v>27.8</v>
      </c>
      <c r="E384" s="8">
        <v>0.5</v>
      </c>
      <c r="F384" s="8" t="s">
        <v>30</v>
      </c>
      <c r="G384" s="8" t="s">
        <v>30</v>
      </c>
      <c r="H384" s="8" t="s">
        <v>30</v>
      </c>
      <c r="I384" s="8" t="s">
        <v>30</v>
      </c>
      <c r="J384" s="8">
        <v>2019</v>
      </c>
      <c r="K384" s="8">
        <v>9</v>
      </c>
    </row>
    <row r="385" spans="1:11" x14ac:dyDescent="0.35">
      <c r="A385" s="13">
        <v>43727</v>
      </c>
      <c r="B385" s="8">
        <v>24.2</v>
      </c>
      <c r="C385" s="8">
        <v>21.2</v>
      </c>
      <c r="D385" s="8">
        <v>27.8</v>
      </c>
      <c r="E385" s="8">
        <v>0.3</v>
      </c>
      <c r="F385" s="8" t="s">
        <v>30</v>
      </c>
      <c r="G385" s="8" t="s">
        <v>30</v>
      </c>
      <c r="H385" s="8" t="s">
        <v>30</v>
      </c>
      <c r="I385" s="8" t="s">
        <v>30</v>
      </c>
      <c r="J385" s="8">
        <v>2019</v>
      </c>
      <c r="K385" s="8">
        <v>9</v>
      </c>
    </row>
    <row r="386" spans="1:11" x14ac:dyDescent="0.35">
      <c r="A386" s="13">
        <v>43728</v>
      </c>
      <c r="B386" s="8">
        <v>24.2</v>
      </c>
      <c r="C386" s="8">
        <v>20.6</v>
      </c>
      <c r="D386" s="8">
        <v>29</v>
      </c>
      <c r="E386" s="8">
        <v>1.8</v>
      </c>
      <c r="F386" s="8" t="s">
        <v>30</v>
      </c>
      <c r="G386" s="8" t="s">
        <v>30</v>
      </c>
      <c r="H386" s="8" t="s">
        <v>30</v>
      </c>
      <c r="I386" s="8" t="s">
        <v>30</v>
      </c>
      <c r="J386" s="8">
        <v>2019</v>
      </c>
      <c r="K386" s="8">
        <v>9</v>
      </c>
    </row>
    <row r="387" spans="1:11" x14ac:dyDescent="0.35">
      <c r="A387" s="13">
        <v>43729</v>
      </c>
      <c r="B387" s="8">
        <v>25.2</v>
      </c>
      <c r="C387" s="8">
        <v>21.2</v>
      </c>
      <c r="D387" s="8">
        <v>29.8</v>
      </c>
      <c r="E387" s="8">
        <v>0</v>
      </c>
      <c r="F387" s="8" t="s">
        <v>30</v>
      </c>
      <c r="G387" s="8" t="s">
        <v>30</v>
      </c>
      <c r="H387" s="8" t="s">
        <v>30</v>
      </c>
      <c r="I387" s="8" t="s">
        <v>30</v>
      </c>
      <c r="J387" s="8">
        <v>2019</v>
      </c>
      <c r="K387" s="8">
        <v>9</v>
      </c>
    </row>
    <row r="388" spans="1:11" x14ac:dyDescent="0.35">
      <c r="A388" s="13">
        <v>43730</v>
      </c>
      <c r="B388" s="8">
        <v>23.2</v>
      </c>
      <c r="C388" s="8">
        <v>21.2</v>
      </c>
      <c r="D388" s="8">
        <v>30.8</v>
      </c>
      <c r="E388" s="8">
        <v>7.9</v>
      </c>
      <c r="F388" s="8" t="s">
        <v>30</v>
      </c>
      <c r="G388" s="8" t="s">
        <v>30</v>
      </c>
      <c r="H388" s="8" t="s">
        <v>30</v>
      </c>
      <c r="I388" s="8" t="s">
        <v>30</v>
      </c>
      <c r="J388" s="8">
        <v>2019</v>
      </c>
      <c r="K388" s="8">
        <v>9</v>
      </c>
    </row>
    <row r="389" spans="1:11" x14ac:dyDescent="0.35">
      <c r="A389" s="13">
        <v>43734</v>
      </c>
      <c r="B389" s="8">
        <v>23.9</v>
      </c>
      <c r="C389" s="8">
        <v>20.2</v>
      </c>
      <c r="D389" s="8">
        <v>28</v>
      </c>
      <c r="E389" s="8">
        <v>1.8</v>
      </c>
      <c r="F389" s="8" t="s">
        <v>30</v>
      </c>
      <c r="G389" s="8" t="s">
        <v>30</v>
      </c>
      <c r="H389" s="8" t="s">
        <v>30</v>
      </c>
      <c r="I389" s="8" t="s">
        <v>30</v>
      </c>
      <c r="J389" s="8">
        <v>2019</v>
      </c>
      <c r="K389" s="8">
        <v>9</v>
      </c>
    </row>
    <row r="390" spans="1:11" x14ac:dyDescent="0.35">
      <c r="A390" s="13">
        <v>43735</v>
      </c>
      <c r="B390" s="8">
        <v>23.9</v>
      </c>
      <c r="C390" s="8">
        <v>21</v>
      </c>
      <c r="D390" s="8">
        <v>29.8</v>
      </c>
      <c r="E390" s="8">
        <v>0</v>
      </c>
      <c r="F390" s="8" t="s">
        <v>30</v>
      </c>
      <c r="G390" s="8" t="s">
        <v>30</v>
      </c>
      <c r="H390" s="8" t="s">
        <v>30</v>
      </c>
      <c r="I390" s="8" t="s">
        <v>30</v>
      </c>
      <c r="J390" s="8">
        <v>2019</v>
      </c>
      <c r="K390" s="8">
        <v>9</v>
      </c>
    </row>
    <row r="391" spans="1:11" x14ac:dyDescent="0.35">
      <c r="A391" s="13">
        <v>43736</v>
      </c>
      <c r="B391" s="8">
        <v>24.7</v>
      </c>
      <c r="C391" s="8">
        <v>21.1</v>
      </c>
      <c r="D391" s="8">
        <v>29.1</v>
      </c>
      <c r="E391" s="8">
        <v>6.1</v>
      </c>
      <c r="F391" s="8" t="s">
        <v>30</v>
      </c>
      <c r="G391" s="8" t="s">
        <v>30</v>
      </c>
      <c r="H391" s="8" t="s">
        <v>30</v>
      </c>
      <c r="I391" s="8" t="s">
        <v>30</v>
      </c>
      <c r="J391" s="8">
        <v>2019</v>
      </c>
      <c r="K391" s="8">
        <v>9</v>
      </c>
    </row>
    <row r="392" spans="1:11" x14ac:dyDescent="0.35">
      <c r="A392" s="13">
        <v>43737</v>
      </c>
      <c r="B392" s="8">
        <v>24.7</v>
      </c>
      <c r="C392" s="8">
        <v>21.1</v>
      </c>
      <c r="D392" s="8">
        <v>30</v>
      </c>
      <c r="E392" s="8">
        <v>0</v>
      </c>
      <c r="F392" s="8" t="s">
        <v>30</v>
      </c>
      <c r="G392" s="8" t="s">
        <v>30</v>
      </c>
      <c r="H392" s="8" t="s">
        <v>30</v>
      </c>
      <c r="I392" s="8" t="s">
        <v>30</v>
      </c>
      <c r="J392" s="8">
        <v>2019</v>
      </c>
      <c r="K392" s="8">
        <v>9</v>
      </c>
    </row>
    <row r="393" spans="1:11" x14ac:dyDescent="0.35">
      <c r="A393" s="13">
        <v>43741</v>
      </c>
      <c r="B393" s="8">
        <v>23.5</v>
      </c>
      <c r="C393" s="8">
        <v>19.2</v>
      </c>
      <c r="D393" s="8">
        <v>30.4</v>
      </c>
      <c r="E393" s="8">
        <v>7.9</v>
      </c>
      <c r="F393" s="8" t="s">
        <v>30</v>
      </c>
      <c r="G393" s="8" t="s">
        <v>30</v>
      </c>
      <c r="H393" s="8" t="s">
        <v>30</v>
      </c>
      <c r="I393" s="8" t="s">
        <v>30</v>
      </c>
      <c r="J393" s="8">
        <v>2019</v>
      </c>
      <c r="K393" s="8">
        <v>10</v>
      </c>
    </row>
    <row r="394" spans="1:11" x14ac:dyDescent="0.35">
      <c r="A394" s="13">
        <v>43742</v>
      </c>
      <c r="B394" s="8">
        <v>23</v>
      </c>
      <c r="C394" s="8">
        <v>19.600000000000001</v>
      </c>
      <c r="D394" s="8">
        <v>28.3</v>
      </c>
      <c r="E394" s="8">
        <v>2.2999999999999998</v>
      </c>
      <c r="F394" s="8" t="s">
        <v>30</v>
      </c>
      <c r="G394" s="8" t="s">
        <v>30</v>
      </c>
      <c r="H394" s="8" t="s">
        <v>30</v>
      </c>
      <c r="I394" s="8" t="s">
        <v>30</v>
      </c>
      <c r="J394" s="8">
        <v>2019</v>
      </c>
      <c r="K394" s="8">
        <v>10</v>
      </c>
    </row>
    <row r="395" spans="1:11" x14ac:dyDescent="0.35">
      <c r="A395" s="13">
        <v>43743</v>
      </c>
      <c r="B395" s="8">
        <v>23.5</v>
      </c>
      <c r="C395" s="8">
        <v>19.899999999999999</v>
      </c>
      <c r="D395" s="8">
        <v>29.4</v>
      </c>
      <c r="E395" s="8">
        <v>8.6</v>
      </c>
      <c r="F395" s="8" t="s">
        <v>30</v>
      </c>
      <c r="G395" s="8" t="s">
        <v>30</v>
      </c>
      <c r="H395" s="8" t="s">
        <v>30</v>
      </c>
      <c r="I395" s="8" t="s">
        <v>30</v>
      </c>
      <c r="J395" s="8">
        <v>2019</v>
      </c>
      <c r="K395" s="8">
        <v>10</v>
      </c>
    </row>
    <row r="396" spans="1:11" x14ac:dyDescent="0.35">
      <c r="A396" s="13">
        <v>43744</v>
      </c>
      <c r="B396" s="8">
        <v>24.3</v>
      </c>
      <c r="C396" s="8">
        <v>20.6</v>
      </c>
      <c r="D396" s="8">
        <v>28.7</v>
      </c>
      <c r="E396" s="8">
        <v>0.5</v>
      </c>
      <c r="F396" s="8" t="s">
        <v>30</v>
      </c>
      <c r="G396" s="8" t="s">
        <v>30</v>
      </c>
      <c r="H396" s="8" t="s">
        <v>30</v>
      </c>
      <c r="I396" s="8" t="s">
        <v>30</v>
      </c>
      <c r="J396" s="8">
        <v>2019</v>
      </c>
      <c r="K396" s="8">
        <v>10</v>
      </c>
    </row>
    <row r="397" spans="1:11" x14ac:dyDescent="0.35">
      <c r="A397" s="13">
        <v>43745</v>
      </c>
      <c r="B397" s="8">
        <v>24.1</v>
      </c>
      <c r="C397" s="8">
        <v>21.3</v>
      </c>
      <c r="D397" s="8">
        <v>29.6</v>
      </c>
      <c r="E397" s="8">
        <v>0</v>
      </c>
      <c r="F397" s="8" t="s">
        <v>30</v>
      </c>
      <c r="G397" s="8" t="s">
        <v>30</v>
      </c>
      <c r="H397" s="8" t="s">
        <v>30</v>
      </c>
      <c r="I397" s="8" t="s">
        <v>30</v>
      </c>
      <c r="J397" s="8">
        <v>2019</v>
      </c>
      <c r="K397" s="8">
        <v>10</v>
      </c>
    </row>
    <row r="398" spans="1:11" x14ac:dyDescent="0.35">
      <c r="A398" s="13">
        <v>43746</v>
      </c>
      <c r="B398" s="8">
        <v>23.3</v>
      </c>
      <c r="C398" s="8">
        <v>19.2</v>
      </c>
      <c r="D398" s="8">
        <v>29.2</v>
      </c>
      <c r="E398" s="8">
        <v>0</v>
      </c>
      <c r="F398" s="8" t="s">
        <v>30</v>
      </c>
      <c r="G398" s="8" t="s">
        <v>30</v>
      </c>
      <c r="H398" s="8" t="s">
        <v>30</v>
      </c>
      <c r="I398" s="8" t="s">
        <v>30</v>
      </c>
      <c r="J398" s="8">
        <v>2019</v>
      </c>
      <c r="K398" s="8">
        <v>10</v>
      </c>
    </row>
    <row r="399" spans="1:11" x14ac:dyDescent="0.35">
      <c r="A399" s="13">
        <v>43747</v>
      </c>
      <c r="B399" s="8">
        <v>24.3</v>
      </c>
      <c r="C399" s="8">
        <v>19.3</v>
      </c>
      <c r="D399" s="8">
        <v>30.1</v>
      </c>
      <c r="E399" s="8">
        <v>5.6</v>
      </c>
      <c r="F399" s="8" t="s">
        <v>30</v>
      </c>
      <c r="G399" s="8" t="s">
        <v>30</v>
      </c>
      <c r="H399" s="8" t="s">
        <v>30</v>
      </c>
      <c r="I399" s="8" t="s">
        <v>30</v>
      </c>
      <c r="J399" s="8">
        <v>2019</v>
      </c>
      <c r="K399" s="8">
        <v>10</v>
      </c>
    </row>
    <row r="400" spans="1:11" x14ac:dyDescent="0.35">
      <c r="A400" s="13">
        <v>43748</v>
      </c>
      <c r="B400" s="8">
        <v>24.7</v>
      </c>
      <c r="C400" s="8">
        <v>20.7</v>
      </c>
      <c r="D400" s="8">
        <v>30</v>
      </c>
      <c r="E400" s="8">
        <v>0</v>
      </c>
      <c r="F400" s="8" t="s">
        <v>30</v>
      </c>
      <c r="G400" s="8" t="s">
        <v>30</v>
      </c>
      <c r="H400" s="8" t="s">
        <v>30</v>
      </c>
      <c r="I400" s="8" t="s">
        <v>30</v>
      </c>
      <c r="J400" s="8">
        <v>2019</v>
      </c>
      <c r="K400" s="8">
        <v>10</v>
      </c>
    </row>
    <row r="401" spans="1:11" x14ac:dyDescent="0.35">
      <c r="A401" s="13">
        <v>43749</v>
      </c>
      <c r="B401" s="8">
        <v>24.4</v>
      </c>
      <c r="C401" s="8">
        <v>21.8</v>
      </c>
      <c r="D401" s="8">
        <v>30</v>
      </c>
      <c r="E401" s="8">
        <v>0</v>
      </c>
      <c r="F401" s="8" t="s">
        <v>30</v>
      </c>
      <c r="G401" s="8" t="s">
        <v>30</v>
      </c>
      <c r="H401" s="8" t="s">
        <v>30</v>
      </c>
      <c r="I401" s="8" t="s">
        <v>30</v>
      </c>
      <c r="J401" s="8">
        <v>2019</v>
      </c>
      <c r="K401" s="8">
        <v>10</v>
      </c>
    </row>
    <row r="402" spans="1:11" x14ac:dyDescent="0.35">
      <c r="A402" s="13">
        <v>43750</v>
      </c>
      <c r="B402" s="8">
        <v>25</v>
      </c>
      <c r="C402" s="8">
        <v>21.5</v>
      </c>
      <c r="D402" s="8">
        <v>29.6</v>
      </c>
      <c r="E402" s="8">
        <v>0.5</v>
      </c>
      <c r="F402" s="8" t="s">
        <v>30</v>
      </c>
      <c r="G402" s="8" t="s">
        <v>30</v>
      </c>
      <c r="H402" s="8" t="s">
        <v>30</v>
      </c>
      <c r="I402" s="8" t="s">
        <v>30</v>
      </c>
      <c r="J402" s="8">
        <v>2019</v>
      </c>
      <c r="K402" s="8">
        <v>10</v>
      </c>
    </row>
    <row r="403" spans="1:11" x14ac:dyDescent="0.35">
      <c r="A403" s="13">
        <v>43751</v>
      </c>
      <c r="B403" s="8">
        <v>24.9</v>
      </c>
      <c r="C403" s="8">
        <v>21.5</v>
      </c>
      <c r="D403" s="8">
        <v>29.8</v>
      </c>
      <c r="E403" s="8">
        <v>0</v>
      </c>
      <c r="F403" s="8" t="s">
        <v>30</v>
      </c>
      <c r="G403" s="8" t="s">
        <v>30</v>
      </c>
      <c r="H403" s="8" t="s">
        <v>30</v>
      </c>
      <c r="I403" s="8" t="s">
        <v>30</v>
      </c>
      <c r="J403" s="8">
        <v>2019</v>
      </c>
      <c r="K403" s="8">
        <v>10</v>
      </c>
    </row>
    <row r="404" spans="1:11" x14ac:dyDescent="0.35">
      <c r="A404" s="13">
        <v>43752</v>
      </c>
      <c r="B404" s="8">
        <v>26.7</v>
      </c>
      <c r="C404" s="8">
        <v>21.6</v>
      </c>
      <c r="D404" s="8">
        <v>29.6</v>
      </c>
      <c r="E404" s="8">
        <v>0</v>
      </c>
      <c r="F404" s="8" t="s">
        <v>30</v>
      </c>
      <c r="G404" s="8" t="s">
        <v>30</v>
      </c>
      <c r="H404" s="8" t="s">
        <v>30</v>
      </c>
      <c r="I404" s="8" t="s">
        <v>30</v>
      </c>
      <c r="J404" s="8">
        <v>2019</v>
      </c>
      <c r="K404" s="8">
        <v>10</v>
      </c>
    </row>
    <row r="405" spans="1:11" x14ac:dyDescent="0.35">
      <c r="A405" s="13">
        <v>43753</v>
      </c>
      <c r="B405" s="8">
        <v>24.7</v>
      </c>
      <c r="C405" s="8">
        <v>21.6</v>
      </c>
      <c r="D405" s="8">
        <v>30.7</v>
      </c>
      <c r="E405" s="8">
        <v>0</v>
      </c>
      <c r="F405" s="8" t="s">
        <v>30</v>
      </c>
      <c r="G405" s="8" t="s">
        <v>30</v>
      </c>
      <c r="H405" s="8" t="s">
        <v>30</v>
      </c>
      <c r="I405" s="8" t="s">
        <v>30</v>
      </c>
      <c r="J405" s="8">
        <v>2019</v>
      </c>
      <c r="K405" s="8">
        <v>10</v>
      </c>
    </row>
    <row r="406" spans="1:11" x14ac:dyDescent="0.35">
      <c r="A406" s="13">
        <v>43754</v>
      </c>
      <c r="B406" s="8">
        <v>24.5</v>
      </c>
      <c r="C406" s="8">
        <v>21.2</v>
      </c>
      <c r="D406" s="8">
        <v>30</v>
      </c>
      <c r="E406" s="8">
        <v>0</v>
      </c>
      <c r="F406" s="8" t="s">
        <v>30</v>
      </c>
      <c r="G406" s="8" t="s">
        <v>30</v>
      </c>
      <c r="H406" s="8" t="s">
        <v>30</v>
      </c>
      <c r="I406" s="8" t="s">
        <v>30</v>
      </c>
      <c r="J406" s="8">
        <v>2019</v>
      </c>
      <c r="K406" s="8">
        <v>10</v>
      </c>
    </row>
    <row r="407" spans="1:11" x14ac:dyDescent="0.35">
      <c r="A407" s="13">
        <v>43755</v>
      </c>
      <c r="B407" s="8">
        <v>22.4</v>
      </c>
      <c r="C407" s="8">
        <v>20.8</v>
      </c>
      <c r="D407" s="8">
        <v>28.4</v>
      </c>
      <c r="E407" s="8">
        <v>0</v>
      </c>
      <c r="F407" s="8" t="s">
        <v>30</v>
      </c>
      <c r="G407" s="8" t="s">
        <v>30</v>
      </c>
      <c r="H407" s="8" t="s">
        <v>30</v>
      </c>
      <c r="I407" s="8" t="s">
        <v>30</v>
      </c>
      <c r="J407" s="8">
        <v>2019</v>
      </c>
      <c r="K407" s="8">
        <v>10</v>
      </c>
    </row>
    <row r="408" spans="1:11" x14ac:dyDescent="0.35">
      <c r="A408" s="13">
        <v>43756</v>
      </c>
      <c r="B408" s="8">
        <v>23</v>
      </c>
      <c r="C408" s="8">
        <v>20.2</v>
      </c>
      <c r="D408" s="8">
        <v>26.8</v>
      </c>
      <c r="E408" s="8">
        <v>3.8</v>
      </c>
      <c r="F408" s="8" t="s">
        <v>30</v>
      </c>
      <c r="G408" s="8" t="s">
        <v>30</v>
      </c>
      <c r="H408" s="8" t="s">
        <v>30</v>
      </c>
      <c r="I408" s="8" t="s">
        <v>30</v>
      </c>
      <c r="J408" s="8">
        <v>2019</v>
      </c>
      <c r="K408" s="8">
        <v>10</v>
      </c>
    </row>
    <row r="409" spans="1:11" x14ac:dyDescent="0.35">
      <c r="A409" s="13">
        <v>43757</v>
      </c>
      <c r="B409" s="8">
        <v>23.4</v>
      </c>
      <c r="C409" s="8">
        <v>20.2</v>
      </c>
      <c r="D409" s="8">
        <v>27.6</v>
      </c>
      <c r="E409" s="8">
        <v>8.9</v>
      </c>
      <c r="F409" s="8" t="s">
        <v>30</v>
      </c>
      <c r="G409" s="8" t="s">
        <v>30</v>
      </c>
      <c r="H409" s="8" t="s">
        <v>30</v>
      </c>
      <c r="I409" s="8" t="s">
        <v>30</v>
      </c>
      <c r="J409" s="8">
        <v>2019</v>
      </c>
      <c r="K409" s="8">
        <v>10</v>
      </c>
    </row>
    <row r="410" spans="1:11" x14ac:dyDescent="0.35">
      <c r="A410" s="13">
        <v>43758</v>
      </c>
      <c r="B410" s="8">
        <v>23.3</v>
      </c>
      <c r="C410" s="8">
        <v>21</v>
      </c>
      <c r="D410" s="8">
        <v>27.9</v>
      </c>
      <c r="E410" s="8">
        <v>0</v>
      </c>
      <c r="F410" s="8" t="s">
        <v>30</v>
      </c>
      <c r="G410" s="8" t="s">
        <v>30</v>
      </c>
      <c r="H410" s="8" t="s">
        <v>30</v>
      </c>
      <c r="I410" s="8" t="s">
        <v>30</v>
      </c>
      <c r="J410" s="8">
        <v>2019</v>
      </c>
      <c r="K410" s="8">
        <v>10</v>
      </c>
    </row>
    <row r="411" spans="1:11" x14ac:dyDescent="0.35">
      <c r="A411" s="13">
        <v>43759</v>
      </c>
      <c r="B411" s="8">
        <v>22.2</v>
      </c>
      <c r="C411" s="8">
        <v>20.6</v>
      </c>
      <c r="D411" s="8">
        <v>28.6</v>
      </c>
      <c r="E411" s="8">
        <v>7.9</v>
      </c>
      <c r="F411" s="8" t="s">
        <v>30</v>
      </c>
      <c r="G411" s="8" t="s">
        <v>30</v>
      </c>
      <c r="H411" s="8" t="s">
        <v>30</v>
      </c>
      <c r="I411" s="8" t="s">
        <v>30</v>
      </c>
      <c r="J411" s="8">
        <v>2019</v>
      </c>
      <c r="K411" s="8">
        <v>10</v>
      </c>
    </row>
    <row r="412" spans="1:11" x14ac:dyDescent="0.35">
      <c r="A412" s="13">
        <v>43762</v>
      </c>
      <c r="B412" s="8">
        <v>22.5</v>
      </c>
      <c r="C412" s="8">
        <v>20</v>
      </c>
      <c r="D412" s="8">
        <v>27.6</v>
      </c>
      <c r="E412" s="8">
        <v>0</v>
      </c>
      <c r="F412" s="8" t="s">
        <v>30</v>
      </c>
      <c r="G412" s="8" t="s">
        <v>30</v>
      </c>
      <c r="H412" s="8" t="s">
        <v>30</v>
      </c>
      <c r="I412" s="8" t="s">
        <v>30</v>
      </c>
      <c r="J412" s="8">
        <v>2019</v>
      </c>
      <c r="K412" s="8">
        <v>10</v>
      </c>
    </row>
    <row r="413" spans="1:11" x14ac:dyDescent="0.35">
      <c r="A413" s="13">
        <v>43763</v>
      </c>
      <c r="B413" s="8">
        <v>21.5</v>
      </c>
      <c r="C413" s="8">
        <v>19.600000000000001</v>
      </c>
      <c r="D413" s="8">
        <v>26.7</v>
      </c>
      <c r="E413" s="8">
        <v>0</v>
      </c>
      <c r="F413" s="8" t="s">
        <v>30</v>
      </c>
      <c r="G413" s="8" t="s">
        <v>30</v>
      </c>
      <c r="H413" s="8" t="s">
        <v>30</v>
      </c>
      <c r="I413" s="8" t="s">
        <v>30</v>
      </c>
      <c r="J413" s="8">
        <v>2019</v>
      </c>
      <c r="K413" s="8">
        <v>10</v>
      </c>
    </row>
    <row r="414" spans="1:11" x14ac:dyDescent="0.35">
      <c r="A414" s="13">
        <v>43764</v>
      </c>
      <c r="B414" s="8">
        <v>22.4</v>
      </c>
      <c r="C414" s="8">
        <v>19</v>
      </c>
      <c r="D414" s="8">
        <v>27</v>
      </c>
      <c r="E414" s="8">
        <v>6.1</v>
      </c>
      <c r="F414" s="8" t="s">
        <v>30</v>
      </c>
      <c r="G414" s="8" t="s">
        <v>30</v>
      </c>
      <c r="H414" s="8" t="s">
        <v>30</v>
      </c>
      <c r="I414" s="8" t="s">
        <v>30</v>
      </c>
      <c r="J414" s="8">
        <v>2019</v>
      </c>
      <c r="K414" s="8">
        <v>10</v>
      </c>
    </row>
    <row r="415" spans="1:11" x14ac:dyDescent="0.35">
      <c r="A415" s="13">
        <v>43765</v>
      </c>
      <c r="B415" s="8">
        <v>22.3</v>
      </c>
      <c r="C415" s="8">
        <v>19.399999999999999</v>
      </c>
      <c r="D415" s="8">
        <v>27.8</v>
      </c>
      <c r="E415" s="8">
        <v>3</v>
      </c>
      <c r="F415" s="8" t="s">
        <v>30</v>
      </c>
      <c r="G415" s="8" t="s">
        <v>30</v>
      </c>
      <c r="H415" s="8" t="s">
        <v>30</v>
      </c>
      <c r="I415" s="8" t="s">
        <v>30</v>
      </c>
      <c r="J415" s="8">
        <v>2019</v>
      </c>
      <c r="K415" s="8">
        <v>10</v>
      </c>
    </row>
    <row r="416" spans="1:11" x14ac:dyDescent="0.35">
      <c r="A416" s="13">
        <v>43767</v>
      </c>
      <c r="B416" s="8">
        <v>22</v>
      </c>
      <c r="C416" s="8">
        <v>20</v>
      </c>
      <c r="D416" s="8">
        <v>27.6</v>
      </c>
      <c r="E416" s="8">
        <v>0</v>
      </c>
      <c r="F416" s="8" t="s">
        <v>30</v>
      </c>
      <c r="G416" s="8" t="s">
        <v>30</v>
      </c>
      <c r="H416" s="8" t="s">
        <v>30</v>
      </c>
      <c r="I416" s="8" t="s">
        <v>30</v>
      </c>
      <c r="J416" s="8">
        <v>2019</v>
      </c>
      <c r="K416" s="8">
        <v>10</v>
      </c>
    </row>
    <row r="417" spans="1:11" x14ac:dyDescent="0.35">
      <c r="A417" s="13">
        <v>43768</v>
      </c>
      <c r="B417" s="8">
        <v>21.4</v>
      </c>
      <c r="C417" s="8">
        <v>19.7</v>
      </c>
      <c r="D417" s="8">
        <v>25.3</v>
      </c>
      <c r="E417" s="8">
        <v>4.5999999999999996</v>
      </c>
      <c r="F417" s="8" t="s">
        <v>30</v>
      </c>
      <c r="G417" s="8" t="s">
        <v>30</v>
      </c>
      <c r="H417" s="8" t="s">
        <v>30</v>
      </c>
      <c r="I417" s="8" t="s">
        <v>30</v>
      </c>
      <c r="J417" s="8">
        <v>2019</v>
      </c>
      <c r="K417" s="8">
        <v>10</v>
      </c>
    </row>
    <row r="418" spans="1:11" x14ac:dyDescent="0.35">
      <c r="A418" s="13">
        <v>43769</v>
      </c>
      <c r="B418" s="8">
        <v>22.5</v>
      </c>
      <c r="C418" s="8">
        <v>19.7</v>
      </c>
      <c r="D418" s="8">
        <v>25.6</v>
      </c>
      <c r="E418" s="8">
        <v>6.9</v>
      </c>
      <c r="F418" s="8" t="s">
        <v>30</v>
      </c>
      <c r="G418" s="8" t="s">
        <v>30</v>
      </c>
      <c r="H418" s="8" t="s">
        <v>30</v>
      </c>
      <c r="I418" s="8" t="s">
        <v>30</v>
      </c>
      <c r="J418" s="8">
        <v>2019</v>
      </c>
      <c r="K418" s="8">
        <v>10</v>
      </c>
    </row>
    <row r="419" spans="1:11" x14ac:dyDescent="0.35">
      <c r="A419" s="13">
        <v>43770</v>
      </c>
      <c r="B419" s="8">
        <v>23.8</v>
      </c>
      <c r="C419" s="8">
        <v>18</v>
      </c>
      <c r="D419" s="8">
        <v>28.8</v>
      </c>
      <c r="E419" s="8">
        <v>0.3</v>
      </c>
      <c r="F419" s="8" t="s">
        <v>30</v>
      </c>
      <c r="G419" s="8" t="s">
        <v>30</v>
      </c>
      <c r="H419" s="8" t="s">
        <v>30</v>
      </c>
      <c r="I419" s="8" t="s">
        <v>30</v>
      </c>
      <c r="J419" s="8">
        <v>2019</v>
      </c>
      <c r="K419" s="8">
        <v>11</v>
      </c>
    </row>
    <row r="420" spans="1:11" x14ac:dyDescent="0.35">
      <c r="A420" s="13">
        <v>43771</v>
      </c>
      <c r="B420" s="8">
        <v>24.2</v>
      </c>
      <c r="C420" s="8">
        <v>21</v>
      </c>
      <c r="D420" s="8">
        <v>29.4</v>
      </c>
      <c r="E420" s="8">
        <v>0</v>
      </c>
      <c r="F420" s="8" t="s">
        <v>30</v>
      </c>
      <c r="G420" s="8" t="s">
        <v>30</v>
      </c>
      <c r="H420" s="8" t="s">
        <v>30</v>
      </c>
      <c r="I420" s="8" t="s">
        <v>30</v>
      </c>
      <c r="J420" s="8">
        <v>2019</v>
      </c>
      <c r="K420" s="8">
        <v>11</v>
      </c>
    </row>
    <row r="421" spans="1:11" x14ac:dyDescent="0.35">
      <c r="A421" s="13">
        <v>43777</v>
      </c>
      <c r="B421" s="8">
        <v>24.4</v>
      </c>
      <c r="C421" s="8">
        <v>18.8</v>
      </c>
      <c r="D421" s="8">
        <v>29.4</v>
      </c>
      <c r="E421" s="8">
        <v>3</v>
      </c>
      <c r="F421" s="8" t="s">
        <v>30</v>
      </c>
      <c r="G421" s="8" t="s">
        <v>30</v>
      </c>
      <c r="H421" s="8" t="s">
        <v>30</v>
      </c>
      <c r="I421" s="8" t="s">
        <v>30</v>
      </c>
      <c r="J421" s="8">
        <v>2019</v>
      </c>
      <c r="K421" s="8">
        <v>11</v>
      </c>
    </row>
    <row r="422" spans="1:11" x14ac:dyDescent="0.35">
      <c r="A422" s="13">
        <v>43778</v>
      </c>
      <c r="B422" s="8">
        <v>24.3</v>
      </c>
      <c r="C422" s="8">
        <v>20.3</v>
      </c>
      <c r="D422" s="8">
        <v>29.2</v>
      </c>
      <c r="E422" s="8">
        <v>0</v>
      </c>
      <c r="F422" s="8" t="s">
        <v>30</v>
      </c>
      <c r="G422" s="8" t="s">
        <v>30</v>
      </c>
      <c r="H422" s="8" t="s">
        <v>30</v>
      </c>
      <c r="I422" s="8" t="s">
        <v>30</v>
      </c>
      <c r="J422" s="8">
        <v>2019</v>
      </c>
      <c r="K422" s="8">
        <v>11</v>
      </c>
    </row>
    <row r="423" spans="1:11" x14ac:dyDescent="0.35">
      <c r="A423" s="13">
        <v>43780</v>
      </c>
      <c r="B423" s="8">
        <v>23.8</v>
      </c>
      <c r="C423" s="8">
        <v>19.7</v>
      </c>
      <c r="D423" s="8">
        <v>29.8</v>
      </c>
      <c r="E423" s="8">
        <v>0</v>
      </c>
      <c r="F423" s="8" t="s">
        <v>30</v>
      </c>
      <c r="G423" s="8" t="s">
        <v>30</v>
      </c>
      <c r="H423" s="8" t="s">
        <v>30</v>
      </c>
      <c r="I423" s="8" t="s">
        <v>30</v>
      </c>
      <c r="J423" s="8">
        <v>2019</v>
      </c>
      <c r="K423" s="8">
        <v>11</v>
      </c>
    </row>
    <row r="424" spans="1:11" x14ac:dyDescent="0.35">
      <c r="A424" s="13">
        <v>43784</v>
      </c>
      <c r="B424" s="8">
        <v>22.7</v>
      </c>
      <c r="C424" s="8">
        <v>19.600000000000001</v>
      </c>
      <c r="D424" s="8">
        <v>26.8</v>
      </c>
      <c r="E424" s="8">
        <v>2.8</v>
      </c>
      <c r="F424" s="8" t="s">
        <v>30</v>
      </c>
      <c r="G424" s="8" t="s">
        <v>30</v>
      </c>
      <c r="H424" s="8" t="s">
        <v>30</v>
      </c>
      <c r="I424" s="8" t="s">
        <v>30</v>
      </c>
      <c r="J424" s="8">
        <v>2019</v>
      </c>
      <c r="K424" s="8">
        <v>11</v>
      </c>
    </row>
    <row r="425" spans="1:11" x14ac:dyDescent="0.35">
      <c r="A425" s="13">
        <v>43785</v>
      </c>
      <c r="B425" s="8">
        <v>23.5</v>
      </c>
      <c r="C425" s="8">
        <v>20.399999999999999</v>
      </c>
      <c r="D425" s="8">
        <v>26.2</v>
      </c>
      <c r="E425" s="8">
        <v>0.5</v>
      </c>
      <c r="F425" s="8" t="s">
        <v>30</v>
      </c>
      <c r="G425" s="8" t="s">
        <v>30</v>
      </c>
      <c r="H425" s="8" t="s">
        <v>30</v>
      </c>
      <c r="I425" s="8" t="s">
        <v>30</v>
      </c>
      <c r="J425" s="8">
        <v>2019</v>
      </c>
      <c r="K425" s="8">
        <v>11</v>
      </c>
    </row>
    <row r="426" spans="1:11" x14ac:dyDescent="0.35">
      <c r="A426" s="13">
        <v>43786</v>
      </c>
      <c r="B426" s="8">
        <v>24</v>
      </c>
      <c r="C426" s="8">
        <v>19.5</v>
      </c>
      <c r="D426" s="8">
        <v>29.2</v>
      </c>
      <c r="E426" s="8">
        <v>0</v>
      </c>
      <c r="F426" s="8" t="s">
        <v>30</v>
      </c>
      <c r="G426" s="8" t="s">
        <v>30</v>
      </c>
      <c r="H426" s="8" t="s">
        <v>30</v>
      </c>
      <c r="I426" s="8" t="s">
        <v>30</v>
      </c>
      <c r="J426" s="8">
        <v>2019</v>
      </c>
      <c r="K426" s="8">
        <v>11</v>
      </c>
    </row>
    <row r="427" spans="1:11" x14ac:dyDescent="0.35">
      <c r="A427" s="13">
        <v>43788</v>
      </c>
      <c r="B427" s="8">
        <v>23.6</v>
      </c>
      <c r="C427" s="8">
        <v>19.8</v>
      </c>
      <c r="D427" s="8">
        <v>29.4</v>
      </c>
      <c r="E427" s="8">
        <v>0</v>
      </c>
      <c r="F427" s="8" t="s">
        <v>30</v>
      </c>
      <c r="G427" s="8" t="s">
        <v>30</v>
      </c>
      <c r="H427" s="8" t="s">
        <v>30</v>
      </c>
      <c r="I427" s="8" t="s">
        <v>30</v>
      </c>
      <c r="J427" s="8">
        <v>2019</v>
      </c>
      <c r="K427" s="8">
        <v>11</v>
      </c>
    </row>
    <row r="428" spans="1:11" x14ac:dyDescent="0.35">
      <c r="A428" s="13">
        <v>43790</v>
      </c>
      <c r="B428" s="8">
        <v>22.4</v>
      </c>
      <c r="C428" s="8">
        <v>20.399999999999999</v>
      </c>
      <c r="D428" s="8">
        <v>27.6</v>
      </c>
      <c r="E428" s="8">
        <v>2.5</v>
      </c>
      <c r="F428" s="8" t="s">
        <v>30</v>
      </c>
      <c r="G428" s="8" t="s">
        <v>30</v>
      </c>
      <c r="H428" s="8" t="s">
        <v>30</v>
      </c>
      <c r="I428" s="8" t="s">
        <v>30</v>
      </c>
      <c r="J428" s="8">
        <v>2019</v>
      </c>
      <c r="K428" s="8">
        <v>11</v>
      </c>
    </row>
    <row r="429" spans="1:11" x14ac:dyDescent="0.35">
      <c r="A429" s="13">
        <v>43791</v>
      </c>
      <c r="B429" s="8">
        <v>22.3</v>
      </c>
      <c r="C429" s="8">
        <v>19.2</v>
      </c>
      <c r="D429" s="8">
        <v>25.6</v>
      </c>
      <c r="E429" s="8">
        <v>0</v>
      </c>
      <c r="F429" s="8" t="s">
        <v>30</v>
      </c>
      <c r="G429" s="8" t="s">
        <v>30</v>
      </c>
      <c r="H429" s="8" t="s">
        <v>30</v>
      </c>
      <c r="I429" s="8" t="s">
        <v>30</v>
      </c>
      <c r="J429" s="8">
        <v>2019</v>
      </c>
      <c r="K429" s="8">
        <v>11</v>
      </c>
    </row>
    <row r="430" spans="1:11" x14ac:dyDescent="0.35">
      <c r="A430" s="13">
        <v>43792</v>
      </c>
      <c r="B430" s="8">
        <v>23.2</v>
      </c>
      <c r="C430" s="8">
        <v>17.3</v>
      </c>
      <c r="D430" s="8">
        <v>28</v>
      </c>
      <c r="E430" s="8">
        <v>0</v>
      </c>
      <c r="F430" s="8" t="s">
        <v>30</v>
      </c>
      <c r="G430" s="8" t="s">
        <v>30</v>
      </c>
      <c r="H430" s="8" t="s">
        <v>30</v>
      </c>
      <c r="I430" s="8" t="s">
        <v>30</v>
      </c>
      <c r="J430" s="8">
        <v>2019</v>
      </c>
      <c r="K430" s="8">
        <v>11</v>
      </c>
    </row>
    <row r="431" spans="1:11" x14ac:dyDescent="0.35">
      <c r="A431" s="13">
        <v>43796</v>
      </c>
      <c r="B431" s="8">
        <v>21.9</v>
      </c>
      <c r="C431" s="8">
        <v>20</v>
      </c>
      <c r="D431" s="8">
        <v>28.3</v>
      </c>
      <c r="E431" s="8">
        <v>0.3</v>
      </c>
      <c r="F431" s="8" t="s">
        <v>30</v>
      </c>
      <c r="G431" s="8" t="s">
        <v>30</v>
      </c>
      <c r="H431" s="8" t="s">
        <v>30</v>
      </c>
      <c r="I431" s="8" t="s">
        <v>30</v>
      </c>
      <c r="J431" s="8">
        <v>2019</v>
      </c>
      <c r="K431" s="8">
        <v>11</v>
      </c>
    </row>
    <row r="432" spans="1:11" x14ac:dyDescent="0.35">
      <c r="A432" s="13">
        <v>43797</v>
      </c>
      <c r="B432" s="8">
        <v>22.6</v>
      </c>
      <c r="C432" s="8">
        <v>19.2</v>
      </c>
      <c r="D432" s="8">
        <v>27.8</v>
      </c>
      <c r="E432" s="8">
        <v>0</v>
      </c>
      <c r="F432" s="8" t="s">
        <v>30</v>
      </c>
      <c r="G432" s="8" t="s">
        <v>30</v>
      </c>
      <c r="H432" s="8" t="s">
        <v>30</v>
      </c>
      <c r="I432" s="8" t="s">
        <v>30</v>
      </c>
      <c r="J432" s="8">
        <v>2019</v>
      </c>
      <c r="K432" s="8">
        <v>11</v>
      </c>
    </row>
    <row r="433" spans="1:11" x14ac:dyDescent="0.35">
      <c r="A433" s="13">
        <v>43798</v>
      </c>
      <c r="B433" s="8">
        <v>22.5</v>
      </c>
      <c r="C433" s="8">
        <v>19.399999999999999</v>
      </c>
      <c r="D433" s="8">
        <v>28.4</v>
      </c>
      <c r="E433" s="8">
        <v>0</v>
      </c>
      <c r="F433" s="8" t="s">
        <v>30</v>
      </c>
      <c r="G433" s="8" t="s">
        <v>30</v>
      </c>
      <c r="H433" s="8" t="s">
        <v>30</v>
      </c>
      <c r="I433" s="8" t="s">
        <v>30</v>
      </c>
      <c r="J433" s="8">
        <v>2019</v>
      </c>
      <c r="K433" s="8">
        <v>11</v>
      </c>
    </row>
    <row r="434" spans="1:11" x14ac:dyDescent="0.35">
      <c r="A434" s="13">
        <v>43799</v>
      </c>
      <c r="B434" s="8">
        <v>21.4</v>
      </c>
      <c r="C434" s="8">
        <v>18.7</v>
      </c>
      <c r="D434" s="8">
        <v>27</v>
      </c>
      <c r="E434" s="8">
        <v>1.5</v>
      </c>
      <c r="F434" s="8" t="s">
        <v>30</v>
      </c>
      <c r="G434" s="8" t="s">
        <v>30</v>
      </c>
      <c r="H434" s="8" t="s">
        <v>30</v>
      </c>
      <c r="I434" s="8" t="s">
        <v>30</v>
      </c>
      <c r="J434" s="8">
        <v>2019</v>
      </c>
      <c r="K434" s="8">
        <v>11</v>
      </c>
    </row>
    <row r="435" spans="1:11" x14ac:dyDescent="0.35">
      <c r="A435" s="13">
        <v>43800</v>
      </c>
      <c r="B435" s="8">
        <v>21.2</v>
      </c>
      <c r="C435" s="8">
        <v>19.399999999999999</v>
      </c>
      <c r="D435" s="8">
        <v>24.6</v>
      </c>
      <c r="E435" s="8">
        <v>1.8</v>
      </c>
      <c r="F435" s="8" t="s">
        <v>30</v>
      </c>
      <c r="G435" s="8" t="s">
        <v>30</v>
      </c>
      <c r="H435" s="8" t="s">
        <v>30</v>
      </c>
      <c r="I435" s="8" t="s">
        <v>30</v>
      </c>
      <c r="J435" s="8">
        <v>2019</v>
      </c>
      <c r="K435" s="8">
        <v>12</v>
      </c>
    </row>
    <row r="436" spans="1:11" x14ac:dyDescent="0.35">
      <c r="A436" s="13">
        <v>43801</v>
      </c>
      <c r="B436" s="8">
        <v>21.3</v>
      </c>
      <c r="C436" s="8">
        <v>19.2</v>
      </c>
      <c r="D436" s="8">
        <v>25</v>
      </c>
      <c r="E436" s="8">
        <v>6.9</v>
      </c>
      <c r="F436" s="8" t="s">
        <v>30</v>
      </c>
      <c r="G436" s="8" t="s">
        <v>30</v>
      </c>
      <c r="H436" s="8" t="s">
        <v>30</v>
      </c>
      <c r="I436" s="8" t="s">
        <v>30</v>
      </c>
      <c r="J436" s="8">
        <v>2019</v>
      </c>
      <c r="K436" s="8">
        <v>12</v>
      </c>
    </row>
    <row r="437" spans="1:11" x14ac:dyDescent="0.35">
      <c r="A437" s="13">
        <v>43802</v>
      </c>
      <c r="B437" s="8">
        <v>21.1</v>
      </c>
      <c r="C437" s="8">
        <v>19.399999999999999</v>
      </c>
      <c r="D437" s="8">
        <v>24.5</v>
      </c>
      <c r="E437" s="8">
        <v>0.5</v>
      </c>
      <c r="F437" s="8" t="s">
        <v>30</v>
      </c>
      <c r="G437" s="8" t="s">
        <v>30</v>
      </c>
      <c r="H437" s="8" t="s">
        <v>30</v>
      </c>
      <c r="I437" s="8" t="s">
        <v>30</v>
      </c>
      <c r="J437" s="8">
        <v>2019</v>
      </c>
      <c r="K437" s="8">
        <v>12</v>
      </c>
    </row>
    <row r="438" spans="1:11" x14ac:dyDescent="0.35">
      <c r="A438" s="13">
        <v>43803</v>
      </c>
      <c r="B438" s="8">
        <v>21.2</v>
      </c>
      <c r="C438" s="8">
        <v>18.8</v>
      </c>
      <c r="D438" s="8">
        <v>26</v>
      </c>
      <c r="E438" s="8">
        <v>0</v>
      </c>
      <c r="F438" s="8" t="s">
        <v>30</v>
      </c>
      <c r="G438" s="8" t="s">
        <v>30</v>
      </c>
      <c r="H438" s="8" t="s">
        <v>30</v>
      </c>
      <c r="I438" s="8" t="s">
        <v>30</v>
      </c>
      <c r="J438" s="8">
        <v>2019</v>
      </c>
      <c r="K438" s="8">
        <v>12</v>
      </c>
    </row>
    <row r="439" spans="1:11" x14ac:dyDescent="0.35">
      <c r="A439" s="13">
        <v>43804</v>
      </c>
      <c r="B439" s="8">
        <v>20.8</v>
      </c>
      <c r="C439" s="8">
        <v>18</v>
      </c>
      <c r="D439" s="8">
        <v>26</v>
      </c>
      <c r="E439" s="8">
        <v>0</v>
      </c>
      <c r="F439" s="8" t="s">
        <v>30</v>
      </c>
      <c r="G439" s="8" t="s">
        <v>30</v>
      </c>
      <c r="H439" s="8" t="s">
        <v>30</v>
      </c>
      <c r="I439" s="8" t="s">
        <v>30</v>
      </c>
      <c r="J439" s="8">
        <v>2019</v>
      </c>
      <c r="K439" s="8">
        <v>12</v>
      </c>
    </row>
    <row r="440" spans="1:11" x14ac:dyDescent="0.35">
      <c r="A440" s="13">
        <v>43807</v>
      </c>
      <c r="B440" s="8">
        <v>20.2</v>
      </c>
      <c r="C440" s="8">
        <v>17.8</v>
      </c>
      <c r="D440" s="8">
        <v>24.9</v>
      </c>
      <c r="E440" s="8">
        <v>0.5</v>
      </c>
      <c r="F440" s="8" t="s">
        <v>30</v>
      </c>
      <c r="G440" s="8" t="s">
        <v>30</v>
      </c>
      <c r="H440" s="8" t="s">
        <v>30</v>
      </c>
      <c r="I440" s="8" t="s">
        <v>30</v>
      </c>
      <c r="J440" s="8">
        <v>2019</v>
      </c>
      <c r="K440" s="8">
        <v>12</v>
      </c>
    </row>
    <row r="441" spans="1:11" x14ac:dyDescent="0.35">
      <c r="A441" s="13">
        <v>43808</v>
      </c>
      <c r="B441" s="8">
        <v>21.5</v>
      </c>
      <c r="C441" s="8">
        <v>17</v>
      </c>
      <c r="D441" s="8">
        <v>26.8</v>
      </c>
      <c r="E441" s="8">
        <v>0</v>
      </c>
      <c r="F441" s="8" t="s">
        <v>30</v>
      </c>
      <c r="G441" s="8" t="s">
        <v>30</v>
      </c>
      <c r="H441" s="8" t="s">
        <v>30</v>
      </c>
      <c r="I441" s="8" t="s">
        <v>30</v>
      </c>
      <c r="J441" s="8">
        <v>2019</v>
      </c>
      <c r="K441" s="8">
        <v>12</v>
      </c>
    </row>
    <row r="442" spans="1:11" x14ac:dyDescent="0.35">
      <c r="A442" s="13">
        <v>43813</v>
      </c>
      <c r="B442" s="8">
        <v>21.1</v>
      </c>
      <c r="C442" s="8">
        <v>18.8</v>
      </c>
      <c r="D442" s="8">
        <v>28.8</v>
      </c>
      <c r="E442" s="8">
        <v>0</v>
      </c>
      <c r="F442" s="8" t="s">
        <v>30</v>
      </c>
      <c r="G442" s="8" t="s">
        <v>30</v>
      </c>
      <c r="H442" s="8" t="s">
        <v>30</v>
      </c>
      <c r="I442" s="8" t="s">
        <v>30</v>
      </c>
      <c r="J442" s="8">
        <v>2019</v>
      </c>
      <c r="K442" s="8">
        <v>12</v>
      </c>
    </row>
    <row r="443" spans="1:11" x14ac:dyDescent="0.35">
      <c r="A443" s="13">
        <v>43814</v>
      </c>
      <c r="B443" s="8">
        <v>21.7</v>
      </c>
      <c r="C443" s="8">
        <v>17.600000000000001</v>
      </c>
      <c r="D443" s="8">
        <v>25.8</v>
      </c>
      <c r="E443" s="8">
        <v>2.8</v>
      </c>
      <c r="F443" s="8" t="s">
        <v>30</v>
      </c>
      <c r="G443" s="8" t="s">
        <v>30</v>
      </c>
      <c r="H443" s="8" t="s">
        <v>30</v>
      </c>
      <c r="I443" s="8" t="s">
        <v>30</v>
      </c>
      <c r="J443" s="8">
        <v>2019</v>
      </c>
      <c r="K443" s="8">
        <v>12</v>
      </c>
    </row>
    <row r="444" spans="1:11" x14ac:dyDescent="0.35">
      <c r="A444" s="13">
        <v>43815</v>
      </c>
      <c r="B444" s="8">
        <v>22.1</v>
      </c>
      <c r="C444" s="8">
        <v>17.399999999999999</v>
      </c>
      <c r="D444" s="8">
        <v>26.7</v>
      </c>
      <c r="E444" s="8">
        <v>0</v>
      </c>
      <c r="F444" s="8" t="s">
        <v>30</v>
      </c>
      <c r="G444" s="8" t="s">
        <v>30</v>
      </c>
      <c r="H444" s="8" t="s">
        <v>30</v>
      </c>
      <c r="I444" s="8" t="s">
        <v>30</v>
      </c>
      <c r="J444" s="8">
        <v>2019</v>
      </c>
      <c r="K444" s="8">
        <v>12</v>
      </c>
    </row>
    <row r="445" spans="1:11" x14ac:dyDescent="0.35">
      <c r="A445" s="13">
        <v>43816</v>
      </c>
      <c r="B445" s="8">
        <v>21.3</v>
      </c>
      <c r="C445" s="8">
        <v>18.399999999999999</v>
      </c>
      <c r="D445" s="8">
        <v>27.6</v>
      </c>
      <c r="E445" s="8">
        <v>0</v>
      </c>
      <c r="F445" s="8" t="s">
        <v>30</v>
      </c>
      <c r="G445" s="8" t="s">
        <v>30</v>
      </c>
      <c r="H445" s="8" t="s">
        <v>30</v>
      </c>
      <c r="I445" s="8" t="s">
        <v>30</v>
      </c>
      <c r="J445" s="8">
        <v>2019</v>
      </c>
      <c r="K445" s="8">
        <v>12</v>
      </c>
    </row>
    <row r="446" spans="1:11" x14ac:dyDescent="0.35">
      <c r="A446" s="13">
        <v>43817</v>
      </c>
      <c r="B446" s="8">
        <v>21.6</v>
      </c>
      <c r="C446" s="8">
        <v>17</v>
      </c>
      <c r="D446" s="8">
        <v>26.2</v>
      </c>
      <c r="E446" s="8">
        <v>0</v>
      </c>
      <c r="F446" s="8" t="s">
        <v>30</v>
      </c>
      <c r="G446" s="8" t="s">
        <v>30</v>
      </c>
      <c r="H446" s="8" t="s">
        <v>30</v>
      </c>
      <c r="I446" s="8" t="s">
        <v>30</v>
      </c>
      <c r="J446" s="8">
        <v>2019</v>
      </c>
      <c r="K446" s="8">
        <v>12</v>
      </c>
    </row>
    <row r="447" spans="1:11" x14ac:dyDescent="0.35">
      <c r="A447" s="13">
        <v>43834</v>
      </c>
      <c r="B447" s="8">
        <v>23.6</v>
      </c>
      <c r="C447" s="8">
        <v>18.600000000000001</v>
      </c>
      <c r="D447" s="8">
        <v>30.5</v>
      </c>
      <c r="E447" s="8">
        <v>0</v>
      </c>
      <c r="F447" s="8" t="s">
        <v>30</v>
      </c>
      <c r="G447" s="8" t="s">
        <v>30</v>
      </c>
      <c r="H447" s="8" t="s">
        <v>30</v>
      </c>
      <c r="I447" s="8" t="s">
        <v>30</v>
      </c>
      <c r="J447" s="8">
        <v>2020</v>
      </c>
      <c r="K447" s="8">
        <v>1</v>
      </c>
    </row>
    <row r="448" spans="1:11" x14ac:dyDescent="0.35">
      <c r="A448" s="13">
        <v>43836</v>
      </c>
      <c r="B448" s="8">
        <v>22.1</v>
      </c>
      <c r="C448" s="8">
        <v>20.399999999999999</v>
      </c>
      <c r="D448" s="8">
        <v>30.8</v>
      </c>
      <c r="E448" s="8">
        <v>0.3</v>
      </c>
      <c r="F448" s="8" t="s">
        <v>30</v>
      </c>
      <c r="G448" s="8" t="s">
        <v>30</v>
      </c>
      <c r="H448" s="8" t="s">
        <v>30</v>
      </c>
      <c r="I448" s="8" t="s">
        <v>30</v>
      </c>
      <c r="J448" s="8">
        <v>2020</v>
      </c>
      <c r="K448" s="8">
        <v>1</v>
      </c>
    </row>
    <row r="449" spans="1:11" x14ac:dyDescent="0.35">
      <c r="A449" s="13">
        <v>43837</v>
      </c>
      <c r="B449" s="8">
        <v>22.2</v>
      </c>
      <c r="C449" s="8">
        <v>18.8</v>
      </c>
      <c r="D449" s="8">
        <v>26.2</v>
      </c>
      <c r="E449" s="8">
        <v>0</v>
      </c>
      <c r="F449" s="8" t="s">
        <v>30</v>
      </c>
      <c r="G449" s="8" t="s">
        <v>30</v>
      </c>
      <c r="H449" s="8" t="s">
        <v>30</v>
      </c>
      <c r="I449" s="8" t="s">
        <v>30</v>
      </c>
      <c r="J449" s="8">
        <v>2020</v>
      </c>
      <c r="K449" s="8">
        <v>1</v>
      </c>
    </row>
    <row r="450" spans="1:11" x14ac:dyDescent="0.35">
      <c r="A450" s="13">
        <v>43893</v>
      </c>
      <c r="B450" s="8">
        <v>25.8</v>
      </c>
      <c r="C450" s="8">
        <v>20</v>
      </c>
      <c r="D450" s="8">
        <v>30.6</v>
      </c>
      <c r="E450" s="8">
        <v>0</v>
      </c>
      <c r="F450" s="8" t="s">
        <v>30</v>
      </c>
      <c r="G450" s="8" t="s">
        <v>30</v>
      </c>
      <c r="H450" s="8" t="s">
        <v>30</v>
      </c>
      <c r="I450" s="8" t="s">
        <v>30</v>
      </c>
      <c r="J450" s="8">
        <v>2020</v>
      </c>
      <c r="K450" s="8">
        <v>3</v>
      </c>
    </row>
    <row r="451" spans="1:11" x14ac:dyDescent="0.35">
      <c r="A451" s="13">
        <v>43894</v>
      </c>
      <c r="B451" s="8">
        <v>26.4</v>
      </c>
      <c r="C451" s="8">
        <v>21.4</v>
      </c>
      <c r="D451" s="8">
        <v>33</v>
      </c>
      <c r="E451" s="8">
        <v>1</v>
      </c>
      <c r="F451" s="8" t="s">
        <v>30</v>
      </c>
      <c r="G451" s="8" t="s">
        <v>30</v>
      </c>
      <c r="H451" s="8" t="s">
        <v>30</v>
      </c>
      <c r="I451" s="8" t="s">
        <v>30</v>
      </c>
      <c r="J451" s="8">
        <v>2020</v>
      </c>
      <c r="K451" s="8">
        <v>3</v>
      </c>
    </row>
    <row r="452" spans="1:11" x14ac:dyDescent="0.35">
      <c r="A452" s="13">
        <v>43895</v>
      </c>
      <c r="B452" s="8">
        <v>27.4</v>
      </c>
      <c r="C452" s="8">
        <v>21.6</v>
      </c>
      <c r="D452" s="8">
        <v>32.4</v>
      </c>
      <c r="E452" s="8">
        <v>0</v>
      </c>
      <c r="F452" s="8" t="s">
        <v>30</v>
      </c>
      <c r="G452" s="8" t="s">
        <v>30</v>
      </c>
      <c r="H452" s="8" t="s">
        <v>30</v>
      </c>
      <c r="I452" s="8" t="s">
        <v>30</v>
      </c>
      <c r="J452" s="8">
        <v>2020</v>
      </c>
      <c r="K452" s="8">
        <v>3</v>
      </c>
    </row>
    <row r="453" spans="1:11" x14ac:dyDescent="0.35">
      <c r="A453" s="13">
        <v>43897</v>
      </c>
      <c r="B453" s="8">
        <v>26.1</v>
      </c>
      <c r="C453" s="8">
        <v>22.3</v>
      </c>
      <c r="D453" s="8">
        <v>33.4</v>
      </c>
      <c r="E453" s="8">
        <v>1</v>
      </c>
      <c r="F453" s="8" t="s">
        <v>30</v>
      </c>
      <c r="G453" s="8" t="s">
        <v>30</v>
      </c>
      <c r="H453" s="8" t="s">
        <v>30</v>
      </c>
      <c r="I453" s="8" t="s">
        <v>30</v>
      </c>
      <c r="J453" s="8">
        <v>2020</v>
      </c>
      <c r="K453" s="8">
        <v>3</v>
      </c>
    </row>
    <row r="454" spans="1:11" x14ac:dyDescent="0.35">
      <c r="A454" s="13">
        <v>43898</v>
      </c>
      <c r="B454" s="8">
        <v>26.4</v>
      </c>
      <c r="C454" s="8">
        <v>21.2</v>
      </c>
      <c r="D454" s="8">
        <v>32.299999999999997</v>
      </c>
      <c r="E454" s="8">
        <v>0</v>
      </c>
      <c r="F454" s="8" t="s">
        <v>30</v>
      </c>
      <c r="G454" s="8" t="s">
        <v>30</v>
      </c>
      <c r="H454" s="8" t="s">
        <v>30</v>
      </c>
      <c r="I454" s="8" t="s">
        <v>30</v>
      </c>
      <c r="J454" s="8">
        <v>2020</v>
      </c>
      <c r="K454" s="8">
        <v>3</v>
      </c>
    </row>
    <row r="455" spans="1:11" x14ac:dyDescent="0.35">
      <c r="A455" s="13">
        <v>43911</v>
      </c>
      <c r="B455" s="8">
        <v>27.4</v>
      </c>
      <c r="C455" s="8">
        <v>22</v>
      </c>
      <c r="D455" s="8">
        <v>34.1</v>
      </c>
      <c r="E455" s="8">
        <v>1</v>
      </c>
      <c r="F455" s="8" t="s">
        <v>30</v>
      </c>
      <c r="G455" s="8" t="s">
        <v>30</v>
      </c>
      <c r="H455" s="8" t="s">
        <v>30</v>
      </c>
      <c r="I455" s="8" t="s">
        <v>30</v>
      </c>
      <c r="J455" s="8">
        <v>2020</v>
      </c>
      <c r="K455" s="8">
        <v>3</v>
      </c>
    </row>
    <row r="456" spans="1:11" x14ac:dyDescent="0.35">
      <c r="A456" s="13">
        <v>43912</v>
      </c>
      <c r="B456" s="8">
        <v>27.8</v>
      </c>
      <c r="C456" s="8">
        <v>22.8</v>
      </c>
      <c r="D456" s="8">
        <v>35.4</v>
      </c>
      <c r="E456" s="8">
        <v>0</v>
      </c>
      <c r="F456" s="8" t="s">
        <v>30</v>
      </c>
      <c r="G456" s="8" t="s">
        <v>30</v>
      </c>
      <c r="H456" s="8" t="s">
        <v>30</v>
      </c>
      <c r="I456" s="8" t="s">
        <v>30</v>
      </c>
      <c r="J456" s="8">
        <v>2020</v>
      </c>
      <c r="K456" s="8">
        <v>3</v>
      </c>
    </row>
    <row r="457" spans="1:11" x14ac:dyDescent="0.35">
      <c r="A457" s="13">
        <v>43913</v>
      </c>
      <c r="B457" s="8">
        <v>25.3</v>
      </c>
      <c r="C457" s="8">
        <v>22.8</v>
      </c>
      <c r="D457" s="8">
        <v>34.4</v>
      </c>
      <c r="E457" s="8">
        <v>0</v>
      </c>
      <c r="F457" s="8" t="s">
        <v>30</v>
      </c>
      <c r="G457" s="8" t="s">
        <v>30</v>
      </c>
      <c r="H457" s="8" t="s">
        <v>30</v>
      </c>
      <c r="I457" s="8" t="s">
        <v>30</v>
      </c>
      <c r="J457" s="8">
        <v>2020</v>
      </c>
      <c r="K457" s="8">
        <v>3</v>
      </c>
    </row>
    <row r="458" spans="1:11" x14ac:dyDescent="0.35">
      <c r="A458" s="13">
        <v>43914</v>
      </c>
      <c r="B458" s="8">
        <v>27.4</v>
      </c>
      <c r="C458" s="8">
        <v>20.8</v>
      </c>
      <c r="D458" s="8">
        <v>34.4</v>
      </c>
      <c r="E458" s="8">
        <v>5.0999999999999996</v>
      </c>
      <c r="F458" s="8" t="s">
        <v>30</v>
      </c>
      <c r="G458" s="8" t="s">
        <v>30</v>
      </c>
      <c r="H458" s="8" t="s">
        <v>30</v>
      </c>
      <c r="I458" s="8" t="s">
        <v>30</v>
      </c>
      <c r="J458" s="8">
        <v>2020</v>
      </c>
      <c r="K458" s="8">
        <v>3</v>
      </c>
    </row>
    <row r="459" spans="1:11" x14ac:dyDescent="0.35">
      <c r="A459" s="13">
        <v>43915</v>
      </c>
      <c r="B459" s="8">
        <v>26.8</v>
      </c>
      <c r="C459" s="8">
        <v>21</v>
      </c>
      <c r="D459" s="8">
        <v>34.700000000000003</v>
      </c>
      <c r="E459" s="8">
        <v>0</v>
      </c>
      <c r="F459" s="8" t="s">
        <v>30</v>
      </c>
      <c r="G459" s="8" t="s">
        <v>30</v>
      </c>
      <c r="H459" s="8" t="s">
        <v>30</v>
      </c>
      <c r="I459" s="8" t="s">
        <v>30</v>
      </c>
      <c r="J459" s="8">
        <v>2020</v>
      </c>
      <c r="K459" s="8">
        <v>3</v>
      </c>
    </row>
    <row r="460" spans="1:11" x14ac:dyDescent="0.35">
      <c r="A460" s="13">
        <v>43929</v>
      </c>
      <c r="B460" s="8">
        <v>26.8</v>
      </c>
      <c r="C460" s="8">
        <v>21</v>
      </c>
      <c r="D460" s="8">
        <v>32.799999999999997</v>
      </c>
      <c r="E460" s="8">
        <v>0</v>
      </c>
      <c r="F460" s="8" t="s">
        <v>30</v>
      </c>
      <c r="G460" s="8" t="s">
        <v>30</v>
      </c>
      <c r="H460" s="8" t="s">
        <v>30</v>
      </c>
      <c r="I460" s="8" t="s">
        <v>30</v>
      </c>
      <c r="J460" s="8">
        <v>2020</v>
      </c>
      <c r="K460" s="8">
        <v>4</v>
      </c>
    </row>
    <row r="461" spans="1:11" x14ac:dyDescent="0.35">
      <c r="A461" s="13">
        <v>43930</v>
      </c>
      <c r="B461" s="8">
        <v>24.9</v>
      </c>
      <c r="C461" s="8">
        <v>19.8</v>
      </c>
      <c r="D461" s="8">
        <v>33.700000000000003</v>
      </c>
      <c r="E461" s="8">
        <v>0</v>
      </c>
      <c r="F461" s="8" t="s">
        <v>30</v>
      </c>
      <c r="G461" s="8" t="s">
        <v>30</v>
      </c>
      <c r="H461" s="8" t="s">
        <v>30</v>
      </c>
      <c r="I461" s="8" t="s">
        <v>30</v>
      </c>
      <c r="J461" s="8">
        <v>2020</v>
      </c>
      <c r="K461" s="8">
        <v>4</v>
      </c>
    </row>
    <row r="462" spans="1:11" x14ac:dyDescent="0.35">
      <c r="A462" s="13">
        <v>43932</v>
      </c>
      <c r="B462" s="8">
        <v>26.6</v>
      </c>
      <c r="C462" s="8">
        <v>21</v>
      </c>
      <c r="D462" s="8">
        <v>31.8</v>
      </c>
      <c r="E462" s="8">
        <v>0</v>
      </c>
      <c r="F462" s="8" t="s">
        <v>30</v>
      </c>
      <c r="G462" s="8" t="s">
        <v>30</v>
      </c>
      <c r="H462" s="8" t="s">
        <v>30</v>
      </c>
      <c r="I462" s="8" t="s">
        <v>30</v>
      </c>
      <c r="J462" s="8">
        <v>2020</v>
      </c>
      <c r="K462" s="8">
        <v>4</v>
      </c>
    </row>
    <row r="463" spans="1:11" x14ac:dyDescent="0.35">
      <c r="A463" s="13">
        <v>43946</v>
      </c>
      <c r="B463" s="8">
        <v>25.8</v>
      </c>
      <c r="C463" s="8">
        <v>22.7</v>
      </c>
      <c r="D463" s="8">
        <v>30.8</v>
      </c>
      <c r="E463" s="8">
        <v>0</v>
      </c>
      <c r="F463" s="8" t="s">
        <v>30</v>
      </c>
      <c r="G463" s="8" t="s">
        <v>30</v>
      </c>
      <c r="H463" s="8" t="s">
        <v>30</v>
      </c>
      <c r="I463" s="8" t="s">
        <v>30</v>
      </c>
      <c r="J463" s="8">
        <v>2020</v>
      </c>
      <c r="K463" s="8">
        <v>4</v>
      </c>
    </row>
    <row r="464" spans="1:11" x14ac:dyDescent="0.35">
      <c r="A464" s="13">
        <v>43947</v>
      </c>
      <c r="B464" s="8">
        <v>26.7</v>
      </c>
      <c r="C464" s="8">
        <v>22.6</v>
      </c>
      <c r="D464" s="8">
        <v>32</v>
      </c>
      <c r="E464" s="8">
        <v>0</v>
      </c>
      <c r="F464" s="8" t="s">
        <v>30</v>
      </c>
      <c r="G464" s="8" t="s">
        <v>30</v>
      </c>
      <c r="H464" s="8" t="s">
        <v>30</v>
      </c>
      <c r="I464" s="8" t="s">
        <v>30</v>
      </c>
      <c r="J464" s="8">
        <v>2020</v>
      </c>
      <c r="K464" s="8">
        <v>4</v>
      </c>
    </row>
    <row r="465" spans="1:11" x14ac:dyDescent="0.35">
      <c r="A465" s="13">
        <v>43948</v>
      </c>
      <c r="B465" s="8">
        <v>26.7</v>
      </c>
      <c r="C465" s="8">
        <v>22.4</v>
      </c>
      <c r="D465" s="8">
        <v>31.6</v>
      </c>
      <c r="E465" s="8">
        <v>0</v>
      </c>
      <c r="F465" s="8" t="s">
        <v>30</v>
      </c>
      <c r="G465" s="8" t="s">
        <v>30</v>
      </c>
      <c r="H465" s="8" t="s">
        <v>30</v>
      </c>
      <c r="I465" s="8" t="s">
        <v>30</v>
      </c>
      <c r="J465" s="8">
        <v>2020</v>
      </c>
      <c r="K465" s="8">
        <v>4</v>
      </c>
    </row>
    <row r="466" spans="1:11" x14ac:dyDescent="0.35">
      <c r="A466" s="13">
        <v>43949</v>
      </c>
      <c r="B466" s="8">
        <v>27.2</v>
      </c>
      <c r="C466" s="8">
        <v>23</v>
      </c>
      <c r="D466" s="8">
        <v>34.799999999999997</v>
      </c>
      <c r="E466" s="8">
        <v>3</v>
      </c>
      <c r="F466" s="8" t="s">
        <v>30</v>
      </c>
      <c r="G466" s="8" t="s">
        <v>30</v>
      </c>
      <c r="H466" s="8" t="s">
        <v>30</v>
      </c>
      <c r="I466" s="8" t="s">
        <v>30</v>
      </c>
      <c r="J466" s="8">
        <v>2020</v>
      </c>
      <c r="K466" s="8">
        <v>4</v>
      </c>
    </row>
    <row r="467" spans="1:11" x14ac:dyDescent="0.35">
      <c r="A467" s="13">
        <v>43951</v>
      </c>
      <c r="B467" s="8">
        <v>26.5</v>
      </c>
      <c r="C467" s="8">
        <v>21</v>
      </c>
      <c r="D467" s="8">
        <v>33.799999999999997</v>
      </c>
      <c r="E467" s="8">
        <v>1</v>
      </c>
      <c r="F467" s="8" t="s">
        <v>30</v>
      </c>
      <c r="G467" s="8" t="s">
        <v>30</v>
      </c>
      <c r="H467" s="8" t="s">
        <v>30</v>
      </c>
      <c r="I467" s="8" t="s">
        <v>30</v>
      </c>
      <c r="J467" s="8">
        <v>2020</v>
      </c>
      <c r="K467" s="8">
        <v>4</v>
      </c>
    </row>
    <row r="468" spans="1:11" x14ac:dyDescent="0.35">
      <c r="A468" s="13">
        <v>43970</v>
      </c>
      <c r="B468" s="8">
        <v>26.7</v>
      </c>
      <c r="C468" s="8">
        <v>22.6</v>
      </c>
      <c r="D468" s="8">
        <v>31.5</v>
      </c>
      <c r="E468" s="8">
        <v>0</v>
      </c>
      <c r="F468" s="8" t="s">
        <v>30</v>
      </c>
      <c r="G468" s="8" t="s">
        <v>30</v>
      </c>
      <c r="H468" s="8" t="s">
        <v>30</v>
      </c>
      <c r="I468" s="8" t="s">
        <v>30</v>
      </c>
      <c r="J468" s="8">
        <v>2020</v>
      </c>
      <c r="K468" s="8">
        <v>5</v>
      </c>
    </row>
    <row r="469" spans="1:11" x14ac:dyDescent="0.35">
      <c r="A469" s="13">
        <v>43975</v>
      </c>
      <c r="B469" s="8">
        <v>25.6</v>
      </c>
      <c r="C469" s="8">
        <v>21.8</v>
      </c>
      <c r="D469" s="8">
        <v>35.6</v>
      </c>
      <c r="E469" s="8">
        <v>0</v>
      </c>
      <c r="F469" s="8" t="s">
        <v>30</v>
      </c>
      <c r="G469" s="8" t="s">
        <v>30</v>
      </c>
      <c r="H469" s="8" t="s">
        <v>30</v>
      </c>
      <c r="I469" s="8" t="s">
        <v>30</v>
      </c>
      <c r="J469" s="8">
        <v>2020</v>
      </c>
      <c r="K469" s="8">
        <v>5</v>
      </c>
    </row>
    <row r="470" spans="1:11" x14ac:dyDescent="0.35">
      <c r="A470" s="13">
        <v>43977</v>
      </c>
      <c r="B470" s="8">
        <v>25.6</v>
      </c>
      <c r="C470" s="8">
        <v>20.399999999999999</v>
      </c>
      <c r="D470" s="8">
        <v>33.4</v>
      </c>
      <c r="E470" s="8">
        <v>0</v>
      </c>
      <c r="F470" s="8" t="s">
        <v>30</v>
      </c>
      <c r="G470" s="8" t="s">
        <v>30</v>
      </c>
      <c r="H470" s="8" t="s">
        <v>30</v>
      </c>
      <c r="I470" s="8" t="s">
        <v>30</v>
      </c>
      <c r="J470" s="8">
        <v>2020</v>
      </c>
      <c r="K470" s="8">
        <v>5</v>
      </c>
    </row>
    <row r="471" spans="1:11" x14ac:dyDescent="0.35">
      <c r="A471" s="13">
        <v>43979</v>
      </c>
      <c r="B471" s="8">
        <v>24.9</v>
      </c>
      <c r="C471" s="8">
        <v>20.8</v>
      </c>
      <c r="D471" s="8">
        <v>32.6</v>
      </c>
      <c r="E471" s="8">
        <v>0</v>
      </c>
      <c r="F471" s="8" t="s">
        <v>30</v>
      </c>
      <c r="G471" s="8" t="s">
        <v>30</v>
      </c>
      <c r="H471" s="8" t="s">
        <v>30</v>
      </c>
      <c r="I471" s="8" t="s">
        <v>30</v>
      </c>
      <c r="J471" s="8">
        <v>2020</v>
      </c>
      <c r="K471" s="8">
        <v>5</v>
      </c>
    </row>
    <row r="472" spans="1:11" x14ac:dyDescent="0.35">
      <c r="A472" s="13">
        <v>43980</v>
      </c>
      <c r="B472" s="8">
        <v>24.1</v>
      </c>
      <c r="C472" s="8">
        <v>20.6</v>
      </c>
      <c r="D472" s="8">
        <v>32.4</v>
      </c>
      <c r="E472" s="8">
        <v>4.3</v>
      </c>
      <c r="F472" s="8" t="s">
        <v>30</v>
      </c>
      <c r="G472" s="8" t="s">
        <v>30</v>
      </c>
      <c r="H472" s="8" t="s">
        <v>30</v>
      </c>
      <c r="I472" s="8" t="s">
        <v>30</v>
      </c>
      <c r="J472" s="8">
        <v>2020</v>
      </c>
      <c r="K472" s="8">
        <v>5</v>
      </c>
    </row>
    <row r="473" spans="1:11" x14ac:dyDescent="0.35">
      <c r="A473" s="13">
        <v>43982</v>
      </c>
      <c r="B473" s="8">
        <v>26.3</v>
      </c>
      <c r="C473" s="8">
        <v>22.4</v>
      </c>
      <c r="D473" s="8">
        <v>31.9</v>
      </c>
      <c r="E473" s="8">
        <v>0.3</v>
      </c>
      <c r="F473" s="8" t="s">
        <v>30</v>
      </c>
      <c r="G473" s="8" t="s">
        <v>30</v>
      </c>
      <c r="H473" s="8" t="s">
        <v>30</v>
      </c>
      <c r="I473" s="8" t="s">
        <v>30</v>
      </c>
      <c r="J473" s="8">
        <v>2020</v>
      </c>
      <c r="K473" s="8">
        <v>5</v>
      </c>
    </row>
    <row r="474" spans="1:11" x14ac:dyDescent="0.35">
      <c r="A474" s="13">
        <v>43983</v>
      </c>
      <c r="B474" s="8">
        <v>25.9</v>
      </c>
      <c r="C474" s="8">
        <v>22.4</v>
      </c>
      <c r="D474" s="8">
        <v>32.799999999999997</v>
      </c>
      <c r="E474" s="8">
        <v>0</v>
      </c>
      <c r="F474" s="8" t="s">
        <v>30</v>
      </c>
      <c r="G474" s="8" t="s">
        <v>30</v>
      </c>
      <c r="H474" s="8" t="s">
        <v>30</v>
      </c>
      <c r="I474" s="8" t="s">
        <v>30</v>
      </c>
      <c r="J474" s="8">
        <v>2020</v>
      </c>
      <c r="K474" s="8">
        <v>6</v>
      </c>
    </row>
    <row r="475" spans="1:11" x14ac:dyDescent="0.35">
      <c r="A475" s="13">
        <v>43984</v>
      </c>
      <c r="B475" s="8">
        <v>24.4</v>
      </c>
      <c r="C475" s="8">
        <v>20.3</v>
      </c>
      <c r="D475" s="8">
        <v>32</v>
      </c>
      <c r="E475" s="8">
        <v>0</v>
      </c>
      <c r="F475" s="8" t="s">
        <v>30</v>
      </c>
      <c r="G475" s="8" t="s">
        <v>30</v>
      </c>
      <c r="H475" s="8" t="s">
        <v>30</v>
      </c>
      <c r="I475" s="8" t="s">
        <v>30</v>
      </c>
      <c r="J475" s="8">
        <v>2020</v>
      </c>
      <c r="K475" s="8">
        <v>6</v>
      </c>
    </row>
    <row r="476" spans="1:11" x14ac:dyDescent="0.35">
      <c r="A476" s="13">
        <v>43985</v>
      </c>
      <c r="B476" s="8">
        <v>24.7</v>
      </c>
      <c r="C476" s="8">
        <v>21.2</v>
      </c>
      <c r="D476" s="8">
        <v>28.8</v>
      </c>
      <c r="E476" s="8">
        <v>0</v>
      </c>
      <c r="F476" s="8" t="s">
        <v>30</v>
      </c>
      <c r="G476" s="8" t="s">
        <v>30</v>
      </c>
      <c r="H476" s="8" t="s">
        <v>30</v>
      </c>
      <c r="I476" s="8" t="s">
        <v>30</v>
      </c>
      <c r="J476" s="8">
        <v>2020</v>
      </c>
      <c r="K476" s="8">
        <v>6</v>
      </c>
    </row>
    <row r="477" spans="1:11" x14ac:dyDescent="0.35">
      <c r="A477" s="13">
        <v>43986</v>
      </c>
      <c r="B477" s="8">
        <v>25.4</v>
      </c>
      <c r="C477" s="8">
        <v>21.8</v>
      </c>
      <c r="D477" s="8">
        <v>29.4</v>
      </c>
      <c r="E477" s="8">
        <v>0</v>
      </c>
      <c r="F477" s="8" t="s">
        <v>30</v>
      </c>
      <c r="G477" s="8" t="s">
        <v>30</v>
      </c>
      <c r="H477" s="8" t="s">
        <v>30</v>
      </c>
      <c r="I477" s="8" t="s">
        <v>30</v>
      </c>
      <c r="J477" s="8">
        <v>2020</v>
      </c>
      <c r="K477" s="8">
        <v>6</v>
      </c>
    </row>
    <row r="478" spans="1:11" x14ac:dyDescent="0.35">
      <c r="A478" s="13">
        <v>43987</v>
      </c>
      <c r="B478" s="8">
        <v>25.7</v>
      </c>
      <c r="C478" s="8">
        <v>21.6</v>
      </c>
      <c r="D478" s="8">
        <v>31.2</v>
      </c>
      <c r="E478" s="8">
        <v>0</v>
      </c>
      <c r="F478" s="8" t="s">
        <v>30</v>
      </c>
      <c r="G478" s="8" t="s">
        <v>30</v>
      </c>
      <c r="H478" s="8" t="s">
        <v>30</v>
      </c>
      <c r="I478" s="8" t="s">
        <v>30</v>
      </c>
      <c r="J478" s="8">
        <v>2020</v>
      </c>
      <c r="K478" s="8">
        <v>6</v>
      </c>
    </row>
    <row r="479" spans="1:11" x14ac:dyDescent="0.35">
      <c r="A479" s="13">
        <v>43988</v>
      </c>
      <c r="B479" s="8">
        <v>24.6</v>
      </c>
      <c r="C479" s="8">
        <v>20.399999999999999</v>
      </c>
      <c r="D479" s="8">
        <v>31.4</v>
      </c>
      <c r="E479" s="8">
        <v>0</v>
      </c>
      <c r="F479" s="8" t="s">
        <v>30</v>
      </c>
      <c r="G479" s="8" t="s">
        <v>30</v>
      </c>
      <c r="H479" s="8" t="s">
        <v>30</v>
      </c>
      <c r="I479" s="8" t="s">
        <v>30</v>
      </c>
      <c r="J479" s="8">
        <v>2020</v>
      </c>
      <c r="K479" s="8">
        <v>6</v>
      </c>
    </row>
    <row r="480" spans="1:11" x14ac:dyDescent="0.35">
      <c r="A480" s="13">
        <v>43990</v>
      </c>
      <c r="B480" s="8">
        <v>26.2</v>
      </c>
      <c r="C480" s="8">
        <v>21.2</v>
      </c>
      <c r="D480" s="8">
        <v>31.8</v>
      </c>
      <c r="E480" s="8">
        <v>0</v>
      </c>
      <c r="F480" s="8" t="s">
        <v>30</v>
      </c>
      <c r="G480" s="8" t="s">
        <v>30</v>
      </c>
      <c r="H480" s="8" t="s">
        <v>30</v>
      </c>
      <c r="I480" s="8" t="s">
        <v>30</v>
      </c>
      <c r="J480" s="8">
        <v>2020</v>
      </c>
      <c r="K480" s="8">
        <v>6</v>
      </c>
    </row>
    <row r="481" spans="1:11" x14ac:dyDescent="0.35">
      <c r="A481" s="13">
        <v>43991</v>
      </c>
      <c r="B481" s="8">
        <v>25.4</v>
      </c>
      <c r="C481" s="8">
        <v>21.6</v>
      </c>
      <c r="D481" s="8">
        <v>32.5</v>
      </c>
      <c r="E481" s="8">
        <v>0</v>
      </c>
      <c r="F481" s="8" t="s">
        <v>30</v>
      </c>
      <c r="G481" s="8" t="s">
        <v>30</v>
      </c>
      <c r="H481" s="8" t="s">
        <v>30</v>
      </c>
      <c r="I481" s="8" t="s">
        <v>30</v>
      </c>
      <c r="J481" s="8">
        <v>2020</v>
      </c>
      <c r="K481" s="8">
        <v>6</v>
      </c>
    </row>
    <row r="482" spans="1:11" x14ac:dyDescent="0.35">
      <c r="A482" s="13">
        <v>43993</v>
      </c>
      <c r="B482" s="8">
        <v>23.1</v>
      </c>
      <c r="C482" s="8">
        <v>19.8</v>
      </c>
      <c r="D482" s="8">
        <v>30.5</v>
      </c>
      <c r="E482" s="8">
        <v>1</v>
      </c>
      <c r="F482" s="8" t="s">
        <v>30</v>
      </c>
      <c r="G482" s="8" t="s">
        <v>30</v>
      </c>
      <c r="H482" s="8" t="s">
        <v>30</v>
      </c>
      <c r="I482" s="8" t="s">
        <v>30</v>
      </c>
      <c r="J482" s="8">
        <v>2020</v>
      </c>
      <c r="K482" s="8">
        <v>6</v>
      </c>
    </row>
    <row r="483" spans="1:11" x14ac:dyDescent="0.35">
      <c r="A483" s="13">
        <v>43995</v>
      </c>
      <c r="B483" s="8">
        <v>23.3</v>
      </c>
      <c r="C483" s="8">
        <v>20</v>
      </c>
      <c r="D483" s="8">
        <v>28.4</v>
      </c>
      <c r="E483" s="8">
        <v>0</v>
      </c>
      <c r="F483" s="8" t="s">
        <v>30</v>
      </c>
      <c r="G483" s="8" t="s">
        <v>30</v>
      </c>
      <c r="H483" s="8" t="s">
        <v>30</v>
      </c>
      <c r="I483" s="8" t="s">
        <v>30</v>
      </c>
      <c r="J483" s="8">
        <v>2020</v>
      </c>
      <c r="K483" s="8">
        <v>6</v>
      </c>
    </row>
    <row r="484" spans="1:11" x14ac:dyDescent="0.35">
      <c r="A484" s="13">
        <v>43996</v>
      </c>
      <c r="B484" s="8">
        <v>23.9</v>
      </c>
      <c r="C484" s="8">
        <v>21</v>
      </c>
      <c r="D484" s="8">
        <v>29.8</v>
      </c>
      <c r="E484" s="8">
        <v>1.8</v>
      </c>
      <c r="F484" s="8" t="s">
        <v>30</v>
      </c>
      <c r="G484" s="8" t="s">
        <v>30</v>
      </c>
      <c r="H484" s="8" t="s">
        <v>30</v>
      </c>
      <c r="I484" s="8" t="s">
        <v>30</v>
      </c>
      <c r="J484" s="8">
        <v>2020</v>
      </c>
      <c r="K484" s="8">
        <v>6</v>
      </c>
    </row>
    <row r="485" spans="1:11" x14ac:dyDescent="0.35">
      <c r="A485" s="13">
        <v>43997</v>
      </c>
      <c r="B485" s="8">
        <v>25</v>
      </c>
      <c r="C485" s="8">
        <v>21.2</v>
      </c>
      <c r="D485" s="8">
        <v>28.9</v>
      </c>
      <c r="E485" s="8">
        <v>0</v>
      </c>
      <c r="F485" s="8" t="s">
        <v>30</v>
      </c>
      <c r="G485" s="8" t="s">
        <v>30</v>
      </c>
      <c r="H485" s="8" t="s">
        <v>30</v>
      </c>
      <c r="I485" s="8" t="s">
        <v>30</v>
      </c>
      <c r="J485" s="8">
        <v>2020</v>
      </c>
      <c r="K485" s="8">
        <v>6</v>
      </c>
    </row>
    <row r="486" spans="1:11" x14ac:dyDescent="0.35">
      <c r="A486" s="13">
        <v>43998</v>
      </c>
      <c r="B486" s="8">
        <v>24.8</v>
      </c>
      <c r="C486" s="8">
        <v>20.6</v>
      </c>
      <c r="D486" s="8">
        <v>34.299999999999997</v>
      </c>
      <c r="E486" s="8">
        <v>2</v>
      </c>
      <c r="F486" s="8" t="s">
        <v>30</v>
      </c>
      <c r="G486" s="8" t="s">
        <v>30</v>
      </c>
      <c r="H486" s="8" t="s">
        <v>30</v>
      </c>
      <c r="I486" s="8" t="s">
        <v>30</v>
      </c>
      <c r="J486" s="8">
        <v>2020</v>
      </c>
      <c r="K486" s="8">
        <v>6</v>
      </c>
    </row>
    <row r="487" spans="1:11" x14ac:dyDescent="0.35">
      <c r="A487" s="13">
        <v>43999</v>
      </c>
      <c r="B487" s="8">
        <v>23.4</v>
      </c>
      <c r="C487" s="8">
        <v>21.4</v>
      </c>
      <c r="D487" s="8">
        <v>28</v>
      </c>
      <c r="E487" s="8">
        <v>0</v>
      </c>
      <c r="F487" s="8" t="s">
        <v>30</v>
      </c>
      <c r="G487" s="8" t="s">
        <v>30</v>
      </c>
      <c r="H487" s="8" t="s">
        <v>30</v>
      </c>
      <c r="I487" s="8" t="s">
        <v>30</v>
      </c>
      <c r="J487" s="8">
        <v>2020</v>
      </c>
      <c r="K487" s="8">
        <v>6</v>
      </c>
    </row>
    <row r="488" spans="1:11" x14ac:dyDescent="0.35">
      <c r="A488" s="13">
        <v>44000</v>
      </c>
      <c r="B488" s="8">
        <v>23.3</v>
      </c>
      <c r="C488" s="8">
        <v>20.6</v>
      </c>
      <c r="D488" s="8">
        <v>27.2</v>
      </c>
      <c r="E488" s="8">
        <v>0</v>
      </c>
      <c r="F488" s="8" t="s">
        <v>30</v>
      </c>
      <c r="G488" s="8" t="s">
        <v>30</v>
      </c>
      <c r="H488" s="8" t="s">
        <v>30</v>
      </c>
      <c r="I488" s="8" t="s">
        <v>30</v>
      </c>
      <c r="J488" s="8">
        <v>2020</v>
      </c>
      <c r="K488" s="8">
        <v>6</v>
      </c>
    </row>
    <row r="489" spans="1:11" x14ac:dyDescent="0.35">
      <c r="A489" s="13">
        <v>44001</v>
      </c>
      <c r="B489" s="8">
        <v>24.7</v>
      </c>
      <c r="C489" s="8">
        <v>20.7</v>
      </c>
      <c r="D489" s="8">
        <v>30.8</v>
      </c>
      <c r="E489" s="8">
        <v>0</v>
      </c>
      <c r="F489" s="8" t="s">
        <v>30</v>
      </c>
      <c r="G489" s="8" t="s">
        <v>30</v>
      </c>
      <c r="H489" s="8" t="s">
        <v>30</v>
      </c>
      <c r="I489" s="8" t="s">
        <v>30</v>
      </c>
      <c r="J489" s="8">
        <v>2020</v>
      </c>
      <c r="K489" s="8">
        <v>6</v>
      </c>
    </row>
    <row r="490" spans="1:11" x14ac:dyDescent="0.35">
      <c r="A490" s="13">
        <v>44002</v>
      </c>
      <c r="B490" s="8">
        <v>25.2</v>
      </c>
      <c r="C490" s="8">
        <v>21.2</v>
      </c>
      <c r="D490" s="8">
        <v>29.6</v>
      </c>
      <c r="E490" s="8">
        <v>0</v>
      </c>
      <c r="F490" s="8" t="s">
        <v>30</v>
      </c>
      <c r="G490" s="8" t="s">
        <v>30</v>
      </c>
      <c r="H490" s="8" t="s">
        <v>30</v>
      </c>
      <c r="I490" s="8" t="s">
        <v>30</v>
      </c>
      <c r="J490" s="8">
        <v>2020</v>
      </c>
      <c r="K490" s="8">
        <v>6</v>
      </c>
    </row>
    <row r="491" spans="1:11" x14ac:dyDescent="0.35">
      <c r="A491" s="13">
        <v>44003</v>
      </c>
      <c r="B491" s="8">
        <v>23.8</v>
      </c>
      <c r="C491" s="8">
        <v>21.1</v>
      </c>
      <c r="D491" s="8">
        <v>30.3</v>
      </c>
      <c r="E491" s="8">
        <v>0</v>
      </c>
      <c r="F491" s="8" t="s">
        <v>30</v>
      </c>
      <c r="G491" s="8" t="s">
        <v>30</v>
      </c>
      <c r="H491" s="8" t="s">
        <v>30</v>
      </c>
      <c r="I491" s="8" t="s">
        <v>30</v>
      </c>
      <c r="J491" s="8">
        <v>2020</v>
      </c>
      <c r="K491" s="8">
        <v>6</v>
      </c>
    </row>
    <row r="492" spans="1:11" x14ac:dyDescent="0.35">
      <c r="A492" s="13">
        <v>44004</v>
      </c>
      <c r="B492" s="8">
        <v>23.4</v>
      </c>
      <c r="C492" s="8">
        <v>21</v>
      </c>
      <c r="D492" s="8">
        <v>28.8</v>
      </c>
      <c r="E492" s="8">
        <v>0.3</v>
      </c>
      <c r="F492" s="8" t="s">
        <v>30</v>
      </c>
      <c r="G492" s="8" t="s">
        <v>30</v>
      </c>
      <c r="H492" s="8" t="s">
        <v>30</v>
      </c>
      <c r="I492" s="8" t="s">
        <v>30</v>
      </c>
      <c r="J492" s="8">
        <v>2020</v>
      </c>
      <c r="K492" s="8">
        <v>6</v>
      </c>
    </row>
    <row r="493" spans="1:11" x14ac:dyDescent="0.35">
      <c r="A493" s="13">
        <v>44005</v>
      </c>
      <c r="B493" s="8">
        <v>25.3</v>
      </c>
      <c r="C493" s="8">
        <v>20.6</v>
      </c>
      <c r="D493" s="8">
        <v>30.8</v>
      </c>
      <c r="E493" s="8">
        <v>2.2999999999999998</v>
      </c>
      <c r="F493" s="8" t="s">
        <v>30</v>
      </c>
      <c r="G493" s="8" t="s">
        <v>30</v>
      </c>
      <c r="H493" s="8" t="s">
        <v>30</v>
      </c>
      <c r="I493" s="8" t="s">
        <v>30</v>
      </c>
      <c r="J493" s="8">
        <v>2020</v>
      </c>
      <c r="K493" s="8">
        <v>6</v>
      </c>
    </row>
    <row r="494" spans="1:11" x14ac:dyDescent="0.35">
      <c r="A494" s="13">
        <v>44006</v>
      </c>
      <c r="B494" s="8">
        <v>24.2</v>
      </c>
      <c r="C494" s="8">
        <v>20.2</v>
      </c>
      <c r="D494" s="8">
        <v>30.4</v>
      </c>
      <c r="E494" s="8">
        <v>4.5999999999999996</v>
      </c>
      <c r="F494" s="8" t="s">
        <v>30</v>
      </c>
      <c r="G494" s="8" t="s">
        <v>30</v>
      </c>
      <c r="H494" s="8" t="s">
        <v>30</v>
      </c>
      <c r="I494" s="8" t="s">
        <v>30</v>
      </c>
      <c r="J494" s="8">
        <v>2020</v>
      </c>
      <c r="K494" s="8">
        <v>6</v>
      </c>
    </row>
    <row r="495" spans="1:11" x14ac:dyDescent="0.35">
      <c r="A495" s="13">
        <v>44009</v>
      </c>
      <c r="B495" s="8">
        <v>24.4</v>
      </c>
      <c r="C495" s="8">
        <v>21</v>
      </c>
      <c r="D495" s="8">
        <v>29.2</v>
      </c>
      <c r="E495" s="8">
        <v>0</v>
      </c>
      <c r="F495" s="8" t="s">
        <v>30</v>
      </c>
      <c r="G495" s="8" t="s">
        <v>30</v>
      </c>
      <c r="H495" s="8" t="s">
        <v>30</v>
      </c>
      <c r="I495" s="8" t="s">
        <v>30</v>
      </c>
      <c r="J495" s="8">
        <v>2020</v>
      </c>
      <c r="K495" s="8">
        <v>6</v>
      </c>
    </row>
    <row r="496" spans="1:11" x14ac:dyDescent="0.35">
      <c r="A496" s="13">
        <v>44010</v>
      </c>
      <c r="B496" s="8">
        <v>24.8</v>
      </c>
      <c r="C496" s="8">
        <v>21.4</v>
      </c>
      <c r="D496" s="8">
        <v>29</v>
      </c>
      <c r="E496" s="8">
        <v>2.2999999999999998</v>
      </c>
      <c r="F496" s="8" t="s">
        <v>30</v>
      </c>
      <c r="G496" s="8" t="s">
        <v>30</v>
      </c>
      <c r="H496" s="8" t="s">
        <v>30</v>
      </c>
      <c r="I496" s="8" t="s">
        <v>30</v>
      </c>
      <c r="J496" s="8">
        <v>2020</v>
      </c>
      <c r="K496" s="8">
        <v>6</v>
      </c>
    </row>
    <row r="497" spans="1:11" x14ac:dyDescent="0.35">
      <c r="A497" s="13">
        <v>44011</v>
      </c>
      <c r="B497" s="8">
        <v>23.6</v>
      </c>
      <c r="C497" s="8">
        <v>21.2</v>
      </c>
      <c r="D497" s="8">
        <v>30</v>
      </c>
      <c r="E497" s="8">
        <v>0</v>
      </c>
      <c r="F497" s="8" t="s">
        <v>30</v>
      </c>
      <c r="G497" s="8" t="s">
        <v>30</v>
      </c>
      <c r="H497" s="8" t="s">
        <v>30</v>
      </c>
      <c r="I497" s="8" t="s">
        <v>30</v>
      </c>
      <c r="J497" s="8">
        <v>2020</v>
      </c>
      <c r="K497" s="8">
        <v>6</v>
      </c>
    </row>
    <row r="498" spans="1:11" x14ac:dyDescent="0.35">
      <c r="A498" s="13">
        <v>44012</v>
      </c>
      <c r="B498" s="8">
        <v>24.6</v>
      </c>
      <c r="C498" s="8">
        <v>20.2</v>
      </c>
      <c r="D498" s="8">
        <v>29.8</v>
      </c>
      <c r="E498" s="8">
        <v>1.3</v>
      </c>
      <c r="F498" s="8" t="s">
        <v>30</v>
      </c>
      <c r="G498" s="8" t="s">
        <v>30</v>
      </c>
      <c r="H498" s="8" t="s">
        <v>30</v>
      </c>
      <c r="I498" s="8" t="s">
        <v>30</v>
      </c>
      <c r="J498" s="8">
        <v>2020</v>
      </c>
      <c r="K498" s="8">
        <v>6</v>
      </c>
    </row>
    <row r="499" spans="1:11" x14ac:dyDescent="0.35">
      <c r="A499" s="13">
        <v>44013</v>
      </c>
      <c r="B499" s="8">
        <v>24.7</v>
      </c>
      <c r="C499" s="8">
        <v>21.2</v>
      </c>
      <c r="D499" s="8">
        <v>29.4</v>
      </c>
      <c r="E499" s="8">
        <v>0</v>
      </c>
      <c r="F499" s="8" t="s">
        <v>30</v>
      </c>
      <c r="G499" s="8" t="s">
        <v>30</v>
      </c>
      <c r="H499" s="8" t="s">
        <v>30</v>
      </c>
      <c r="I499" s="8" t="s">
        <v>30</v>
      </c>
      <c r="J499" s="8">
        <v>2020</v>
      </c>
      <c r="K499" s="8">
        <v>7</v>
      </c>
    </row>
    <row r="500" spans="1:11" x14ac:dyDescent="0.35">
      <c r="A500" s="13">
        <v>44015</v>
      </c>
      <c r="B500" s="8">
        <v>22.6</v>
      </c>
      <c r="C500" s="8">
        <v>19.7</v>
      </c>
      <c r="D500" s="8">
        <v>26.5</v>
      </c>
      <c r="E500" s="8">
        <v>7.1</v>
      </c>
      <c r="F500" s="8" t="s">
        <v>30</v>
      </c>
      <c r="G500" s="8" t="s">
        <v>30</v>
      </c>
      <c r="H500" s="8" t="s">
        <v>30</v>
      </c>
      <c r="I500" s="8" t="s">
        <v>30</v>
      </c>
      <c r="J500" s="8">
        <v>2020</v>
      </c>
      <c r="K500" s="8">
        <v>7</v>
      </c>
    </row>
    <row r="501" spans="1:11" x14ac:dyDescent="0.35">
      <c r="A501" s="13">
        <v>44016</v>
      </c>
      <c r="B501" s="8">
        <v>22.8</v>
      </c>
      <c r="C501" s="8">
        <v>20</v>
      </c>
      <c r="D501" s="8">
        <v>28.4</v>
      </c>
      <c r="E501" s="8">
        <v>7.1</v>
      </c>
      <c r="F501" s="8" t="s">
        <v>30</v>
      </c>
      <c r="G501" s="8" t="s">
        <v>30</v>
      </c>
      <c r="H501" s="8" t="s">
        <v>30</v>
      </c>
      <c r="I501" s="8" t="s">
        <v>30</v>
      </c>
      <c r="J501" s="8">
        <v>2020</v>
      </c>
      <c r="K501" s="8">
        <v>7</v>
      </c>
    </row>
    <row r="502" spans="1:11" x14ac:dyDescent="0.35">
      <c r="A502" s="13">
        <v>44017</v>
      </c>
      <c r="B502" s="8">
        <v>23.3</v>
      </c>
      <c r="C502" s="8">
        <v>21</v>
      </c>
      <c r="D502" s="8">
        <v>27.2</v>
      </c>
      <c r="E502" s="8">
        <v>0</v>
      </c>
      <c r="F502" s="8" t="s">
        <v>30</v>
      </c>
      <c r="G502" s="8" t="s">
        <v>30</v>
      </c>
      <c r="H502" s="8" t="s">
        <v>30</v>
      </c>
      <c r="I502" s="8" t="s">
        <v>30</v>
      </c>
      <c r="J502" s="8">
        <v>2020</v>
      </c>
      <c r="K502" s="8">
        <v>7</v>
      </c>
    </row>
    <row r="503" spans="1:11" x14ac:dyDescent="0.35">
      <c r="A503" s="13">
        <v>44018</v>
      </c>
      <c r="B503" s="8">
        <v>23.1</v>
      </c>
      <c r="C503" s="8">
        <v>20.6</v>
      </c>
      <c r="D503" s="8">
        <v>27.6</v>
      </c>
      <c r="E503" s="8">
        <v>0.5</v>
      </c>
      <c r="F503" s="8" t="s">
        <v>30</v>
      </c>
      <c r="G503" s="8" t="s">
        <v>30</v>
      </c>
      <c r="H503" s="8" t="s">
        <v>30</v>
      </c>
      <c r="I503" s="8" t="s">
        <v>30</v>
      </c>
      <c r="J503" s="8">
        <v>2020</v>
      </c>
      <c r="K503" s="8">
        <v>7</v>
      </c>
    </row>
    <row r="504" spans="1:11" x14ac:dyDescent="0.35">
      <c r="A504" s="13">
        <v>44019</v>
      </c>
      <c r="B504" s="8">
        <v>23.4</v>
      </c>
      <c r="C504" s="8">
        <v>20.8</v>
      </c>
      <c r="D504" s="8">
        <v>30</v>
      </c>
      <c r="E504" s="8">
        <v>0</v>
      </c>
      <c r="F504" s="8" t="s">
        <v>30</v>
      </c>
      <c r="G504" s="8" t="s">
        <v>30</v>
      </c>
      <c r="H504" s="8" t="s">
        <v>30</v>
      </c>
      <c r="I504" s="8" t="s">
        <v>30</v>
      </c>
      <c r="J504" s="8">
        <v>2020</v>
      </c>
      <c r="K504" s="8">
        <v>7</v>
      </c>
    </row>
    <row r="505" spans="1:11" x14ac:dyDescent="0.35">
      <c r="A505" s="13">
        <v>44020</v>
      </c>
      <c r="B505" s="8">
        <v>22.9</v>
      </c>
      <c r="C505" s="8">
        <v>20.6</v>
      </c>
      <c r="D505" s="8">
        <v>28.6</v>
      </c>
      <c r="E505" s="8">
        <v>7.4</v>
      </c>
      <c r="F505" s="8" t="s">
        <v>30</v>
      </c>
      <c r="G505" s="8" t="s">
        <v>30</v>
      </c>
      <c r="H505" s="8" t="s">
        <v>30</v>
      </c>
      <c r="I505" s="8" t="s">
        <v>30</v>
      </c>
      <c r="J505" s="8">
        <v>2020</v>
      </c>
      <c r="K505" s="8">
        <v>7</v>
      </c>
    </row>
    <row r="506" spans="1:11" x14ac:dyDescent="0.35">
      <c r="A506" s="13">
        <v>44023</v>
      </c>
      <c r="B506" s="8">
        <v>24.6</v>
      </c>
      <c r="C506" s="8">
        <v>21</v>
      </c>
      <c r="D506" s="8">
        <v>28.8</v>
      </c>
      <c r="E506" s="8">
        <v>0.5</v>
      </c>
      <c r="F506" s="8" t="s">
        <v>30</v>
      </c>
      <c r="G506" s="8" t="s">
        <v>30</v>
      </c>
      <c r="H506" s="8" t="s">
        <v>30</v>
      </c>
      <c r="I506" s="8" t="s">
        <v>30</v>
      </c>
      <c r="J506" s="8">
        <v>2020</v>
      </c>
      <c r="K506" s="8">
        <v>7</v>
      </c>
    </row>
    <row r="507" spans="1:11" x14ac:dyDescent="0.35">
      <c r="A507" s="13">
        <v>44024</v>
      </c>
      <c r="B507" s="8">
        <v>25.1</v>
      </c>
      <c r="C507" s="8">
        <v>21</v>
      </c>
      <c r="D507" s="8">
        <v>29.4</v>
      </c>
      <c r="E507" s="8">
        <v>0.3</v>
      </c>
      <c r="F507" s="8" t="s">
        <v>30</v>
      </c>
      <c r="G507" s="8" t="s">
        <v>30</v>
      </c>
      <c r="H507" s="8" t="s">
        <v>30</v>
      </c>
      <c r="I507" s="8" t="s">
        <v>30</v>
      </c>
      <c r="J507" s="8">
        <v>2020</v>
      </c>
      <c r="K507" s="8">
        <v>7</v>
      </c>
    </row>
    <row r="508" spans="1:11" x14ac:dyDescent="0.35">
      <c r="A508" s="13">
        <v>44025</v>
      </c>
      <c r="B508" s="8">
        <v>24.3</v>
      </c>
      <c r="C508" s="8">
        <v>21.5</v>
      </c>
      <c r="D508" s="8">
        <v>29.3</v>
      </c>
      <c r="E508" s="8">
        <v>0</v>
      </c>
      <c r="F508" s="8" t="s">
        <v>30</v>
      </c>
      <c r="G508" s="8" t="s">
        <v>30</v>
      </c>
      <c r="H508" s="8" t="s">
        <v>30</v>
      </c>
      <c r="I508" s="8" t="s">
        <v>30</v>
      </c>
      <c r="J508" s="8">
        <v>2020</v>
      </c>
      <c r="K508" s="8">
        <v>7</v>
      </c>
    </row>
    <row r="509" spans="1:11" x14ac:dyDescent="0.35">
      <c r="A509" s="13">
        <v>44026</v>
      </c>
      <c r="B509" s="8">
        <v>23.8</v>
      </c>
      <c r="C509" s="8">
        <v>21.4</v>
      </c>
      <c r="D509" s="8">
        <v>29.4</v>
      </c>
      <c r="E509" s="8">
        <v>0</v>
      </c>
      <c r="F509" s="8" t="s">
        <v>30</v>
      </c>
      <c r="G509" s="8" t="s">
        <v>30</v>
      </c>
      <c r="H509" s="8" t="s">
        <v>30</v>
      </c>
      <c r="I509" s="8" t="s">
        <v>30</v>
      </c>
      <c r="J509" s="8">
        <v>2020</v>
      </c>
      <c r="K509" s="8">
        <v>7</v>
      </c>
    </row>
    <row r="510" spans="1:11" x14ac:dyDescent="0.35">
      <c r="A510" s="13">
        <v>44027</v>
      </c>
      <c r="B510" s="8">
        <v>22.4</v>
      </c>
      <c r="C510" s="8">
        <v>21.8</v>
      </c>
      <c r="D510" s="8">
        <v>26.2</v>
      </c>
      <c r="E510" s="8">
        <v>0</v>
      </c>
      <c r="F510" s="8" t="s">
        <v>30</v>
      </c>
      <c r="G510" s="8" t="s">
        <v>30</v>
      </c>
      <c r="H510" s="8" t="s">
        <v>30</v>
      </c>
      <c r="I510" s="8" t="s">
        <v>30</v>
      </c>
      <c r="J510" s="8">
        <v>2020</v>
      </c>
      <c r="K510" s="8">
        <v>7</v>
      </c>
    </row>
    <row r="511" spans="1:11" x14ac:dyDescent="0.35">
      <c r="A511" s="13">
        <v>44028</v>
      </c>
      <c r="B511" s="8">
        <v>21.8</v>
      </c>
      <c r="C511" s="8">
        <v>20.6</v>
      </c>
      <c r="D511" s="8">
        <v>26</v>
      </c>
      <c r="E511" s="8">
        <v>6.6</v>
      </c>
      <c r="F511" s="8" t="s">
        <v>30</v>
      </c>
      <c r="G511" s="8" t="s">
        <v>30</v>
      </c>
      <c r="H511" s="8" t="s">
        <v>30</v>
      </c>
      <c r="I511" s="8" t="s">
        <v>30</v>
      </c>
      <c r="J511" s="8">
        <v>2020</v>
      </c>
      <c r="K511" s="8">
        <v>7</v>
      </c>
    </row>
    <row r="512" spans="1:11" x14ac:dyDescent="0.35">
      <c r="A512" s="13">
        <v>44030</v>
      </c>
      <c r="B512" s="8">
        <v>23.4</v>
      </c>
      <c r="C512" s="8">
        <v>20.9</v>
      </c>
      <c r="D512" s="8">
        <v>27.8</v>
      </c>
      <c r="E512" s="8">
        <v>0</v>
      </c>
      <c r="F512" s="8" t="s">
        <v>30</v>
      </c>
      <c r="G512" s="8" t="s">
        <v>30</v>
      </c>
      <c r="H512" s="8" t="s">
        <v>30</v>
      </c>
      <c r="I512" s="8" t="s">
        <v>30</v>
      </c>
      <c r="J512" s="8">
        <v>2020</v>
      </c>
      <c r="K512" s="8">
        <v>7</v>
      </c>
    </row>
    <row r="513" spans="1:11" x14ac:dyDescent="0.35">
      <c r="A513" s="13">
        <v>44031</v>
      </c>
      <c r="B513" s="8">
        <v>24.4</v>
      </c>
      <c r="C513" s="8">
        <v>21.4</v>
      </c>
      <c r="D513" s="8">
        <v>29.8</v>
      </c>
      <c r="E513" s="8">
        <v>0.8</v>
      </c>
      <c r="F513" s="8" t="s">
        <v>30</v>
      </c>
      <c r="G513" s="8" t="s">
        <v>30</v>
      </c>
      <c r="H513" s="8" t="s">
        <v>30</v>
      </c>
      <c r="I513" s="8" t="s">
        <v>30</v>
      </c>
      <c r="J513" s="8">
        <v>2020</v>
      </c>
      <c r="K513" s="8">
        <v>7</v>
      </c>
    </row>
    <row r="514" spans="1:11" x14ac:dyDescent="0.35">
      <c r="A514" s="13">
        <v>44034</v>
      </c>
      <c r="B514" s="8">
        <v>25.8</v>
      </c>
      <c r="C514" s="8">
        <v>22</v>
      </c>
      <c r="D514" s="8">
        <v>30.4</v>
      </c>
      <c r="E514" s="8">
        <v>0</v>
      </c>
      <c r="F514" s="8" t="s">
        <v>30</v>
      </c>
      <c r="G514" s="8" t="s">
        <v>30</v>
      </c>
      <c r="H514" s="8" t="s">
        <v>30</v>
      </c>
      <c r="I514" s="8" t="s">
        <v>30</v>
      </c>
      <c r="J514" s="8">
        <v>2020</v>
      </c>
      <c r="K514" s="8">
        <v>7</v>
      </c>
    </row>
    <row r="515" spans="1:11" x14ac:dyDescent="0.35">
      <c r="A515" s="13">
        <v>44036</v>
      </c>
      <c r="B515" s="8">
        <v>23.8</v>
      </c>
      <c r="C515" s="8">
        <v>21.5</v>
      </c>
      <c r="D515" s="8">
        <v>30.8</v>
      </c>
      <c r="E515" s="8">
        <v>4.3</v>
      </c>
      <c r="F515" s="8" t="s">
        <v>30</v>
      </c>
      <c r="G515" s="8" t="s">
        <v>30</v>
      </c>
      <c r="H515" s="8" t="s">
        <v>30</v>
      </c>
      <c r="I515" s="8" t="s">
        <v>30</v>
      </c>
      <c r="J515" s="8">
        <v>2020</v>
      </c>
      <c r="K515" s="8">
        <v>7</v>
      </c>
    </row>
    <row r="516" spans="1:11" x14ac:dyDescent="0.35">
      <c r="A516" s="13">
        <v>44037</v>
      </c>
      <c r="B516" s="8">
        <v>23.7</v>
      </c>
      <c r="C516" s="8">
        <v>20.5</v>
      </c>
      <c r="D516" s="8">
        <v>29.8</v>
      </c>
      <c r="E516" s="8">
        <v>0</v>
      </c>
      <c r="F516" s="8" t="s">
        <v>30</v>
      </c>
      <c r="G516" s="8" t="s">
        <v>30</v>
      </c>
      <c r="H516" s="8" t="s">
        <v>30</v>
      </c>
      <c r="I516" s="8" t="s">
        <v>30</v>
      </c>
      <c r="J516" s="8">
        <v>2020</v>
      </c>
      <c r="K516" s="8">
        <v>7</v>
      </c>
    </row>
    <row r="517" spans="1:11" x14ac:dyDescent="0.35">
      <c r="A517" s="13">
        <v>44038</v>
      </c>
      <c r="B517" s="8">
        <v>23.6</v>
      </c>
      <c r="C517" s="8">
        <v>20.399999999999999</v>
      </c>
      <c r="D517" s="8">
        <v>29.4</v>
      </c>
      <c r="E517" s="8">
        <v>4.0999999999999996</v>
      </c>
      <c r="F517" s="8" t="s">
        <v>30</v>
      </c>
      <c r="G517" s="8" t="s">
        <v>30</v>
      </c>
      <c r="H517" s="8" t="s">
        <v>30</v>
      </c>
      <c r="I517" s="8" t="s">
        <v>30</v>
      </c>
      <c r="J517" s="8">
        <v>2020</v>
      </c>
      <c r="K517" s="8">
        <v>7</v>
      </c>
    </row>
    <row r="518" spans="1:11" x14ac:dyDescent="0.35">
      <c r="A518" s="13">
        <v>44039</v>
      </c>
      <c r="B518" s="8">
        <v>24.1</v>
      </c>
      <c r="C518" s="8">
        <v>20.399999999999999</v>
      </c>
      <c r="D518" s="8">
        <v>28.8</v>
      </c>
      <c r="E518" s="8">
        <v>0</v>
      </c>
      <c r="F518" s="8" t="s">
        <v>30</v>
      </c>
      <c r="G518" s="8" t="s">
        <v>30</v>
      </c>
      <c r="H518" s="8" t="s">
        <v>30</v>
      </c>
      <c r="I518" s="8" t="s">
        <v>30</v>
      </c>
      <c r="J518" s="8">
        <v>2020</v>
      </c>
      <c r="K518" s="8">
        <v>7</v>
      </c>
    </row>
    <row r="519" spans="1:11" x14ac:dyDescent="0.35">
      <c r="A519" s="13">
        <v>44040</v>
      </c>
      <c r="B519" s="8">
        <v>24.7</v>
      </c>
      <c r="C519" s="8">
        <v>20.6</v>
      </c>
      <c r="D519" s="8">
        <v>29</v>
      </c>
      <c r="E519" s="8">
        <v>2.2999999999999998</v>
      </c>
      <c r="F519" s="8" t="s">
        <v>30</v>
      </c>
      <c r="G519" s="8" t="s">
        <v>30</v>
      </c>
      <c r="H519" s="8" t="s">
        <v>30</v>
      </c>
      <c r="I519" s="8" t="s">
        <v>30</v>
      </c>
      <c r="J519" s="8">
        <v>2020</v>
      </c>
      <c r="K519" s="8">
        <v>7</v>
      </c>
    </row>
    <row r="520" spans="1:11" x14ac:dyDescent="0.35">
      <c r="A520" s="13">
        <v>44041</v>
      </c>
      <c r="B520" s="8">
        <v>22.9</v>
      </c>
      <c r="C520" s="8">
        <v>21.2</v>
      </c>
      <c r="D520" s="8">
        <v>29.5</v>
      </c>
      <c r="E520" s="8">
        <v>7.9</v>
      </c>
      <c r="F520" s="8" t="s">
        <v>30</v>
      </c>
      <c r="G520" s="8" t="s">
        <v>30</v>
      </c>
      <c r="H520" s="8" t="s">
        <v>30</v>
      </c>
      <c r="I520" s="8" t="s">
        <v>30</v>
      </c>
      <c r="J520" s="8">
        <v>2020</v>
      </c>
      <c r="K520" s="8">
        <v>7</v>
      </c>
    </row>
    <row r="521" spans="1:11" x14ac:dyDescent="0.35">
      <c r="A521" s="13">
        <v>44042</v>
      </c>
      <c r="B521" s="8">
        <v>23.5</v>
      </c>
      <c r="C521" s="8">
        <v>20.2</v>
      </c>
      <c r="D521" s="8">
        <v>28.8</v>
      </c>
      <c r="E521" s="8">
        <v>1.3</v>
      </c>
      <c r="F521" s="8" t="s">
        <v>30</v>
      </c>
      <c r="G521" s="8" t="s">
        <v>30</v>
      </c>
      <c r="H521" s="8" t="s">
        <v>30</v>
      </c>
      <c r="I521" s="8" t="s">
        <v>30</v>
      </c>
      <c r="J521" s="8">
        <v>2020</v>
      </c>
      <c r="K521" s="8">
        <v>7</v>
      </c>
    </row>
    <row r="522" spans="1:11" x14ac:dyDescent="0.35">
      <c r="A522" s="13">
        <v>44043</v>
      </c>
      <c r="B522" s="8">
        <v>23.9</v>
      </c>
      <c r="C522" s="8">
        <v>21.4</v>
      </c>
      <c r="D522" s="8">
        <v>28.6</v>
      </c>
      <c r="E522" s="8">
        <v>4.0999999999999996</v>
      </c>
      <c r="F522" s="8" t="s">
        <v>30</v>
      </c>
      <c r="G522" s="8" t="s">
        <v>30</v>
      </c>
      <c r="H522" s="8" t="s">
        <v>30</v>
      </c>
      <c r="I522" s="8" t="s">
        <v>30</v>
      </c>
      <c r="J522" s="8">
        <v>2020</v>
      </c>
      <c r="K522" s="8">
        <v>7</v>
      </c>
    </row>
    <row r="523" spans="1:11" x14ac:dyDescent="0.35">
      <c r="A523" s="13">
        <v>44044</v>
      </c>
      <c r="B523" s="8">
        <v>23</v>
      </c>
      <c r="C523" s="8">
        <v>20.399999999999999</v>
      </c>
      <c r="D523" s="8">
        <v>29.6</v>
      </c>
      <c r="E523" s="8">
        <v>2</v>
      </c>
      <c r="F523" s="8" t="s">
        <v>30</v>
      </c>
      <c r="G523" s="8" t="s">
        <v>30</v>
      </c>
      <c r="H523" s="8" t="s">
        <v>30</v>
      </c>
      <c r="I523" s="8" t="s">
        <v>30</v>
      </c>
      <c r="J523" s="8">
        <v>2020</v>
      </c>
      <c r="K523" s="8">
        <v>8</v>
      </c>
    </row>
    <row r="524" spans="1:11" x14ac:dyDescent="0.35">
      <c r="A524" s="13">
        <v>44045</v>
      </c>
      <c r="B524" s="8">
        <v>22.8</v>
      </c>
      <c r="C524" s="8">
        <v>19.600000000000001</v>
      </c>
      <c r="D524" s="8">
        <v>28</v>
      </c>
      <c r="E524" s="8">
        <v>3.3</v>
      </c>
      <c r="F524" s="8" t="s">
        <v>30</v>
      </c>
      <c r="G524" s="8" t="s">
        <v>30</v>
      </c>
      <c r="H524" s="8" t="s">
        <v>30</v>
      </c>
      <c r="I524" s="8" t="s">
        <v>30</v>
      </c>
      <c r="J524" s="8">
        <v>2020</v>
      </c>
      <c r="K524" s="8">
        <v>8</v>
      </c>
    </row>
    <row r="525" spans="1:11" x14ac:dyDescent="0.35">
      <c r="A525" s="13">
        <v>44046</v>
      </c>
      <c r="B525" s="8">
        <v>22.9</v>
      </c>
      <c r="C525" s="8">
        <v>20.399999999999999</v>
      </c>
      <c r="D525" s="8">
        <v>27.8</v>
      </c>
      <c r="E525" s="8">
        <v>2.5</v>
      </c>
      <c r="F525" s="8" t="s">
        <v>30</v>
      </c>
      <c r="G525" s="8" t="s">
        <v>30</v>
      </c>
      <c r="H525" s="8" t="s">
        <v>30</v>
      </c>
      <c r="I525" s="8" t="s">
        <v>30</v>
      </c>
      <c r="J525" s="8">
        <v>2020</v>
      </c>
      <c r="K525" s="8">
        <v>8</v>
      </c>
    </row>
    <row r="526" spans="1:11" x14ac:dyDescent="0.35">
      <c r="A526" s="13">
        <v>44047</v>
      </c>
      <c r="B526" s="8">
        <v>21.9</v>
      </c>
      <c r="C526" s="8">
        <v>19.8</v>
      </c>
      <c r="D526" s="8">
        <v>26</v>
      </c>
      <c r="E526" s="8">
        <v>1.5</v>
      </c>
      <c r="F526" s="8" t="s">
        <v>30</v>
      </c>
      <c r="G526" s="8" t="s">
        <v>30</v>
      </c>
      <c r="H526" s="8" t="s">
        <v>30</v>
      </c>
      <c r="I526" s="8" t="s">
        <v>30</v>
      </c>
      <c r="J526" s="8">
        <v>2020</v>
      </c>
      <c r="K526" s="8">
        <v>8</v>
      </c>
    </row>
    <row r="527" spans="1:11" x14ac:dyDescent="0.35">
      <c r="A527" s="13">
        <v>44048</v>
      </c>
      <c r="B527" s="8">
        <v>22.1</v>
      </c>
      <c r="C527" s="8">
        <v>19.8</v>
      </c>
      <c r="D527" s="8">
        <v>25.8</v>
      </c>
      <c r="E527" s="8">
        <v>1.8</v>
      </c>
      <c r="F527" s="8" t="s">
        <v>30</v>
      </c>
      <c r="G527" s="8" t="s">
        <v>30</v>
      </c>
      <c r="H527" s="8" t="s">
        <v>30</v>
      </c>
      <c r="I527" s="8" t="s">
        <v>30</v>
      </c>
      <c r="J527" s="8">
        <v>2020</v>
      </c>
      <c r="K527" s="8">
        <v>8</v>
      </c>
    </row>
    <row r="528" spans="1:11" x14ac:dyDescent="0.35">
      <c r="A528" s="13">
        <v>44049</v>
      </c>
      <c r="B528" s="8">
        <v>23.4</v>
      </c>
      <c r="C528" s="8">
        <v>20.8</v>
      </c>
      <c r="D528" s="8">
        <v>29.8</v>
      </c>
      <c r="E528" s="8">
        <v>2.8</v>
      </c>
      <c r="F528" s="8" t="s">
        <v>30</v>
      </c>
      <c r="G528" s="8" t="s">
        <v>30</v>
      </c>
      <c r="H528" s="8" t="s">
        <v>30</v>
      </c>
      <c r="I528" s="8" t="s">
        <v>30</v>
      </c>
      <c r="J528" s="8">
        <v>2020</v>
      </c>
      <c r="K528" s="8">
        <v>8</v>
      </c>
    </row>
    <row r="529" spans="1:11" x14ac:dyDescent="0.35">
      <c r="A529" s="13">
        <v>44050</v>
      </c>
      <c r="B529" s="8">
        <v>23.4</v>
      </c>
      <c r="C529" s="8">
        <v>21.4</v>
      </c>
      <c r="D529" s="8">
        <v>27.8</v>
      </c>
      <c r="E529" s="8">
        <v>1.3</v>
      </c>
      <c r="F529" s="8" t="s">
        <v>30</v>
      </c>
      <c r="G529" s="8" t="s">
        <v>30</v>
      </c>
      <c r="H529" s="8" t="s">
        <v>30</v>
      </c>
      <c r="I529" s="8" t="s">
        <v>30</v>
      </c>
      <c r="J529" s="8">
        <v>2020</v>
      </c>
      <c r="K529" s="8">
        <v>8</v>
      </c>
    </row>
    <row r="530" spans="1:11" x14ac:dyDescent="0.35">
      <c r="A530" s="13">
        <v>44051</v>
      </c>
      <c r="B530" s="8">
        <v>22.4</v>
      </c>
      <c r="C530" s="8">
        <v>20.3</v>
      </c>
      <c r="D530" s="8">
        <v>27.2</v>
      </c>
      <c r="E530" s="8">
        <v>0</v>
      </c>
      <c r="F530" s="8" t="s">
        <v>30</v>
      </c>
      <c r="G530" s="8" t="s">
        <v>30</v>
      </c>
      <c r="H530" s="8" t="s">
        <v>30</v>
      </c>
      <c r="I530" s="8" t="s">
        <v>30</v>
      </c>
      <c r="J530" s="8">
        <v>2020</v>
      </c>
      <c r="K530" s="8">
        <v>8</v>
      </c>
    </row>
    <row r="531" spans="1:11" x14ac:dyDescent="0.35">
      <c r="A531" s="13">
        <v>44052</v>
      </c>
      <c r="B531" s="8">
        <v>21.8</v>
      </c>
      <c r="C531" s="8">
        <v>20.2</v>
      </c>
      <c r="D531" s="8">
        <v>27.4</v>
      </c>
      <c r="E531" s="8">
        <v>2.2999999999999998</v>
      </c>
      <c r="F531" s="8" t="s">
        <v>30</v>
      </c>
      <c r="G531" s="8" t="s">
        <v>30</v>
      </c>
      <c r="H531" s="8" t="s">
        <v>30</v>
      </c>
      <c r="I531" s="8" t="s">
        <v>30</v>
      </c>
      <c r="J531" s="8">
        <v>2020</v>
      </c>
      <c r="K531" s="8">
        <v>8</v>
      </c>
    </row>
    <row r="532" spans="1:11" x14ac:dyDescent="0.35">
      <c r="A532" s="13">
        <v>44054</v>
      </c>
      <c r="B532" s="8">
        <v>22.8</v>
      </c>
      <c r="C532" s="8">
        <v>20.6</v>
      </c>
      <c r="D532" s="8">
        <v>27.8</v>
      </c>
      <c r="E532" s="8">
        <v>0</v>
      </c>
      <c r="F532" s="8" t="s">
        <v>30</v>
      </c>
      <c r="G532" s="8" t="s">
        <v>30</v>
      </c>
      <c r="H532" s="8" t="s">
        <v>30</v>
      </c>
      <c r="I532" s="8" t="s">
        <v>30</v>
      </c>
      <c r="J532" s="8">
        <v>2020</v>
      </c>
      <c r="K532" s="8">
        <v>8</v>
      </c>
    </row>
    <row r="533" spans="1:11" x14ac:dyDescent="0.35">
      <c r="A533" s="13">
        <v>44055</v>
      </c>
      <c r="B533" s="8">
        <v>23.4</v>
      </c>
      <c r="C533" s="8">
        <v>20.5</v>
      </c>
      <c r="D533" s="8">
        <v>28</v>
      </c>
      <c r="E533" s="8">
        <v>5.0999999999999996</v>
      </c>
      <c r="F533" s="8" t="s">
        <v>30</v>
      </c>
      <c r="G533" s="8" t="s">
        <v>30</v>
      </c>
      <c r="H533" s="8" t="s">
        <v>30</v>
      </c>
      <c r="I533" s="8" t="s">
        <v>30</v>
      </c>
      <c r="J533" s="8">
        <v>2020</v>
      </c>
      <c r="K533" s="8">
        <v>8</v>
      </c>
    </row>
    <row r="534" spans="1:11" x14ac:dyDescent="0.35">
      <c r="A534" s="13">
        <v>44056</v>
      </c>
      <c r="B534" s="8">
        <v>23.7</v>
      </c>
      <c r="C534" s="8">
        <v>20.6</v>
      </c>
      <c r="D534" s="8">
        <v>27.9</v>
      </c>
      <c r="E534" s="8">
        <v>0</v>
      </c>
      <c r="F534" s="8" t="s">
        <v>30</v>
      </c>
      <c r="G534" s="8" t="s">
        <v>30</v>
      </c>
      <c r="H534" s="8" t="s">
        <v>30</v>
      </c>
      <c r="I534" s="8" t="s">
        <v>30</v>
      </c>
      <c r="J534" s="8">
        <v>2020</v>
      </c>
      <c r="K534" s="8">
        <v>8</v>
      </c>
    </row>
    <row r="535" spans="1:11" x14ac:dyDescent="0.35">
      <c r="A535" s="13">
        <v>44057</v>
      </c>
      <c r="B535" s="8">
        <v>22.7</v>
      </c>
      <c r="C535" s="8">
        <v>20.2</v>
      </c>
      <c r="D535" s="8">
        <v>28</v>
      </c>
      <c r="E535" s="8">
        <v>0</v>
      </c>
      <c r="F535" s="8" t="s">
        <v>30</v>
      </c>
      <c r="G535" s="8" t="s">
        <v>30</v>
      </c>
      <c r="H535" s="8" t="s">
        <v>30</v>
      </c>
      <c r="I535" s="8" t="s">
        <v>30</v>
      </c>
      <c r="J535" s="8">
        <v>2020</v>
      </c>
      <c r="K535" s="8">
        <v>8</v>
      </c>
    </row>
    <row r="536" spans="1:11" x14ac:dyDescent="0.35">
      <c r="A536" s="13">
        <v>44058</v>
      </c>
      <c r="B536" s="8">
        <v>22.4</v>
      </c>
      <c r="C536" s="8">
        <v>20.399999999999999</v>
      </c>
      <c r="D536" s="8">
        <v>25.6</v>
      </c>
      <c r="E536" s="8">
        <v>0</v>
      </c>
      <c r="F536" s="8" t="s">
        <v>30</v>
      </c>
      <c r="G536" s="8" t="s">
        <v>30</v>
      </c>
      <c r="H536" s="8" t="s">
        <v>30</v>
      </c>
      <c r="I536" s="8" t="s">
        <v>30</v>
      </c>
      <c r="J536" s="8">
        <v>2020</v>
      </c>
      <c r="K536" s="8">
        <v>8</v>
      </c>
    </row>
    <row r="537" spans="1:11" x14ac:dyDescent="0.35">
      <c r="A537" s="13">
        <v>44060</v>
      </c>
      <c r="B537" s="8">
        <v>22.2</v>
      </c>
      <c r="C537" s="8">
        <v>20.100000000000001</v>
      </c>
      <c r="D537" s="8">
        <v>26.8</v>
      </c>
      <c r="E537" s="8">
        <v>0.3</v>
      </c>
      <c r="F537" s="8" t="s">
        <v>30</v>
      </c>
      <c r="G537" s="8" t="s">
        <v>30</v>
      </c>
      <c r="H537" s="8" t="s">
        <v>30</v>
      </c>
      <c r="I537" s="8" t="s">
        <v>30</v>
      </c>
      <c r="J537" s="8">
        <v>2020</v>
      </c>
      <c r="K537" s="8">
        <v>8</v>
      </c>
    </row>
    <row r="538" spans="1:11" x14ac:dyDescent="0.35">
      <c r="A538" s="13">
        <v>44061</v>
      </c>
      <c r="B538" s="8">
        <v>23</v>
      </c>
      <c r="C538" s="8">
        <v>20.6</v>
      </c>
      <c r="D538" s="8">
        <v>26.2</v>
      </c>
      <c r="E538" s="8">
        <v>1</v>
      </c>
      <c r="F538" s="8" t="s">
        <v>30</v>
      </c>
      <c r="G538" s="8" t="s">
        <v>30</v>
      </c>
      <c r="H538" s="8" t="s">
        <v>30</v>
      </c>
      <c r="I538" s="8" t="s">
        <v>30</v>
      </c>
      <c r="J538" s="8">
        <v>2020</v>
      </c>
      <c r="K538" s="8">
        <v>8</v>
      </c>
    </row>
    <row r="539" spans="1:11" x14ac:dyDescent="0.35">
      <c r="A539" s="13">
        <v>44062</v>
      </c>
      <c r="B539" s="8">
        <v>23.1</v>
      </c>
      <c r="C539" s="8">
        <v>20.399999999999999</v>
      </c>
      <c r="D539" s="8">
        <v>26.4</v>
      </c>
      <c r="E539" s="8">
        <v>0</v>
      </c>
      <c r="F539" s="8" t="s">
        <v>30</v>
      </c>
      <c r="G539" s="8" t="s">
        <v>30</v>
      </c>
      <c r="H539" s="8" t="s">
        <v>30</v>
      </c>
      <c r="I539" s="8" t="s">
        <v>30</v>
      </c>
      <c r="J539" s="8">
        <v>2020</v>
      </c>
      <c r="K539" s="8">
        <v>8</v>
      </c>
    </row>
    <row r="540" spans="1:11" x14ac:dyDescent="0.35">
      <c r="A540" s="13">
        <v>44067</v>
      </c>
      <c r="B540" s="8">
        <v>24.1</v>
      </c>
      <c r="C540" s="8">
        <v>20.9</v>
      </c>
      <c r="D540" s="8">
        <v>27.8</v>
      </c>
      <c r="E540" s="8">
        <v>2</v>
      </c>
      <c r="F540" s="8" t="s">
        <v>30</v>
      </c>
      <c r="G540" s="8" t="s">
        <v>30</v>
      </c>
      <c r="H540" s="8" t="s">
        <v>30</v>
      </c>
      <c r="I540" s="8" t="s">
        <v>30</v>
      </c>
      <c r="J540" s="8">
        <v>2020</v>
      </c>
      <c r="K540" s="8">
        <v>8</v>
      </c>
    </row>
    <row r="541" spans="1:11" x14ac:dyDescent="0.35">
      <c r="A541" s="13">
        <v>44068</v>
      </c>
      <c r="B541" s="8">
        <v>25</v>
      </c>
      <c r="C541" s="8">
        <v>20.5</v>
      </c>
      <c r="D541" s="8">
        <v>29.8</v>
      </c>
      <c r="E541" s="8">
        <v>0</v>
      </c>
      <c r="F541" s="8" t="s">
        <v>30</v>
      </c>
      <c r="G541" s="8" t="s">
        <v>30</v>
      </c>
      <c r="H541" s="8" t="s">
        <v>30</v>
      </c>
      <c r="I541" s="8" t="s">
        <v>30</v>
      </c>
      <c r="J541" s="8">
        <v>2020</v>
      </c>
      <c r="K541" s="8">
        <v>8</v>
      </c>
    </row>
    <row r="542" spans="1:11" x14ac:dyDescent="0.35">
      <c r="A542" s="13">
        <v>44069</v>
      </c>
      <c r="B542" s="8">
        <v>25.6</v>
      </c>
      <c r="C542" s="8">
        <v>22</v>
      </c>
      <c r="D542" s="8">
        <v>30.2</v>
      </c>
      <c r="E542" s="8">
        <v>0</v>
      </c>
      <c r="F542" s="8" t="s">
        <v>30</v>
      </c>
      <c r="G542" s="8" t="s">
        <v>30</v>
      </c>
      <c r="H542" s="8" t="s">
        <v>30</v>
      </c>
      <c r="I542" s="8" t="s">
        <v>30</v>
      </c>
      <c r="J542" s="8">
        <v>2020</v>
      </c>
      <c r="K542" s="8">
        <v>8</v>
      </c>
    </row>
    <row r="543" spans="1:11" x14ac:dyDescent="0.35">
      <c r="A543" s="13">
        <v>44071</v>
      </c>
      <c r="B543" s="8">
        <v>25.3</v>
      </c>
      <c r="C543" s="8">
        <v>20.399999999999999</v>
      </c>
      <c r="D543" s="8">
        <v>30.8</v>
      </c>
      <c r="E543" s="8">
        <v>0</v>
      </c>
      <c r="F543" s="8" t="s">
        <v>30</v>
      </c>
      <c r="G543" s="8" t="s">
        <v>30</v>
      </c>
      <c r="H543" s="8" t="s">
        <v>30</v>
      </c>
      <c r="I543" s="8" t="s">
        <v>30</v>
      </c>
      <c r="J543" s="8">
        <v>2020</v>
      </c>
      <c r="K543" s="8">
        <v>8</v>
      </c>
    </row>
    <row r="544" spans="1:11" x14ac:dyDescent="0.35">
      <c r="A544" s="13">
        <v>44076</v>
      </c>
      <c r="B544" s="8">
        <v>22.9</v>
      </c>
      <c r="C544" s="8">
        <v>20.6</v>
      </c>
      <c r="D544" s="8">
        <v>28.4</v>
      </c>
      <c r="E544" s="8">
        <v>2</v>
      </c>
      <c r="F544" s="8" t="s">
        <v>30</v>
      </c>
      <c r="G544" s="8" t="s">
        <v>30</v>
      </c>
      <c r="H544" s="8" t="s">
        <v>30</v>
      </c>
      <c r="I544" s="8" t="s">
        <v>30</v>
      </c>
      <c r="J544" s="8">
        <v>2020</v>
      </c>
      <c r="K544" s="8">
        <v>9</v>
      </c>
    </row>
    <row r="545" spans="1:11" x14ac:dyDescent="0.35">
      <c r="A545" s="13">
        <v>44078</v>
      </c>
      <c r="B545" s="8">
        <v>24.9</v>
      </c>
      <c r="C545" s="8">
        <v>21</v>
      </c>
      <c r="D545" s="8">
        <v>29.2</v>
      </c>
      <c r="E545" s="8">
        <v>9.6999999999999993</v>
      </c>
      <c r="F545" s="8" t="s">
        <v>30</v>
      </c>
      <c r="G545" s="8" t="s">
        <v>30</v>
      </c>
      <c r="H545" s="8" t="s">
        <v>30</v>
      </c>
      <c r="I545" s="8" t="s">
        <v>30</v>
      </c>
      <c r="J545" s="8">
        <v>2020</v>
      </c>
      <c r="K545" s="8">
        <v>9</v>
      </c>
    </row>
    <row r="546" spans="1:11" x14ac:dyDescent="0.35">
      <c r="A546" s="13">
        <v>44079</v>
      </c>
      <c r="B546" s="8">
        <v>24.8</v>
      </c>
      <c r="C546" s="8">
        <v>22.3</v>
      </c>
      <c r="D546" s="8">
        <v>29.2</v>
      </c>
      <c r="E546" s="8">
        <v>0</v>
      </c>
      <c r="F546" s="8" t="s">
        <v>30</v>
      </c>
      <c r="G546" s="8" t="s">
        <v>30</v>
      </c>
      <c r="H546" s="8" t="s">
        <v>30</v>
      </c>
      <c r="I546" s="8" t="s">
        <v>30</v>
      </c>
      <c r="J546" s="8">
        <v>2020</v>
      </c>
      <c r="K546" s="8">
        <v>9</v>
      </c>
    </row>
    <row r="547" spans="1:11" x14ac:dyDescent="0.35">
      <c r="A547" s="13">
        <v>44080</v>
      </c>
      <c r="B547" s="8">
        <v>25.5</v>
      </c>
      <c r="C547" s="8">
        <v>22.2</v>
      </c>
      <c r="D547" s="8">
        <v>29.6</v>
      </c>
      <c r="E547" s="8">
        <v>0</v>
      </c>
      <c r="F547" s="8" t="s">
        <v>30</v>
      </c>
      <c r="G547" s="8" t="s">
        <v>30</v>
      </c>
      <c r="H547" s="8" t="s">
        <v>30</v>
      </c>
      <c r="I547" s="8" t="s">
        <v>30</v>
      </c>
      <c r="J547" s="8">
        <v>2020</v>
      </c>
      <c r="K547" s="8">
        <v>9</v>
      </c>
    </row>
    <row r="548" spans="1:11" x14ac:dyDescent="0.35">
      <c r="A548" s="13">
        <v>44081</v>
      </c>
      <c r="B548" s="8">
        <v>24.4</v>
      </c>
      <c r="C548" s="8">
        <v>20.5</v>
      </c>
      <c r="D548" s="8">
        <v>30.5</v>
      </c>
      <c r="E548" s="8">
        <v>0</v>
      </c>
      <c r="F548" s="8" t="s">
        <v>30</v>
      </c>
      <c r="G548" s="8" t="s">
        <v>30</v>
      </c>
      <c r="H548" s="8" t="s">
        <v>30</v>
      </c>
      <c r="I548" s="8" t="s">
        <v>30</v>
      </c>
      <c r="J548" s="8">
        <v>2020</v>
      </c>
      <c r="K548" s="8">
        <v>9</v>
      </c>
    </row>
    <row r="549" spans="1:11" x14ac:dyDescent="0.35">
      <c r="A549" s="13">
        <v>44082</v>
      </c>
      <c r="B549" s="8">
        <v>24.4</v>
      </c>
      <c r="C549" s="8">
        <v>21.2</v>
      </c>
      <c r="D549" s="8">
        <v>29.8</v>
      </c>
      <c r="E549" s="8">
        <v>2</v>
      </c>
      <c r="F549" s="8" t="s">
        <v>30</v>
      </c>
      <c r="G549" s="8" t="s">
        <v>30</v>
      </c>
      <c r="H549" s="8" t="s">
        <v>30</v>
      </c>
      <c r="I549" s="8" t="s">
        <v>30</v>
      </c>
      <c r="J549" s="8">
        <v>2020</v>
      </c>
      <c r="K549" s="8">
        <v>9</v>
      </c>
    </row>
    <row r="550" spans="1:11" x14ac:dyDescent="0.35">
      <c r="A550" s="13">
        <v>44085</v>
      </c>
      <c r="B550" s="8">
        <v>22.1</v>
      </c>
      <c r="C550" s="8">
        <v>19.899999999999999</v>
      </c>
      <c r="D550" s="8">
        <v>27.6</v>
      </c>
      <c r="E550" s="8">
        <v>0</v>
      </c>
      <c r="F550" s="8" t="s">
        <v>30</v>
      </c>
      <c r="G550" s="8" t="s">
        <v>30</v>
      </c>
      <c r="H550" s="8" t="s">
        <v>30</v>
      </c>
      <c r="I550" s="8" t="s">
        <v>30</v>
      </c>
      <c r="J550" s="8">
        <v>2020</v>
      </c>
      <c r="K550" s="8">
        <v>9</v>
      </c>
    </row>
    <row r="551" spans="1:11" x14ac:dyDescent="0.35">
      <c r="A551" s="13">
        <v>44086</v>
      </c>
      <c r="B551" s="8">
        <v>21.5</v>
      </c>
      <c r="C551" s="8">
        <v>18.7</v>
      </c>
      <c r="D551" s="8">
        <v>25.8</v>
      </c>
      <c r="E551" s="8">
        <v>1.3</v>
      </c>
      <c r="F551" s="8" t="s">
        <v>30</v>
      </c>
      <c r="G551" s="8" t="s">
        <v>30</v>
      </c>
      <c r="H551" s="8" t="s">
        <v>30</v>
      </c>
      <c r="I551" s="8" t="s">
        <v>30</v>
      </c>
      <c r="J551" s="8">
        <v>2020</v>
      </c>
      <c r="K551" s="8">
        <v>9</v>
      </c>
    </row>
    <row r="552" spans="1:11" x14ac:dyDescent="0.35">
      <c r="A552" s="13">
        <v>44088</v>
      </c>
      <c r="B552" s="8">
        <v>22.5</v>
      </c>
      <c r="C552" s="8">
        <v>20.399999999999999</v>
      </c>
      <c r="D552" s="8">
        <v>26.4</v>
      </c>
      <c r="E552" s="8">
        <v>1</v>
      </c>
      <c r="F552" s="8" t="s">
        <v>30</v>
      </c>
      <c r="G552" s="8" t="s">
        <v>30</v>
      </c>
      <c r="H552" s="8" t="s">
        <v>30</v>
      </c>
      <c r="I552" s="8" t="s">
        <v>30</v>
      </c>
      <c r="J552" s="8">
        <v>2020</v>
      </c>
      <c r="K552" s="8">
        <v>9</v>
      </c>
    </row>
    <row r="553" spans="1:11" x14ac:dyDescent="0.35">
      <c r="A553" s="13">
        <v>44089</v>
      </c>
      <c r="B553" s="8">
        <v>22.8</v>
      </c>
      <c r="C553" s="8">
        <v>20.2</v>
      </c>
      <c r="D553" s="8">
        <v>26.5</v>
      </c>
      <c r="E553" s="8">
        <v>0</v>
      </c>
      <c r="F553" s="8" t="s">
        <v>30</v>
      </c>
      <c r="G553" s="8" t="s">
        <v>30</v>
      </c>
      <c r="H553" s="8" t="s">
        <v>30</v>
      </c>
      <c r="I553" s="8" t="s">
        <v>30</v>
      </c>
      <c r="J553" s="8">
        <v>2020</v>
      </c>
      <c r="K553" s="8">
        <v>9</v>
      </c>
    </row>
    <row r="554" spans="1:11" x14ac:dyDescent="0.35">
      <c r="A554" s="13">
        <v>44090</v>
      </c>
      <c r="B554" s="8">
        <v>23.3</v>
      </c>
      <c r="C554" s="8">
        <v>20.2</v>
      </c>
      <c r="D554" s="8">
        <v>26.2</v>
      </c>
      <c r="E554" s="8">
        <v>0.3</v>
      </c>
      <c r="F554" s="8" t="s">
        <v>30</v>
      </c>
      <c r="G554" s="8" t="s">
        <v>30</v>
      </c>
      <c r="H554" s="8" t="s">
        <v>30</v>
      </c>
      <c r="I554" s="8" t="s">
        <v>30</v>
      </c>
      <c r="J554" s="8">
        <v>2020</v>
      </c>
      <c r="K554" s="8">
        <v>9</v>
      </c>
    </row>
    <row r="555" spans="1:11" x14ac:dyDescent="0.35">
      <c r="A555" s="13">
        <v>44091</v>
      </c>
      <c r="B555" s="8">
        <v>23.8</v>
      </c>
      <c r="C555" s="8">
        <v>21</v>
      </c>
      <c r="D555" s="8">
        <v>27</v>
      </c>
      <c r="E555" s="8">
        <v>0</v>
      </c>
      <c r="F555" s="8" t="s">
        <v>30</v>
      </c>
      <c r="G555" s="8" t="s">
        <v>30</v>
      </c>
      <c r="H555" s="8" t="s">
        <v>30</v>
      </c>
      <c r="I555" s="8" t="s">
        <v>30</v>
      </c>
      <c r="J555" s="8">
        <v>2020</v>
      </c>
      <c r="K555" s="8">
        <v>9</v>
      </c>
    </row>
    <row r="556" spans="1:11" x14ac:dyDescent="0.35">
      <c r="A556" s="13">
        <v>44092</v>
      </c>
      <c r="B556" s="8">
        <v>24</v>
      </c>
      <c r="C556" s="8">
        <v>19.8</v>
      </c>
      <c r="D556" s="8">
        <v>28.2</v>
      </c>
      <c r="E556" s="8">
        <v>0.3</v>
      </c>
      <c r="F556" s="8" t="s">
        <v>30</v>
      </c>
      <c r="G556" s="8" t="s">
        <v>30</v>
      </c>
      <c r="H556" s="8" t="s">
        <v>30</v>
      </c>
      <c r="I556" s="8" t="s">
        <v>30</v>
      </c>
      <c r="J556" s="8">
        <v>2020</v>
      </c>
      <c r="K556" s="8">
        <v>9</v>
      </c>
    </row>
    <row r="557" spans="1:11" x14ac:dyDescent="0.35">
      <c r="A557" s="13">
        <v>44093</v>
      </c>
      <c r="B557" s="8">
        <v>22.1</v>
      </c>
      <c r="C557" s="8">
        <v>19.3</v>
      </c>
      <c r="D557" s="8">
        <v>28.4</v>
      </c>
      <c r="E557" s="8">
        <v>0</v>
      </c>
      <c r="F557" s="8" t="s">
        <v>30</v>
      </c>
      <c r="G557" s="8" t="s">
        <v>30</v>
      </c>
      <c r="H557" s="8" t="s">
        <v>30</v>
      </c>
      <c r="I557" s="8" t="s">
        <v>30</v>
      </c>
      <c r="J557" s="8">
        <v>2020</v>
      </c>
      <c r="K557" s="8">
        <v>9</v>
      </c>
    </row>
    <row r="558" spans="1:11" x14ac:dyDescent="0.35">
      <c r="A558" s="13">
        <v>44096</v>
      </c>
      <c r="B558" s="8">
        <v>21.7</v>
      </c>
      <c r="C558" s="8">
        <v>18.600000000000001</v>
      </c>
      <c r="D558" s="8">
        <v>26.6</v>
      </c>
      <c r="E558" s="8">
        <v>0</v>
      </c>
      <c r="F558" s="8" t="s">
        <v>30</v>
      </c>
      <c r="G558" s="8" t="s">
        <v>30</v>
      </c>
      <c r="H558" s="8" t="s">
        <v>30</v>
      </c>
      <c r="I558" s="8" t="s">
        <v>30</v>
      </c>
      <c r="J558" s="8">
        <v>2020</v>
      </c>
      <c r="K558" s="8">
        <v>9</v>
      </c>
    </row>
    <row r="559" spans="1:11" x14ac:dyDescent="0.35">
      <c r="A559" s="13">
        <v>44097</v>
      </c>
      <c r="B559" s="8">
        <v>22.8</v>
      </c>
      <c r="C559" s="8">
        <v>18.600000000000001</v>
      </c>
      <c r="D559" s="8">
        <v>27.8</v>
      </c>
      <c r="E559" s="8">
        <v>0</v>
      </c>
      <c r="F559" s="8" t="s">
        <v>30</v>
      </c>
      <c r="G559" s="8" t="s">
        <v>30</v>
      </c>
      <c r="H559" s="8" t="s">
        <v>30</v>
      </c>
      <c r="I559" s="8" t="s">
        <v>30</v>
      </c>
      <c r="J559" s="8">
        <v>2020</v>
      </c>
      <c r="K559" s="8">
        <v>9</v>
      </c>
    </row>
    <row r="560" spans="1:11" x14ac:dyDescent="0.35">
      <c r="A560" s="13">
        <v>44099</v>
      </c>
      <c r="B560" s="8">
        <v>24.3</v>
      </c>
      <c r="C560" s="8">
        <v>20.9</v>
      </c>
      <c r="D560" s="8">
        <v>29.8</v>
      </c>
      <c r="E560" s="8">
        <v>0.3</v>
      </c>
      <c r="F560" s="8" t="s">
        <v>30</v>
      </c>
      <c r="G560" s="8" t="s">
        <v>30</v>
      </c>
      <c r="H560" s="8" t="s">
        <v>30</v>
      </c>
      <c r="I560" s="8" t="s">
        <v>30</v>
      </c>
      <c r="J560" s="8">
        <v>2020</v>
      </c>
      <c r="K560" s="8">
        <v>9</v>
      </c>
    </row>
    <row r="561" spans="1:11" x14ac:dyDescent="0.35">
      <c r="A561" s="13">
        <v>44100</v>
      </c>
      <c r="B561" s="8">
        <v>22.8</v>
      </c>
      <c r="C561" s="8">
        <v>20.6</v>
      </c>
      <c r="D561" s="8">
        <v>29.6</v>
      </c>
      <c r="E561" s="8">
        <v>3</v>
      </c>
      <c r="F561" s="8" t="s">
        <v>30</v>
      </c>
      <c r="G561" s="8" t="s">
        <v>30</v>
      </c>
      <c r="H561" s="8" t="s">
        <v>30</v>
      </c>
      <c r="I561" s="8" t="s">
        <v>30</v>
      </c>
      <c r="J561" s="8">
        <v>2020</v>
      </c>
      <c r="K561" s="8">
        <v>9</v>
      </c>
    </row>
    <row r="562" spans="1:11" x14ac:dyDescent="0.35">
      <c r="A562" s="13">
        <v>44101</v>
      </c>
      <c r="B562" s="8">
        <v>23.3</v>
      </c>
      <c r="C562" s="8">
        <v>20.5</v>
      </c>
      <c r="D562" s="8">
        <v>27.8</v>
      </c>
      <c r="E562" s="8">
        <v>0</v>
      </c>
      <c r="F562" s="8" t="s">
        <v>30</v>
      </c>
      <c r="G562" s="8" t="s">
        <v>30</v>
      </c>
      <c r="H562" s="8" t="s">
        <v>30</v>
      </c>
      <c r="I562" s="8" t="s">
        <v>30</v>
      </c>
      <c r="J562" s="8">
        <v>2020</v>
      </c>
      <c r="K562" s="8">
        <v>9</v>
      </c>
    </row>
    <row r="563" spans="1:11" x14ac:dyDescent="0.35">
      <c r="A563" s="13">
        <v>44102</v>
      </c>
      <c r="B563" s="8">
        <v>24.1</v>
      </c>
      <c r="C563" s="8">
        <v>20.6</v>
      </c>
      <c r="D563" s="8">
        <v>27</v>
      </c>
      <c r="E563" s="8">
        <v>0</v>
      </c>
      <c r="F563" s="8" t="s">
        <v>30</v>
      </c>
      <c r="G563" s="8" t="s">
        <v>30</v>
      </c>
      <c r="H563" s="8" t="s">
        <v>30</v>
      </c>
      <c r="I563" s="8" t="s">
        <v>30</v>
      </c>
      <c r="J563" s="8">
        <v>2020</v>
      </c>
      <c r="K563" s="8">
        <v>9</v>
      </c>
    </row>
    <row r="564" spans="1:11" x14ac:dyDescent="0.35">
      <c r="A564" s="13">
        <v>44103</v>
      </c>
      <c r="B564" s="8">
        <v>22.4</v>
      </c>
      <c r="C564" s="8">
        <v>19.8</v>
      </c>
      <c r="D564" s="8">
        <v>28.1</v>
      </c>
      <c r="E564" s="8">
        <v>0</v>
      </c>
      <c r="F564" s="8" t="s">
        <v>30</v>
      </c>
      <c r="G564" s="8" t="s">
        <v>30</v>
      </c>
      <c r="H564" s="8" t="s">
        <v>30</v>
      </c>
      <c r="I564" s="8" t="s">
        <v>30</v>
      </c>
      <c r="J564" s="8">
        <v>2020</v>
      </c>
      <c r="K564" s="8">
        <v>9</v>
      </c>
    </row>
    <row r="565" spans="1:11" x14ac:dyDescent="0.35">
      <c r="A565" s="13">
        <v>44105</v>
      </c>
      <c r="B565" s="8">
        <v>23.5</v>
      </c>
      <c r="C565" s="8">
        <v>19.5</v>
      </c>
      <c r="D565" s="8">
        <v>27.1</v>
      </c>
      <c r="E565" s="8">
        <v>0</v>
      </c>
      <c r="F565" s="8" t="s">
        <v>30</v>
      </c>
      <c r="G565" s="8" t="s">
        <v>30</v>
      </c>
      <c r="H565" s="8" t="s">
        <v>30</v>
      </c>
      <c r="I565" s="8" t="s">
        <v>30</v>
      </c>
      <c r="J565" s="8">
        <v>2020</v>
      </c>
      <c r="K565" s="8">
        <v>10</v>
      </c>
    </row>
    <row r="566" spans="1:11" x14ac:dyDescent="0.35">
      <c r="A566" s="13">
        <v>44106</v>
      </c>
      <c r="B566" s="8">
        <v>24.7</v>
      </c>
      <c r="C566" s="8">
        <v>21</v>
      </c>
      <c r="D566" s="8">
        <v>28.5</v>
      </c>
      <c r="E566" s="8">
        <v>0</v>
      </c>
      <c r="F566" s="8" t="s">
        <v>30</v>
      </c>
      <c r="G566" s="8" t="s">
        <v>30</v>
      </c>
      <c r="H566" s="8" t="s">
        <v>30</v>
      </c>
      <c r="I566" s="8" t="s">
        <v>30</v>
      </c>
      <c r="J566" s="8">
        <v>2020</v>
      </c>
      <c r="K566" s="8">
        <v>10</v>
      </c>
    </row>
    <row r="567" spans="1:11" x14ac:dyDescent="0.35">
      <c r="A567" s="13">
        <v>44107</v>
      </c>
      <c r="B567" s="8">
        <v>23.5</v>
      </c>
      <c r="C567" s="8">
        <v>19.600000000000001</v>
      </c>
      <c r="D567" s="8">
        <v>29.6</v>
      </c>
      <c r="E567" s="8">
        <v>0.5</v>
      </c>
      <c r="F567" s="8" t="s">
        <v>30</v>
      </c>
      <c r="G567" s="8" t="s">
        <v>30</v>
      </c>
      <c r="H567" s="8" t="s">
        <v>30</v>
      </c>
      <c r="I567" s="8" t="s">
        <v>30</v>
      </c>
      <c r="J567" s="8">
        <v>2020</v>
      </c>
      <c r="K567" s="8">
        <v>10</v>
      </c>
    </row>
    <row r="568" spans="1:11" x14ac:dyDescent="0.35">
      <c r="A568" s="13">
        <v>44108</v>
      </c>
      <c r="B568" s="8">
        <v>22.5</v>
      </c>
      <c r="C568" s="8">
        <v>20</v>
      </c>
      <c r="D568" s="8">
        <v>28.4</v>
      </c>
      <c r="E568" s="8">
        <v>0</v>
      </c>
      <c r="F568" s="8" t="s">
        <v>30</v>
      </c>
      <c r="G568" s="8" t="s">
        <v>30</v>
      </c>
      <c r="H568" s="8" t="s">
        <v>30</v>
      </c>
      <c r="I568" s="8" t="s">
        <v>30</v>
      </c>
      <c r="J568" s="8">
        <v>2020</v>
      </c>
      <c r="K568" s="8">
        <v>10</v>
      </c>
    </row>
    <row r="569" spans="1:11" x14ac:dyDescent="0.35">
      <c r="A569" s="13">
        <v>44109</v>
      </c>
      <c r="B569" s="8">
        <v>23.6</v>
      </c>
      <c r="C569" s="8">
        <v>19</v>
      </c>
      <c r="D569" s="8">
        <v>28.8</v>
      </c>
      <c r="E569" s="8">
        <v>0.3</v>
      </c>
      <c r="F569" s="8" t="s">
        <v>30</v>
      </c>
      <c r="G569" s="8" t="s">
        <v>30</v>
      </c>
      <c r="H569" s="8" t="s">
        <v>30</v>
      </c>
      <c r="I569" s="8" t="s">
        <v>30</v>
      </c>
      <c r="J569" s="8">
        <v>2020</v>
      </c>
      <c r="K569" s="8">
        <v>10</v>
      </c>
    </row>
    <row r="570" spans="1:11" x14ac:dyDescent="0.35">
      <c r="A570" s="13">
        <v>44110</v>
      </c>
      <c r="B570" s="8">
        <v>25.1</v>
      </c>
      <c r="C570" s="8">
        <v>20.2</v>
      </c>
      <c r="D570" s="8">
        <v>30.8</v>
      </c>
      <c r="E570" s="8">
        <v>0</v>
      </c>
      <c r="F570" s="8" t="s">
        <v>30</v>
      </c>
      <c r="G570" s="8" t="s">
        <v>30</v>
      </c>
      <c r="H570" s="8" t="s">
        <v>30</v>
      </c>
      <c r="I570" s="8" t="s">
        <v>30</v>
      </c>
      <c r="J570" s="8">
        <v>2020</v>
      </c>
      <c r="K570" s="8">
        <v>10</v>
      </c>
    </row>
    <row r="571" spans="1:11" x14ac:dyDescent="0.35">
      <c r="A571" s="13">
        <v>44113</v>
      </c>
      <c r="B571" s="8">
        <v>23.7</v>
      </c>
      <c r="C571" s="8">
        <v>20.399999999999999</v>
      </c>
      <c r="D571" s="8">
        <v>31.2</v>
      </c>
      <c r="E571" s="8">
        <v>0</v>
      </c>
      <c r="F571" s="8" t="s">
        <v>30</v>
      </c>
      <c r="G571" s="8" t="s">
        <v>30</v>
      </c>
      <c r="H571" s="8" t="s">
        <v>30</v>
      </c>
      <c r="I571" s="8" t="s">
        <v>30</v>
      </c>
      <c r="J571" s="8">
        <v>2020</v>
      </c>
      <c r="K571" s="8">
        <v>10</v>
      </c>
    </row>
    <row r="572" spans="1:11" x14ac:dyDescent="0.35">
      <c r="A572" s="13">
        <v>44116</v>
      </c>
      <c r="B572" s="8">
        <v>21.8</v>
      </c>
      <c r="C572" s="8">
        <v>20</v>
      </c>
      <c r="D572" s="8">
        <v>25.6</v>
      </c>
      <c r="E572" s="8">
        <v>3</v>
      </c>
      <c r="F572" s="8" t="s">
        <v>30</v>
      </c>
      <c r="G572" s="8" t="s">
        <v>30</v>
      </c>
      <c r="H572" s="8" t="s">
        <v>30</v>
      </c>
      <c r="I572" s="8" t="s">
        <v>30</v>
      </c>
      <c r="J572" s="8">
        <v>2020</v>
      </c>
      <c r="K572" s="8">
        <v>10</v>
      </c>
    </row>
    <row r="573" spans="1:11" x14ac:dyDescent="0.35">
      <c r="A573" s="13">
        <v>44117</v>
      </c>
      <c r="B573" s="8">
        <v>21.2</v>
      </c>
      <c r="C573" s="8">
        <v>19.8</v>
      </c>
      <c r="D573" s="8">
        <v>25.4</v>
      </c>
      <c r="E573" s="8">
        <v>5.0999999999999996</v>
      </c>
      <c r="F573" s="8" t="s">
        <v>30</v>
      </c>
      <c r="G573" s="8" t="s">
        <v>30</v>
      </c>
      <c r="H573" s="8" t="s">
        <v>30</v>
      </c>
      <c r="I573" s="8" t="s">
        <v>30</v>
      </c>
      <c r="J573" s="8">
        <v>2020</v>
      </c>
      <c r="K573" s="8">
        <v>10</v>
      </c>
    </row>
    <row r="574" spans="1:11" x14ac:dyDescent="0.35">
      <c r="A574" s="13">
        <v>44118</v>
      </c>
      <c r="B574" s="8">
        <v>21.5</v>
      </c>
      <c r="C574" s="8">
        <v>19.8</v>
      </c>
      <c r="D574" s="8">
        <v>25.8</v>
      </c>
      <c r="E574" s="8">
        <v>0.5</v>
      </c>
      <c r="F574" s="8" t="s">
        <v>30</v>
      </c>
      <c r="G574" s="8" t="s">
        <v>30</v>
      </c>
      <c r="H574" s="8" t="s">
        <v>30</v>
      </c>
      <c r="I574" s="8" t="s">
        <v>30</v>
      </c>
      <c r="J574" s="8">
        <v>2020</v>
      </c>
      <c r="K574" s="8">
        <v>10</v>
      </c>
    </row>
    <row r="575" spans="1:11" x14ac:dyDescent="0.35">
      <c r="A575" s="13">
        <v>44119</v>
      </c>
      <c r="B575" s="8">
        <v>22.5</v>
      </c>
      <c r="C575" s="8">
        <v>19.2</v>
      </c>
      <c r="D575" s="8">
        <v>26.6</v>
      </c>
      <c r="E575" s="8">
        <v>0</v>
      </c>
      <c r="F575" s="8" t="s">
        <v>30</v>
      </c>
      <c r="G575" s="8" t="s">
        <v>30</v>
      </c>
      <c r="H575" s="8" t="s">
        <v>30</v>
      </c>
      <c r="I575" s="8" t="s">
        <v>30</v>
      </c>
      <c r="J575" s="8">
        <v>2020</v>
      </c>
      <c r="K575" s="8">
        <v>10</v>
      </c>
    </row>
    <row r="576" spans="1:11" x14ac:dyDescent="0.35">
      <c r="A576" s="13">
        <v>44120</v>
      </c>
      <c r="B576" s="8">
        <v>23.4</v>
      </c>
      <c r="C576" s="8">
        <v>17.600000000000001</v>
      </c>
      <c r="D576" s="8">
        <v>28.8</v>
      </c>
      <c r="E576" s="8">
        <v>0</v>
      </c>
      <c r="F576" s="8" t="s">
        <v>30</v>
      </c>
      <c r="G576" s="8" t="s">
        <v>30</v>
      </c>
      <c r="H576" s="8" t="s">
        <v>30</v>
      </c>
      <c r="I576" s="8" t="s">
        <v>30</v>
      </c>
      <c r="J576" s="8">
        <v>2020</v>
      </c>
      <c r="K576" s="8">
        <v>10</v>
      </c>
    </row>
    <row r="577" spans="1:11" x14ac:dyDescent="0.35">
      <c r="A577" s="13">
        <v>44122</v>
      </c>
      <c r="B577" s="8">
        <v>23.8</v>
      </c>
      <c r="C577" s="8">
        <v>20.8</v>
      </c>
      <c r="D577" s="8">
        <v>28</v>
      </c>
      <c r="E577" s="8">
        <v>0.3</v>
      </c>
      <c r="F577" s="8" t="s">
        <v>30</v>
      </c>
      <c r="G577" s="8" t="s">
        <v>30</v>
      </c>
      <c r="H577" s="8" t="s">
        <v>30</v>
      </c>
      <c r="I577" s="8" t="s">
        <v>30</v>
      </c>
      <c r="J577" s="8">
        <v>2020</v>
      </c>
      <c r="K577" s="8">
        <v>10</v>
      </c>
    </row>
    <row r="578" spans="1:11" x14ac:dyDescent="0.35">
      <c r="A578" s="13">
        <v>44123</v>
      </c>
      <c r="B578" s="8">
        <v>23.3</v>
      </c>
      <c r="C578" s="8">
        <v>21</v>
      </c>
      <c r="D578" s="8">
        <v>28</v>
      </c>
      <c r="E578" s="8">
        <v>1.8</v>
      </c>
      <c r="F578" s="8" t="s">
        <v>30</v>
      </c>
      <c r="G578" s="8" t="s">
        <v>30</v>
      </c>
      <c r="H578" s="8" t="s">
        <v>30</v>
      </c>
      <c r="I578" s="8" t="s">
        <v>30</v>
      </c>
      <c r="J578" s="8">
        <v>2020</v>
      </c>
      <c r="K578" s="8">
        <v>10</v>
      </c>
    </row>
    <row r="579" spans="1:11" x14ac:dyDescent="0.35">
      <c r="A579" s="13">
        <v>44124</v>
      </c>
      <c r="B579" s="8">
        <v>22.9</v>
      </c>
      <c r="C579" s="8">
        <v>20</v>
      </c>
      <c r="D579" s="8">
        <v>26.6</v>
      </c>
      <c r="E579" s="8">
        <v>3.8</v>
      </c>
      <c r="F579" s="8" t="s">
        <v>30</v>
      </c>
      <c r="G579" s="8" t="s">
        <v>30</v>
      </c>
      <c r="H579" s="8" t="s">
        <v>30</v>
      </c>
      <c r="I579" s="8" t="s">
        <v>30</v>
      </c>
      <c r="J579" s="8">
        <v>2020</v>
      </c>
      <c r="K579" s="8">
        <v>10</v>
      </c>
    </row>
    <row r="580" spans="1:11" x14ac:dyDescent="0.35">
      <c r="A580" s="13">
        <v>44126</v>
      </c>
      <c r="B580" s="8">
        <v>22.2</v>
      </c>
      <c r="C580" s="8">
        <v>19.3</v>
      </c>
      <c r="D580" s="8">
        <v>26.4</v>
      </c>
      <c r="E580" s="8">
        <v>5.3</v>
      </c>
      <c r="F580" s="8" t="s">
        <v>30</v>
      </c>
      <c r="G580" s="8" t="s">
        <v>30</v>
      </c>
      <c r="H580" s="8" t="s">
        <v>30</v>
      </c>
      <c r="I580" s="8" t="s">
        <v>30</v>
      </c>
      <c r="J580" s="8">
        <v>2020</v>
      </c>
      <c r="K580" s="8">
        <v>10</v>
      </c>
    </row>
    <row r="581" spans="1:11" x14ac:dyDescent="0.35">
      <c r="A581" s="13">
        <v>44129</v>
      </c>
      <c r="B581" s="8">
        <v>23.5</v>
      </c>
      <c r="C581" s="8">
        <v>20.2</v>
      </c>
      <c r="D581" s="8">
        <v>29.8</v>
      </c>
      <c r="E581" s="8">
        <v>0</v>
      </c>
      <c r="F581" s="8" t="s">
        <v>30</v>
      </c>
      <c r="G581" s="8" t="s">
        <v>30</v>
      </c>
      <c r="H581" s="8" t="s">
        <v>30</v>
      </c>
      <c r="I581" s="8" t="s">
        <v>30</v>
      </c>
      <c r="J581" s="8">
        <v>2020</v>
      </c>
      <c r="K581" s="8">
        <v>10</v>
      </c>
    </row>
    <row r="582" spans="1:11" x14ac:dyDescent="0.35">
      <c r="A582" s="13">
        <v>44130</v>
      </c>
      <c r="B582" s="8">
        <v>23.6</v>
      </c>
      <c r="C582" s="8">
        <v>19.399999999999999</v>
      </c>
      <c r="D582" s="8">
        <v>29.4</v>
      </c>
      <c r="E582" s="8">
        <v>7.9</v>
      </c>
      <c r="F582" s="8" t="s">
        <v>30</v>
      </c>
      <c r="G582" s="8" t="s">
        <v>30</v>
      </c>
      <c r="H582" s="8" t="s">
        <v>30</v>
      </c>
      <c r="I582" s="8" t="s">
        <v>30</v>
      </c>
      <c r="J582" s="8">
        <v>2020</v>
      </c>
      <c r="K582" s="8">
        <v>10</v>
      </c>
    </row>
    <row r="583" spans="1:11" x14ac:dyDescent="0.35">
      <c r="A583" s="13">
        <v>44131</v>
      </c>
      <c r="B583" s="8">
        <v>23.7</v>
      </c>
      <c r="C583" s="8">
        <v>19</v>
      </c>
      <c r="D583" s="8">
        <v>30</v>
      </c>
      <c r="E583" s="8">
        <v>0</v>
      </c>
      <c r="F583" s="8" t="s">
        <v>30</v>
      </c>
      <c r="G583" s="8" t="s">
        <v>30</v>
      </c>
      <c r="H583" s="8" t="s">
        <v>30</v>
      </c>
      <c r="I583" s="8" t="s">
        <v>30</v>
      </c>
      <c r="J583" s="8">
        <v>2020</v>
      </c>
      <c r="K583" s="8">
        <v>10</v>
      </c>
    </row>
    <row r="584" spans="1:11" x14ac:dyDescent="0.35">
      <c r="A584" s="13">
        <v>44134</v>
      </c>
      <c r="B584" s="8">
        <v>22.9</v>
      </c>
      <c r="C584" s="8">
        <v>17.8</v>
      </c>
      <c r="D584" s="8">
        <v>28.3</v>
      </c>
      <c r="E584" s="8">
        <v>0</v>
      </c>
      <c r="F584" s="8" t="s">
        <v>30</v>
      </c>
      <c r="G584" s="8" t="s">
        <v>30</v>
      </c>
      <c r="H584" s="8" t="s">
        <v>30</v>
      </c>
      <c r="I584" s="8" t="s">
        <v>30</v>
      </c>
      <c r="J584" s="8">
        <v>2020</v>
      </c>
      <c r="K584" s="8">
        <v>10</v>
      </c>
    </row>
    <row r="585" spans="1:11" x14ac:dyDescent="0.35">
      <c r="A585" s="13">
        <v>44136</v>
      </c>
      <c r="B585" s="8">
        <v>24.8</v>
      </c>
      <c r="C585" s="8">
        <v>19</v>
      </c>
      <c r="D585" s="8">
        <v>29.1</v>
      </c>
      <c r="E585" s="8">
        <v>0</v>
      </c>
      <c r="F585" s="8" t="s">
        <v>30</v>
      </c>
      <c r="G585" s="8" t="s">
        <v>30</v>
      </c>
      <c r="H585" s="8" t="s">
        <v>30</v>
      </c>
      <c r="I585" s="8" t="s">
        <v>30</v>
      </c>
      <c r="J585" s="8">
        <v>2020</v>
      </c>
      <c r="K585" s="8">
        <v>11</v>
      </c>
    </row>
    <row r="586" spans="1:11" x14ac:dyDescent="0.35">
      <c r="A586" s="13">
        <v>44137</v>
      </c>
      <c r="B586" s="8">
        <v>24.3</v>
      </c>
      <c r="C586" s="8">
        <v>20.399999999999999</v>
      </c>
      <c r="D586" s="8">
        <v>31.5</v>
      </c>
      <c r="E586" s="8">
        <v>0.3</v>
      </c>
      <c r="F586" s="8" t="s">
        <v>30</v>
      </c>
      <c r="G586" s="8" t="s">
        <v>30</v>
      </c>
      <c r="H586" s="8" t="s">
        <v>30</v>
      </c>
      <c r="I586" s="8" t="s">
        <v>30</v>
      </c>
      <c r="J586" s="8">
        <v>2020</v>
      </c>
      <c r="K586" s="8">
        <v>11</v>
      </c>
    </row>
    <row r="587" spans="1:11" x14ac:dyDescent="0.35">
      <c r="A587" s="13">
        <v>44138</v>
      </c>
      <c r="B587" s="8">
        <v>24.7</v>
      </c>
      <c r="C587" s="8">
        <v>19.8</v>
      </c>
      <c r="D587" s="8">
        <v>29</v>
      </c>
      <c r="E587" s="8">
        <v>0</v>
      </c>
      <c r="F587" s="8" t="s">
        <v>30</v>
      </c>
      <c r="G587" s="8" t="s">
        <v>30</v>
      </c>
      <c r="H587" s="8" t="s">
        <v>30</v>
      </c>
      <c r="I587" s="8" t="s">
        <v>30</v>
      </c>
      <c r="J587" s="8">
        <v>2020</v>
      </c>
      <c r="K587" s="8">
        <v>11</v>
      </c>
    </row>
    <row r="588" spans="1:11" x14ac:dyDescent="0.35">
      <c r="A588" s="13">
        <v>44142</v>
      </c>
      <c r="B588" s="8">
        <v>23.4</v>
      </c>
      <c r="C588" s="8">
        <v>20.2</v>
      </c>
      <c r="D588" s="8">
        <v>29.2</v>
      </c>
      <c r="E588" s="8">
        <v>0</v>
      </c>
      <c r="F588" s="8" t="s">
        <v>30</v>
      </c>
      <c r="G588" s="8" t="s">
        <v>30</v>
      </c>
      <c r="H588" s="8" t="s">
        <v>30</v>
      </c>
      <c r="I588" s="8" t="s">
        <v>30</v>
      </c>
      <c r="J588" s="8">
        <v>2020</v>
      </c>
      <c r="K588" s="8">
        <v>11</v>
      </c>
    </row>
    <row r="589" spans="1:11" x14ac:dyDescent="0.35">
      <c r="A589" s="13">
        <v>44143</v>
      </c>
      <c r="B589" s="8">
        <v>23.4</v>
      </c>
      <c r="C589" s="8">
        <v>20.8</v>
      </c>
      <c r="D589" s="8">
        <v>30.2</v>
      </c>
      <c r="E589" s="8">
        <v>3.3</v>
      </c>
      <c r="F589" s="8" t="s">
        <v>30</v>
      </c>
      <c r="G589" s="8" t="s">
        <v>30</v>
      </c>
      <c r="H589" s="8" t="s">
        <v>30</v>
      </c>
      <c r="I589" s="8" t="s">
        <v>30</v>
      </c>
      <c r="J589" s="8">
        <v>2020</v>
      </c>
      <c r="K589" s="8">
        <v>11</v>
      </c>
    </row>
    <row r="590" spans="1:11" x14ac:dyDescent="0.35">
      <c r="A590" s="13">
        <v>44144</v>
      </c>
      <c r="B590" s="8">
        <v>22.7</v>
      </c>
      <c r="C590" s="8">
        <v>19.5</v>
      </c>
      <c r="D590" s="8">
        <v>27.8</v>
      </c>
      <c r="E590" s="8">
        <v>0</v>
      </c>
      <c r="F590" s="8" t="s">
        <v>30</v>
      </c>
      <c r="G590" s="8" t="s">
        <v>30</v>
      </c>
      <c r="H590" s="8" t="s">
        <v>30</v>
      </c>
      <c r="I590" s="8" t="s">
        <v>30</v>
      </c>
      <c r="J590" s="8">
        <v>2020</v>
      </c>
      <c r="K590" s="8">
        <v>11</v>
      </c>
    </row>
    <row r="591" spans="1:11" x14ac:dyDescent="0.35">
      <c r="A591" s="13">
        <v>44148</v>
      </c>
      <c r="B591" s="8">
        <v>22.1</v>
      </c>
      <c r="C591" s="8">
        <v>20.399999999999999</v>
      </c>
      <c r="D591" s="8">
        <v>28</v>
      </c>
      <c r="E591" s="8">
        <v>0</v>
      </c>
      <c r="F591" s="8" t="s">
        <v>30</v>
      </c>
      <c r="G591" s="8" t="s">
        <v>30</v>
      </c>
      <c r="H591" s="8" t="s">
        <v>30</v>
      </c>
      <c r="I591" s="8" t="s">
        <v>30</v>
      </c>
      <c r="J591" s="8">
        <v>2020</v>
      </c>
      <c r="K591" s="8">
        <v>11</v>
      </c>
    </row>
    <row r="592" spans="1:11" x14ac:dyDescent="0.35">
      <c r="A592" s="13">
        <v>44149</v>
      </c>
      <c r="B592" s="8">
        <v>22.8</v>
      </c>
      <c r="C592" s="8">
        <v>20</v>
      </c>
      <c r="D592" s="8">
        <v>27.8</v>
      </c>
      <c r="E592" s="8">
        <v>8.9</v>
      </c>
      <c r="F592" s="8" t="s">
        <v>30</v>
      </c>
      <c r="G592" s="8" t="s">
        <v>30</v>
      </c>
      <c r="H592" s="8" t="s">
        <v>30</v>
      </c>
      <c r="I592" s="8" t="s">
        <v>30</v>
      </c>
      <c r="J592" s="8">
        <v>2020</v>
      </c>
      <c r="K592" s="8">
        <v>11</v>
      </c>
    </row>
    <row r="593" spans="1:11" x14ac:dyDescent="0.35">
      <c r="A593" s="13">
        <v>44150</v>
      </c>
      <c r="B593" s="8">
        <v>21.6</v>
      </c>
      <c r="C593" s="8">
        <v>19.100000000000001</v>
      </c>
      <c r="D593" s="8">
        <v>28.2</v>
      </c>
      <c r="E593" s="8">
        <v>0</v>
      </c>
      <c r="F593" s="8" t="s">
        <v>30</v>
      </c>
      <c r="G593" s="8" t="s">
        <v>30</v>
      </c>
      <c r="H593" s="8" t="s">
        <v>30</v>
      </c>
      <c r="I593" s="8" t="s">
        <v>30</v>
      </c>
      <c r="J593" s="8">
        <v>2020</v>
      </c>
      <c r="K593" s="8">
        <v>11</v>
      </c>
    </row>
    <row r="594" spans="1:11" x14ac:dyDescent="0.35">
      <c r="A594" s="13">
        <v>44151</v>
      </c>
      <c r="B594" s="8">
        <v>21.6</v>
      </c>
      <c r="C594" s="8">
        <v>19.2</v>
      </c>
      <c r="D594" s="8">
        <v>25.8</v>
      </c>
      <c r="E594" s="8">
        <v>9.9</v>
      </c>
      <c r="F594" s="8" t="s">
        <v>30</v>
      </c>
      <c r="G594" s="8" t="s">
        <v>30</v>
      </c>
      <c r="H594" s="8" t="s">
        <v>30</v>
      </c>
      <c r="I594" s="8" t="s">
        <v>30</v>
      </c>
      <c r="J594" s="8">
        <v>2020</v>
      </c>
      <c r="K594" s="8">
        <v>11</v>
      </c>
    </row>
    <row r="595" spans="1:11" x14ac:dyDescent="0.35">
      <c r="A595" s="13">
        <v>44153</v>
      </c>
      <c r="B595" s="8">
        <v>22.8</v>
      </c>
      <c r="C595" s="8">
        <v>19.2</v>
      </c>
      <c r="D595" s="8">
        <v>28.3</v>
      </c>
      <c r="E595" s="8">
        <v>0</v>
      </c>
      <c r="F595" s="8" t="s">
        <v>30</v>
      </c>
      <c r="G595" s="8" t="s">
        <v>30</v>
      </c>
      <c r="H595" s="8" t="s">
        <v>30</v>
      </c>
      <c r="I595" s="8" t="s">
        <v>30</v>
      </c>
      <c r="J595" s="8">
        <v>2020</v>
      </c>
      <c r="K595" s="8">
        <v>11</v>
      </c>
    </row>
    <row r="596" spans="1:11" x14ac:dyDescent="0.35">
      <c r="A596" s="13">
        <v>44154</v>
      </c>
      <c r="B596" s="8">
        <v>22.9</v>
      </c>
      <c r="C596" s="8">
        <v>20</v>
      </c>
      <c r="D596" s="8">
        <v>28.3</v>
      </c>
      <c r="E596" s="8">
        <v>0</v>
      </c>
      <c r="F596" s="8" t="s">
        <v>30</v>
      </c>
      <c r="G596" s="8" t="s">
        <v>30</v>
      </c>
      <c r="H596" s="8" t="s">
        <v>30</v>
      </c>
      <c r="I596" s="8" t="s">
        <v>30</v>
      </c>
      <c r="J596" s="8">
        <v>2020</v>
      </c>
      <c r="K596" s="8">
        <v>11</v>
      </c>
    </row>
    <row r="597" spans="1:11" x14ac:dyDescent="0.35">
      <c r="A597" s="13">
        <v>44161</v>
      </c>
      <c r="B597" s="8">
        <v>19.399999999999999</v>
      </c>
      <c r="C597" s="8">
        <v>17.8</v>
      </c>
      <c r="D597" s="8">
        <v>23.8</v>
      </c>
      <c r="E597" s="8">
        <v>2</v>
      </c>
      <c r="F597" s="8" t="s">
        <v>30</v>
      </c>
      <c r="G597" s="8" t="s">
        <v>30</v>
      </c>
      <c r="H597" s="8" t="s">
        <v>30</v>
      </c>
      <c r="I597" s="8" t="s">
        <v>30</v>
      </c>
      <c r="J597" s="8">
        <v>2020</v>
      </c>
      <c r="K597" s="8">
        <v>11</v>
      </c>
    </row>
    <row r="598" spans="1:11" x14ac:dyDescent="0.35">
      <c r="A598" s="13">
        <v>44163</v>
      </c>
      <c r="B598" s="8">
        <v>21.5</v>
      </c>
      <c r="C598" s="8">
        <v>17</v>
      </c>
      <c r="D598" s="8">
        <v>25.9</v>
      </c>
      <c r="E598" s="8">
        <v>0.3</v>
      </c>
      <c r="F598" s="8" t="s">
        <v>30</v>
      </c>
      <c r="G598" s="8" t="s">
        <v>30</v>
      </c>
      <c r="H598" s="8" t="s">
        <v>30</v>
      </c>
      <c r="I598" s="8" t="s">
        <v>30</v>
      </c>
      <c r="J598" s="8">
        <v>2020</v>
      </c>
      <c r="K598" s="8">
        <v>11</v>
      </c>
    </row>
    <row r="599" spans="1:11" x14ac:dyDescent="0.35">
      <c r="A599" s="13">
        <v>44164</v>
      </c>
      <c r="B599" s="8">
        <v>21.6</v>
      </c>
      <c r="C599" s="8">
        <v>19</v>
      </c>
      <c r="D599" s="8">
        <v>25.6</v>
      </c>
      <c r="E599" s="8">
        <v>0</v>
      </c>
      <c r="F599" s="8" t="s">
        <v>30</v>
      </c>
      <c r="G599" s="8" t="s">
        <v>30</v>
      </c>
      <c r="H599" s="8" t="s">
        <v>30</v>
      </c>
      <c r="I599" s="8" t="s">
        <v>30</v>
      </c>
      <c r="J599" s="8">
        <v>2020</v>
      </c>
      <c r="K599" s="8">
        <v>11</v>
      </c>
    </row>
    <row r="600" spans="1:11" x14ac:dyDescent="0.35">
      <c r="A600" s="13">
        <v>44165</v>
      </c>
      <c r="B600" s="8">
        <v>21.9</v>
      </c>
      <c r="C600" s="8">
        <v>18</v>
      </c>
      <c r="D600" s="8">
        <v>26.8</v>
      </c>
      <c r="E600" s="8">
        <v>0</v>
      </c>
      <c r="F600" s="8" t="s">
        <v>30</v>
      </c>
      <c r="G600" s="8" t="s">
        <v>30</v>
      </c>
      <c r="H600" s="8" t="s">
        <v>30</v>
      </c>
      <c r="I600" s="8" t="s">
        <v>30</v>
      </c>
      <c r="J600" s="8">
        <v>2020</v>
      </c>
      <c r="K600" s="8">
        <v>11</v>
      </c>
    </row>
    <row r="601" spans="1:11" x14ac:dyDescent="0.35">
      <c r="A601" s="13">
        <v>44168</v>
      </c>
      <c r="B601" s="8">
        <v>19.899999999999999</v>
      </c>
      <c r="C601" s="8">
        <v>18</v>
      </c>
      <c r="D601" s="8">
        <v>26.4</v>
      </c>
      <c r="E601" s="8">
        <v>2.2999999999999998</v>
      </c>
      <c r="F601" s="8" t="s">
        <v>30</v>
      </c>
      <c r="G601" s="8" t="s">
        <v>30</v>
      </c>
      <c r="H601" s="8" t="s">
        <v>30</v>
      </c>
      <c r="I601" s="8" t="s">
        <v>30</v>
      </c>
      <c r="J601" s="8">
        <v>2020</v>
      </c>
      <c r="K601" s="8">
        <v>12</v>
      </c>
    </row>
    <row r="602" spans="1:11" x14ac:dyDescent="0.35">
      <c r="A602" s="13">
        <v>44169</v>
      </c>
      <c r="B602" s="8">
        <v>20.8</v>
      </c>
      <c r="C602" s="8">
        <v>19.2</v>
      </c>
      <c r="D602" s="8">
        <v>22.8</v>
      </c>
      <c r="E602" s="8">
        <v>1.8</v>
      </c>
      <c r="F602" s="8" t="s">
        <v>30</v>
      </c>
      <c r="G602" s="8" t="s">
        <v>30</v>
      </c>
      <c r="H602" s="8" t="s">
        <v>30</v>
      </c>
      <c r="I602" s="8" t="s">
        <v>30</v>
      </c>
      <c r="J602" s="8">
        <v>2020</v>
      </c>
      <c r="K602" s="8">
        <v>12</v>
      </c>
    </row>
    <row r="603" spans="1:11" x14ac:dyDescent="0.35">
      <c r="A603" s="13">
        <v>44170</v>
      </c>
      <c r="B603" s="8">
        <v>21</v>
      </c>
      <c r="C603" s="8">
        <v>19.399999999999999</v>
      </c>
      <c r="D603" s="8">
        <v>23.2</v>
      </c>
      <c r="E603" s="8">
        <v>0.8</v>
      </c>
      <c r="F603" s="8" t="s">
        <v>30</v>
      </c>
      <c r="G603" s="8" t="s">
        <v>30</v>
      </c>
      <c r="H603" s="8" t="s">
        <v>30</v>
      </c>
      <c r="I603" s="8" t="s">
        <v>30</v>
      </c>
      <c r="J603" s="8">
        <v>2020</v>
      </c>
      <c r="K603" s="8">
        <v>12</v>
      </c>
    </row>
    <row r="604" spans="1:11" x14ac:dyDescent="0.35">
      <c r="A604" s="13">
        <v>44171</v>
      </c>
      <c r="B604" s="8">
        <v>20.9</v>
      </c>
      <c r="C604" s="8">
        <v>18.5</v>
      </c>
      <c r="D604" s="8">
        <v>24</v>
      </c>
      <c r="E604" s="8">
        <v>1.3</v>
      </c>
      <c r="F604" s="8" t="s">
        <v>30</v>
      </c>
      <c r="G604" s="8" t="s">
        <v>30</v>
      </c>
      <c r="H604" s="8" t="s">
        <v>30</v>
      </c>
      <c r="I604" s="8" t="s">
        <v>30</v>
      </c>
      <c r="J604" s="8">
        <v>2020</v>
      </c>
      <c r="K604" s="8">
        <v>12</v>
      </c>
    </row>
    <row r="605" spans="1:11" x14ac:dyDescent="0.35">
      <c r="A605" s="13">
        <v>44172</v>
      </c>
      <c r="B605" s="8">
        <v>21.7</v>
      </c>
      <c r="C605" s="8">
        <v>19.399999999999999</v>
      </c>
      <c r="D605" s="8">
        <v>24.8</v>
      </c>
      <c r="E605" s="8">
        <v>7.6</v>
      </c>
      <c r="F605" s="8" t="s">
        <v>30</v>
      </c>
      <c r="G605" s="8" t="s">
        <v>30</v>
      </c>
      <c r="H605" s="8" t="s">
        <v>30</v>
      </c>
      <c r="I605" s="8" t="s">
        <v>30</v>
      </c>
      <c r="J605" s="8">
        <v>2020</v>
      </c>
      <c r="K605" s="8">
        <v>12</v>
      </c>
    </row>
    <row r="606" spans="1:11" x14ac:dyDescent="0.35">
      <c r="A606" s="13">
        <v>44173</v>
      </c>
      <c r="B606" s="8">
        <v>21.3</v>
      </c>
      <c r="C606" s="8">
        <v>19.5</v>
      </c>
      <c r="D606" s="8">
        <v>26.2</v>
      </c>
      <c r="E606" s="8">
        <v>5.6</v>
      </c>
      <c r="F606" s="8" t="s">
        <v>30</v>
      </c>
      <c r="G606" s="8" t="s">
        <v>30</v>
      </c>
      <c r="H606" s="8" t="s">
        <v>30</v>
      </c>
      <c r="I606" s="8" t="s">
        <v>30</v>
      </c>
      <c r="J606" s="8">
        <v>2020</v>
      </c>
      <c r="K606" s="8">
        <v>12</v>
      </c>
    </row>
    <row r="607" spans="1:11" x14ac:dyDescent="0.35">
      <c r="A607" s="13">
        <v>44174</v>
      </c>
      <c r="B607" s="8">
        <v>21.7</v>
      </c>
      <c r="C607" s="8">
        <v>19.399999999999999</v>
      </c>
      <c r="D607" s="8">
        <v>25</v>
      </c>
      <c r="E607" s="8">
        <v>0.8</v>
      </c>
      <c r="F607" s="8" t="s">
        <v>30</v>
      </c>
      <c r="G607" s="8" t="s">
        <v>30</v>
      </c>
      <c r="H607" s="8" t="s">
        <v>30</v>
      </c>
      <c r="I607" s="8" t="s">
        <v>30</v>
      </c>
      <c r="J607" s="8">
        <v>2020</v>
      </c>
      <c r="K607" s="8">
        <v>12</v>
      </c>
    </row>
    <row r="608" spans="1:11" x14ac:dyDescent="0.35">
      <c r="A608" s="13">
        <v>44182</v>
      </c>
      <c r="B608" s="8">
        <v>21.7</v>
      </c>
      <c r="C608" s="8">
        <v>19.5</v>
      </c>
      <c r="D608" s="8">
        <v>26.8</v>
      </c>
      <c r="E608" s="8">
        <v>0.3</v>
      </c>
      <c r="F608" s="8" t="s">
        <v>30</v>
      </c>
      <c r="G608" s="8" t="s">
        <v>30</v>
      </c>
      <c r="H608" s="8" t="s">
        <v>30</v>
      </c>
      <c r="I608" s="8" t="s">
        <v>30</v>
      </c>
      <c r="J608" s="8">
        <v>2020</v>
      </c>
      <c r="K608" s="8">
        <v>12</v>
      </c>
    </row>
    <row r="609" spans="1:11" x14ac:dyDescent="0.35">
      <c r="A609" s="13">
        <v>44183</v>
      </c>
      <c r="B609" s="8">
        <v>22.1</v>
      </c>
      <c r="C609" s="8">
        <v>18.399999999999999</v>
      </c>
      <c r="D609" s="8">
        <v>26.6</v>
      </c>
      <c r="E609" s="8">
        <v>0</v>
      </c>
      <c r="F609" s="8" t="s">
        <v>30</v>
      </c>
      <c r="G609" s="8" t="s">
        <v>30</v>
      </c>
      <c r="H609" s="8" t="s">
        <v>30</v>
      </c>
      <c r="I609" s="8" t="s">
        <v>30</v>
      </c>
      <c r="J609" s="8">
        <v>2020</v>
      </c>
      <c r="K609" s="8">
        <v>12</v>
      </c>
    </row>
    <row r="610" spans="1:11" x14ac:dyDescent="0.35">
      <c r="A610" s="13">
        <v>44196</v>
      </c>
      <c r="B610" s="8">
        <v>21.1</v>
      </c>
      <c r="C610" s="8">
        <v>18.8</v>
      </c>
      <c r="D610" s="8">
        <v>29.6</v>
      </c>
      <c r="E610" s="8">
        <v>0</v>
      </c>
      <c r="F610" s="8" t="s">
        <v>30</v>
      </c>
      <c r="G610" s="8" t="s">
        <v>30</v>
      </c>
      <c r="H610" s="8" t="s">
        <v>30</v>
      </c>
      <c r="I610" s="8" t="s">
        <v>30</v>
      </c>
      <c r="J610" s="8">
        <v>2020</v>
      </c>
      <c r="K610" s="8">
        <v>12</v>
      </c>
    </row>
    <row r="611" spans="1:11" x14ac:dyDescent="0.35">
      <c r="A611" s="13">
        <v>44199</v>
      </c>
      <c r="B611" s="8">
        <v>21.9</v>
      </c>
      <c r="C611" s="8">
        <v>18.8</v>
      </c>
      <c r="D611" s="8">
        <v>26</v>
      </c>
      <c r="E611" s="8">
        <v>0</v>
      </c>
      <c r="F611" s="8" t="s">
        <v>30</v>
      </c>
      <c r="G611" s="8" t="s">
        <v>30</v>
      </c>
      <c r="H611" s="8" t="s">
        <v>30</v>
      </c>
      <c r="I611" s="8" t="s">
        <v>30</v>
      </c>
      <c r="J611" s="8">
        <v>2021</v>
      </c>
      <c r="K611" s="8">
        <v>1</v>
      </c>
    </row>
    <row r="612" spans="1:11" x14ac:dyDescent="0.35">
      <c r="A612" s="13">
        <v>44200</v>
      </c>
      <c r="B612" s="8">
        <v>20.8</v>
      </c>
      <c r="C612" s="8">
        <v>18.600000000000001</v>
      </c>
      <c r="D612" s="8">
        <v>27.6</v>
      </c>
      <c r="E612" s="8">
        <v>0</v>
      </c>
      <c r="F612" s="8" t="s">
        <v>30</v>
      </c>
      <c r="G612" s="8" t="s">
        <v>30</v>
      </c>
      <c r="H612" s="8" t="s">
        <v>30</v>
      </c>
      <c r="I612" s="8" t="s">
        <v>30</v>
      </c>
      <c r="J612" s="8">
        <v>2021</v>
      </c>
      <c r="K612" s="8">
        <v>1</v>
      </c>
    </row>
    <row r="613" spans="1:11" x14ac:dyDescent="0.35">
      <c r="A613" s="13">
        <v>44201</v>
      </c>
      <c r="B613" s="8">
        <v>21.9</v>
      </c>
      <c r="C613" s="8">
        <v>18.7</v>
      </c>
      <c r="D613" s="8">
        <v>26.2</v>
      </c>
      <c r="E613" s="8">
        <v>0</v>
      </c>
      <c r="F613" s="8" t="s">
        <v>30</v>
      </c>
      <c r="G613" s="8" t="s">
        <v>30</v>
      </c>
      <c r="H613" s="8" t="s">
        <v>30</v>
      </c>
      <c r="I613" s="8" t="s">
        <v>30</v>
      </c>
      <c r="J613" s="8">
        <v>2021</v>
      </c>
      <c r="K613" s="8">
        <v>1</v>
      </c>
    </row>
    <row r="614" spans="1:11" x14ac:dyDescent="0.35">
      <c r="A614" s="13">
        <v>44202</v>
      </c>
      <c r="B614" s="8">
        <v>21.2</v>
      </c>
      <c r="C614" s="8">
        <v>20</v>
      </c>
      <c r="D614" s="8">
        <v>27.3</v>
      </c>
      <c r="E614" s="8">
        <v>7.5</v>
      </c>
      <c r="F614" s="8" t="s">
        <v>30</v>
      </c>
      <c r="G614" s="8" t="s">
        <v>30</v>
      </c>
      <c r="H614" s="8" t="s">
        <v>30</v>
      </c>
      <c r="I614" s="8" t="s">
        <v>30</v>
      </c>
      <c r="J614" s="8">
        <v>2021</v>
      </c>
      <c r="K614" s="8">
        <v>1</v>
      </c>
    </row>
    <row r="615" spans="1:11" x14ac:dyDescent="0.35">
      <c r="A615" s="13">
        <v>44203</v>
      </c>
      <c r="B615" s="8">
        <v>21.6</v>
      </c>
      <c r="C615" s="8">
        <v>19.100000000000001</v>
      </c>
      <c r="D615" s="8">
        <v>25.4</v>
      </c>
      <c r="E615" s="8">
        <v>0.8</v>
      </c>
      <c r="F615" s="8" t="s">
        <v>30</v>
      </c>
      <c r="G615" s="8" t="s">
        <v>30</v>
      </c>
      <c r="H615" s="8" t="s">
        <v>30</v>
      </c>
      <c r="I615" s="8" t="s">
        <v>30</v>
      </c>
      <c r="J615" s="8">
        <v>2021</v>
      </c>
      <c r="K615" s="8">
        <v>1</v>
      </c>
    </row>
    <row r="616" spans="1:11" x14ac:dyDescent="0.35">
      <c r="A616" s="13">
        <v>44204</v>
      </c>
      <c r="B616" s="8">
        <v>22.3</v>
      </c>
      <c r="C616" s="8">
        <v>20</v>
      </c>
      <c r="D616" s="8">
        <v>27</v>
      </c>
      <c r="E616" s="8">
        <v>9</v>
      </c>
      <c r="F616" s="8" t="s">
        <v>30</v>
      </c>
      <c r="G616" s="8" t="s">
        <v>30</v>
      </c>
      <c r="H616" s="8" t="s">
        <v>30</v>
      </c>
      <c r="I616" s="8" t="s">
        <v>30</v>
      </c>
      <c r="J616" s="8">
        <v>2021</v>
      </c>
      <c r="K616" s="8">
        <v>1</v>
      </c>
    </row>
    <row r="617" spans="1:11" x14ac:dyDescent="0.35">
      <c r="A617" s="13">
        <v>44205</v>
      </c>
      <c r="B617" s="8">
        <v>21.4</v>
      </c>
      <c r="C617" s="8">
        <v>18.8</v>
      </c>
      <c r="D617" s="8">
        <v>27</v>
      </c>
      <c r="E617" s="8">
        <v>0</v>
      </c>
      <c r="F617" s="8" t="s">
        <v>30</v>
      </c>
      <c r="G617" s="8" t="s">
        <v>30</v>
      </c>
      <c r="H617" s="8" t="s">
        <v>30</v>
      </c>
      <c r="I617" s="8" t="s">
        <v>30</v>
      </c>
      <c r="J617" s="8">
        <v>2021</v>
      </c>
      <c r="K617" s="8">
        <v>1</v>
      </c>
    </row>
    <row r="618" spans="1:11" x14ac:dyDescent="0.35">
      <c r="A618" s="13">
        <v>44206</v>
      </c>
      <c r="B618" s="8">
        <v>22.2</v>
      </c>
      <c r="C618" s="8">
        <v>18.600000000000001</v>
      </c>
      <c r="D618" s="8">
        <v>26.2</v>
      </c>
      <c r="E618" s="8">
        <v>0</v>
      </c>
      <c r="F618" s="8" t="s">
        <v>30</v>
      </c>
      <c r="G618" s="8" t="s">
        <v>30</v>
      </c>
      <c r="H618" s="8" t="s">
        <v>30</v>
      </c>
      <c r="I618" s="8" t="s">
        <v>30</v>
      </c>
      <c r="J618" s="8">
        <v>2021</v>
      </c>
      <c r="K618" s="8">
        <v>1</v>
      </c>
    </row>
    <row r="619" spans="1:11" x14ac:dyDescent="0.35">
      <c r="A619" s="13">
        <v>44207</v>
      </c>
      <c r="B619" s="8">
        <v>21.6</v>
      </c>
      <c r="C619" s="8">
        <v>18.2</v>
      </c>
      <c r="D619" s="8">
        <v>26.9</v>
      </c>
      <c r="E619" s="8">
        <v>0</v>
      </c>
      <c r="F619" s="8" t="s">
        <v>30</v>
      </c>
      <c r="G619" s="8" t="s">
        <v>30</v>
      </c>
      <c r="H619" s="8" t="s">
        <v>30</v>
      </c>
      <c r="I619" s="8" t="s">
        <v>30</v>
      </c>
      <c r="J619" s="8">
        <v>2021</v>
      </c>
      <c r="K619" s="8">
        <v>1</v>
      </c>
    </row>
    <row r="620" spans="1:11" x14ac:dyDescent="0.35">
      <c r="A620" s="13">
        <v>44208</v>
      </c>
      <c r="B620" s="8">
        <v>20.399999999999999</v>
      </c>
      <c r="C620" s="8">
        <v>18.2</v>
      </c>
      <c r="D620" s="8">
        <v>25.4</v>
      </c>
      <c r="E620" s="8">
        <v>0</v>
      </c>
      <c r="F620" s="8" t="s">
        <v>30</v>
      </c>
      <c r="G620" s="8" t="s">
        <v>30</v>
      </c>
      <c r="H620" s="8" t="s">
        <v>30</v>
      </c>
      <c r="I620" s="8" t="s">
        <v>30</v>
      </c>
      <c r="J620" s="8">
        <v>2021</v>
      </c>
      <c r="K620" s="8">
        <v>1</v>
      </c>
    </row>
    <row r="621" spans="1:11" x14ac:dyDescent="0.35">
      <c r="A621" s="13">
        <v>44211</v>
      </c>
      <c r="B621" s="8">
        <v>21.8</v>
      </c>
      <c r="C621" s="8">
        <v>17.3</v>
      </c>
      <c r="D621" s="8">
        <v>26.3</v>
      </c>
      <c r="E621" s="8">
        <v>0</v>
      </c>
      <c r="F621" s="8" t="s">
        <v>30</v>
      </c>
      <c r="G621" s="8" t="s">
        <v>30</v>
      </c>
      <c r="H621" s="8" t="s">
        <v>30</v>
      </c>
      <c r="I621" s="8" t="s">
        <v>30</v>
      </c>
      <c r="J621" s="8">
        <v>2021</v>
      </c>
      <c r="K621" s="8">
        <v>1</v>
      </c>
    </row>
    <row r="622" spans="1:11" x14ac:dyDescent="0.35">
      <c r="A622" s="13">
        <v>44212</v>
      </c>
      <c r="B622" s="8">
        <v>22.2</v>
      </c>
      <c r="C622" s="8">
        <v>18.100000000000001</v>
      </c>
      <c r="D622" s="8">
        <v>27.4</v>
      </c>
      <c r="E622" s="8">
        <v>0</v>
      </c>
      <c r="F622" s="8" t="s">
        <v>30</v>
      </c>
      <c r="G622" s="8" t="s">
        <v>30</v>
      </c>
      <c r="H622" s="8" t="s">
        <v>30</v>
      </c>
      <c r="I622" s="8" t="s">
        <v>30</v>
      </c>
      <c r="J622" s="8">
        <v>2021</v>
      </c>
      <c r="K622" s="8">
        <v>1</v>
      </c>
    </row>
    <row r="623" spans="1:11" x14ac:dyDescent="0.35">
      <c r="A623" s="13">
        <v>44213</v>
      </c>
      <c r="B623" s="8">
        <v>22.2</v>
      </c>
      <c r="C623" s="8">
        <v>17</v>
      </c>
      <c r="D623" s="8">
        <v>29.2</v>
      </c>
      <c r="E623" s="8">
        <v>0</v>
      </c>
      <c r="F623" s="8" t="s">
        <v>30</v>
      </c>
      <c r="G623" s="8" t="s">
        <v>30</v>
      </c>
      <c r="H623" s="8" t="s">
        <v>30</v>
      </c>
      <c r="I623" s="8" t="s">
        <v>30</v>
      </c>
      <c r="J623" s="8">
        <v>2021</v>
      </c>
      <c r="K623" s="8">
        <v>1</v>
      </c>
    </row>
    <row r="624" spans="1:11" x14ac:dyDescent="0.35">
      <c r="A624" s="13">
        <v>44217</v>
      </c>
      <c r="B624" s="8">
        <v>23.8</v>
      </c>
      <c r="C624" s="8">
        <v>17</v>
      </c>
      <c r="D624" s="8">
        <v>31.1</v>
      </c>
      <c r="E624" s="8">
        <v>0</v>
      </c>
      <c r="F624" s="8" t="s">
        <v>30</v>
      </c>
      <c r="G624" s="8" t="s">
        <v>30</v>
      </c>
      <c r="H624" s="8" t="s">
        <v>30</v>
      </c>
      <c r="I624" s="8" t="s">
        <v>30</v>
      </c>
      <c r="J624" s="8">
        <v>2021</v>
      </c>
      <c r="K624" s="8">
        <v>1</v>
      </c>
    </row>
    <row r="625" spans="1:11" x14ac:dyDescent="0.35">
      <c r="A625" s="13">
        <v>44218</v>
      </c>
      <c r="B625" s="8">
        <v>23.8</v>
      </c>
      <c r="C625" s="8">
        <v>18.399999999999999</v>
      </c>
      <c r="D625" s="8">
        <v>31.1</v>
      </c>
      <c r="E625" s="8">
        <v>0.1</v>
      </c>
      <c r="F625" s="8" t="s">
        <v>30</v>
      </c>
      <c r="G625" s="8" t="s">
        <v>30</v>
      </c>
      <c r="H625" s="8" t="s">
        <v>30</v>
      </c>
      <c r="I625" s="8" t="s">
        <v>30</v>
      </c>
      <c r="J625" s="8">
        <v>2021</v>
      </c>
      <c r="K625" s="8">
        <v>1</v>
      </c>
    </row>
    <row r="626" spans="1:11" x14ac:dyDescent="0.35">
      <c r="A626" s="13">
        <v>44219</v>
      </c>
      <c r="B626" s="8">
        <v>22.5</v>
      </c>
      <c r="C626" s="8">
        <v>18</v>
      </c>
      <c r="D626" s="8">
        <v>30.3</v>
      </c>
      <c r="E626" s="8">
        <v>0</v>
      </c>
      <c r="F626" s="8" t="s">
        <v>30</v>
      </c>
      <c r="G626" s="8" t="s">
        <v>30</v>
      </c>
      <c r="H626" s="8" t="s">
        <v>30</v>
      </c>
      <c r="I626" s="8" t="s">
        <v>30</v>
      </c>
      <c r="J626" s="8">
        <v>2021</v>
      </c>
      <c r="K626" s="8">
        <v>1</v>
      </c>
    </row>
    <row r="627" spans="1:11" x14ac:dyDescent="0.35">
      <c r="A627" s="13">
        <v>44220</v>
      </c>
      <c r="B627" s="8">
        <v>21.9</v>
      </c>
      <c r="C627" s="8">
        <v>17</v>
      </c>
      <c r="D627" s="8">
        <v>29.2</v>
      </c>
      <c r="E627" s="8">
        <v>0</v>
      </c>
      <c r="F627" s="8" t="s">
        <v>30</v>
      </c>
      <c r="G627" s="8" t="s">
        <v>30</v>
      </c>
      <c r="H627" s="8" t="s">
        <v>30</v>
      </c>
      <c r="I627" s="8" t="s">
        <v>30</v>
      </c>
      <c r="J627" s="8">
        <v>2021</v>
      </c>
      <c r="K627" s="8">
        <v>1</v>
      </c>
    </row>
    <row r="628" spans="1:11" x14ac:dyDescent="0.35">
      <c r="A628" s="13">
        <v>44225</v>
      </c>
      <c r="B628" s="8">
        <v>22.4</v>
      </c>
      <c r="C628" s="8">
        <v>18</v>
      </c>
      <c r="D628" s="8">
        <v>28.4</v>
      </c>
      <c r="E628" s="8">
        <v>0</v>
      </c>
      <c r="F628" s="8" t="s">
        <v>30</v>
      </c>
      <c r="G628" s="8" t="s">
        <v>30</v>
      </c>
      <c r="H628" s="8" t="s">
        <v>30</v>
      </c>
      <c r="I628" s="8" t="s">
        <v>30</v>
      </c>
      <c r="J628" s="8">
        <v>2021</v>
      </c>
      <c r="K628" s="8">
        <v>1</v>
      </c>
    </row>
    <row r="629" spans="1:11" x14ac:dyDescent="0.35">
      <c r="A629" s="13">
        <v>44226</v>
      </c>
      <c r="B629" s="8">
        <v>22.8</v>
      </c>
      <c r="C629" s="8">
        <v>17.399999999999999</v>
      </c>
      <c r="D629" s="8">
        <v>29.3</v>
      </c>
      <c r="E629" s="8">
        <v>0</v>
      </c>
      <c r="F629" s="8" t="s">
        <v>30</v>
      </c>
      <c r="G629" s="8" t="s">
        <v>30</v>
      </c>
      <c r="H629" s="8" t="s">
        <v>30</v>
      </c>
      <c r="I629" s="8" t="s">
        <v>30</v>
      </c>
      <c r="J629" s="8">
        <v>2021</v>
      </c>
      <c r="K629" s="8">
        <v>1</v>
      </c>
    </row>
    <row r="630" spans="1:11" x14ac:dyDescent="0.35">
      <c r="A630" s="13">
        <v>44227</v>
      </c>
      <c r="B630" s="8">
        <v>22.7</v>
      </c>
      <c r="C630" s="8">
        <v>17.2</v>
      </c>
      <c r="D630" s="8">
        <v>29.8</v>
      </c>
      <c r="E630" s="8">
        <v>0</v>
      </c>
      <c r="F630" s="8" t="s">
        <v>30</v>
      </c>
      <c r="G630" s="8" t="s">
        <v>30</v>
      </c>
      <c r="H630" s="8" t="s">
        <v>30</v>
      </c>
      <c r="I630" s="8" t="s">
        <v>30</v>
      </c>
      <c r="J630" s="8">
        <v>2021</v>
      </c>
      <c r="K630" s="8">
        <v>1</v>
      </c>
    </row>
    <row r="631" spans="1:11" x14ac:dyDescent="0.35">
      <c r="A631" s="13">
        <v>44230</v>
      </c>
      <c r="B631" s="8">
        <v>21.8</v>
      </c>
      <c r="C631" s="8">
        <v>17.899999999999999</v>
      </c>
      <c r="D631" s="8">
        <v>28.6</v>
      </c>
      <c r="E631" s="8">
        <v>0</v>
      </c>
      <c r="F631" s="8" t="s">
        <v>30</v>
      </c>
      <c r="G631" s="8" t="s">
        <v>30</v>
      </c>
      <c r="H631" s="8" t="s">
        <v>30</v>
      </c>
      <c r="I631" s="8" t="s">
        <v>30</v>
      </c>
      <c r="J631" s="8">
        <v>2021</v>
      </c>
      <c r="K631" s="8">
        <v>2</v>
      </c>
    </row>
    <row r="632" spans="1:11" x14ac:dyDescent="0.35">
      <c r="A632" s="13">
        <v>44242</v>
      </c>
      <c r="B632" s="8">
        <v>24</v>
      </c>
      <c r="C632" s="8">
        <v>17.899999999999999</v>
      </c>
      <c r="D632" s="8">
        <v>31.5</v>
      </c>
      <c r="E632" s="8">
        <v>0</v>
      </c>
      <c r="F632" s="8" t="s">
        <v>30</v>
      </c>
      <c r="G632" s="8" t="s">
        <v>30</v>
      </c>
      <c r="H632" s="8" t="s">
        <v>30</v>
      </c>
      <c r="I632" s="8" t="s">
        <v>30</v>
      </c>
      <c r="J632" s="8">
        <v>2021</v>
      </c>
      <c r="K632" s="8">
        <v>2</v>
      </c>
    </row>
    <row r="633" spans="1:11" x14ac:dyDescent="0.35">
      <c r="A633" s="13">
        <v>44243</v>
      </c>
      <c r="B633" s="8">
        <v>23.9</v>
      </c>
      <c r="C633" s="8">
        <v>18.399999999999999</v>
      </c>
      <c r="D633" s="8">
        <v>32</v>
      </c>
      <c r="E633" s="8">
        <v>0</v>
      </c>
      <c r="F633" s="8" t="s">
        <v>30</v>
      </c>
      <c r="G633" s="8" t="s">
        <v>30</v>
      </c>
      <c r="H633" s="8" t="s">
        <v>30</v>
      </c>
      <c r="I633" s="8" t="s">
        <v>30</v>
      </c>
      <c r="J633" s="8">
        <v>2021</v>
      </c>
      <c r="K633" s="8">
        <v>2</v>
      </c>
    </row>
    <row r="634" spans="1:11" x14ac:dyDescent="0.35">
      <c r="A634" s="13">
        <v>44244</v>
      </c>
      <c r="B634" s="8">
        <v>23.8</v>
      </c>
      <c r="C634" s="8">
        <v>18.399999999999999</v>
      </c>
      <c r="D634" s="8">
        <v>31.4</v>
      </c>
      <c r="E634" s="8">
        <v>0</v>
      </c>
      <c r="F634" s="8" t="s">
        <v>30</v>
      </c>
      <c r="G634" s="8" t="s">
        <v>30</v>
      </c>
      <c r="H634" s="8" t="s">
        <v>30</v>
      </c>
      <c r="I634" s="8" t="s">
        <v>30</v>
      </c>
      <c r="J634" s="8">
        <v>2021</v>
      </c>
      <c r="K634" s="8">
        <v>2</v>
      </c>
    </row>
    <row r="635" spans="1:11" x14ac:dyDescent="0.35">
      <c r="A635" s="13">
        <v>44245</v>
      </c>
      <c r="B635" s="8">
        <v>22.8</v>
      </c>
      <c r="C635" s="8">
        <v>18</v>
      </c>
      <c r="D635" s="8">
        <v>31.2</v>
      </c>
      <c r="E635" s="8">
        <v>0.1</v>
      </c>
      <c r="F635" s="8" t="s">
        <v>30</v>
      </c>
      <c r="G635" s="8" t="s">
        <v>30</v>
      </c>
      <c r="H635" s="8" t="s">
        <v>30</v>
      </c>
      <c r="I635" s="8" t="s">
        <v>30</v>
      </c>
      <c r="J635" s="8">
        <v>2021</v>
      </c>
      <c r="K635" s="8">
        <v>2</v>
      </c>
    </row>
    <row r="636" spans="1:11" x14ac:dyDescent="0.35">
      <c r="A636" s="13">
        <v>44246</v>
      </c>
      <c r="B636" s="8">
        <v>22.8</v>
      </c>
      <c r="C636" s="8">
        <v>18.2</v>
      </c>
      <c r="D636" s="8">
        <v>29.3</v>
      </c>
      <c r="E636" s="8">
        <v>1.7</v>
      </c>
      <c r="F636" s="8" t="s">
        <v>30</v>
      </c>
      <c r="G636" s="8" t="s">
        <v>30</v>
      </c>
      <c r="H636" s="8" t="s">
        <v>30</v>
      </c>
      <c r="I636" s="8" t="s">
        <v>30</v>
      </c>
      <c r="J636" s="8">
        <v>2021</v>
      </c>
      <c r="K636" s="8">
        <v>2</v>
      </c>
    </row>
    <row r="637" spans="1:11" x14ac:dyDescent="0.35">
      <c r="A637" s="13">
        <v>44248</v>
      </c>
      <c r="B637" s="8">
        <v>20.6</v>
      </c>
      <c r="C637" s="8">
        <v>17.100000000000001</v>
      </c>
      <c r="D637" s="8">
        <v>24.2</v>
      </c>
      <c r="E637" s="8">
        <v>4.7</v>
      </c>
      <c r="F637" s="8" t="s">
        <v>30</v>
      </c>
      <c r="G637" s="8" t="s">
        <v>30</v>
      </c>
      <c r="H637" s="8" t="s">
        <v>30</v>
      </c>
      <c r="I637" s="8" t="s">
        <v>30</v>
      </c>
      <c r="J637" s="8">
        <v>2021</v>
      </c>
      <c r="K637" s="8">
        <v>2</v>
      </c>
    </row>
    <row r="638" spans="1:11" x14ac:dyDescent="0.35">
      <c r="A638" s="13">
        <v>44249</v>
      </c>
      <c r="B638" s="8">
        <v>22.8</v>
      </c>
      <c r="C638" s="8">
        <v>18.100000000000001</v>
      </c>
      <c r="D638" s="8">
        <v>28</v>
      </c>
      <c r="E638" s="8">
        <v>0.4</v>
      </c>
      <c r="F638" s="8" t="s">
        <v>30</v>
      </c>
      <c r="G638" s="8" t="s">
        <v>30</v>
      </c>
      <c r="H638" s="8" t="s">
        <v>30</v>
      </c>
      <c r="I638" s="8" t="s">
        <v>30</v>
      </c>
      <c r="J638" s="8">
        <v>2021</v>
      </c>
      <c r="K638" s="8">
        <v>2</v>
      </c>
    </row>
    <row r="639" spans="1:11" x14ac:dyDescent="0.35">
      <c r="A639" s="13">
        <v>44250</v>
      </c>
      <c r="B639" s="8">
        <v>24.5</v>
      </c>
      <c r="C639" s="8">
        <v>18.2</v>
      </c>
      <c r="D639" s="8">
        <v>30.4</v>
      </c>
      <c r="E639" s="8">
        <v>0</v>
      </c>
      <c r="F639" s="8" t="s">
        <v>30</v>
      </c>
      <c r="G639" s="8" t="s">
        <v>30</v>
      </c>
      <c r="H639" s="8" t="s">
        <v>30</v>
      </c>
      <c r="I639" s="8" t="s">
        <v>30</v>
      </c>
      <c r="J639" s="8">
        <v>2021</v>
      </c>
      <c r="K639" s="8">
        <v>2</v>
      </c>
    </row>
    <row r="640" spans="1:11" x14ac:dyDescent="0.35">
      <c r="A640" s="13">
        <v>44251</v>
      </c>
      <c r="B640" s="8">
        <v>24.4</v>
      </c>
      <c r="C640" s="8">
        <v>18</v>
      </c>
      <c r="D640" s="8">
        <v>31.1</v>
      </c>
      <c r="E640" s="8">
        <v>0</v>
      </c>
      <c r="F640" s="8" t="s">
        <v>30</v>
      </c>
      <c r="G640" s="8" t="s">
        <v>30</v>
      </c>
      <c r="H640" s="8" t="s">
        <v>30</v>
      </c>
      <c r="I640" s="8" t="s">
        <v>30</v>
      </c>
      <c r="J640" s="8">
        <v>2021</v>
      </c>
      <c r="K640" s="8">
        <v>2</v>
      </c>
    </row>
    <row r="641" spans="1:11" x14ac:dyDescent="0.35">
      <c r="A641" s="13">
        <v>44252</v>
      </c>
      <c r="B641" s="8">
        <v>25.3</v>
      </c>
      <c r="C641" s="8">
        <v>17.399999999999999</v>
      </c>
      <c r="D641" s="8">
        <v>32</v>
      </c>
      <c r="E641" s="8">
        <v>0</v>
      </c>
      <c r="F641" s="8" t="s">
        <v>30</v>
      </c>
      <c r="G641" s="8" t="s">
        <v>30</v>
      </c>
      <c r="H641" s="8" t="s">
        <v>30</v>
      </c>
      <c r="I641" s="8" t="s">
        <v>30</v>
      </c>
      <c r="J641" s="8">
        <v>2021</v>
      </c>
      <c r="K641" s="8">
        <v>2</v>
      </c>
    </row>
    <row r="642" spans="1:11" x14ac:dyDescent="0.35">
      <c r="A642" s="13">
        <v>44253</v>
      </c>
      <c r="B642" s="8">
        <v>25.8</v>
      </c>
      <c r="C642" s="8">
        <v>18.399999999999999</v>
      </c>
      <c r="D642" s="8">
        <v>33</v>
      </c>
      <c r="E642" s="8">
        <v>0</v>
      </c>
      <c r="F642" s="8" t="s">
        <v>30</v>
      </c>
      <c r="G642" s="8" t="s">
        <v>30</v>
      </c>
      <c r="H642" s="8" t="s">
        <v>30</v>
      </c>
      <c r="I642" s="8" t="s">
        <v>30</v>
      </c>
      <c r="J642" s="8">
        <v>2021</v>
      </c>
      <c r="K642" s="8">
        <v>2</v>
      </c>
    </row>
    <row r="643" spans="1:11" x14ac:dyDescent="0.35">
      <c r="A643" s="13">
        <v>44254</v>
      </c>
      <c r="B643" s="8">
        <v>26.2</v>
      </c>
      <c r="C643" s="8">
        <v>19</v>
      </c>
      <c r="D643" s="8">
        <v>34.1</v>
      </c>
      <c r="E643" s="8">
        <v>0</v>
      </c>
      <c r="F643" s="8" t="s">
        <v>30</v>
      </c>
      <c r="G643" s="8" t="s">
        <v>30</v>
      </c>
      <c r="H643" s="8" t="s">
        <v>30</v>
      </c>
      <c r="I643" s="8" t="s">
        <v>30</v>
      </c>
      <c r="J643" s="8">
        <v>2021</v>
      </c>
      <c r="K643" s="8">
        <v>2</v>
      </c>
    </row>
    <row r="644" spans="1:11" x14ac:dyDescent="0.35">
      <c r="A644" s="13">
        <v>44255</v>
      </c>
      <c r="B644" s="8">
        <v>26</v>
      </c>
      <c r="C644" s="8">
        <v>20</v>
      </c>
      <c r="D644" s="8">
        <v>33.799999999999997</v>
      </c>
      <c r="E644" s="8">
        <v>0</v>
      </c>
      <c r="F644" s="8" t="s">
        <v>30</v>
      </c>
      <c r="G644" s="8" t="s">
        <v>30</v>
      </c>
      <c r="H644" s="8" t="s">
        <v>30</v>
      </c>
      <c r="I644" s="8" t="s">
        <v>30</v>
      </c>
      <c r="J644" s="8">
        <v>2021</v>
      </c>
      <c r="K644" s="8">
        <v>2</v>
      </c>
    </row>
    <row r="645" spans="1:11" x14ac:dyDescent="0.35">
      <c r="A645" s="13">
        <v>44256</v>
      </c>
      <c r="B645" s="8">
        <v>25.4</v>
      </c>
      <c r="C645" s="8">
        <v>17.399999999999999</v>
      </c>
      <c r="D645" s="8">
        <v>33.799999999999997</v>
      </c>
      <c r="E645" s="8">
        <v>0</v>
      </c>
      <c r="F645" s="8" t="s">
        <v>30</v>
      </c>
      <c r="G645" s="8" t="s">
        <v>30</v>
      </c>
      <c r="H645" s="8" t="s">
        <v>30</v>
      </c>
      <c r="I645" s="8" t="s">
        <v>30</v>
      </c>
      <c r="J645" s="8">
        <v>2021</v>
      </c>
      <c r="K645" s="8">
        <v>3</v>
      </c>
    </row>
    <row r="646" spans="1:11" x14ac:dyDescent="0.35">
      <c r="A646" s="13">
        <v>44257</v>
      </c>
      <c r="B646" s="8">
        <v>25.3</v>
      </c>
      <c r="C646" s="8">
        <v>18.399999999999999</v>
      </c>
      <c r="D646" s="8">
        <v>33.6</v>
      </c>
      <c r="E646" s="8">
        <v>0</v>
      </c>
      <c r="F646" s="8" t="s">
        <v>30</v>
      </c>
      <c r="G646" s="8" t="s">
        <v>30</v>
      </c>
      <c r="H646" s="8" t="s">
        <v>30</v>
      </c>
      <c r="I646" s="8" t="s">
        <v>30</v>
      </c>
      <c r="J646" s="8">
        <v>2021</v>
      </c>
      <c r="K646" s="8">
        <v>3</v>
      </c>
    </row>
    <row r="647" spans="1:11" x14ac:dyDescent="0.35">
      <c r="A647" s="13">
        <v>44258</v>
      </c>
      <c r="B647" s="8">
        <v>25</v>
      </c>
      <c r="C647" s="8">
        <v>18.2</v>
      </c>
      <c r="D647" s="8">
        <v>32.5</v>
      </c>
      <c r="E647" s="8">
        <v>0</v>
      </c>
      <c r="F647" s="8" t="s">
        <v>30</v>
      </c>
      <c r="G647" s="8" t="s">
        <v>30</v>
      </c>
      <c r="H647" s="8" t="s">
        <v>30</v>
      </c>
      <c r="I647" s="8" t="s">
        <v>30</v>
      </c>
      <c r="J647" s="8">
        <v>2021</v>
      </c>
      <c r="K647" s="8">
        <v>3</v>
      </c>
    </row>
    <row r="648" spans="1:11" x14ac:dyDescent="0.35">
      <c r="A648" s="13">
        <v>44261</v>
      </c>
      <c r="B648" s="8">
        <v>26.7</v>
      </c>
      <c r="C648" s="8">
        <v>18.399999999999999</v>
      </c>
      <c r="D648" s="8">
        <v>34.4</v>
      </c>
      <c r="E648" s="8">
        <v>0</v>
      </c>
      <c r="F648" s="8" t="s">
        <v>30</v>
      </c>
      <c r="G648" s="8" t="s">
        <v>30</v>
      </c>
      <c r="H648" s="8" t="s">
        <v>30</v>
      </c>
      <c r="I648" s="8" t="s">
        <v>30</v>
      </c>
      <c r="J648" s="8">
        <v>2021</v>
      </c>
      <c r="K648" s="8">
        <v>3</v>
      </c>
    </row>
    <row r="649" spans="1:11" x14ac:dyDescent="0.35">
      <c r="A649" s="13">
        <v>44262</v>
      </c>
      <c r="B649" s="8">
        <v>26.5</v>
      </c>
      <c r="C649" s="8">
        <v>17.5</v>
      </c>
      <c r="D649" s="8">
        <v>35.9</v>
      </c>
      <c r="E649" s="8">
        <v>0</v>
      </c>
      <c r="F649" s="8" t="s">
        <v>30</v>
      </c>
      <c r="G649" s="8" t="s">
        <v>30</v>
      </c>
      <c r="H649" s="8" t="s">
        <v>30</v>
      </c>
      <c r="I649" s="8" t="s">
        <v>30</v>
      </c>
      <c r="J649" s="8">
        <v>2021</v>
      </c>
      <c r="K649" s="8">
        <v>3</v>
      </c>
    </row>
    <row r="650" spans="1:11" x14ac:dyDescent="0.35">
      <c r="A650" s="13">
        <v>44263</v>
      </c>
      <c r="B650" s="8">
        <v>26</v>
      </c>
      <c r="C650" s="8">
        <v>19</v>
      </c>
      <c r="D650" s="8">
        <v>33.799999999999997</v>
      </c>
      <c r="E650" s="8">
        <v>0</v>
      </c>
      <c r="F650" s="8" t="s">
        <v>30</v>
      </c>
      <c r="G650" s="8" t="s">
        <v>30</v>
      </c>
      <c r="H650" s="8" t="s">
        <v>30</v>
      </c>
      <c r="I650" s="8" t="s">
        <v>30</v>
      </c>
      <c r="J650" s="8">
        <v>2021</v>
      </c>
      <c r="K650" s="8">
        <v>3</v>
      </c>
    </row>
    <row r="651" spans="1:11" x14ac:dyDescent="0.35">
      <c r="A651" s="13">
        <v>44264</v>
      </c>
      <c r="B651" s="8">
        <v>25.6</v>
      </c>
      <c r="C651" s="8">
        <v>18.7</v>
      </c>
      <c r="D651" s="8">
        <v>33.5</v>
      </c>
      <c r="E651" s="8">
        <v>0</v>
      </c>
      <c r="F651" s="8" t="s">
        <v>30</v>
      </c>
      <c r="G651" s="8" t="s">
        <v>30</v>
      </c>
      <c r="H651" s="8" t="s">
        <v>30</v>
      </c>
      <c r="I651" s="8" t="s">
        <v>30</v>
      </c>
      <c r="J651" s="8">
        <v>2021</v>
      </c>
      <c r="K651" s="8">
        <v>3</v>
      </c>
    </row>
    <row r="652" spans="1:11" x14ac:dyDescent="0.35">
      <c r="A652" s="13">
        <v>44265</v>
      </c>
      <c r="B652" s="8">
        <v>27</v>
      </c>
      <c r="C652" s="8">
        <v>19.5</v>
      </c>
      <c r="D652" s="8">
        <v>33.6</v>
      </c>
      <c r="E652" s="8">
        <v>0</v>
      </c>
      <c r="F652" s="8" t="s">
        <v>30</v>
      </c>
      <c r="G652" s="8" t="s">
        <v>30</v>
      </c>
      <c r="H652" s="8" t="s">
        <v>30</v>
      </c>
      <c r="I652" s="8" t="s">
        <v>30</v>
      </c>
      <c r="J652" s="8">
        <v>2021</v>
      </c>
      <c r="K652" s="8">
        <v>3</v>
      </c>
    </row>
    <row r="653" spans="1:11" x14ac:dyDescent="0.35">
      <c r="A653" s="13">
        <v>44266</v>
      </c>
      <c r="B653" s="8">
        <v>25</v>
      </c>
      <c r="C653" s="8">
        <v>18.8</v>
      </c>
      <c r="D653" s="8">
        <v>32</v>
      </c>
      <c r="E653" s="8">
        <v>0</v>
      </c>
      <c r="F653" s="8" t="s">
        <v>30</v>
      </c>
      <c r="G653" s="8" t="s">
        <v>30</v>
      </c>
      <c r="H653" s="8" t="s">
        <v>30</v>
      </c>
      <c r="I653" s="8" t="s">
        <v>30</v>
      </c>
      <c r="J653" s="8">
        <v>2021</v>
      </c>
      <c r="K653" s="8">
        <v>3</v>
      </c>
    </row>
    <row r="654" spans="1:11" x14ac:dyDescent="0.35">
      <c r="A654" s="13">
        <v>44267</v>
      </c>
      <c r="B654" s="8">
        <v>24.6</v>
      </c>
      <c r="C654" s="8">
        <v>17.3</v>
      </c>
      <c r="D654" s="8">
        <v>32.200000000000003</v>
      </c>
      <c r="E654" s="8">
        <v>0</v>
      </c>
      <c r="F654" s="8" t="s">
        <v>30</v>
      </c>
      <c r="G654" s="8" t="s">
        <v>30</v>
      </c>
      <c r="H654" s="8" t="s">
        <v>30</v>
      </c>
      <c r="I654" s="8" t="s">
        <v>30</v>
      </c>
      <c r="J654" s="8">
        <v>2021</v>
      </c>
      <c r="K654" s="8">
        <v>3</v>
      </c>
    </row>
    <row r="655" spans="1:11" x14ac:dyDescent="0.35">
      <c r="A655" s="13">
        <v>44271</v>
      </c>
      <c r="B655" s="8">
        <v>25.9</v>
      </c>
      <c r="C655" s="8">
        <v>17.899999999999999</v>
      </c>
      <c r="D655" s="8">
        <v>32.799999999999997</v>
      </c>
      <c r="E655" s="8">
        <v>0</v>
      </c>
      <c r="F655" s="8" t="s">
        <v>30</v>
      </c>
      <c r="G655" s="8" t="s">
        <v>30</v>
      </c>
      <c r="H655" s="8" t="s">
        <v>30</v>
      </c>
      <c r="I655" s="8" t="s">
        <v>30</v>
      </c>
      <c r="J655" s="8">
        <v>2021</v>
      </c>
      <c r="K655" s="8">
        <v>3</v>
      </c>
    </row>
    <row r="656" spans="1:11" x14ac:dyDescent="0.35">
      <c r="A656" s="13">
        <v>44273</v>
      </c>
      <c r="B656" s="8">
        <v>25.5</v>
      </c>
      <c r="C656" s="8">
        <v>17</v>
      </c>
      <c r="D656" s="8">
        <v>32.799999999999997</v>
      </c>
      <c r="E656" s="8">
        <v>0</v>
      </c>
      <c r="F656" s="8" t="s">
        <v>30</v>
      </c>
      <c r="G656" s="8" t="s">
        <v>30</v>
      </c>
      <c r="H656" s="8" t="s">
        <v>30</v>
      </c>
      <c r="I656" s="8" t="s">
        <v>30</v>
      </c>
      <c r="J656" s="8">
        <v>2021</v>
      </c>
      <c r="K656" s="8">
        <v>3</v>
      </c>
    </row>
    <row r="657" spans="1:11" x14ac:dyDescent="0.35">
      <c r="A657" s="13">
        <v>44274</v>
      </c>
      <c r="B657" s="8">
        <v>25.3</v>
      </c>
      <c r="C657" s="8">
        <v>17.8</v>
      </c>
      <c r="D657" s="8">
        <v>32.799999999999997</v>
      </c>
      <c r="E657" s="8">
        <v>0</v>
      </c>
      <c r="F657" s="8" t="s">
        <v>30</v>
      </c>
      <c r="G657" s="8" t="s">
        <v>30</v>
      </c>
      <c r="H657" s="8" t="s">
        <v>30</v>
      </c>
      <c r="I657" s="8" t="s">
        <v>30</v>
      </c>
      <c r="J657" s="8">
        <v>2021</v>
      </c>
      <c r="K657" s="8">
        <v>3</v>
      </c>
    </row>
    <row r="658" spans="1:11" x14ac:dyDescent="0.35">
      <c r="A658" s="13">
        <v>44275</v>
      </c>
      <c r="B658" s="8">
        <v>25.3</v>
      </c>
      <c r="C658" s="8">
        <v>16.899999999999999</v>
      </c>
      <c r="D658" s="8">
        <v>32.200000000000003</v>
      </c>
      <c r="E658" s="8">
        <v>0</v>
      </c>
      <c r="F658" s="8" t="s">
        <v>30</v>
      </c>
      <c r="G658" s="8" t="s">
        <v>30</v>
      </c>
      <c r="H658" s="8" t="s">
        <v>30</v>
      </c>
      <c r="I658" s="8" t="s">
        <v>30</v>
      </c>
      <c r="J658" s="8">
        <v>2021</v>
      </c>
      <c r="K658" s="8">
        <v>3</v>
      </c>
    </row>
    <row r="659" spans="1:11" x14ac:dyDescent="0.35">
      <c r="A659" s="13">
        <v>44276</v>
      </c>
      <c r="B659" s="8">
        <v>25.9</v>
      </c>
      <c r="C659" s="8">
        <v>18.399999999999999</v>
      </c>
      <c r="D659" s="8">
        <v>33</v>
      </c>
      <c r="E659" s="8">
        <v>0</v>
      </c>
      <c r="F659" s="8" t="s">
        <v>30</v>
      </c>
      <c r="G659" s="8" t="s">
        <v>30</v>
      </c>
      <c r="H659" s="8" t="s">
        <v>30</v>
      </c>
      <c r="I659" s="8" t="s">
        <v>30</v>
      </c>
      <c r="J659" s="8">
        <v>2021</v>
      </c>
      <c r="K659" s="8">
        <v>3</v>
      </c>
    </row>
    <row r="660" spans="1:11" x14ac:dyDescent="0.35">
      <c r="A660" s="13">
        <v>44277</v>
      </c>
      <c r="B660" s="8">
        <v>26.2</v>
      </c>
      <c r="C660" s="8">
        <v>17.5</v>
      </c>
      <c r="D660" s="8">
        <v>33.799999999999997</v>
      </c>
      <c r="E660" s="8">
        <v>0</v>
      </c>
      <c r="F660" s="8" t="s">
        <v>30</v>
      </c>
      <c r="G660" s="8" t="s">
        <v>30</v>
      </c>
      <c r="H660" s="8" t="s">
        <v>30</v>
      </c>
      <c r="I660" s="8" t="s">
        <v>30</v>
      </c>
      <c r="J660" s="8">
        <v>2021</v>
      </c>
      <c r="K660" s="8">
        <v>3</v>
      </c>
    </row>
    <row r="661" spans="1:11" x14ac:dyDescent="0.35">
      <c r="A661" s="13">
        <v>44278</v>
      </c>
      <c r="B661" s="8">
        <v>26.6</v>
      </c>
      <c r="C661" s="8">
        <v>18.2</v>
      </c>
      <c r="D661" s="8">
        <v>34.200000000000003</v>
      </c>
      <c r="E661" s="8">
        <v>0</v>
      </c>
      <c r="F661" s="8" t="s">
        <v>30</v>
      </c>
      <c r="G661" s="8" t="s">
        <v>30</v>
      </c>
      <c r="H661" s="8" t="s">
        <v>30</v>
      </c>
      <c r="I661" s="8" t="s">
        <v>30</v>
      </c>
      <c r="J661" s="8">
        <v>2021</v>
      </c>
      <c r="K661" s="8">
        <v>3</v>
      </c>
    </row>
    <row r="662" spans="1:11" x14ac:dyDescent="0.35">
      <c r="A662" s="13">
        <v>44279</v>
      </c>
      <c r="B662" s="8">
        <v>26.7</v>
      </c>
      <c r="C662" s="8">
        <v>18.3</v>
      </c>
      <c r="D662" s="8">
        <v>33.799999999999997</v>
      </c>
      <c r="E662" s="8">
        <v>0</v>
      </c>
      <c r="F662" s="8" t="s">
        <v>30</v>
      </c>
      <c r="G662" s="8" t="s">
        <v>30</v>
      </c>
      <c r="H662" s="8" t="s">
        <v>30</v>
      </c>
      <c r="I662" s="8" t="s">
        <v>30</v>
      </c>
      <c r="J662" s="8">
        <v>2021</v>
      </c>
      <c r="K662" s="8">
        <v>3</v>
      </c>
    </row>
    <row r="663" spans="1:11" x14ac:dyDescent="0.35">
      <c r="A663" s="13">
        <v>44280</v>
      </c>
      <c r="B663" s="8">
        <v>27.2</v>
      </c>
      <c r="C663" s="8">
        <v>18.7</v>
      </c>
      <c r="D663" s="8">
        <v>33.6</v>
      </c>
      <c r="E663" s="8">
        <v>0</v>
      </c>
      <c r="F663" s="8" t="s">
        <v>30</v>
      </c>
      <c r="G663" s="8" t="s">
        <v>30</v>
      </c>
      <c r="H663" s="8" t="s">
        <v>30</v>
      </c>
      <c r="I663" s="8" t="s">
        <v>30</v>
      </c>
      <c r="J663" s="8">
        <v>2021</v>
      </c>
      <c r="K663" s="8">
        <v>3</v>
      </c>
    </row>
    <row r="664" spans="1:11" x14ac:dyDescent="0.35">
      <c r="A664" s="13">
        <v>44281</v>
      </c>
      <c r="B664" s="8">
        <v>27.2</v>
      </c>
      <c r="C664" s="8">
        <v>19.3</v>
      </c>
      <c r="D664" s="8">
        <v>35</v>
      </c>
      <c r="E664" s="8">
        <v>0</v>
      </c>
      <c r="F664" s="8" t="s">
        <v>30</v>
      </c>
      <c r="G664" s="8" t="s">
        <v>30</v>
      </c>
      <c r="H664" s="8" t="s">
        <v>30</v>
      </c>
      <c r="I664" s="8" t="s">
        <v>30</v>
      </c>
      <c r="J664" s="8">
        <v>2021</v>
      </c>
      <c r="K664" s="8">
        <v>3</v>
      </c>
    </row>
    <row r="665" spans="1:11" x14ac:dyDescent="0.35">
      <c r="A665" s="13">
        <v>44282</v>
      </c>
      <c r="B665" s="8">
        <v>27.2</v>
      </c>
      <c r="C665" s="8">
        <v>19.100000000000001</v>
      </c>
      <c r="D665" s="8">
        <v>34.4</v>
      </c>
      <c r="E665" s="8">
        <v>0</v>
      </c>
      <c r="F665" s="8" t="s">
        <v>30</v>
      </c>
      <c r="G665" s="8" t="s">
        <v>30</v>
      </c>
      <c r="H665" s="8" t="s">
        <v>30</v>
      </c>
      <c r="I665" s="8" t="s">
        <v>30</v>
      </c>
      <c r="J665" s="8">
        <v>2021</v>
      </c>
      <c r="K665" s="8">
        <v>3</v>
      </c>
    </row>
    <row r="666" spans="1:11" x14ac:dyDescent="0.35">
      <c r="A666" s="13">
        <v>44283</v>
      </c>
      <c r="B666" s="8">
        <v>27.2</v>
      </c>
      <c r="C666" s="8">
        <v>19.8</v>
      </c>
      <c r="D666" s="8">
        <v>34.1</v>
      </c>
      <c r="E666" s="8">
        <v>0</v>
      </c>
      <c r="F666" s="8" t="s">
        <v>30</v>
      </c>
      <c r="G666" s="8" t="s">
        <v>30</v>
      </c>
      <c r="H666" s="8" t="s">
        <v>30</v>
      </c>
      <c r="I666" s="8" t="s">
        <v>30</v>
      </c>
      <c r="J666" s="8">
        <v>2021</v>
      </c>
      <c r="K666" s="8">
        <v>3</v>
      </c>
    </row>
    <row r="667" spans="1:11" x14ac:dyDescent="0.35">
      <c r="A667" s="13">
        <v>44284</v>
      </c>
      <c r="B667" s="8">
        <v>27.5</v>
      </c>
      <c r="C667" s="8">
        <v>20</v>
      </c>
      <c r="D667" s="8">
        <v>34.5</v>
      </c>
      <c r="E667" s="8">
        <v>0</v>
      </c>
      <c r="F667" s="8" t="s">
        <v>30</v>
      </c>
      <c r="G667" s="8" t="s">
        <v>30</v>
      </c>
      <c r="H667" s="8" t="s">
        <v>30</v>
      </c>
      <c r="I667" s="8" t="s">
        <v>30</v>
      </c>
      <c r="J667" s="8">
        <v>2021</v>
      </c>
      <c r="K667" s="8">
        <v>3</v>
      </c>
    </row>
    <row r="668" spans="1:11" x14ac:dyDescent="0.35">
      <c r="A668" s="13">
        <v>44285</v>
      </c>
      <c r="B668" s="8">
        <v>27.7</v>
      </c>
      <c r="C668" s="8">
        <v>21.4</v>
      </c>
      <c r="D668" s="8">
        <v>34.1</v>
      </c>
      <c r="E668" s="8">
        <v>0</v>
      </c>
      <c r="F668" s="8" t="s">
        <v>30</v>
      </c>
      <c r="G668" s="8" t="s">
        <v>30</v>
      </c>
      <c r="H668" s="8" t="s">
        <v>30</v>
      </c>
      <c r="I668" s="8" t="s">
        <v>30</v>
      </c>
      <c r="J668" s="8">
        <v>2021</v>
      </c>
      <c r="K668" s="8">
        <v>3</v>
      </c>
    </row>
    <row r="669" spans="1:11" x14ac:dyDescent="0.35">
      <c r="A669" s="13">
        <v>44287</v>
      </c>
      <c r="B669" s="8">
        <v>28.1</v>
      </c>
      <c r="C669" s="8">
        <v>21</v>
      </c>
      <c r="D669" s="8">
        <v>35.6</v>
      </c>
      <c r="E669" s="8">
        <v>0</v>
      </c>
      <c r="F669" s="8" t="s">
        <v>30</v>
      </c>
      <c r="G669" s="8" t="s">
        <v>30</v>
      </c>
      <c r="H669" s="8" t="s">
        <v>30</v>
      </c>
      <c r="I669" s="8" t="s">
        <v>30</v>
      </c>
      <c r="J669" s="8">
        <v>2021</v>
      </c>
      <c r="K669" s="8">
        <v>4</v>
      </c>
    </row>
    <row r="670" spans="1:11" x14ac:dyDescent="0.35">
      <c r="A670" s="13">
        <v>44288</v>
      </c>
      <c r="B670" s="8">
        <v>27.7</v>
      </c>
      <c r="C670" s="8">
        <v>19.3</v>
      </c>
      <c r="D670" s="8">
        <v>35.6</v>
      </c>
      <c r="E670" s="8">
        <v>0</v>
      </c>
      <c r="F670" s="8" t="s">
        <v>30</v>
      </c>
      <c r="G670" s="8" t="s">
        <v>30</v>
      </c>
      <c r="H670" s="8" t="s">
        <v>30</v>
      </c>
      <c r="I670" s="8" t="s">
        <v>30</v>
      </c>
      <c r="J670" s="8">
        <v>2021</v>
      </c>
      <c r="K670" s="8">
        <v>4</v>
      </c>
    </row>
    <row r="671" spans="1:11" x14ac:dyDescent="0.35">
      <c r="A671" s="13">
        <v>44289</v>
      </c>
      <c r="B671" s="8">
        <v>27.7</v>
      </c>
      <c r="C671" s="8">
        <v>20.6</v>
      </c>
      <c r="D671" s="8">
        <v>34.4</v>
      </c>
      <c r="E671" s="8">
        <v>0</v>
      </c>
      <c r="F671" s="8" t="s">
        <v>30</v>
      </c>
      <c r="G671" s="8" t="s">
        <v>30</v>
      </c>
      <c r="H671" s="8" t="s">
        <v>30</v>
      </c>
      <c r="I671" s="8" t="s">
        <v>30</v>
      </c>
      <c r="J671" s="8">
        <v>2021</v>
      </c>
      <c r="K671" s="8">
        <v>4</v>
      </c>
    </row>
    <row r="672" spans="1:11" x14ac:dyDescent="0.35">
      <c r="A672" s="13">
        <v>44291</v>
      </c>
      <c r="B672" s="8">
        <v>27.7</v>
      </c>
      <c r="C672" s="8">
        <v>21.4</v>
      </c>
      <c r="D672" s="8">
        <v>33.299999999999997</v>
      </c>
      <c r="E672" s="8">
        <v>0</v>
      </c>
      <c r="F672" s="8" t="s">
        <v>30</v>
      </c>
      <c r="G672" s="8" t="s">
        <v>30</v>
      </c>
      <c r="H672" s="8" t="s">
        <v>30</v>
      </c>
      <c r="I672" s="8" t="s">
        <v>30</v>
      </c>
      <c r="J672" s="8">
        <v>2021</v>
      </c>
      <c r="K672" s="8">
        <v>4</v>
      </c>
    </row>
    <row r="673" spans="1:11" x14ac:dyDescent="0.35">
      <c r="A673" s="13">
        <v>44292</v>
      </c>
      <c r="B673" s="8">
        <v>27.3</v>
      </c>
      <c r="C673" s="8">
        <v>20.2</v>
      </c>
      <c r="D673" s="8">
        <v>34.4</v>
      </c>
      <c r="E673" s="8">
        <v>0</v>
      </c>
      <c r="F673" s="8" t="s">
        <v>30</v>
      </c>
      <c r="G673" s="8" t="s">
        <v>30</v>
      </c>
      <c r="H673" s="8" t="s">
        <v>30</v>
      </c>
      <c r="I673" s="8" t="s">
        <v>30</v>
      </c>
      <c r="J673" s="8">
        <v>2021</v>
      </c>
      <c r="K673" s="8">
        <v>4</v>
      </c>
    </row>
    <row r="674" spans="1:11" x14ac:dyDescent="0.35">
      <c r="A674" s="13">
        <v>44293</v>
      </c>
      <c r="B674" s="8">
        <v>27.6</v>
      </c>
      <c r="C674" s="8">
        <v>19.399999999999999</v>
      </c>
      <c r="D674" s="8">
        <v>35</v>
      </c>
      <c r="E674" s="8">
        <v>0</v>
      </c>
      <c r="F674" s="8" t="s">
        <v>30</v>
      </c>
      <c r="G674" s="8" t="s">
        <v>30</v>
      </c>
      <c r="H674" s="8" t="s">
        <v>30</v>
      </c>
      <c r="I674" s="8" t="s">
        <v>30</v>
      </c>
      <c r="J674" s="8">
        <v>2021</v>
      </c>
      <c r="K674" s="8">
        <v>4</v>
      </c>
    </row>
    <row r="675" spans="1:11" x14ac:dyDescent="0.35">
      <c r="A675" s="13">
        <v>44294</v>
      </c>
      <c r="B675" s="8">
        <v>27.3</v>
      </c>
      <c r="C675" s="8">
        <v>20.100000000000001</v>
      </c>
      <c r="D675" s="8">
        <v>34.200000000000003</v>
      </c>
      <c r="E675" s="8">
        <v>0</v>
      </c>
      <c r="F675" s="8" t="s">
        <v>30</v>
      </c>
      <c r="G675" s="8" t="s">
        <v>30</v>
      </c>
      <c r="H675" s="8" t="s">
        <v>30</v>
      </c>
      <c r="I675" s="8" t="s">
        <v>30</v>
      </c>
      <c r="J675" s="8">
        <v>2021</v>
      </c>
      <c r="K675" s="8">
        <v>4</v>
      </c>
    </row>
    <row r="676" spans="1:11" x14ac:dyDescent="0.35">
      <c r="A676" s="13">
        <v>44295</v>
      </c>
      <c r="B676" s="8">
        <v>27.1</v>
      </c>
      <c r="C676" s="8">
        <v>19.5</v>
      </c>
      <c r="D676" s="8">
        <v>34</v>
      </c>
      <c r="E676" s="8">
        <v>0</v>
      </c>
      <c r="F676" s="8" t="s">
        <v>30</v>
      </c>
      <c r="G676" s="8" t="s">
        <v>30</v>
      </c>
      <c r="H676" s="8" t="s">
        <v>30</v>
      </c>
      <c r="I676" s="8" t="s">
        <v>30</v>
      </c>
      <c r="J676" s="8">
        <v>2021</v>
      </c>
      <c r="K676" s="8">
        <v>4</v>
      </c>
    </row>
    <row r="677" spans="1:11" x14ac:dyDescent="0.35">
      <c r="A677" s="13">
        <v>44296</v>
      </c>
      <c r="B677" s="8">
        <v>26.5</v>
      </c>
      <c r="C677" s="8">
        <v>19.3</v>
      </c>
      <c r="D677" s="8">
        <v>33.299999999999997</v>
      </c>
      <c r="E677" s="8">
        <v>0</v>
      </c>
      <c r="F677" s="8" t="s">
        <v>30</v>
      </c>
      <c r="G677" s="8" t="s">
        <v>30</v>
      </c>
      <c r="H677" s="8" t="s">
        <v>30</v>
      </c>
      <c r="I677" s="8" t="s">
        <v>30</v>
      </c>
      <c r="J677" s="8">
        <v>2021</v>
      </c>
      <c r="K677" s="8">
        <v>4</v>
      </c>
    </row>
    <row r="678" spans="1:11" x14ac:dyDescent="0.35">
      <c r="A678" s="13">
        <v>44297</v>
      </c>
      <c r="B678" s="8">
        <v>26.5</v>
      </c>
      <c r="C678" s="8">
        <v>19.399999999999999</v>
      </c>
      <c r="D678" s="8">
        <v>33.200000000000003</v>
      </c>
      <c r="E678" s="8">
        <v>0</v>
      </c>
      <c r="F678" s="8" t="s">
        <v>30</v>
      </c>
      <c r="G678" s="8" t="s">
        <v>30</v>
      </c>
      <c r="H678" s="8" t="s">
        <v>30</v>
      </c>
      <c r="I678" s="8" t="s">
        <v>30</v>
      </c>
      <c r="J678" s="8">
        <v>2021</v>
      </c>
      <c r="K678" s="8">
        <v>4</v>
      </c>
    </row>
    <row r="679" spans="1:11" x14ac:dyDescent="0.35">
      <c r="A679" s="13">
        <v>44298</v>
      </c>
      <c r="B679" s="8">
        <v>26.6</v>
      </c>
      <c r="C679" s="8">
        <v>20.7</v>
      </c>
      <c r="D679" s="8">
        <v>33.5</v>
      </c>
      <c r="E679" s="8">
        <v>0</v>
      </c>
      <c r="F679" s="8" t="s">
        <v>30</v>
      </c>
      <c r="G679" s="8" t="s">
        <v>30</v>
      </c>
      <c r="H679" s="8" t="s">
        <v>30</v>
      </c>
      <c r="I679" s="8" t="s">
        <v>30</v>
      </c>
      <c r="J679" s="8">
        <v>2021</v>
      </c>
      <c r="K679" s="8">
        <v>4</v>
      </c>
    </row>
    <row r="680" spans="1:11" x14ac:dyDescent="0.35">
      <c r="A680" s="13">
        <v>44299</v>
      </c>
      <c r="B680" s="8">
        <v>26.6</v>
      </c>
      <c r="C680" s="8">
        <v>20.8</v>
      </c>
      <c r="D680" s="8">
        <v>32.9</v>
      </c>
      <c r="E680" s="8">
        <v>0</v>
      </c>
      <c r="F680" s="8" t="s">
        <v>30</v>
      </c>
      <c r="G680" s="8" t="s">
        <v>30</v>
      </c>
      <c r="H680" s="8" t="s">
        <v>30</v>
      </c>
      <c r="I680" s="8" t="s">
        <v>30</v>
      </c>
      <c r="J680" s="8">
        <v>2021</v>
      </c>
      <c r="K680" s="8">
        <v>4</v>
      </c>
    </row>
    <row r="681" spans="1:11" x14ac:dyDescent="0.35">
      <c r="A681" s="13">
        <v>44300</v>
      </c>
      <c r="B681" s="8">
        <v>25.1</v>
      </c>
      <c r="C681" s="8">
        <v>21.8</v>
      </c>
      <c r="D681" s="8">
        <v>31.8</v>
      </c>
      <c r="E681" s="8">
        <v>8.1</v>
      </c>
      <c r="F681" s="8" t="s">
        <v>30</v>
      </c>
      <c r="G681" s="8" t="s">
        <v>30</v>
      </c>
      <c r="H681" s="8" t="s">
        <v>30</v>
      </c>
      <c r="I681" s="8" t="s">
        <v>30</v>
      </c>
      <c r="J681" s="8">
        <v>2021</v>
      </c>
      <c r="K681" s="8">
        <v>4</v>
      </c>
    </row>
    <row r="682" spans="1:11" x14ac:dyDescent="0.35">
      <c r="A682" s="13">
        <v>44301</v>
      </c>
      <c r="B682" s="8">
        <v>25.3</v>
      </c>
      <c r="C682" s="8">
        <v>19.8</v>
      </c>
      <c r="D682" s="8">
        <v>33.200000000000003</v>
      </c>
      <c r="E682" s="8">
        <v>1.8</v>
      </c>
      <c r="F682" s="8" t="s">
        <v>30</v>
      </c>
      <c r="G682" s="8" t="s">
        <v>30</v>
      </c>
      <c r="H682" s="8" t="s">
        <v>30</v>
      </c>
      <c r="I682" s="8" t="s">
        <v>30</v>
      </c>
      <c r="J682" s="8">
        <v>2021</v>
      </c>
      <c r="K682" s="8">
        <v>4</v>
      </c>
    </row>
    <row r="683" spans="1:11" x14ac:dyDescent="0.35">
      <c r="A683" s="13">
        <v>44302</v>
      </c>
      <c r="B683" s="8">
        <v>27.2</v>
      </c>
      <c r="C683" s="8">
        <v>20.8</v>
      </c>
      <c r="D683" s="8">
        <v>32.6</v>
      </c>
      <c r="E683" s="8">
        <v>0.3</v>
      </c>
      <c r="F683" s="8" t="s">
        <v>30</v>
      </c>
      <c r="G683" s="8" t="s">
        <v>30</v>
      </c>
      <c r="H683" s="8" t="s">
        <v>30</v>
      </c>
      <c r="I683" s="8" t="s">
        <v>30</v>
      </c>
      <c r="J683" s="8">
        <v>2021</v>
      </c>
      <c r="K683" s="8">
        <v>4</v>
      </c>
    </row>
    <row r="684" spans="1:11" x14ac:dyDescent="0.35">
      <c r="A684" s="13">
        <v>44303</v>
      </c>
      <c r="B684" s="8">
        <v>27.7</v>
      </c>
      <c r="C684" s="8">
        <v>22.4</v>
      </c>
      <c r="D684" s="8">
        <v>33.4</v>
      </c>
      <c r="E684" s="8">
        <v>0</v>
      </c>
      <c r="F684" s="8" t="s">
        <v>30</v>
      </c>
      <c r="G684" s="8" t="s">
        <v>30</v>
      </c>
      <c r="H684" s="8" t="s">
        <v>30</v>
      </c>
      <c r="I684" s="8" t="s">
        <v>30</v>
      </c>
      <c r="J684" s="8">
        <v>2021</v>
      </c>
      <c r="K684" s="8">
        <v>4</v>
      </c>
    </row>
    <row r="685" spans="1:11" x14ac:dyDescent="0.35">
      <c r="A685" s="13">
        <v>44304</v>
      </c>
      <c r="B685" s="8">
        <v>26.8</v>
      </c>
      <c r="C685" s="8">
        <v>20.9</v>
      </c>
      <c r="D685" s="8">
        <v>33</v>
      </c>
      <c r="E685" s="8">
        <v>0.1</v>
      </c>
      <c r="F685" s="8" t="s">
        <v>30</v>
      </c>
      <c r="G685" s="8" t="s">
        <v>30</v>
      </c>
      <c r="H685" s="8" t="s">
        <v>30</v>
      </c>
      <c r="I685" s="8" t="s">
        <v>30</v>
      </c>
      <c r="J685" s="8">
        <v>2021</v>
      </c>
      <c r="K685" s="8">
        <v>4</v>
      </c>
    </row>
    <row r="686" spans="1:11" x14ac:dyDescent="0.35">
      <c r="A686" s="13">
        <v>44305</v>
      </c>
      <c r="B686" s="8">
        <v>27.1</v>
      </c>
      <c r="C686" s="8">
        <v>20.6</v>
      </c>
      <c r="D686" s="8">
        <v>34</v>
      </c>
      <c r="E686" s="8">
        <v>0.1</v>
      </c>
      <c r="F686" s="8" t="s">
        <v>30</v>
      </c>
      <c r="G686" s="8" t="s">
        <v>30</v>
      </c>
      <c r="H686" s="8" t="s">
        <v>30</v>
      </c>
      <c r="I686" s="8" t="s">
        <v>30</v>
      </c>
      <c r="J686" s="8">
        <v>2021</v>
      </c>
      <c r="K686" s="8">
        <v>4</v>
      </c>
    </row>
    <row r="687" spans="1:11" x14ac:dyDescent="0.35">
      <c r="A687" s="13">
        <v>44306</v>
      </c>
      <c r="B687" s="8">
        <v>26</v>
      </c>
      <c r="C687" s="8">
        <v>21.8</v>
      </c>
      <c r="D687" s="8">
        <v>34</v>
      </c>
      <c r="E687" s="8">
        <v>2.1</v>
      </c>
      <c r="F687" s="8" t="s">
        <v>30</v>
      </c>
      <c r="G687" s="8" t="s">
        <v>30</v>
      </c>
      <c r="H687" s="8" t="s">
        <v>30</v>
      </c>
      <c r="I687" s="8" t="s">
        <v>30</v>
      </c>
      <c r="J687" s="8">
        <v>2021</v>
      </c>
      <c r="K687" s="8">
        <v>4</v>
      </c>
    </row>
    <row r="688" spans="1:11" x14ac:dyDescent="0.35">
      <c r="A688" s="13">
        <v>44307</v>
      </c>
      <c r="B688" s="8">
        <v>26.6</v>
      </c>
      <c r="C688" s="8">
        <v>20.8</v>
      </c>
      <c r="D688" s="8">
        <v>34.4</v>
      </c>
      <c r="E688" s="8">
        <v>0</v>
      </c>
      <c r="F688" s="8" t="s">
        <v>30</v>
      </c>
      <c r="G688" s="8" t="s">
        <v>30</v>
      </c>
      <c r="H688" s="8" t="s">
        <v>30</v>
      </c>
      <c r="I688" s="8" t="s">
        <v>30</v>
      </c>
      <c r="J688" s="8">
        <v>2021</v>
      </c>
      <c r="K688" s="8">
        <v>4</v>
      </c>
    </row>
    <row r="689" spans="1:11" x14ac:dyDescent="0.35">
      <c r="A689" s="13">
        <v>44311</v>
      </c>
      <c r="B689" s="8">
        <v>26.5</v>
      </c>
      <c r="C689" s="8">
        <v>21.8</v>
      </c>
      <c r="D689" s="8">
        <v>31.9</v>
      </c>
      <c r="E689" s="8">
        <v>0</v>
      </c>
      <c r="F689" s="8" t="s">
        <v>30</v>
      </c>
      <c r="G689" s="8" t="s">
        <v>30</v>
      </c>
      <c r="H689" s="8" t="s">
        <v>30</v>
      </c>
      <c r="I689" s="8" t="s">
        <v>30</v>
      </c>
      <c r="J689" s="8">
        <v>2021</v>
      </c>
      <c r="K689" s="8">
        <v>4</v>
      </c>
    </row>
    <row r="690" spans="1:11" x14ac:dyDescent="0.35">
      <c r="A690" s="13">
        <v>44312</v>
      </c>
      <c r="B690" s="8">
        <v>26.5</v>
      </c>
      <c r="C690" s="8">
        <v>21.2</v>
      </c>
      <c r="D690" s="8">
        <v>33</v>
      </c>
      <c r="E690" s="8">
        <v>0</v>
      </c>
      <c r="F690" s="8" t="s">
        <v>30</v>
      </c>
      <c r="G690" s="8" t="s">
        <v>30</v>
      </c>
      <c r="H690" s="8" t="s">
        <v>30</v>
      </c>
      <c r="I690" s="8" t="s">
        <v>30</v>
      </c>
      <c r="J690" s="8">
        <v>2021</v>
      </c>
      <c r="K690" s="8">
        <v>4</v>
      </c>
    </row>
    <row r="691" spans="1:11" x14ac:dyDescent="0.35">
      <c r="A691" s="13">
        <v>44313</v>
      </c>
      <c r="B691" s="8">
        <v>26.6</v>
      </c>
      <c r="C691" s="8">
        <v>20.9</v>
      </c>
      <c r="D691" s="8">
        <v>32.5</v>
      </c>
      <c r="E691" s="8">
        <v>0</v>
      </c>
      <c r="F691" s="8" t="s">
        <v>30</v>
      </c>
      <c r="G691" s="8" t="s">
        <v>30</v>
      </c>
      <c r="H691" s="8" t="s">
        <v>30</v>
      </c>
      <c r="I691" s="8" t="s">
        <v>30</v>
      </c>
      <c r="J691" s="8">
        <v>2021</v>
      </c>
      <c r="K691" s="8">
        <v>4</v>
      </c>
    </row>
    <row r="692" spans="1:11" x14ac:dyDescent="0.35">
      <c r="A692" s="13">
        <v>44314</v>
      </c>
      <c r="B692" s="8">
        <v>27</v>
      </c>
      <c r="C692" s="8">
        <v>20.9</v>
      </c>
      <c r="D692" s="8">
        <v>33.4</v>
      </c>
      <c r="E692" s="8">
        <v>0.1</v>
      </c>
      <c r="F692" s="8" t="s">
        <v>30</v>
      </c>
      <c r="G692" s="8" t="s">
        <v>30</v>
      </c>
      <c r="H692" s="8" t="s">
        <v>30</v>
      </c>
      <c r="I692" s="8" t="s">
        <v>30</v>
      </c>
      <c r="J692" s="8">
        <v>2021</v>
      </c>
      <c r="K692" s="8">
        <v>4</v>
      </c>
    </row>
    <row r="693" spans="1:11" x14ac:dyDescent="0.35">
      <c r="A693" s="13">
        <v>44315</v>
      </c>
      <c r="B693" s="8">
        <v>26.5</v>
      </c>
      <c r="C693" s="8">
        <v>22.2</v>
      </c>
      <c r="D693" s="8">
        <v>31.8</v>
      </c>
      <c r="E693" s="8">
        <v>0.7</v>
      </c>
      <c r="F693" s="8" t="s">
        <v>30</v>
      </c>
      <c r="G693" s="8" t="s">
        <v>30</v>
      </c>
      <c r="H693" s="8" t="s">
        <v>30</v>
      </c>
      <c r="I693" s="8" t="s">
        <v>30</v>
      </c>
      <c r="J693" s="8">
        <v>2021</v>
      </c>
      <c r="K693" s="8">
        <v>4</v>
      </c>
    </row>
    <row r="694" spans="1:11" x14ac:dyDescent="0.35">
      <c r="A694" s="13">
        <v>44316</v>
      </c>
      <c r="B694" s="8">
        <v>26.4</v>
      </c>
      <c r="C694" s="8">
        <v>20.7</v>
      </c>
      <c r="D694" s="8">
        <v>33.1</v>
      </c>
      <c r="E694" s="8">
        <v>0</v>
      </c>
      <c r="F694" s="8" t="s">
        <v>30</v>
      </c>
      <c r="G694" s="8" t="s">
        <v>30</v>
      </c>
      <c r="H694" s="8" t="s">
        <v>30</v>
      </c>
      <c r="I694" s="8" t="s">
        <v>30</v>
      </c>
      <c r="J694" s="8">
        <v>2021</v>
      </c>
      <c r="K694" s="8">
        <v>4</v>
      </c>
    </row>
    <row r="695" spans="1:11" x14ac:dyDescent="0.35">
      <c r="A695" s="13">
        <v>44317</v>
      </c>
      <c r="B695" s="8">
        <v>27.1</v>
      </c>
      <c r="C695" s="8">
        <v>22.5</v>
      </c>
      <c r="D695" s="8">
        <v>33.4</v>
      </c>
      <c r="E695" s="8">
        <v>0</v>
      </c>
      <c r="F695" s="8" t="s">
        <v>30</v>
      </c>
      <c r="G695" s="8" t="s">
        <v>30</v>
      </c>
      <c r="H695" s="8" t="s">
        <v>30</v>
      </c>
      <c r="I695" s="8" t="s">
        <v>30</v>
      </c>
      <c r="J695" s="8">
        <v>2021</v>
      </c>
      <c r="K695" s="8">
        <v>5</v>
      </c>
    </row>
    <row r="696" spans="1:11" x14ac:dyDescent="0.35">
      <c r="A696" s="13">
        <v>44318</v>
      </c>
      <c r="B696" s="8">
        <v>26.7</v>
      </c>
      <c r="C696" s="8">
        <v>21.5</v>
      </c>
      <c r="D696" s="8">
        <v>32.4</v>
      </c>
      <c r="E696" s="8">
        <v>0</v>
      </c>
      <c r="F696" s="8" t="s">
        <v>30</v>
      </c>
      <c r="G696" s="8" t="s">
        <v>30</v>
      </c>
      <c r="H696" s="8" t="s">
        <v>30</v>
      </c>
      <c r="I696" s="8" t="s">
        <v>30</v>
      </c>
      <c r="J696" s="8">
        <v>2021</v>
      </c>
      <c r="K696" s="8">
        <v>5</v>
      </c>
    </row>
    <row r="697" spans="1:11" x14ac:dyDescent="0.35">
      <c r="A697" s="13">
        <v>44319</v>
      </c>
      <c r="B697" s="8">
        <v>26.4</v>
      </c>
      <c r="C697" s="8">
        <v>21.9</v>
      </c>
      <c r="D697" s="8">
        <v>32</v>
      </c>
      <c r="E697" s="8">
        <v>0.3</v>
      </c>
      <c r="F697" s="8" t="s">
        <v>30</v>
      </c>
      <c r="G697" s="8" t="s">
        <v>30</v>
      </c>
      <c r="H697" s="8" t="s">
        <v>30</v>
      </c>
      <c r="I697" s="8" t="s">
        <v>30</v>
      </c>
      <c r="J697" s="8">
        <v>2021</v>
      </c>
      <c r="K697" s="8">
        <v>5</v>
      </c>
    </row>
    <row r="698" spans="1:11" x14ac:dyDescent="0.35">
      <c r="A698" s="13">
        <v>44320</v>
      </c>
      <c r="B698" s="8">
        <v>25.1</v>
      </c>
      <c r="C698" s="8">
        <v>21.1</v>
      </c>
      <c r="D698" s="8">
        <v>30.4</v>
      </c>
      <c r="E698" s="8">
        <v>8.9</v>
      </c>
      <c r="F698" s="8" t="s">
        <v>30</v>
      </c>
      <c r="G698" s="8" t="s">
        <v>30</v>
      </c>
      <c r="H698" s="8" t="s">
        <v>30</v>
      </c>
      <c r="I698" s="8" t="s">
        <v>30</v>
      </c>
      <c r="J698" s="8">
        <v>2021</v>
      </c>
      <c r="K698" s="8">
        <v>5</v>
      </c>
    </row>
    <row r="699" spans="1:11" x14ac:dyDescent="0.35">
      <c r="A699" s="13">
        <v>44321</v>
      </c>
      <c r="B699" s="8">
        <v>26.9</v>
      </c>
      <c r="C699" s="8">
        <v>20.6</v>
      </c>
      <c r="D699" s="8">
        <v>33.299999999999997</v>
      </c>
      <c r="E699" s="8">
        <v>0</v>
      </c>
      <c r="F699" s="8" t="s">
        <v>30</v>
      </c>
      <c r="G699" s="8" t="s">
        <v>30</v>
      </c>
      <c r="H699" s="8" t="s">
        <v>30</v>
      </c>
      <c r="I699" s="8" t="s">
        <v>30</v>
      </c>
      <c r="J699" s="8">
        <v>2021</v>
      </c>
      <c r="K699" s="8">
        <v>5</v>
      </c>
    </row>
    <row r="700" spans="1:11" x14ac:dyDescent="0.35">
      <c r="A700" s="13">
        <v>44322</v>
      </c>
      <c r="B700" s="8">
        <v>27</v>
      </c>
      <c r="C700" s="8">
        <v>21.7</v>
      </c>
      <c r="D700" s="8">
        <v>32.4</v>
      </c>
      <c r="E700" s="8">
        <v>0</v>
      </c>
      <c r="F700" s="8" t="s">
        <v>30</v>
      </c>
      <c r="G700" s="8" t="s">
        <v>30</v>
      </c>
      <c r="H700" s="8" t="s">
        <v>30</v>
      </c>
      <c r="I700" s="8" t="s">
        <v>30</v>
      </c>
      <c r="J700" s="8">
        <v>2021</v>
      </c>
      <c r="K700" s="8">
        <v>5</v>
      </c>
    </row>
    <row r="701" spans="1:11" x14ac:dyDescent="0.35">
      <c r="A701" s="13">
        <v>44323</v>
      </c>
      <c r="B701" s="8">
        <v>26.5</v>
      </c>
      <c r="C701" s="8">
        <v>22.2</v>
      </c>
      <c r="D701" s="8">
        <v>32</v>
      </c>
      <c r="E701" s="8">
        <v>0.7</v>
      </c>
      <c r="F701" s="8" t="s">
        <v>30</v>
      </c>
      <c r="G701" s="8" t="s">
        <v>30</v>
      </c>
      <c r="H701" s="8" t="s">
        <v>30</v>
      </c>
      <c r="I701" s="8" t="s">
        <v>30</v>
      </c>
      <c r="J701" s="8">
        <v>2021</v>
      </c>
      <c r="K701" s="8">
        <v>5</v>
      </c>
    </row>
    <row r="702" spans="1:11" x14ac:dyDescent="0.35">
      <c r="A702" s="13">
        <v>44324</v>
      </c>
      <c r="B702" s="8">
        <v>26.8</v>
      </c>
      <c r="C702" s="8">
        <v>21.5</v>
      </c>
      <c r="D702" s="8">
        <v>33.6</v>
      </c>
      <c r="E702" s="8">
        <v>0.2</v>
      </c>
      <c r="F702" s="8" t="s">
        <v>30</v>
      </c>
      <c r="G702" s="8" t="s">
        <v>30</v>
      </c>
      <c r="H702" s="8" t="s">
        <v>30</v>
      </c>
      <c r="I702" s="8" t="s">
        <v>30</v>
      </c>
      <c r="J702" s="8">
        <v>2021</v>
      </c>
      <c r="K702" s="8">
        <v>5</v>
      </c>
    </row>
    <row r="703" spans="1:11" x14ac:dyDescent="0.35">
      <c r="A703" s="13">
        <v>44325</v>
      </c>
      <c r="B703" s="8">
        <v>27.2</v>
      </c>
      <c r="C703" s="8">
        <v>21.3</v>
      </c>
      <c r="D703" s="8">
        <v>33.4</v>
      </c>
      <c r="E703" s="8">
        <v>0.3</v>
      </c>
      <c r="F703" s="8" t="s">
        <v>30</v>
      </c>
      <c r="G703" s="8" t="s">
        <v>30</v>
      </c>
      <c r="H703" s="8" t="s">
        <v>30</v>
      </c>
      <c r="I703" s="8" t="s">
        <v>30</v>
      </c>
      <c r="J703" s="8">
        <v>2021</v>
      </c>
      <c r="K703" s="8">
        <v>5</v>
      </c>
    </row>
    <row r="704" spans="1:11" x14ac:dyDescent="0.35">
      <c r="A704" s="13">
        <v>44326</v>
      </c>
      <c r="B704" s="8">
        <v>26.7</v>
      </c>
      <c r="C704" s="8">
        <v>22.1</v>
      </c>
      <c r="D704" s="8">
        <v>32.799999999999997</v>
      </c>
      <c r="E704" s="8">
        <v>1</v>
      </c>
      <c r="F704" s="8" t="s">
        <v>30</v>
      </c>
      <c r="G704" s="8" t="s">
        <v>30</v>
      </c>
      <c r="H704" s="8" t="s">
        <v>30</v>
      </c>
      <c r="I704" s="8" t="s">
        <v>30</v>
      </c>
      <c r="J704" s="8">
        <v>2021</v>
      </c>
      <c r="K704" s="8">
        <v>5</v>
      </c>
    </row>
    <row r="705" spans="1:11" x14ac:dyDescent="0.35">
      <c r="A705" s="13">
        <v>44327</v>
      </c>
      <c r="B705" s="8">
        <v>26.1</v>
      </c>
      <c r="C705" s="8">
        <v>21.5</v>
      </c>
      <c r="D705" s="8">
        <v>33.200000000000003</v>
      </c>
      <c r="E705" s="8">
        <v>5.6</v>
      </c>
      <c r="F705" s="8" t="s">
        <v>30</v>
      </c>
      <c r="G705" s="8" t="s">
        <v>30</v>
      </c>
      <c r="H705" s="8" t="s">
        <v>30</v>
      </c>
      <c r="I705" s="8" t="s">
        <v>30</v>
      </c>
      <c r="J705" s="8">
        <v>2021</v>
      </c>
      <c r="K705" s="8">
        <v>5</v>
      </c>
    </row>
    <row r="706" spans="1:11" x14ac:dyDescent="0.35">
      <c r="A706" s="13">
        <v>44328</v>
      </c>
      <c r="B706" s="8">
        <v>25.5</v>
      </c>
      <c r="C706" s="8">
        <v>21.4</v>
      </c>
      <c r="D706" s="8">
        <v>33.9</v>
      </c>
      <c r="E706" s="8">
        <v>0</v>
      </c>
      <c r="F706" s="8" t="s">
        <v>30</v>
      </c>
      <c r="G706" s="8" t="s">
        <v>30</v>
      </c>
      <c r="H706" s="8" t="s">
        <v>30</v>
      </c>
      <c r="I706" s="8" t="s">
        <v>30</v>
      </c>
      <c r="J706" s="8">
        <v>2021</v>
      </c>
      <c r="K706" s="8">
        <v>5</v>
      </c>
    </row>
    <row r="707" spans="1:11" x14ac:dyDescent="0.35">
      <c r="A707" s="13">
        <v>44331</v>
      </c>
      <c r="B707" s="8">
        <v>23.8</v>
      </c>
      <c r="C707" s="8">
        <v>22.2</v>
      </c>
      <c r="D707" s="8">
        <v>32.6</v>
      </c>
      <c r="E707" s="8">
        <v>0</v>
      </c>
      <c r="F707" s="8" t="s">
        <v>30</v>
      </c>
      <c r="G707" s="8" t="s">
        <v>30</v>
      </c>
      <c r="H707" s="8" t="s">
        <v>30</v>
      </c>
      <c r="I707" s="8" t="s">
        <v>30</v>
      </c>
      <c r="J707" s="8">
        <v>2021</v>
      </c>
      <c r="K707" s="8">
        <v>5</v>
      </c>
    </row>
    <row r="708" spans="1:11" x14ac:dyDescent="0.35">
      <c r="A708" s="13">
        <v>44332</v>
      </c>
      <c r="B708" s="8">
        <v>24</v>
      </c>
      <c r="C708" s="8">
        <v>21.4</v>
      </c>
      <c r="D708" s="8">
        <v>28</v>
      </c>
      <c r="E708" s="8">
        <v>0</v>
      </c>
      <c r="F708" s="8" t="s">
        <v>30</v>
      </c>
      <c r="G708" s="8" t="s">
        <v>30</v>
      </c>
      <c r="H708" s="8" t="s">
        <v>30</v>
      </c>
      <c r="I708" s="8" t="s">
        <v>30</v>
      </c>
      <c r="J708" s="8">
        <v>2021</v>
      </c>
      <c r="K708" s="8">
        <v>5</v>
      </c>
    </row>
    <row r="709" spans="1:11" x14ac:dyDescent="0.35">
      <c r="A709" s="13">
        <v>44333</v>
      </c>
      <c r="B709" s="8">
        <v>25.7</v>
      </c>
      <c r="C709" s="8">
        <v>21</v>
      </c>
      <c r="D709" s="8">
        <v>31.6</v>
      </c>
      <c r="E709" s="8">
        <v>0</v>
      </c>
      <c r="F709" s="8" t="s">
        <v>30</v>
      </c>
      <c r="G709" s="8" t="s">
        <v>30</v>
      </c>
      <c r="H709" s="8" t="s">
        <v>30</v>
      </c>
      <c r="I709" s="8" t="s">
        <v>30</v>
      </c>
      <c r="J709" s="8">
        <v>2021</v>
      </c>
      <c r="K709" s="8">
        <v>5</v>
      </c>
    </row>
    <row r="710" spans="1:11" x14ac:dyDescent="0.35">
      <c r="A710" s="13">
        <v>44334</v>
      </c>
      <c r="B710" s="8">
        <v>25.7</v>
      </c>
      <c r="C710" s="8">
        <v>21.6</v>
      </c>
      <c r="D710" s="8">
        <v>32.6</v>
      </c>
      <c r="E710" s="8">
        <v>0</v>
      </c>
      <c r="F710" s="8" t="s">
        <v>30</v>
      </c>
      <c r="G710" s="8" t="s">
        <v>30</v>
      </c>
      <c r="H710" s="8" t="s">
        <v>30</v>
      </c>
      <c r="I710" s="8" t="s">
        <v>30</v>
      </c>
      <c r="J710" s="8">
        <v>2021</v>
      </c>
      <c r="K710" s="8">
        <v>5</v>
      </c>
    </row>
    <row r="711" spans="1:11" x14ac:dyDescent="0.35">
      <c r="A711" s="13">
        <v>44335</v>
      </c>
      <c r="B711" s="8">
        <v>25.1</v>
      </c>
      <c r="C711" s="8">
        <v>20.2</v>
      </c>
      <c r="D711" s="8">
        <v>32.6</v>
      </c>
      <c r="E711" s="8">
        <v>4</v>
      </c>
      <c r="F711" s="8" t="s">
        <v>30</v>
      </c>
      <c r="G711" s="8" t="s">
        <v>30</v>
      </c>
      <c r="H711" s="8" t="s">
        <v>30</v>
      </c>
      <c r="I711" s="8" t="s">
        <v>30</v>
      </c>
      <c r="J711" s="8">
        <v>2021</v>
      </c>
      <c r="K711" s="8">
        <v>5</v>
      </c>
    </row>
    <row r="712" spans="1:11" x14ac:dyDescent="0.35">
      <c r="A712" s="13">
        <v>44336</v>
      </c>
      <c r="B712" s="8">
        <v>24.2</v>
      </c>
      <c r="C712" s="8">
        <v>21.1</v>
      </c>
      <c r="D712" s="8">
        <v>29.6</v>
      </c>
      <c r="E712" s="8">
        <v>2.7</v>
      </c>
      <c r="F712" s="8" t="s">
        <v>30</v>
      </c>
      <c r="G712" s="8" t="s">
        <v>30</v>
      </c>
      <c r="H712" s="8" t="s">
        <v>30</v>
      </c>
      <c r="I712" s="8" t="s">
        <v>30</v>
      </c>
      <c r="J712" s="8">
        <v>2021</v>
      </c>
      <c r="K712" s="8">
        <v>5</v>
      </c>
    </row>
    <row r="713" spans="1:11" x14ac:dyDescent="0.35">
      <c r="A713" s="13">
        <v>44337</v>
      </c>
      <c r="B713" s="8">
        <v>23.3</v>
      </c>
      <c r="C713" s="8">
        <v>20.9</v>
      </c>
      <c r="D713" s="8">
        <v>30.8</v>
      </c>
      <c r="E713" s="8">
        <v>2.8</v>
      </c>
      <c r="F713" s="8" t="s">
        <v>30</v>
      </c>
      <c r="G713" s="8" t="s">
        <v>30</v>
      </c>
      <c r="H713" s="8" t="s">
        <v>30</v>
      </c>
      <c r="I713" s="8" t="s">
        <v>30</v>
      </c>
      <c r="J713" s="8">
        <v>2021</v>
      </c>
      <c r="K713" s="8">
        <v>5</v>
      </c>
    </row>
    <row r="714" spans="1:11" x14ac:dyDescent="0.35">
      <c r="A714" s="13">
        <v>44339</v>
      </c>
      <c r="B714" s="8">
        <v>25.8</v>
      </c>
      <c r="C714" s="8">
        <v>20.8</v>
      </c>
      <c r="D714" s="8">
        <v>29.4</v>
      </c>
      <c r="E714" s="8">
        <v>7.4</v>
      </c>
      <c r="F714" s="8" t="s">
        <v>30</v>
      </c>
      <c r="G714" s="8" t="s">
        <v>30</v>
      </c>
      <c r="H714" s="8" t="s">
        <v>30</v>
      </c>
      <c r="I714" s="8" t="s">
        <v>30</v>
      </c>
      <c r="J714" s="8">
        <v>2021</v>
      </c>
      <c r="K714" s="8">
        <v>5</v>
      </c>
    </row>
    <row r="715" spans="1:11" x14ac:dyDescent="0.35">
      <c r="A715" s="13">
        <v>44340</v>
      </c>
      <c r="B715" s="8">
        <v>26.1</v>
      </c>
      <c r="C715" s="8">
        <v>22</v>
      </c>
      <c r="D715" s="8">
        <v>31</v>
      </c>
      <c r="E715" s="8">
        <v>0</v>
      </c>
      <c r="F715" s="8" t="s">
        <v>30</v>
      </c>
      <c r="G715" s="8" t="s">
        <v>30</v>
      </c>
      <c r="H715" s="8" t="s">
        <v>30</v>
      </c>
      <c r="I715" s="8" t="s">
        <v>30</v>
      </c>
      <c r="J715" s="8">
        <v>2021</v>
      </c>
      <c r="K715" s="8">
        <v>5</v>
      </c>
    </row>
    <row r="716" spans="1:11" x14ac:dyDescent="0.35">
      <c r="A716" s="13">
        <v>44341</v>
      </c>
      <c r="B716" s="8">
        <v>24.3</v>
      </c>
      <c r="C716" s="8">
        <v>20.2</v>
      </c>
      <c r="D716" s="8">
        <v>31.7</v>
      </c>
      <c r="E716" s="8">
        <v>0.3</v>
      </c>
      <c r="F716" s="8" t="s">
        <v>30</v>
      </c>
      <c r="G716" s="8" t="s">
        <v>30</v>
      </c>
      <c r="H716" s="8" t="s">
        <v>30</v>
      </c>
      <c r="I716" s="8" t="s">
        <v>30</v>
      </c>
      <c r="J716" s="8">
        <v>2021</v>
      </c>
      <c r="K716" s="8">
        <v>5</v>
      </c>
    </row>
    <row r="717" spans="1:11" x14ac:dyDescent="0.35">
      <c r="A717" s="13">
        <v>44343</v>
      </c>
      <c r="B717" s="8">
        <v>25.3</v>
      </c>
      <c r="C717" s="8">
        <v>21.2</v>
      </c>
      <c r="D717" s="8">
        <v>30.1</v>
      </c>
      <c r="E717" s="8">
        <v>0</v>
      </c>
      <c r="F717" s="8" t="s">
        <v>30</v>
      </c>
      <c r="G717" s="8" t="s">
        <v>30</v>
      </c>
      <c r="H717" s="8" t="s">
        <v>30</v>
      </c>
      <c r="I717" s="8" t="s">
        <v>30</v>
      </c>
      <c r="J717" s="8">
        <v>2021</v>
      </c>
      <c r="K717" s="8">
        <v>5</v>
      </c>
    </row>
    <row r="718" spans="1:11" x14ac:dyDescent="0.35">
      <c r="A718" s="13">
        <v>44344</v>
      </c>
      <c r="B718" s="8">
        <v>24.7</v>
      </c>
      <c r="C718" s="8">
        <v>18.8</v>
      </c>
      <c r="D718" s="8">
        <v>30.3</v>
      </c>
      <c r="E718" s="8">
        <v>0</v>
      </c>
      <c r="F718" s="8" t="s">
        <v>30</v>
      </c>
      <c r="G718" s="8" t="s">
        <v>30</v>
      </c>
      <c r="H718" s="8" t="s">
        <v>30</v>
      </c>
      <c r="I718" s="8" t="s">
        <v>30</v>
      </c>
      <c r="J718" s="8">
        <v>2021</v>
      </c>
      <c r="K718" s="8">
        <v>5</v>
      </c>
    </row>
    <row r="719" spans="1:11" x14ac:dyDescent="0.35">
      <c r="A719" s="13">
        <v>44345</v>
      </c>
      <c r="B719" s="8">
        <v>24.8</v>
      </c>
      <c r="C719" s="8">
        <v>19.399999999999999</v>
      </c>
      <c r="D719" s="8">
        <v>30.8</v>
      </c>
      <c r="E719" s="8">
        <v>0.5</v>
      </c>
      <c r="F719" s="8" t="s">
        <v>30</v>
      </c>
      <c r="G719" s="8" t="s">
        <v>30</v>
      </c>
      <c r="H719" s="8" t="s">
        <v>30</v>
      </c>
      <c r="I719" s="8" t="s">
        <v>30</v>
      </c>
      <c r="J719" s="8">
        <v>2021</v>
      </c>
      <c r="K719" s="8">
        <v>5</v>
      </c>
    </row>
    <row r="720" spans="1:11" x14ac:dyDescent="0.35">
      <c r="A720" s="13">
        <v>44346</v>
      </c>
      <c r="B720" s="8">
        <v>25.2</v>
      </c>
      <c r="C720" s="8">
        <v>20.100000000000001</v>
      </c>
      <c r="D720" s="8">
        <v>31.3</v>
      </c>
      <c r="E720" s="8">
        <v>0.1</v>
      </c>
      <c r="F720" s="8" t="s">
        <v>30</v>
      </c>
      <c r="G720" s="8" t="s">
        <v>30</v>
      </c>
      <c r="H720" s="8" t="s">
        <v>30</v>
      </c>
      <c r="I720" s="8" t="s">
        <v>30</v>
      </c>
      <c r="J720" s="8">
        <v>2021</v>
      </c>
      <c r="K720" s="8">
        <v>5</v>
      </c>
    </row>
    <row r="721" spans="1:11" x14ac:dyDescent="0.35">
      <c r="A721" s="13">
        <v>44347</v>
      </c>
      <c r="B721" s="8">
        <v>25.3</v>
      </c>
      <c r="C721" s="8">
        <v>20.3</v>
      </c>
      <c r="D721" s="8">
        <v>31.6</v>
      </c>
      <c r="E721" s="8">
        <v>2.2999999999999998</v>
      </c>
      <c r="F721" s="8" t="s">
        <v>30</v>
      </c>
      <c r="G721" s="8" t="s">
        <v>30</v>
      </c>
      <c r="H721" s="8" t="s">
        <v>30</v>
      </c>
      <c r="I721" s="8" t="s">
        <v>30</v>
      </c>
      <c r="J721" s="8">
        <v>2021</v>
      </c>
      <c r="K721" s="8">
        <v>5</v>
      </c>
    </row>
    <row r="722" spans="1:11" x14ac:dyDescent="0.35">
      <c r="A722" s="13">
        <v>44348</v>
      </c>
      <c r="B722" s="8">
        <v>25.5</v>
      </c>
      <c r="C722" s="8">
        <v>20.8</v>
      </c>
      <c r="D722" s="8">
        <v>31.6</v>
      </c>
      <c r="E722" s="8">
        <v>5.6</v>
      </c>
      <c r="F722" s="8" t="s">
        <v>30</v>
      </c>
      <c r="G722" s="8" t="s">
        <v>30</v>
      </c>
      <c r="H722" s="8" t="s">
        <v>30</v>
      </c>
      <c r="I722" s="8" t="s">
        <v>30</v>
      </c>
      <c r="J722" s="8">
        <v>2021</v>
      </c>
      <c r="K722" s="8">
        <v>6</v>
      </c>
    </row>
    <row r="723" spans="1:11" x14ac:dyDescent="0.35">
      <c r="A723" s="13">
        <v>44349</v>
      </c>
      <c r="B723" s="8">
        <v>25.9</v>
      </c>
      <c r="C723" s="8">
        <v>22.2</v>
      </c>
      <c r="D723" s="8">
        <v>33.700000000000003</v>
      </c>
      <c r="E723" s="8">
        <v>1</v>
      </c>
      <c r="F723" s="8" t="s">
        <v>30</v>
      </c>
      <c r="G723" s="8" t="s">
        <v>30</v>
      </c>
      <c r="H723" s="8" t="s">
        <v>30</v>
      </c>
      <c r="I723" s="8" t="s">
        <v>30</v>
      </c>
      <c r="J723" s="8">
        <v>2021</v>
      </c>
      <c r="K723" s="8">
        <v>6</v>
      </c>
    </row>
    <row r="724" spans="1:11" x14ac:dyDescent="0.35">
      <c r="A724" s="13">
        <v>44350</v>
      </c>
      <c r="B724" s="8">
        <v>24.6</v>
      </c>
      <c r="C724" s="8">
        <v>21.9</v>
      </c>
      <c r="D724" s="8">
        <v>33.700000000000003</v>
      </c>
      <c r="E724" s="8">
        <v>0.5</v>
      </c>
      <c r="F724" s="8" t="s">
        <v>30</v>
      </c>
      <c r="G724" s="8" t="s">
        <v>30</v>
      </c>
      <c r="H724" s="8" t="s">
        <v>30</v>
      </c>
      <c r="I724" s="8" t="s">
        <v>30</v>
      </c>
      <c r="J724" s="8">
        <v>2021</v>
      </c>
      <c r="K724" s="8">
        <v>6</v>
      </c>
    </row>
    <row r="725" spans="1:11" x14ac:dyDescent="0.35">
      <c r="A725" s="13">
        <v>44353</v>
      </c>
      <c r="B725" s="8">
        <v>24.8</v>
      </c>
      <c r="C725" s="8">
        <v>20.7</v>
      </c>
      <c r="D725" s="8">
        <v>29.2</v>
      </c>
      <c r="E725" s="8">
        <v>4.5999999999999996</v>
      </c>
      <c r="F725" s="8" t="s">
        <v>30</v>
      </c>
      <c r="G725" s="8" t="s">
        <v>30</v>
      </c>
      <c r="H725" s="8" t="s">
        <v>30</v>
      </c>
      <c r="I725" s="8" t="s">
        <v>30</v>
      </c>
      <c r="J725" s="8">
        <v>2021</v>
      </c>
      <c r="K725" s="8">
        <v>6</v>
      </c>
    </row>
    <row r="726" spans="1:11" x14ac:dyDescent="0.35">
      <c r="A726" s="13">
        <v>44354</v>
      </c>
      <c r="B726" s="8">
        <v>25.4</v>
      </c>
      <c r="C726" s="8">
        <v>22.1</v>
      </c>
      <c r="D726" s="8">
        <v>29.7</v>
      </c>
      <c r="E726" s="8">
        <v>0.5</v>
      </c>
      <c r="F726" s="8" t="s">
        <v>30</v>
      </c>
      <c r="G726" s="8" t="s">
        <v>30</v>
      </c>
      <c r="H726" s="8" t="s">
        <v>30</v>
      </c>
      <c r="I726" s="8" t="s">
        <v>30</v>
      </c>
      <c r="J726" s="8">
        <v>2021</v>
      </c>
      <c r="K726" s="8">
        <v>6</v>
      </c>
    </row>
    <row r="727" spans="1:11" x14ac:dyDescent="0.35">
      <c r="A727" s="13">
        <v>44355</v>
      </c>
      <c r="B727" s="8">
        <v>25.6</v>
      </c>
      <c r="C727" s="8">
        <v>19.7</v>
      </c>
      <c r="D727" s="8">
        <v>31</v>
      </c>
      <c r="E727" s="8">
        <v>0</v>
      </c>
      <c r="F727" s="8" t="s">
        <v>30</v>
      </c>
      <c r="G727" s="8" t="s">
        <v>30</v>
      </c>
      <c r="H727" s="8" t="s">
        <v>30</v>
      </c>
      <c r="I727" s="8" t="s">
        <v>30</v>
      </c>
      <c r="J727" s="8">
        <v>2021</v>
      </c>
      <c r="K727" s="8">
        <v>6</v>
      </c>
    </row>
    <row r="728" spans="1:11" x14ac:dyDescent="0.35">
      <c r="A728" s="13">
        <v>44356</v>
      </c>
      <c r="B728" s="8">
        <v>23.4</v>
      </c>
      <c r="C728" s="8">
        <v>19.2</v>
      </c>
      <c r="D728" s="8">
        <v>29.2</v>
      </c>
      <c r="E728" s="8">
        <v>4.5999999999999996</v>
      </c>
      <c r="F728" s="8" t="s">
        <v>30</v>
      </c>
      <c r="G728" s="8" t="s">
        <v>30</v>
      </c>
      <c r="H728" s="8" t="s">
        <v>30</v>
      </c>
      <c r="I728" s="8" t="s">
        <v>30</v>
      </c>
      <c r="J728" s="8">
        <v>2021</v>
      </c>
      <c r="K728" s="8">
        <v>6</v>
      </c>
    </row>
    <row r="729" spans="1:11" x14ac:dyDescent="0.35">
      <c r="A729" s="13">
        <v>44357</v>
      </c>
      <c r="B729" s="8">
        <v>23.6</v>
      </c>
      <c r="C729" s="8">
        <v>19.8</v>
      </c>
      <c r="D729" s="8">
        <v>28.5</v>
      </c>
      <c r="E729" s="8">
        <v>2.2999999999999998</v>
      </c>
      <c r="F729" s="8" t="s">
        <v>30</v>
      </c>
      <c r="G729" s="8" t="s">
        <v>30</v>
      </c>
      <c r="H729" s="8" t="s">
        <v>30</v>
      </c>
      <c r="I729" s="8" t="s">
        <v>30</v>
      </c>
      <c r="J729" s="8">
        <v>2021</v>
      </c>
      <c r="K729" s="8">
        <v>6</v>
      </c>
    </row>
    <row r="730" spans="1:11" x14ac:dyDescent="0.35">
      <c r="A730" s="13">
        <v>44358</v>
      </c>
      <c r="B730" s="8">
        <v>24.2</v>
      </c>
      <c r="C730" s="8">
        <v>20.399999999999999</v>
      </c>
      <c r="D730" s="8">
        <v>29</v>
      </c>
      <c r="E730" s="8">
        <v>0</v>
      </c>
      <c r="F730" s="8" t="s">
        <v>30</v>
      </c>
      <c r="G730" s="8" t="s">
        <v>30</v>
      </c>
      <c r="H730" s="8" t="s">
        <v>30</v>
      </c>
      <c r="I730" s="8" t="s">
        <v>30</v>
      </c>
      <c r="J730" s="8">
        <v>2021</v>
      </c>
      <c r="K730" s="8">
        <v>6</v>
      </c>
    </row>
    <row r="731" spans="1:11" x14ac:dyDescent="0.35">
      <c r="A731" s="13">
        <v>44359</v>
      </c>
      <c r="B731" s="8">
        <v>23.2</v>
      </c>
      <c r="C731" s="8">
        <v>20.399999999999999</v>
      </c>
      <c r="D731" s="8">
        <v>27</v>
      </c>
      <c r="E731" s="8">
        <v>2.8</v>
      </c>
      <c r="F731" s="8" t="s">
        <v>30</v>
      </c>
      <c r="G731" s="8" t="s">
        <v>30</v>
      </c>
      <c r="H731" s="8" t="s">
        <v>30</v>
      </c>
      <c r="I731" s="8" t="s">
        <v>30</v>
      </c>
      <c r="J731" s="8">
        <v>2021</v>
      </c>
      <c r="K731" s="8">
        <v>6</v>
      </c>
    </row>
    <row r="732" spans="1:11" x14ac:dyDescent="0.35">
      <c r="A732" s="13">
        <v>44360</v>
      </c>
      <c r="B732" s="8">
        <v>22.6</v>
      </c>
      <c r="C732" s="8">
        <v>20.2</v>
      </c>
      <c r="D732" s="8">
        <v>25.2</v>
      </c>
      <c r="E732" s="8">
        <v>3.6</v>
      </c>
      <c r="F732" s="8" t="s">
        <v>30</v>
      </c>
      <c r="G732" s="8" t="s">
        <v>30</v>
      </c>
      <c r="H732" s="8" t="s">
        <v>30</v>
      </c>
      <c r="I732" s="8" t="s">
        <v>30</v>
      </c>
      <c r="J732" s="8">
        <v>2021</v>
      </c>
      <c r="K732" s="8">
        <v>6</v>
      </c>
    </row>
    <row r="733" spans="1:11" x14ac:dyDescent="0.35">
      <c r="A733" s="13">
        <v>44361</v>
      </c>
      <c r="B733" s="8">
        <v>22.3</v>
      </c>
      <c r="C733" s="8">
        <v>20.100000000000001</v>
      </c>
      <c r="D733" s="8">
        <v>27.6</v>
      </c>
      <c r="E733" s="8">
        <v>0</v>
      </c>
      <c r="F733" s="8" t="s">
        <v>30</v>
      </c>
      <c r="G733" s="8" t="s">
        <v>30</v>
      </c>
      <c r="H733" s="8" t="s">
        <v>30</v>
      </c>
      <c r="I733" s="8" t="s">
        <v>30</v>
      </c>
      <c r="J733" s="8">
        <v>2021</v>
      </c>
      <c r="K733" s="8">
        <v>6</v>
      </c>
    </row>
    <row r="734" spans="1:11" x14ac:dyDescent="0.35">
      <c r="A734" s="13">
        <v>44362</v>
      </c>
      <c r="B734" s="8">
        <v>22.7</v>
      </c>
      <c r="C734" s="8">
        <v>20.2</v>
      </c>
      <c r="D734" s="8">
        <v>26.5</v>
      </c>
      <c r="E734" s="8">
        <v>4.3</v>
      </c>
      <c r="F734" s="8" t="s">
        <v>30</v>
      </c>
      <c r="G734" s="8" t="s">
        <v>30</v>
      </c>
      <c r="H734" s="8" t="s">
        <v>30</v>
      </c>
      <c r="I734" s="8" t="s">
        <v>30</v>
      </c>
      <c r="J734" s="8">
        <v>2021</v>
      </c>
      <c r="K734" s="8">
        <v>6</v>
      </c>
    </row>
    <row r="735" spans="1:11" x14ac:dyDescent="0.35">
      <c r="A735" s="13">
        <v>44363</v>
      </c>
      <c r="B735" s="8">
        <v>22.7</v>
      </c>
      <c r="C735" s="8">
        <v>20.8</v>
      </c>
      <c r="D735" s="8">
        <v>26.7</v>
      </c>
      <c r="E735" s="8">
        <v>0.5</v>
      </c>
      <c r="F735" s="8" t="s">
        <v>30</v>
      </c>
      <c r="G735" s="8" t="s">
        <v>30</v>
      </c>
      <c r="H735" s="8" t="s">
        <v>30</v>
      </c>
      <c r="I735" s="8" t="s">
        <v>30</v>
      </c>
      <c r="J735" s="8">
        <v>2021</v>
      </c>
      <c r="K735" s="8">
        <v>6</v>
      </c>
    </row>
    <row r="736" spans="1:11" x14ac:dyDescent="0.35">
      <c r="A736" s="13">
        <v>44364</v>
      </c>
      <c r="B736" s="8">
        <v>23.4</v>
      </c>
      <c r="C736" s="8">
        <v>20.8</v>
      </c>
      <c r="D736" s="8">
        <v>28</v>
      </c>
      <c r="E736" s="8">
        <v>5.0999999999999996</v>
      </c>
      <c r="F736" s="8" t="s">
        <v>30</v>
      </c>
      <c r="G736" s="8" t="s">
        <v>30</v>
      </c>
      <c r="H736" s="8" t="s">
        <v>30</v>
      </c>
      <c r="I736" s="8" t="s">
        <v>30</v>
      </c>
      <c r="J736" s="8">
        <v>2021</v>
      </c>
      <c r="K736" s="8">
        <v>6</v>
      </c>
    </row>
    <row r="737" spans="1:11" x14ac:dyDescent="0.35">
      <c r="A737" s="13">
        <v>44365</v>
      </c>
      <c r="B737" s="8">
        <v>23.4</v>
      </c>
      <c r="C737" s="8">
        <v>20.399999999999999</v>
      </c>
      <c r="D737" s="8">
        <v>28.4</v>
      </c>
      <c r="E737" s="8">
        <v>1.3</v>
      </c>
      <c r="F737" s="8" t="s">
        <v>30</v>
      </c>
      <c r="G737" s="8" t="s">
        <v>30</v>
      </c>
      <c r="H737" s="8" t="s">
        <v>30</v>
      </c>
      <c r="I737" s="8" t="s">
        <v>30</v>
      </c>
      <c r="J737" s="8">
        <v>2021</v>
      </c>
      <c r="K737" s="8">
        <v>6</v>
      </c>
    </row>
    <row r="738" spans="1:11" x14ac:dyDescent="0.35">
      <c r="A738" s="13">
        <v>44366</v>
      </c>
      <c r="B738" s="8">
        <v>23.4</v>
      </c>
      <c r="C738" s="8">
        <v>20.8</v>
      </c>
      <c r="D738" s="8">
        <v>28</v>
      </c>
      <c r="E738" s="8">
        <v>0</v>
      </c>
      <c r="F738" s="8" t="s">
        <v>30</v>
      </c>
      <c r="G738" s="8" t="s">
        <v>30</v>
      </c>
      <c r="H738" s="8" t="s">
        <v>30</v>
      </c>
      <c r="I738" s="8" t="s">
        <v>30</v>
      </c>
      <c r="J738" s="8">
        <v>2021</v>
      </c>
      <c r="K738" s="8">
        <v>6</v>
      </c>
    </row>
    <row r="739" spans="1:11" x14ac:dyDescent="0.35">
      <c r="A739" s="13">
        <v>44367</v>
      </c>
      <c r="B739" s="8">
        <v>24.3</v>
      </c>
      <c r="C739" s="8">
        <v>20.5</v>
      </c>
      <c r="D739" s="8">
        <v>28.8</v>
      </c>
      <c r="E739" s="8">
        <v>0</v>
      </c>
      <c r="F739" s="8" t="s">
        <v>30</v>
      </c>
      <c r="G739" s="8" t="s">
        <v>30</v>
      </c>
      <c r="H739" s="8" t="s">
        <v>30</v>
      </c>
      <c r="I739" s="8" t="s">
        <v>30</v>
      </c>
      <c r="J739" s="8">
        <v>2021</v>
      </c>
      <c r="K739" s="8">
        <v>6</v>
      </c>
    </row>
    <row r="740" spans="1:11" x14ac:dyDescent="0.35">
      <c r="A740" s="13">
        <v>44368</v>
      </c>
      <c r="B740" s="8">
        <v>23.9</v>
      </c>
      <c r="C740" s="8">
        <v>19.3</v>
      </c>
      <c r="D740" s="8">
        <v>29.1</v>
      </c>
      <c r="E740" s="8">
        <v>0.6</v>
      </c>
      <c r="F740" s="8" t="s">
        <v>30</v>
      </c>
      <c r="G740" s="8" t="s">
        <v>30</v>
      </c>
      <c r="H740" s="8" t="s">
        <v>30</v>
      </c>
      <c r="I740" s="8" t="s">
        <v>30</v>
      </c>
      <c r="J740" s="8">
        <v>2021</v>
      </c>
      <c r="K740" s="8">
        <v>6</v>
      </c>
    </row>
    <row r="741" spans="1:11" x14ac:dyDescent="0.35">
      <c r="A741" s="13">
        <v>44369</v>
      </c>
      <c r="B741" s="8">
        <v>24.1</v>
      </c>
      <c r="C741" s="8">
        <v>19.3</v>
      </c>
      <c r="D741" s="8">
        <v>28.9</v>
      </c>
      <c r="E741" s="8">
        <v>0.4</v>
      </c>
      <c r="F741" s="8" t="s">
        <v>30</v>
      </c>
      <c r="G741" s="8" t="s">
        <v>30</v>
      </c>
      <c r="H741" s="8" t="s">
        <v>30</v>
      </c>
      <c r="I741" s="8" t="s">
        <v>30</v>
      </c>
      <c r="J741" s="8">
        <v>2021</v>
      </c>
      <c r="K741" s="8">
        <v>6</v>
      </c>
    </row>
    <row r="742" spans="1:11" x14ac:dyDescent="0.35">
      <c r="A742" s="13">
        <v>44370</v>
      </c>
      <c r="B742" s="8">
        <v>24.9</v>
      </c>
      <c r="C742" s="8">
        <v>19.899999999999999</v>
      </c>
      <c r="D742" s="8">
        <v>29.9</v>
      </c>
      <c r="E742" s="8">
        <v>0</v>
      </c>
      <c r="F742" s="8" t="s">
        <v>30</v>
      </c>
      <c r="G742" s="8" t="s">
        <v>30</v>
      </c>
      <c r="H742" s="8" t="s">
        <v>30</v>
      </c>
      <c r="I742" s="8" t="s">
        <v>30</v>
      </c>
      <c r="J742" s="8">
        <v>2021</v>
      </c>
      <c r="K742" s="8">
        <v>6</v>
      </c>
    </row>
    <row r="743" spans="1:11" x14ac:dyDescent="0.35">
      <c r="A743" s="13">
        <v>44371</v>
      </c>
      <c r="B743" s="8">
        <v>24.5</v>
      </c>
      <c r="C743" s="8">
        <v>19.899999999999999</v>
      </c>
      <c r="D743" s="8">
        <v>28.8</v>
      </c>
      <c r="E743" s="8">
        <v>0.9</v>
      </c>
      <c r="F743" s="8" t="s">
        <v>30</v>
      </c>
      <c r="G743" s="8" t="s">
        <v>30</v>
      </c>
      <c r="H743" s="8" t="s">
        <v>30</v>
      </c>
      <c r="I743" s="8" t="s">
        <v>30</v>
      </c>
      <c r="J743" s="8">
        <v>2021</v>
      </c>
      <c r="K743" s="8">
        <v>6</v>
      </c>
    </row>
    <row r="744" spans="1:11" x14ac:dyDescent="0.35">
      <c r="A744" s="13">
        <v>44372</v>
      </c>
      <c r="B744" s="8">
        <v>24.6</v>
      </c>
      <c r="C744" s="8">
        <v>19.399999999999999</v>
      </c>
      <c r="D744" s="8">
        <v>29.7</v>
      </c>
      <c r="E744" s="8">
        <v>0.2</v>
      </c>
      <c r="F744" s="8" t="s">
        <v>30</v>
      </c>
      <c r="G744" s="8" t="s">
        <v>30</v>
      </c>
      <c r="H744" s="8" t="s">
        <v>30</v>
      </c>
      <c r="I744" s="8" t="s">
        <v>30</v>
      </c>
      <c r="J744" s="8">
        <v>2021</v>
      </c>
      <c r="K744" s="8">
        <v>6</v>
      </c>
    </row>
    <row r="745" spans="1:11" x14ac:dyDescent="0.35">
      <c r="A745" s="13">
        <v>44373</v>
      </c>
      <c r="B745" s="8">
        <v>22.8</v>
      </c>
      <c r="C745" s="8">
        <v>20.100000000000001</v>
      </c>
      <c r="D745" s="8">
        <v>29.7</v>
      </c>
      <c r="E745" s="8">
        <v>0</v>
      </c>
      <c r="F745" s="8" t="s">
        <v>30</v>
      </c>
      <c r="G745" s="8" t="s">
        <v>30</v>
      </c>
      <c r="H745" s="8" t="s">
        <v>30</v>
      </c>
      <c r="I745" s="8" t="s">
        <v>30</v>
      </c>
      <c r="J745" s="8">
        <v>2021</v>
      </c>
      <c r="K745" s="8">
        <v>6</v>
      </c>
    </row>
    <row r="746" spans="1:11" x14ac:dyDescent="0.35">
      <c r="A746" s="13">
        <v>44374</v>
      </c>
      <c r="B746" s="8">
        <v>22.6</v>
      </c>
      <c r="C746" s="8">
        <v>20.2</v>
      </c>
      <c r="D746" s="8">
        <v>27.2</v>
      </c>
      <c r="E746" s="8">
        <v>2.2999999999999998</v>
      </c>
      <c r="F746" s="8" t="s">
        <v>30</v>
      </c>
      <c r="G746" s="8" t="s">
        <v>30</v>
      </c>
      <c r="H746" s="8" t="s">
        <v>30</v>
      </c>
      <c r="I746" s="8" t="s">
        <v>30</v>
      </c>
      <c r="J746" s="8">
        <v>2021</v>
      </c>
      <c r="K746" s="8">
        <v>6</v>
      </c>
    </row>
    <row r="747" spans="1:11" x14ac:dyDescent="0.35">
      <c r="A747" s="13">
        <v>44375</v>
      </c>
      <c r="B747" s="8">
        <v>23.7</v>
      </c>
      <c r="C747" s="8">
        <v>20.8</v>
      </c>
      <c r="D747" s="8">
        <v>28.5</v>
      </c>
      <c r="E747" s="8">
        <v>0.5</v>
      </c>
      <c r="F747" s="8" t="s">
        <v>30</v>
      </c>
      <c r="G747" s="8" t="s">
        <v>30</v>
      </c>
      <c r="H747" s="8" t="s">
        <v>30</v>
      </c>
      <c r="I747" s="8" t="s">
        <v>30</v>
      </c>
      <c r="J747" s="8">
        <v>2021</v>
      </c>
      <c r="K747" s="8">
        <v>6</v>
      </c>
    </row>
    <row r="748" spans="1:11" x14ac:dyDescent="0.35">
      <c r="A748" s="13">
        <v>44376</v>
      </c>
      <c r="B748" s="8">
        <v>26.2</v>
      </c>
      <c r="C748" s="8">
        <v>20.9</v>
      </c>
      <c r="D748" s="8">
        <v>31.6</v>
      </c>
      <c r="E748" s="8">
        <v>0</v>
      </c>
      <c r="F748" s="8" t="s">
        <v>30</v>
      </c>
      <c r="G748" s="8" t="s">
        <v>30</v>
      </c>
      <c r="H748" s="8" t="s">
        <v>30</v>
      </c>
      <c r="I748" s="8" t="s">
        <v>30</v>
      </c>
      <c r="J748" s="8">
        <v>2021</v>
      </c>
      <c r="K748" s="8">
        <v>6</v>
      </c>
    </row>
    <row r="749" spans="1:11" x14ac:dyDescent="0.35">
      <c r="A749" s="13">
        <v>44377</v>
      </c>
      <c r="B749" s="8">
        <v>26</v>
      </c>
      <c r="C749" s="8">
        <v>20.7</v>
      </c>
      <c r="D749" s="8">
        <v>30.9</v>
      </c>
      <c r="E749" s="8">
        <v>1.5</v>
      </c>
      <c r="F749" s="8" t="s">
        <v>30</v>
      </c>
      <c r="G749" s="8" t="s">
        <v>30</v>
      </c>
      <c r="H749" s="8" t="s">
        <v>30</v>
      </c>
      <c r="I749" s="8" t="s">
        <v>30</v>
      </c>
      <c r="J749" s="8">
        <v>2021</v>
      </c>
      <c r="K749" s="8">
        <v>6</v>
      </c>
    </row>
    <row r="750" spans="1:11" x14ac:dyDescent="0.35">
      <c r="A750" s="13">
        <v>44378</v>
      </c>
      <c r="B750" s="8">
        <v>25.7</v>
      </c>
      <c r="C750" s="8">
        <v>23</v>
      </c>
      <c r="D750" s="8">
        <v>32.700000000000003</v>
      </c>
      <c r="E750" s="8">
        <v>2.5</v>
      </c>
      <c r="F750" s="8" t="s">
        <v>30</v>
      </c>
      <c r="G750" s="8" t="s">
        <v>30</v>
      </c>
      <c r="H750" s="8" t="s">
        <v>30</v>
      </c>
      <c r="I750" s="8" t="s">
        <v>30</v>
      </c>
      <c r="J750" s="8">
        <v>2021</v>
      </c>
      <c r="K750" s="8">
        <v>7</v>
      </c>
    </row>
    <row r="751" spans="1:11" x14ac:dyDescent="0.35">
      <c r="A751" s="13">
        <v>44379</v>
      </c>
      <c r="B751" s="8">
        <v>26</v>
      </c>
      <c r="C751" s="8">
        <v>22</v>
      </c>
      <c r="D751" s="8">
        <v>30.6</v>
      </c>
      <c r="E751" s="8">
        <v>0</v>
      </c>
      <c r="F751" s="8" t="s">
        <v>30</v>
      </c>
      <c r="G751" s="8" t="s">
        <v>30</v>
      </c>
      <c r="H751" s="8" t="s">
        <v>30</v>
      </c>
      <c r="I751" s="8" t="s">
        <v>30</v>
      </c>
      <c r="J751" s="8">
        <v>2021</v>
      </c>
      <c r="K751" s="8">
        <v>7</v>
      </c>
    </row>
    <row r="752" spans="1:11" x14ac:dyDescent="0.35">
      <c r="A752" s="13">
        <v>44381</v>
      </c>
      <c r="B752" s="8">
        <v>23.6</v>
      </c>
      <c r="C752" s="8">
        <v>20.399999999999999</v>
      </c>
      <c r="D752" s="8">
        <v>29.4</v>
      </c>
      <c r="E752" s="8">
        <v>7.5</v>
      </c>
      <c r="F752" s="8" t="s">
        <v>30</v>
      </c>
      <c r="G752" s="8" t="s">
        <v>30</v>
      </c>
      <c r="H752" s="8" t="s">
        <v>30</v>
      </c>
      <c r="I752" s="8" t="s">
        <v>30</v>
      </c>
      <c r="J752" s="8">
        <v>2021</v>
      </c>
      <c r="K752" s="8">
        <v>7</v>
      </c>
    </row>
    <row r="753" spans="1:11" x14ac:dyDescent="0.35">
      <c r="A753" s="13">
        <v>44382</v>
      </c>
      <c r="B753" s="8">
        <v>23.3</v>
      </c>
      <c r="C753" s="8">
        <v>20.399999999999999</v>
      </c>
      <c r="D753" s="8">
        <v>28.4</v>
      </c>
      <c r="E753" s="8">
        <v>2.7</v>
      </c>
      <c r="F753" s="8" t="s">
        <v>30</v>
      </c>
      <c r="G753" s="8" t="s">
        <v>30</v>
      </c>
      <c r="H753" s="8" t="s">
        <v>30</v>
      </c>
      <c r="I753" s="8" t="s">
        <v>30</v>
      </c>
      <c r="J753" s="8">
        <v>2021</v>
      </c>
      <c r="K753" s="8">
        <v>7</v>
      </c>
    </row>
    <row r="754" spans="1:11" x14ac:dyDescent="0.35">
      <c r="A754" s="13">
        <v>44383</v>
      </c>
      <c r="B754" s="8">
        <v>24.9</v>
      </c>
      <c r="C754" s="8">
        <v>20.2</v>
      </c>
      <c r="D754" s="8">
        <v>29.4</v>
      </c>
      <c r="E754" s="8">
        <v>1.3</v>
      </c>
      <c r="F754" s="8" t="s">
        <v>30</v>
      </c>
      <c r="G754" s="8" t="s">
        <v>30</v>
      </c>
      <c r="H754" s="8" t="s">
        <v>30</v>
      </c>
      <c r="I754" s="8" t="s">
        <v>30</v>
      </c>
      <c r="J754" s="8">
        <v>2021</v>
      </c>
      <c r="K754" s="8">
        <v>7</v>
      </c>
    </row>
    <row r="755" spans="1:11" x14ac:dyDescent="0.35">
      <c r="A755" s="13">
        <v>44384</v>
      </c>
      <c r="B755" s="8">
        <v>24.6</v>
      </c>
      <c r="C755" s="8">
        <v>22.3</v>
      </c>
      <c r="D755" s="8">
        <v>30</v>
      </c>
      <c r="E755" s="8">
        <v>0</v>
      </c>
      <c r="F755" s="8" t="s">
        <v>30</v>
      </c>
      <c r="G755" s="8" t="s">
        <v>30</v>
      </c>
      <c r="H755" s="8" t="s">
        <v>30</v>
      </c>
      <c r="I755" s="8" t="s">
        <v>30</v>
      </c>
      <c r="J755" s="8">
        <v>2021</v>
      </c>
      <c r="K755" s="8">
        <v>7</v>
      </c>
    </row>
    <row r="756" spans="1:11" x14ac:dyDescent="0.35">
      <c r="A756" s="13">
        <v>44385</v>
      </c>
      <c r="B756" s="8">
        <v>25.3</v>
      </c>
      <c r="C756" s="8">
        <v>21.8</v>
      </c>
      <c r="D756" s="8">
        <v>29.4</v>
      </c>
      <c r="E756" s="8">
        <v>0</v>
      </c>
      <c r="F756" s="8" t="s">
        <v>30</v>
      </c>
      <c r="G756" s="8" t="s">
        <v>30</v>
      </c>
      <c r="H756" s="8" t="s">
        <v>30</v>
      </c>
      <c r="I756" s="8" t="s">
        <v>30</v>
      </c>
      <c r="J756" s="8">
        <v>2021</v>
      </c>
      <c r="K756" s="8">
        <v>7</v>
      </c>
    </row>
    <row r="757" spans="1:11" x14ac:dyDescent="0.35">
      <c r="A757" s="13">
        <v>44386</v>
      </c>
      <c r="B757" s="8">
        <v>24.2</v>
      </c>
      <c r="C757" s="8">
        <v>20.3</v>
      </c>
      <c r="D757" s="8">
        <v>30.1</v>
      </c>
      <c r="E757" s="8">
        <v>0</v>
      </c>
      <c r="F757" s="8" t="s">
        <v>30</v>
      </c>
      <c r="G757" s="8" t="s">
        <v>30</v>
      </c>
      <c r="H757" s="8" t="s">
        <v>30</v>
      </c>
      <c r="I757" s="8" t="s">
        <v>30</v>
      </c>
      <c r="J757" s="8">
        <v>2021</v>
      </c>
      <c r="K757" s="8">
        <v>7</v>
      </c>
    </row>
    <row r="758" spans="1:11" x14ac:dyDescent="0.35">
      <c r="A758" s="13">
        <v>44387</v>
      </c>
      <c r="B758" s="8">
        <v>22.8</v>
      </c>
      <c r="C758" s="8">
        <v>20.100000000000001</v>
      </c>
      <c r="D758" s="8">
        <v>29</v>
      </c>
      <c r="E758" s="8">
        <v>0.3</v>
      </c>
      <c r="F758" s="8" t="s">
        <v>30</v>
      </c>
      <c r="G758" s="8" t="s">
        <v>30</v>
      </c>
      <c r="H758" s="8" t="s">
        <v>30</v>
      </c>
      <c r="I758" s="8" t="s">
        <v>30</v>
      </c>
      <c r="J758" s="8">
        <v>2021</v>
      </c>
      <c r="K758" s="8">
        <v>7</v>
      </c>
    </row>
    <row r="759" spans="1:11" x14ac:dyDescent="0.35">
      <c r="A759" s="13">
        <v>44388</v>
      </c>
      <c r="B759" s="8">
        <v>22.8</v>
      </c>
      <c r="C759" s="8">
        <v>20.100000000000001</v>
      </c>
      <c r="D759" s="8">
        <v>26.8</v>
      </c>
      <c r="E759" s="8">
        <v>0.5</v>
      </c>
      <c r="F759" s="8" t="s">
        <v>30</v>
      </c>
      <c r="G759" s="8" t="s">
        <v>30</v>
      </c>
      <c r="H759" s="8" t="s">
        <v>30</v>
      </c>
      <c r="I759" s="8" t="s">
        <v>30</v>
      </c>
      <c r="J759" s="8">
        <v>2021</v>
      </c>
      <c r="K759" s="8">
        <v>7</v>
      </c>
    </row>
    <row r="760" spans="1:11" x14ac:dyDescent="0.35">
      <c r="A760" s="13">
        <v>44389</v>
      </c>
      <c r="B760" s="8">
        <v>23.2</v>
      </c>
      <c r="C760" s="8">
        <v>20.2</v>
      </c>
      <c r="D760" s="8">
        <v>26.8</v>
      </c>
      <c r="E760" s="8">
        <v>0</v>
      </c>
      <c r="F760" s="8" t="s">
        <v>30</v>
      </c>
      <c r="G760" s="8" t="s">
        <v>30</v>
      </c>
      <c r="H760" s="8" t="s">
        <v>30</v>
      </c>
      <c r="I760" s="8" t="s">
        <v>30</v>
      </c>
      <c r="J760" s="8">
        <v>2021</v>
      </c>
      <c r="K760" s="8">
        <v>7</v>
      </c>
    </row>
    <row r="761" spans="1:11" x14ac:dyDescent="0.35">
      <c r="A761" s="13">
        <v>44390</v>
      </c>
      <c r="B761" s="8">
        <v>21.8</v>
      </c>
      <c r="C761" s="8">
        <v>20.5</v>
      </c>
      <c r="D761" s="8">
        <v>24</v>
      </c>
      <c r="E761" s="8">
        <v>4.5999999999999996</v>
      </c>
      <c r="F761" s="8" t="s">
        <v>30</v>
      </c>
      <c r="G761" s="8" t="s">
        <v>30</v>
      </c>
      <c r="H761" s="8" t="s">
        <v>30</v>
      </c>
      <c r="I761" s="8" t="s">
        <v>30</v>
      </c>
      <c r="J761" s="8">
        <v>2021</v>
      </c>
      <c r="K761" s="8">
        <v>7</v>
      </c>
    </row>
    <row r="762" spans="1:11" x14ac:dyDescent="0.35">
      <c r="A762" s="13">
        <v>44393</v>
      </c>
      <c r="B762" s="8">
        <v>22.7</v>
      </c>
      <c r="C762" s="8">
        <v>20.8</v>
      </c>
      <c r="D762" s="8">
        <v>25.6</v>
      </c>
      <c r="E762" s="8">
        <v>2.8</v>
      </c>
      <c r="F762" s="8" t="s">
        <v>30</v>
      </c>
      <c r="G762" s="8" t="s">
        <v>30</v>
      </c>
      <c r="H762" s="8" t="s">
        <v>30</v>
      </c>
      <c r="I762" s="8" t="s">
        <v>30</v>
      </c>
      <c r="J762" s="8">
        <v>2021</v>
      </c>
      <c r="K762" s="8">
        <v>7</v>
      </c>
    </row>
    <row r="763" spans="1:11" x14ac:dyDescent="0.35">
      <c r="A763" s="13">
        <v>44394</v>
      </c>
      <c r="B763" s="8">
        <v>22.1</v>
      </c>
      <c r="C763" s="8">
        <v>20.7</v>
      </c>
      <c r="D763" s="8">
        <v>27</v>
      </c>
      <c r="E763" s="8">
        <v>1.3</v>
      </c>
      <c r="F763" s="8" t="s">
        <v>30</v>
      </c>
      <c r="G763" s="8" t="s">
        <v>30</v>
      </c>
      <c r="H763" s="8" t="s">
        <v>30</v>
      </c>
      <c r="I763" s="8" t="s">
        <v>30</v>
      </c>
      <c r="J763" s="8">
        <v>2021</v>
      </c>
      <c r="K763" s="8">
        <v>7</v>
      </c>
    </row>
    <row r="764" spans="1:11" x14ac:dyDescent="0.35">
      <c r="A764" s="13">
        <v>44396</v>
      </c>
      <c r="B764" s="8">
        <v>22.6</v>
      </c>
      <c r="C764" s="8">
        <v>19.5</v>
      </c>
      <c r="D764" s="8">
        <v>26.8</v>
      </c>
      <c r="E764" s="8">
        <v>4.3</v>
      </c>
      <c r="F764" s="8" t="s">
        <v>30</v>
      </c>
      <c r="G764" s="8" t="s">
        <v>30</v>
      </c>
      <c r="H764" s="8" t="s">
        <v>30</v>
      </c>
      <c r="I764" s="8" t="s">
        <v>30</v>
      </c>
      <c r="J764" s="8">
        <v>2021</v>
      </c>
      <c r="K764" s="8">
        <v>7</v>
      </c>
    </row>
    <row r="765" spans="1:11" x14ac:dyDescent="0.35">
      <c r="A765" s="13">
        <v>44397</v>
      </c>
      <c r="B765" s="8">
        <v>23.1</v>
      </c>
      <c r="C765" s="8">
        <v>19.7</v>
      </c>
      <c r="D765" s="8">
        <v>27.6</v>
      </c>
      <c r="E765" s="8">
        <v>7.1</v>
      </c>
      <c r="F765" s="8" t="s">
        <v>30</v>
      </c>
      <c r="G765" s="8" t="s">
        <v>30</v>
      </c>
      <c r="H765" s="8" t="s">
        <v>30</v>
      </c>
      <c r="I765" s="8" t="s">
        <v>30</v>
      </c>
      <c r="J765" s="8">
        <v>2021</v>
      </c>
      <c r="K765" s="8">
        <v>7</v>
      </c>
    </row>
    <row r="766" spans="1:11" x14ac:dyDescent="0.35">
      <c r="A766" s="13">
        <v>44398</v>
      </c>
      <c r="B766" s="8">
        <v>21.8</v>
      </c>
      <c r="C766" s="8">
        <v>20.399999999999999</v>
      </c>
      <c r="D766" s="8">
        <v>27.8</v>
      </c>
      <c r="E766" s="8">
        <v>0</v>
      </c>
      <c r="F766" s="8" t="s">
        <v>30</v>
      </c>
      <c r="G766" s="8" t="s">
        <v>30</v>
      </c>
      <c r="H766" s="8" t="s">
        <v>30</v>
      </c>
      <c r="I766" s="8" t="s">
        <v>30</v>
      </c>
      <c r="J766" s="8">
        <v>2021</v>
      </c>
      <c r="K766" s="8">
        <v>7</v>
      </c>
    </row>
    <row r="767" spans="1:11" x14ac:dyDescent="0.35">
      <c r="A767" s="13">
        <v>44399</v>
      </c>
      <c r="B767" s="8">
        <v>21.2</v>
      </c>
      <c r="C767" s="8">
        <v>20</v>
      </c>
      <c r="D767" s="8">
        <v>24.2</v>
      </c>
      <c r="E767" s="8">
        <v>3.3</v>
      </c>
      <c r="F767" s="8" t="s">
        <v>30</v>
      </c>
      <c r="G767" s="8" t="s">
        <v>30</v>
      </c>
      <c r="H767" s="8" t="s">
        <v>30</v>
      </c>
      <c r="I767" s="8" t="s">
        <v>30</v>
      </c>
      <c r="J767" s="8">
        <v>2021</v>
      </c>
      <c r="K767" s="8">
        <v>7</v>
      </c>
    </row>
    <row r="768" spans="1:11" x14ac:dyDescent="0.35">
      <c r="A768" s="13">
        <v>44400</v>
      </c>
      <c r="B768" s="8">
        <v>21.4</v>
      </c>
      <c r="C768" s="8">
        <v>19.7</v>
      </c>
      <c r="D768" s="8">
        <v>24.7</v>
      </c>
      <c r="E768" s="8">
        <v>3</v>
      </c>
      <c r="F768" s="8" t="s">
        <v>30</v>
      </c>
      <c r="G768" s="8" t="s">
        <v>30</v>
      </c>
      <c r="H768" s="8" t="s">
        <v>30</v>
      </c>
      <c r="I768" s="8" t="s">
        <v>30</v>
      </c>
      <c r="J768" s="8">
        <v>2021</v>
      </c>
      <c r="K768" s="8">
        <v>7</v>
      </c>
    </row>
    <row r="769" spans="1:11" x14ac:dyDescent="0.35">
      <c r="A769" s="13">
        <v>44401</v>
      </c>
      <c r="B769" s="8">
        <v>22.6</v>
      </c>
      <c r="C769" s="8">
        <v>20</v>
      </c>
      <c r="D769" s="8">
        <v>27.1</v>
      </c>
      <c r="E769" s="8">
        <v>0.5</v>
      </c>
      <c r="F769" s="8" t="s">
        <v>30</v>
      </c>
      <c r="G769" s="8" t="s">
        <v>30</v>
      </c>
      <c r="H769" s="8" t="s">
        <v>30</v>
      </c>
      <c r="I769" s="8" t="s">
        <v>30</v>
      </c>
      <c r="J769" s="8">
        <v>2021</v>
      </c>
      <c r="K769" s="8">
        <v>7</v>
      </c>
    </row>
    <row r="770" spans="1:11" x14ac:dyDescent="0.35">
      <c r="A770" s="13">
        <v>44404</v>
      </c>
      <c r="B770" s="8">
        <v>23.4</v>
      </c>
      <c r="C770" s="8">
        <v>20.100000000000001</v>
      </c>
      <c r="D770" s="8">
        <v>28.3</v>
      </c>
      <c r="E770" s="8">
        <v>0</v>
      </c>
      <c r="F770" s="8" t="s">
        <v>30</v>
      </c>
      <c r="G770" s="8" t="s">
        <v>30</v>
      </c>
      <c r="H770" s="8" t="s">
        <v>30</v>
      </c>
      <c r="I770" s="8" t="s">
        <v>30</v>
      </c>
      <c r="J770" s="8">
        <v>2021</v>
      </c>
      <c r="K770" s="8">
        <v>7</v>
      </c>
    </row>
    <row r="771" spans="1:11" x14ac:dyDescent="0.35">
      <c r="A771" s="13">
        <v>44405</v>
      </c>
      <c r="B771" s="8">
        <v>23.1</v>
      </c>
      <c r="C771" s="8">
        <v>19.8</v>
      </c>
      <c r="D771" s="8">
        <v>27.6</v>
      </c>
      <c r="E771" s="8">
        <v>1</v>
      </c>
      <c r="F771" s="8" t="s">
        <v>30</v>
      </c>
      <c r="G771" s="8" t="s">
        <v>30</v>
      </c>
      <c r="H771" s="8" t="s">
        <v>30</v>
      </c>
      <c r="I771" s="8" t="s">
        <v>30</v>
      </c>
      <c r="J771" s="8">
        <v>2021</v>
      </c>
      <c r="K771" s="8">
        <v>7</v>
      </c>
    </row>
    <row r="772" spans="1:11" x14ac:dyDescent="0.35">
      <c r="A772" s="13">
        <v>44406</v>
      </c>
      <c r="B772" s="8">
        <v>22.7</v>
      </c>
      <c r="C772" s="8">
        <v>19.5</v>
      </c>
      <c r="D772" s="8">
        <v>26.4</v>
      </c>
      <c r="E772" s="8">
        <v>0.9</v>
      </c>
      <c r="F772" s="8" t="s">
        <v>30</v>
      </c>
      <c r="G772" s="8" t="s">
        <v>30</v>
      </c>
      <c r="H772" s="8" t="s">
        <v>30</v>
      </c>
      <c r="I772" s="8" t="s">
        <v>30</v>
      </c>
      <c r="J772" s="8">
        <v>2021</v>
      </c>
      <c r="K772" s="8">
        <v>7</v>
      </c>
    </row>
    <row r="773" spans="1:11" x14ac:dyDescent="0.35">
      <c r="A773" s="13">
        <v>44407</v>
      </c>
      <c r="B773" s="8">
        <v>23.5</v>
      </c>
      <c r="C773" s="8">
        <v>19.600000000000001</v>
      </c>
      <c r="D773" s="8">
        <v>28.4</v>
      </c>
      <c r="E773" s="8">
        <v>0</v>
      </c>
      <c r="F773" s="8" t="s">
        <v>30</v>
      </c>
      <c r="G773" s="8" t="s">
        <v>30</v>
      </c>
      <c r="H773" s="8" t="s">
        <v>30</v>
      </c>
      <c r="I773" s="8" t="s">
        <v>30</v>
      </c>
      <c r="J773" s="8">
        <v>2021</v>
      </c>
      <c r="K773" s="8">
        <v>7</v>
      </c>
    </row>
    <row r="774" spans="1:11" x14ac:dyDescent="0.35">
      <c r="A774" s="13">
        <v>44408</v>
      </c>
      <c r="B774" s="8">
        <v>23.1</v>
      </c>
      <c r="C774" s="8">
        <v>19</v>
      </c>
      <c r="D774" s="8">
        <v>28.1</v>
      </c>
      <c r="E774" s="8">
        <v>0.7</v>
      </c>
      <c r="F774" s="8" t="s">
        <v>30</v>
      </c>
      <c r="G774" s="8" t="s">
        <v>30</v>
      </c>
      <c r="H774" s="8" t="s">
        <v>30</v>
      </c>
      <c r="I774" s="8" t="s">
        <v>30</v>
      </c>
      <c r="J774" s="8">
        <v>2021</v>
      </c>
      <c r="K774" s="8">
        <v>7</v>
      </c>
    </row>
    <row r="775" spans="1:11" x14ac:dyDescent="0.35">
      <c r="A775" s="13">
        <v>44409</v>
      </c>
      <c r="B775" s="8">
        <v>23.2</v>
      </c>
      <c r="C775" s="8">
        <v>20</v>
      </c>
      <c r="D775" s="8">
        <v>28</v>
      </c>
      <c r="E775" s="8">
        <v>0</v>
      </c>
      <c r="F775" s="8" t="s">
        <v>30</v>
      </c>
      <c r="G775" s="8" t="s">
        <v>30</v>
      </c>
      <c r="H775" s="8" t="s">
        <v>30</v>
      </c>
      <c r="I775" s="8" t="s">
        <v>30</v>
      </c>
      <c r="J775" s="8">
        <v>2021</v>
      </c>
      <c r="K775" s="8">
        <v>8</v>
      </c>
    </row>
    <row r="776" spans="1:11" x14ac:dyDescent="0.35">
      <c r="A776" s="13">
        <v>44410</v>
      </c>
      <c r="B776" s="8">
        <v>23.6</v>
      </c>
      <c r="C776" s="8">
        <v>19.600000000000001</v>
      </c>
      <c r="D776" s="8">
        <v>27.5</v>
      </c>
      <c r="E776" s="8">
        <v>0</v>
      </c>
      <c r="F776" s="8" t="s">
        <v>30</v>
      </c>
      <c r="G776" s="8" t="s">
        <v>30</v>
      </c>
      <c r="H776" s="8" t="s">
        <v>30</v>
      </c>
      <c r="I776" s="8" t="s">
        <v>30</v>
      </c>
      <c r="J776" s="8">
        <v>2021</v>
      </c>
      <c r="K776" s="8">
        <v>8</v>
      </c>
    </row>
    <row r="777" spans="1:11" x14ac:dyDescent="0.35">
      <c r="A777" s="13">
        <v>44411</v>
      </c>
      <c r="B777" s="8">
        <v>23.2</v>
      </c>
      <c r="C777" s="8">
        <v>19.5</v>
      </c>
      <c r="D777" s="8">
        <v>28.2</v>
      </c>
      <c r="E777" s="8">
        <v>0.7</v>
      </c>
      <c r="F777" s="8" t="s">
        <v>30</v>
      </c>
      <c r="G777" s="8" t="s">
        <v>30</v>
      </c>
      <c r="H777" s="8" t="s">
        <v>30</v>
      </c>
      <c r="I777" s="8" t="s">
        <v>30</v>
      </c>
      <c r="J777" s="8">
        <v>2021</v>
      </c>
      <c r="K777" s="8">
        <v>8</v>
      </c>
    </row>
    <row r="778" spans="1:11" x14ac:dyDescent="0.35">
      <c r="A778" s="13">
        <v>44412</v>
      </c>
      <c r="B778" s="8">
        <v>23.3</v>
      </c>
      <c r="C778" s="8">
        <v>19.8</v>
      </c>
      <c r="D778" s="8">
        <v>27.8</v>
      </c>
      <c r="E778" s="8">
        <v>2.8</v>
      </c>
      <c r="F778" s="8" t="s">
        <v>30</v>
      </c>
      <c r="G778" s="8" t="s">
        <v>30</v>
      </c>
      <c r="H778" s="8" t="s">
        <v>30</v>
      </c>
      <c r="I778" s="8" t="s">
        <v>30</v>
      </c>
      <c r="J778" s="8">
        <v>2021</v>
      </c>
      <c r="K778" s="8">
        <v>8</v>
      </c>
    </row>
    <row r="779" spans="1:11" x14ac:dyDescent="0.35">
      <c r="A779" s="13">
        <v>44413</v>
      </c>
      <c r="B779" s="8">
        <v>22.7</v>
      </c>
      <c r="C779" s="8">
        <v>19.2</v>
      </c>
      <c r="D779" s="8">
        <v>27.6</v>
      </c>
      <c r="E779" s="8">
        <v>2.7</v>
      </c>
      <c r="F779" s="8" t="s">
        <v>30</v>
      </c>
      <c r="G779" s="8" t="s">
        <v>30</v>
      </c>
      <c r="H779" s="8" t="s">
        <v>30</v>
      </c>
      <c r="I779" s="8" t="s">
        <v>30</v>
      </c>
      <c r="J779" s="8">
        <v>2021</v>
      </c>
      <c r="K779" s="8">
        <v>8</v>
      </c>
    </row>
    <row r="780" spans="1:11" x14ac:dyDescent="0.35">
      <c r="A780" s="13">
        <v>44414</v>
      </c>
      <c r="B780" s="8">
        <v>23.5</v>
      </c>
      <c r="C780" s="8">
        <v>19.899999999999999</v>
      </c>
      <c r="D780" s="8">
        <v>28.8</v>
      </c>
      <c r="E780" s="8">
        <v>1.6</v>
      </c>
      <c r="F780" s="8" t="s">
        <v>30</v>
      </c>
      <c r="G780" s="8" t="s">
        <v>30</v>
      </c>
      <c r="H780" s="8" t="s">
        <v>30</v>
      </c>
      <c r="I780" s="8" t="s">
        <v>30</v>
      </c>
      <c r="J780" s="8">
        <v>2021</v>
      </c>
      <c r="K780" s="8">
        <v>8</v>
      </c>
    </row>
    <row r="781" spans="1:11" x14ac:dyDescent="0.35">
      <c r="A781" s="13">
        <v>44415</v>
      </c>
      <c r="B781" s="8">
        <v>24.3</v>
      </c>
      <c r="C781" s="8">
        <v>20.9</v>
      </c>
      <c r="D781" s="8">
        <v>29.4</v>
      </c>
      <c r="E781" s="8">
        <v>4.3</v>
      </c>
      <c r="F781" s="8" t="s">
        <v>30</v>
      </c>
      <c r="G781" s="8" t="s">
        <v>30</v>
      </c>
      <c r="H781" s="8" t="s">
        <v>30</v>
      </c>
      <c r="I781" s="8" t="s">
        <v>30</v>
      </c>
      <c r="J781" s="8">
        <v>2021</v>
      </c>
      <c r="K781" s="8">
        <v>8</v>
      </c>
    </row>
    <row r="782" spans="1:11" x14ac:dyDescent="0.35">
      <c r="A782" s="13">
        <v>44416</v>
      </c>
      <c r="B782" s="8">
        <v>24.9</v>
      </c>
      <c r="C782" s="8">
        <v>20.8</v>
      </c>
      <c r="D782" s="8">
        <v>30.3</v>
      </c>
      <c r="E782" s="8">
        <v>1.3</v>
      </c>
      <c r="F782" s="8" t="s">
        <v>30</v>
      </c>
      <c r="G782" s="8" t="s">
        <v>30</v>
      </c>
      <c r="H782" s="8" t="s">
        <v>30</v>
      </c>
      <c r="I782" s="8" t="s">
        <v>30</v>
      </c>
      <c r="J782" s="8">
        <v>2021</v>
      </c>
      <c r="K782" s="8">
        <v>8</v>
      </c>
    </row>
    <row r="783" spans="1:11" x14ac:dyDescent="0.35">
      <c r="A783" s="13">
        <v>44417</v>
      </c>
      <c r="B783" s="8">
        <v>25.5</v>
      </c>
      <c r="C783" s="8">
        <v>21.7</v>
      </c>
      <c r="D783" s="8">
        <v>30.7</v>
      </c>
      <c r="E783" s="8">
        <v>0.5</v>
      </c>
      <c r="F783" s="8" t="s">
        <v>30</v>
      </c>
      <c r="G783" s="8" t="s">
        <v>30</v>
      </c>
      <c r="H783" s="8" t="s">
        <v>30</v>
      </c>
      <c r="I783" s="8" t="s">
        <v>30</v>
      </c>
      <c r="J783" s="8">
        <v>2021</v>
      </c>
      <c r="K783" s="8">
        <v>8</v>
      </c>
    </row>
    <row r="784" spans="1:11" x14ac:dyDescent="0.35">
      <c r="A784" s="13">
        <v>44418</v>
      </c>
      <c r="B784" s="8">
        <v>23.9</v>
      </c>
      <c r="C784" s="8">
        <v>21.8</v>
      </c>
      <c r="D784" s="8">
        <v>30.7</v>
      </c>
      <c r="E784" s="8">
        <v>0</v>
      </c>
      <c r="F784" s="8" t="s">
        <v>30</v>
      </c>
      <c r="G784" s="8" t="s">
        <v>30</v>
      </c>
      <c r="H784" s="8" t="s">
        <v>30</v>
      </c>
      <c r="I784" s="8" t="s">
        <v>30</v>
      </c>
      <c r="J784" s="8">
        <v>2021</v>
      </c>
      <c r="K784" s="8">
        <v>8</v>
      </c>
    </row>
    <row r="785" spans="1:11" x14ac:dyDescent="0.35">
      <c r="A785" s="13">
        <v>44419</v>
      </c>
      <c r="B785" s="8">
        <v>24</v>
      </c>
      <c r="C785" s="8">
        <v>20.8</v>
      </c>
      <c r="D785" s="8">
        <v>28.2</v>
      </c>
      <c r="E785" s="8">
        <v>0</v>
      </c>
      <c r="F785" s="8" t="s">
        <v>30</v>
      </c>
      <c r="G785" s="8" t="s">
        <v>30</v>
      </c>
      <c r="H785" s="8" t="s">
        <v>30</v>
      </c>
      <c r="I785" s="8" t="s">
        <v>30</v>
      </c>
      <c r="J785" s="8">
        <v>2021</v>
      </c>
      <c r="K785" s="8">
        <v>8</v>
      </c>
    </row>
    <row r="786" spans="1:11" x14ac:dyDescent="0.35">
      <c r="A786" s="13">
        <v>44420</v>
      </c>
      <c r="B786" s="8">
        <v>22.8</v>
      </c>
      <c r="C786" s="8">
        <v>19.7</v>
      </c>
      <c r="D786" s="8">
        <v>28.2</v>
      </c>
      <c r="E786" s="8">
        <v>1.5</v>
      </c>
      <c r="F786" s="8" t="s">
        <v>30</v>
      </c>
      <c r="G786" s="8" t="s">
        <v>30</v>
      </c>
      <c r="H786" s="8" t="s">
        <v>30</v>
      </c>
      <c r="I786" s="8" t="s">
        <v>30</v>
      </c>
      <c r="J786" s="8">
        <v>2021</v>
      </c>
      <c r="K786" s="8">
        <v>8</v>
      </c>
    </row>
    <row r="787" spans="1:11" x14ac:dyDescent="0.35">
      <c r="A787" s="13">
        <v>44421</v>
      </c>
      <c r="B787" s="8">
        <v>23.2</v>
      </c>
      <c r="C787" s="8">
        <v>20</v>
      </c>
      <c r="D787" s="8">
        <v>27</v>
      </c>
      <c r="E787" s="8">
        <v>3.8</v>
      </c>
      <c r="F787" s="8" t="s">
        <v>30</v>
      </c>
      <c r="G787" s="8" t="s">
        <v>30</v>
      </c>
      <c r="H787" s="8" t="s">
        <v>30</v>
      </c>
      <c r="I787" s="8" t="s">
        <v>30</v>
      </c>
      <c r="J787" s="8">
        <v>2021</v>
      </c>
      <c r="K787" s="8">
        <v>8</v>
      </c>
    </row>
    <row r="788" spans="1:11" x14ac:dyDescent="0.35">
      <c r="A788" s="13">
        <v>44422</v>
      </c>
      <c r="B788" s="8">
        <v>23.6</v>
      </c>
      <c r="C788" s="8">
        <v>20.3</v>
      </c>
      <c r="D788" s="8">
        <v>27.4</v>
      </c>
      <c r="E788" s="8">
        <v>0</v>
      </c>
      <c r="F788" s="8" t="s">
        <v>30</v>
      </c>
      <c r="G788" s="8" t="s">
        <v>30</v>
      </c>
      <c r="H788" s="8" t="s">
        <v>30</v>
      </c>
      <c r="I788" s="8" t="s">
        <v>30</v>
      </c>
      <c r="J788" s="8">
        <v>2021</v>
      </c>
      <c r="K788" s="8">
        <v>8</v>
      </c>
    </row>
    <row r="789" spans="1:11" x14ac:dyDescent="0.35">
      <c r="A789" s="13">
        <v>44423</v>
      </c>
      <c r="B789" s="8">
        <v>22.7</v>
      </c>
      <c r="C789" s="8">
        <v>19</v>
      </c>
      <c r="D789" s="8">
        <v>27</v>
      </c>
      <c r="E789" s="8">
        <v>0.5</v>
      </c>
      <c r="F789" s="8" t="s">
        <v>30</v>
      </c>
      <c r="G789" s="8" t="s">
        <v>30</v>
      </c>
      <c r="H789" s="8" t="s">
        <v>30</v>
      </c>
      <c r="I789" s="8" t="s">
        <v>30</v>
      </c>
      <c r="J789" s="8">
        <v>2021</v>
      </c>
      <c r="K789" s="8">
        <v>8</v>
      </c>
    </row>
    <row r="790" spans="1:11" x14ac:dyDescent="0.35">
      <c r="A790" s="13">
        <v>44424</v>
      </c>
      <c r="B790" s="8">
        <v>22.8</v>
      </c>
      <c r="C790" s="8">
        <v>20.7</v>
      </c>
      <c r="D790" s="8">
        <v>28</v>
      </c>
      <c r="E790" s="8">
        <v>0</v>
      </c>
      <c r="F790" s="8" t="s">
        <v>30</v>
      </c>
      <c r="G790" s="8" t="s">
        <v>30</v>
      </c>
      <c r="H790" s="8" t="s">
        <v>30</v>
      </c>
      <c r="I790" s="8" t="s">
        <v>30</v>
      </c>
      <c r="J790" s="8">
        <v>2021</v>
      </c>
      <c r="K790" s="8">
        <v>8</v>
      </c>
    </row>
    <row r="791" spans="1:11" x14ac:dyDescent="0.35">
      <c r="A791" s="13">
        <v>44426</v>
      </c>
      <c r="B791" s="8">
        <v>23.6</v>
      </c>
      <c r="C791" s="8">
        <v>20.7</v>
      </c>
      <c r="D791" s="8">
        <v>27.5</v>
      </c>
      <c r="E791" s="8">
        <v>0</v>
      </c>
      <c r="F791" s="8" t="s">
        <v>30</v>
      </c>
      <c r="G791" s="8" t="s">
        <v>30</v>
      </c>
      <c r="H791" s="8" t="s">
        <v>30</v>
      </c>
      <c r="I791" s="8" t="s">
        <v>30</v>
      </c>
      <c r="J791" s="8">
        <v>2021</v>
      </c>
      <c r="K791" s="8">
        <v>8</v>
      </c>
    </row>
    <row r="792" spans="1:11" x14ac:dyDescent="0.35">
      <c r="A792" s="13">
        <v>44427</v>
      </c>
      <c r="B792" s="8">
        <v>23.6</v>
      </c>
      <c r="C792" s="8">
        <v>20.399999999999999</v>
      </c>
      <c r="D792" s="8">
        <v>28.4</v>
      </c>
      <c r="E792" s="8">
        <v>0.3</v>
      </c>
      <c r="F792" s="8" t="s">
        <v>30</v>
      </c>
      <c r="G792" s="8" t="s">
        <v>30</v>
      </c>
      <c r="H792" s="8" t="s">
        <v>30</v>
      </c>
      <c r="I792" s="8" t="s">
        <v>30</v>
      </c>
      <c r="J792" s="8">
        <v>2021</v>
      </c>
      <c r="K792" s="8">
        <v>8</v>
      </c>
    </row>
    <row r="793" spans="1:11" x14ac:dyDescent="0.35">
      <c r="A793" s="13">
        <v>44428</v>
      </c>
      <c r="B793" s="8">
        <v>24.1</v>
      </c>
      <c r="C793" s="8">
        <v>20.5</v>
      </c>
      <c r="D793" s="8">
        <v>28.8</v>
      </c>
      <c r="E793" s="8">
        <v>7.1</v>
      </c>
      <c r="F793" s="8" t="s">
        <v>30</v>
      </c>
      <c r="G793" s="8" t="s">
        <v>30</v>
      </c>
      <c r="H793" s="8" t="s">
        <v>30</v>
      </c>
      <c r="I793" s="8" t="s">
        <v>30</v>
      </c>
      <c r="J793" s="8">
        <v>2021</v>
      </c>
      <c r="K793" s="8">
        <v>8</v>
      </c>
    </row>
    <row r="794" spans="1:11" x14ac:dyDescent="0.35">
      <c r="A794" s="13">
        <v>44429</v>
      </c>
      <c r="B794" s="8">
        <v>22.4</v>
      </c>
      <c r="C794" s="8">
        <v>20.2</v>
      </c>
      <c r="D794" s="8">
        <v>28.6</v>
      </c>
      <c r="E794" s="8">
        <v>0.3</v>
      </c>
      <c r="F794" s="8" t="s">
        <v>30</v>
      </c>
      <c r="G794" s="8" t="s">
        <v>30</v>
      </c>
      <c r="H794" s="8" t="s">
        <v>30</v>
      </c>
      <c r="I794" s="8" t="s">
        <v>30</v>
      </c>
      <c r="J794" s="8">
        <v>2021</v>
      </c>
      <c r="K794" s="8">
        <v>8</v>
      </c>
    </row>
    <row r="795" spans="1:11" x14ac:dyDescent="0.35">
      <c r="A795" s="13">
        <v>44430</v>
      </c>
      <c r="B795" s="8">
        <v>22.8</v>
      </c>
      <c r="C795" s="8">
        <v>19.2</v>
      </c>
      <c r="D795" s="8">
        <v>27.7</v>
      </c>
      <c r="E795" s="8">
        <v>5.6</v>
      </c>
      <c r="F795" s="8" t="s">
        <v>30</v>
      </c>
      <c r="G795" s="8" t="s">
        <v>30</v>
      </c>
      <c r="H795" s="8" t="s">
        <v>30</v>
      </c>
      <c r="I795" s="8" t="s">
        <v>30</v>
      </c>
      <c r="J795" s="8">
        <v>2021</v>
      </c>
      <c r="K795" s="8">
        <v>8</v>
      </c>
    </row>
    <row r="796" spans="1:11" x14ac:dyDescent="0.35">
      <c r="A796" s="13">
        <v>44431</v>
      </c>
      <c r="B796" s="8">
        <v>23.6</v>
      </c>
      <c r="C796" s="8">
        <v>20.5</v>
      </c>
      <c r="D796" s="8">
        <v>27.1</v>
      </c>
      <c r="E796" s="8">
        <v>3</v>
      </c>
      <c r="F796" s="8" t="s">
        <v>30</v>
      </c>
      <c r="G796" s="8" t="s">
        <v>30</v>
      </c>
      <c r="H796" s="8" t="s">
        <v>30</v>
      </c>
      <c r="I796" s="8" t="s">
        <v>30</v>
      </c>
      <c r="J796" s="8">
        <v>2021</v>
      </c>
      <c r="K796" s="8">
        <v>8</v>
      </c>
    </row>
    <row r="797" spans="1:11" x14ac:dyDescent="0.35">
      <c r="A797" s="13">
        <v>44432</v>
      </c>
      <c r="B797" s="8">
        <v>24.5</v>
      </c>
      <c r="C797" s="8">
        <v>20.3</v>
      </c>
      <c r="D797" s="8">
        <v>29</v>
      </c>
      <c r="E797" s="8">
        <v>3.8</v>
      </c>
      <c r="F797" s="8" t="s">
        <v>30</v>
      </c>
      <c r="G797" s="8" t="s">
        <v>30</v>
      </c>
      <c r="H797" s="8" t="s">
        <v>30</v>
      </c>
      <c r="I797" s="8" t="s">
        <v>30</v>
      </c>
      <c r="J797" s="8">
        <v>2021</v>
      </c>
      <c r="K797" s="8">
        <v>8</v>
      </c>
    </row>
    <row r="798" spans="1:11" x14ac:dyDescent="0.35">
      <c r="A798" s="13">
        <v>44433</v>
      </c>
      <c r="B798" s="8">
        <v>24.1</v>
      </c>
      <c r="C798" s="8">
        <v>20.7</v>
      </c>
      <c r="D798" s="8">
        <v>29.1</v>
      </c>
      <c r="E798" s="8">
        <v>1</v>
      </c>
      <c r="F798" s="8" t="s">
        <v>30</v>
      </c>
      <c r="G798" s="8" t="s">
        <v>30</v>
      </c>
      <c r="H798" s="8" t="s">
        <v>30</v>
      </c>
      <c r="I798" s="8" t="s">
        <v>30</v>
      </c>
      <c r="J798" s="8">
        <v>2021</v>
      </c>
      <c r="K798" s="8">
        <v>8</v>
      </c>
    </row>
    <row r="799" spans="1:11" x14ac:dyDescent="0.35">
      <c r="A799" s="13">
        <v>44434</v>
      </c>
      <c r="B799" s="8">
        <v>24.1</v>
      </c>
      <c r="C799" s="8">
        <v>21</v>
      </c>
      <c r="D799" s="8">
        <v>29.6</v>
      </c>
      <c r="E799" s="8">
        <v>0</v>
      </c>
      <c r="F799" s="8" t="s">
        <v>30</v>
      </c>
      <c r="G799" s="8" t="s">
        <v>30</v>
      </c>
      <c r="H799" s="8" t="s">
        <v>30</v>
      </c>
      <c r="I799" s="8" t="s">
        <v>30</v>
      </c>
      <c r="J799" s="8">
        <v>2021</v>
      </c>
      <c r="K799" s="8">
        <v>8</v>
      </c>
    </row>
    <row r="800" spans="1:11" x14ac:dyDescent="0.35">
      <c r="A800" s="13">
        <v>44437</v>
      </c>
      <c r="B800" s="8">
        <v>21.7</v>
      </c>
      <c r="C800" s="8">
        <v>19.2</v>
      </c>
      <c r="D800" s="8">
        <v>25.8</v>
      </c>
      <c r="E800" s="8">
        <v>4.0999999999999996</v>
      </c>
      <c r="F800" s="8" t="s">
        <v>30</v>
      </c>
      <c r="G800" s="8" t="s">
        <v>30</v>
      </c>
      <c r="H800" s="8" t="s">
        <v>30</v>
      </c>
      <c r="I800" s="8" t="s">
        <v>30</v>
      </c>
      <c r="J800" s="8">
        <v>2021</v>
      </c>
      <c r="K800" s="8">
        <v>8</v>
      </c>
    </row>
    <row r="801" spans="1:11" x14ac:dyDescent="0.35">
      <c r="A801" s="13">
        <v>44438</v>
      </c>
      <c r="B801" s="8">
        <v>22.4</v>
      </c>
      <c r="C801" s="8">
        <v>19.7</v>
      </c>
      <c r="D801" s="8">
        <v>26.2</v>
      </c>
      <c r="E801" s="8">
        <v>3.8</v>
      </c>
      <c r="F801" s="8" t="s">
        <v>30</v>
      </c>
      <c r="G801" s="8" t="s">
        <v>30</v>
      </c>
      <c r="H801" s="8" t="s">
        <v>30</v>
      </c>
      <c r="I801" s="8" t="s">
        <v>30</v>
      </c>
      <c r="J801" s="8">
        <v>2021</v>
      </c>
      <c r="K801" s="8">
        <v>8</v>
      </c>
    </row>
    <row r="802" spans="1:11" x14ac:dyDescent="0.35">
      <c r="A802" s="13">
        <v>44439</v>
      </c>
      <c r="B802" s="8">
        <v>23.9</v>
      </c>
      <c r="C802" s="8">
        <v>19.7</v>
      </c>
      <c r="D802" s="8">
        <v>27.6</v>
      </c>
      <c r="E802" s="8">
        <v>0.5</v>
      </c>
      <c r="F802" s="8" t="s">
        <v>30</v>
      </c>
      <c r="G802" s="8" t="s">
        <v>30</v>
      </c>
      <c r="H802" s="8" t="s">
        <v>30</v>
      </c>
      <c r="I802" s="8" t="s">
        <v>30</v>
      </c>
      <c r="J802" s="8">
        <v>2021</v>
      </c>
      <c r="K802" s="8">
        <v>8</v>
      </c>
    </row>
    <row r="803" spans="1:11" x14ac:dyDescent="0.35">
      <c r="A803" s="13">
        <v>44440</v>
      </c>
      <c r="B803" s="8">
        <v>23.6</v>
      </c>
      <c r="C803" s="8">
        <v>20.9</v>
      </c>
      <c r="D803" s="8">
        <v>29.3</v>
      </c>
      <c r="E803" s="8">
        <v>0</v>
      </c>
      <c r="F803" s="8" t="s">
        <v>30</v>
      </c>
      <c r="G803" s="8" t="s">
        <v>30</v>
      </c>
      <c r="H803" s="8" t="s">
        <v>30</v>
      </c>
      <c r="I803" s="8" t="s">
        <v>30</v>
      </c>
      <c r="J803" s="8">
        <v>2021</v>
      </c>
      <c r="K803" s="8">
        <v>9</v>
      </c>
    </row>
    <row r="804" spans="1:11" x14ac:dyDescent="0.35">
      <c r="A804" s="13">
        <v>44441</v>
      </c>
      <c r="B804" s="8">
        <v>22.6</v>
      </c>
      <c r="C804" s="8">
        <v>19.5</v>
      </c>
      <c r="D804" s="8">
        <v>29.4</v>
      </c>
      <c r="E804" s="8">
        <v>2.8</v>
      </c>
      <c r="F804" s="8" t="s">
        <v>30</v>
      </c>
      <c r="G804" s="8" t="s">
        <v>30</v>
      </c>
      <c r="H804" s="8" t="s">
        <v>30</v>
      </c>
      <c r="I804" s="8" t="s">
        <v>30</v>
      </c>
      <c r="J804" s="8">
        <v>2021</v>
      </c>
      <c r="K804" s="8">
        <v>9</v>
      </c>
    </row>
    <row r="805" spans="1:11" x14ac:dyDescent="0.35">
      <c r="A805" s="13">
        <v>44443</v>
      </c>
      <c r="B805" s="8">
        <v>22.3</v>
      </c>
      <c r="C805" s="8">
        <v>20.399999999999999</v>
      </c>
      <c r="D805" s="8">
        <v>26.2</v>
      </c>
      <c r="E805" s="8">
        <v>0</v>
      </c>
      <c r="F805" s="8" t="s">
        <v>30</v>
      </c>
      <c r="G805" s="8" t="s">
        <v>30</v>
      </c>
      <c r="H805" s="8" t="s">
        <v>30</v>
      </c>
      <c r="I805" s="8" t="s">
        <v>30</v>
      </c>
      <c r="J805" s="8">
        <v>2021</v>
      </c>
      <c r="K805" s="8">
        <v>9</v>
      </c>
    </row>
    <row r="806" spans="1:11" x14ac:dyDescent="0.35">
      <c r="A806" s="13">
        <v>44444</v>
      </c>
      <c r="B806" s="8">
        <v>22.1</v>
      </c>
      <c r="C806" s="8">
        <v>20.2</v>
      </c>
      <c r="D806" s="8">
        <v>26.6</v>
      </c>
      <c r="E806" s="8">
        <v>1</v>
      </c>
      <c r="F806" s="8" t="s">
        <v>30</v>
      </c>
      <c r="G806" s="8" t="s">
        <v>30</v>
      </c>
      <c r="H806" s="8" t="s">
        <v>30</v>
      </c>
      <c r="I806" s="8" t="s">
        <v>30</v>
      </c>
      <c r="J806" s="8">
        <v>2021</v>
      </c>
      <c r="K806" s="8">
        <v>9</v>
      </c>
    </row>
    <row r="807" spans="1:11" x14ac:dyDescent="0.35">
      <c r="A807" s="13">
        <v>44445</v>
      </c>
      <c r="B807" s="8">
        <v>22.6</v>
      </c>
      <c r="C807" s="8">
        <v>20.2</v>
      </c>
      <c r="D807" s="8">
        <v>27.2</v>
      </c>
      <c r="E807" s="8">
        <v>7.9</v>
      </c>
      <c r="F807" s="8" t="s">
        <v>30</v>
      </c>
      <c r="G807" s="8" t="s">
        <v>30</v>
      </c>
      <c r="H807" s="8" t="s">
        <v>30</v>
      </c>
      <c r="I807" s="8" t="s">
        <v>30</v>
      </c>
      <c r="J807" s="8">
        <v>2021</v>
      </c>
      <c r="K807" s="8">
        <v>9</v>
      </c>
    </row>
    <row r="808" spans="1:11" x14ac:dyDescent="0.35">
      <c r="A808" s="13">
        <v>44446</v>
      </c>
      <c r="B808" s="8">
        <v>22.2</v>
      </c>
      <c r="C808" s="8">
        <v>20</v>
      </c>
      <c r="D808" s="8">
        <v>27</v>
      </c>
      <c r="E808" s="8">
        <v>2</v>
      </c>
      <c r="F808" s="8" t="s">
        <v>30</v>
      </c>
      <c r="G808" s="8" t="s">
        <v>30</v>
      </c>
      <c r="H808" s="8" t="s">
        <v>30</v>
      </c>
      <c r="I808" s="8" t="s">
        <v>30</v>
      </c>
      <c r="J808" s="8">
        <v>2021</v>
      </c>
      <c r="K808" s="8">
        <v>9</v>
      </c>
    </row>
    <row r="809" spans="1:11" x14ac:dyDescent="0.35">
      <c r="A809" s="13">
        <v>44447</v>
      </c>
      <c r="B809" s="8">
        <v>23.1</v>
      </c>
      <c r="C809" s="8">
        <v>20.5</v>
      </c>
      <c r="D809" s="8">
        <v>27</v>
      </c>
      <c r="E809" s="8">
        <v>0.5</v>
      </c>
      <c r="F809" s="8" t="s">
        <v>30</v>
      </c>
      <c r="G809" s="8" t="s">
        <v>30</v>
      </c>
      <c r="H809" s="8" t="s">
        <v>30</v>
      </c>
      <c r="I809" s="8" t="s">
        <v>30</v>
      </c>
      <c r="J809" s="8">
        <v>2021</v>
      </c>
      <c r="K809" s="8">
        <v>9</v>
      </c>
    </row>
    <row r="810" spans="1:11" x14ac:dyDescent="0.35">
      <c r="A810" s="13">
        <v>44448</v>
      </c>
      <c r="B810" s="8">
        <v>24</v>
      </c>
      <c r="C810" s="8">
        <v>20</v>
      </c>
      <c r="D810" s="8">
        <v>27.8</v>
      </c>
      <c r="E810" s="8">
        <v>0.5</v>
      </c>
      <c r="F810" s="8" t="s">
        <v>30</v>
      </c>
      <c r="G810" s="8" t="s">
        <v>30</v>
      </c>
      <c r="H810" s="8" t="s">
        <v>30</v>
      </c>
      <c r="I810" s="8" t="s">
        <v>30</v>
      </c>
      <c r="J810" s="8">
        <v>2021</v>
      </c>
      <c r="K810" s="8">
        <v>9</v>
      </c>
    </row>
    <row r="811" spans="1:11" x14ac:dyDescent="0.35">
      <c r="A811" s="13">
        <v>44449</v>
      </c>
      <c r="B811" s="8">
        <v>24.1</v>
      </c>
      <c r="C811" s="8">
        <v>20.2</v>
      </c>
      <c r="D811" s="8">
        <v>29.1</v>
      </c>
      <c r="E811" s="8">
        <v>0</v>
      </c>
      <c r="F811" s="8" t="s">
        <v>30</v>
      </c>
      <c r="G811" s="8" t="s">
        <v>30</v>
      </c>
      <c r="H811" s="8" t="s">
        <v>30</v>
      </c>
      <c r="I811" s="8" t="s">
        <v>30</v>
      </c>
      <c r="J811" s="8">
        <v>2021</v>
      </c>
      <c r="K811" s="8">
        <v>9</v>
      </c>
    </row>
    <row r="812" spans="1:11" x14ac:dyDescent="0.35">
      <c r="A812" s="13">
        <v>44450</v>
      </c>
      <c r="B812" s="8">
        <v>22.8</v>
      </c>
      <c r="C812" s="8">
        <v>19.399999999999999</v>
      </c>
      <c r="D812" s="8">
        <v>28</v>
      </c>
      <c r="E812" s="8">
        <v>1.3</v>
      </c>
      <c r="F812" s="8" t="s">
        <v>30</v>
      </c>
      <c r="G812" s="8" t="s">
        <v>30</v>
      </c>
      <c r="H812" s="8" t="s">
        <v>30</v>
      </c>
      <c r="I812" s="8" t="s">
        <v>30</v>
      </c>
      <c r="J812" s="8">
        <v>2021</v>
      </c>
      <c r="K812" s="8">
        <v>9</v>
      </c>
    </row>
    <row r="813" spans="1:11" x14ac:dyDescent="0.35">
      <c r="A813" s="13">
        <v>44451</v>
      </c>
      <c r="B813" s="8">
        <v>23.6</v>
      </c>
      <c r="C813" s="8">
        <v>20.7</v>
      </c>
      <c r="D813" s="8">
        <v>28.5</v>
      </c>
      <c r="E813" s="8">
        <v>0</v>
      </c>
      <c r="F813" s="8" t="s">
        <v>30</v>
      </c>
      <c r="G813" s="8" t="s">
        <v>30</v>
      </c>
      <c r="H813" s="8" t="s">
        <v>30</v>
      </c>
      <c r="I813" s="8" t="s">
        <v>30</v>
      </c>
      <c r="J813" s="8">
        <v>2021</v>
      </c>
      <c r="K813" s="8">
        <v>9</v>
      </c>
    </row>
    <row r="814" spans="1:11" x14ac:dyDescent="0.35">
      <c r="A814" s="13">
        <v>44452</v>
      </c>
      <c r="B814" s="8">
        <v>23.7</v>
      </c>
      <c r="C814" s="8">
        <v>20.9</v>
      </c>
      <c r="D814" s="8">
        <v>28</v>
      </c>
      <c r="E814" s="8">
        <v>0</v>
      </c>
      <c r="F814" s="8" t="s">
        <v>30</v>
      </c>
      <c r="G814" s="8" t="s">
        <v>30</v>
      </c>
      <c r="H814" s="8" t="s">
        <v>30</v>
      </c>
      <c r="I814" s="8" t="s">
        <v>30</v>
      </c>
      <c r="J814" s="8">
        <v>2021</v>
      </c>
      <c r="K814" s="8">
        <v>9</v>
      </c>
    </row>
    <row r="815" spans="1:11" x14ac:dyDescent="0.35">
      <c r="A815" s="13">
        <v>44453</v>
      </c>
      <c r="B815" s="8">
        <v>24.1</v>
      </c>
      <c r="C815" s="8">
        <v>19.899999999999999</v>
      </c>
      <c r="D815" s="8">
        <v>28.2</v>
      </c>
      <c r="E815" s="8">
        <v>0</v>
      </c>
      <c r="F815" s="8" t="s">
        <v>30</v>
      </c>
      <c r="G815" s="8" t="s">
        <v>30</v>
      </c>
      <c r="H815" s="8" t="s">
        <v>30</v>
      </c>
      <c r="I815" s="8" t="s">
        <v>30</v>
      </c>
      <c r="J815" s="8">
        <v>2021</v>
      </c>
      <c r="K815" s="8">
        <v>9</v>
      </c>
    </row>
    <row r="816" spans="1:11" x14ac:dyDescent="0.35">
      <c r="A816" s="13">
        <v>44454</v>
      </c>
      <c r="B816" s="8">
        <v>23.2</v>
      </c>
      <c r="C816" s="8">
        <v>19.2</v>
      </c>
      <c r="D816" s="8">
        <v>27.7</v>
      </c>
      <c r="E816" s="8">
        <v>1.4</v>
      </c>
      <c r="F816" s="8" t="s">
        <v>30</v>
      </c>
      <c r="G816" s="8" t="s">
        <v>30</v>
      </c>
      <c r="H816" s="8" t="s">
        <v>30</v>
      </c>
      <c r="I816" s="8" t="s">
        <v>30</v>
      </c>
      <c r="J816" s="8">
        <v>2021</v>
      </c>
      <c r="K816" s="8">
        <v>9</v>
      </c>
    </row>
    <row r="817" spans="1:11" x14ac:dyDescent="0.35">
      <c r="A817" s="13">
        <v>44455</v>
      </c>
      <c r="B817" s="8">
        <v>23.7</v>
      </c>
      <c r="C817" s="8">
        <v>19</v>
      </c>
      <c r="D817" s="8">
        <v>29</v>
      </c>
      <c r="E817" s="8">
        <v>0.3</v>
      </c>
      <c r="F817" s="8" t="s">
        <v>30</v>
      </c>
      <c r="G817" s="8" t="s">
        <v>30</v>
      </c>
      <c r="H817" s="8" t="s">
        <v>30</v>
      </c>
      <c r="I817" s="8" t="s">
        <v>30</v>
      </c>
      <c r="J817" s="8">
        <v>2021</v>
      </c>
      <c r="K817" s="8">
        <v>9</v>
      </c>
    </row>
    <row r="818" spans="1:11" x14ac:dyDescent="0.35">
      <c r="A818" s="13">
        <v>44456</v>
      </c>
      <c r="B818" s="8">
        <v>24</v>
      </c>
      <c r="C818" s="8">
        <v>19.3</v>
      </c>
      <c r="D818" s="8">
        <v>30</v>
      </c>
      <c r="E818" s="8">
        <v>0.4</v>
      </c>
      <c r="F818" s="8" t="s">
        <v>30</v>
      </c>
      <c r="G818" s="8" t="s">
        <v>30</v>
      </c>
      <c r="H818" s="8" t="s">
        <v>30</v>
      </c>
      <c r="I818" s="8" t="s">
        <v>30</v>
      </c>
      <c r="J818" s="8">
        <v>2021</v>
      </c>
      <c r="K818" s="8">
        <v>9</v>
      </c>
    </row>
    <row r="819" spans="1:11" x14ac:dyDescent="0.35">
      <c r="A819" s="13">
        <v>44457</v>
      </c>
      <c r="B819" s="8">
        <v>24.3</v>
      </c>
      <c r="C819" s="8">
        <v>18.8</v>
      </c>
      <c r="D819" s="8">
        <v>30.4</v>
      </c>
      <c r="E819" s="8">
        <v>0.1</v>
      </c>
      <c r="F819" s="8" t="s">
        <v>30</v>
      </c>
      <c r="G819" s="8" t="s">
        <v>30</v>
      </c>
      <c r="H819" s="8" t="s">
        <v>30</v>
      </c>
      <c r="I819" s="8" t="s">
        <v>30</v>
      </c>
      <c r="J819" s="8">
        <v>2021</v>
      </c>
      <c r="K819" s="8">
        <v>9</v>
      </c>
    </row>
    <row r="820" spans="1:11" x14ac:dyDescent="0.35">
      <c r="A820" s="13">
        <v>44458</v>
      </c>
      <c r="B820" s="8">
        <v>24.4</v>
      </c>
      <c r="C820" s="8">
        <v>19.5</v>
      </c>
      <c r="D820" s="8">
        <v>30</v>
      </c>
      <c r="E820" s="8">
        <v>3.8</v>
      </c>
      <c r="F820" s="8" t="s">
        <v>30</v>
      </c>
      <c r="G820" s="8" t="s">
        <v>30</v>
      </c>
      <c r="H820" s="8" t="s">
        <v>30</v>
      </c>
      <c r="I820" s="8" t="s">
        <v>30</v>
      </c>
      <c r="J820" s="8">
        <v>2021</v>
      </c>
      <c r="K820" s="8">
        <v>9</v>
      </c>
    </row>
    <row r="821" spans="1:11" x14ac:dyDescent="0.35">
      <c r="A821" s="13">
        <v>44462</v>
      </c>
      <c r="B821" s="8">
        <v>23.8</v>
      </c>
      <c r="C821" s="8">
        <v>20.6</v>
      </c>
      <c r="D821" s="8">
        <v>28</v>
      </c>
      <c r="E821" s="8">
        <v>0</v>
      </c>
      <c r="F821" s="8" t="s">
        <v>30</v>
      </c>
      <c r="G821" s="8" t="s">
        <v>30</v>
      </c>
      <c r="H821" s="8" t="s">
        <v>30</v>
      </c>
      <c r="I821" s="8" t="s">
        <v>30</v>
      </c>
      <c r="J821" s="8">
        <v>2021</v>
      </c>
      <c r="K821" s="8">
        <v>9</v>
      </c>
    </row>
    <row r="822" spans="1:11" x14ac:dyDescent="0.35">
      <c r="A822" s="13">
        <v>44463</v>
      </c>
      <c r="B822" s="8">
        <v>24</v>
      </c>
      <c r="C822" s="8">
        <v>20.7</v>
      </c>
      <c r="D822" s="8">
        <v>28.2</v>
      </c>
      <c r="E822" s="8">
        <v>0.3</v>
      </c>
      <c r="F822" s="8" t="s">
        <v>30</v>
      </c>
      <c r="G822" s="8" t="s">
        <v>30</v>
      </c>
      <c r="H822" s="8" t="s">
        <v>30</v>
      </c>
      <c r="I822" s="8" t="s">
        <v>30</v>
      </c>
      <c r="J822" s="8">
        <v>2021</v>
      </c>
      <c r="K822" s="8">
        <v>9</v>
      </c>
    </row>
    <row r="823" spans="1:11" x14ac:dyDescent="0.35">
      <c r="A823" s="13">
        <v>44464</v>
      </c>
      <c r="B823" s="8">
        <v>24.2</v>
      </c>
      <c r="C823" s="8">
        <v>20.8</v>
      </c>
      <c r="D823" s="8">
        <v>28.8</v>
      </c>
      <c r="E823" s="8">
        <v>0.5</v>
      </c>
      <c r="F823" s="8" t="s">
        <v>30</v>
      </c>
      <c r="G823" s="8" t="s">
        <v>30</v>
      </c>
      <c r="H823" s="8" t="s">
        <v>30</v>
      </c>
      <c r="I823" s="8" t="s">
        <v>30</v>
      </c>
      <c r="J823" s="8">
        <v>2021</v>
      </c>
      <c r="K823" s="8">
        <v>9</v>
      </c>
    </row>
    <row r="824" spans="1:11" x14ac:dyDescent="0.35">
      <c r="A824" s="13">
        <v>44466</v>
      </c>
      <c r="B824" s="8">
        <v>22.7</v>
      </c>
      <c r="C824" s="8">
        <v>20.2</v>
      </c>
      <c r="D824" s="8">
        <v>27</v>
      </c>
      <c r="E824" s="8">
        <v>0.5</v>
      </c>
      <c r="F824" s="8" t="s">
        <v>30</v>
      </c>
      <c r="G824" s="8" t="s">
        <v>30</v>
      </c>
      <c r="H824" s="8" t="s">
        <v>30</v>
      </c>
      <c r="I824" s="8" t="s">
        <v>30</v>
      </c>
      <c r="J824" s="8">
        <v>2021</v>
      </c>
      <c r="K824" s="8">
        <v>9</v>
      </c>
    </row>
    <row r="825" spans="1:11" x14ac:dyDescent="0.35">
      <c r="A825" s="13">
        <v>44467</v>
      </c>
      <c r="B825" s="8">
        <v>22.3</v>
      </c>
      <c r="C825" s="8">
        <v>18.8</v>
      </c>
      <c r="D825" s="8">
        <v>27</v>
      </c>
      <c r="E825" s="8">
        <v>10.199999999999999</v>
      </c>
      <c r="F825" s="8" t="s">
        <v>30</v>
      </c>
      <c r="G825" s="8" t="s">
        <v>30</v>
      </c>
      <c r="H825" s="8" t="s">
        <v>30</v>
      </c>
      <c r="I825" s="8" t="s">
        <v>30</v>
      </c>
      <c r="J825" s="8">
        <v>2021</v>
      </c>
      <c r="K825" s="8">
        <v>9</v>
      </c>
    </row>
    <row r="826" spans="1:11" x14ac:dyDescent="0.35">
      <c r="A826" s="13">
        <v>44468</v>
      </c>
      <c r="B826" s="8">
        <v>23.4</v>
      </c>
      <c r="C826" s="8">
        <v>19.399999999999999</v>
      </c>
      <c r="D826" s="8">
        <v>27.4</v>
      </c>
      <c r="E826" s="8">
        <v>9.1</v>
      </c>
      <c r="F826" s="8" t="s">
        <v>30</v>
      </c>
      <c r="G826" s="8" t="s">
        <v>30</v>
      </c>
      <c r="H826" s="8" t="s">
        <v>30</v>
      </c>
      <c r="I826" s="8" t="s">
        <v>30</v>
      </c>
      <c r="J826" s="8">
        <v>2021</v>
      </c>
      <c r="K826" s="8">
        <v>9</v>
      </c>
    </row>
    <row r="827" spans="1:11" x14ac:dyDescent="0.35">
      <c r="A827" s="13">
        <v>44469</v>
      </c>
      <c r="B827" s="8">
        <v>24</v>
      </c>
      <c r="C827" s="8">
        <v>20.399999999999999</v>
      </c>
      <c r="D827" s="8">
        <v>28</v>
      </c>
      <c r="E827" s="8">
        <v>0</v>
      </c>
      <c r="F827" s="8" t="s">
        <v>30</v>
      </c>
      <c r="G827" s="8" t="s">
        <v>30</v>
      </c>
      <c r="H827" s="8" t="s">
        <v>30</v>
      </c>
      <c r="I827" s="8" t="s">
        <v>30</v>
      </c>
      <c r="J827" s="8">
        <v>2021</v>
      </c>
      <c r="K827" s="8">
        <v>9</v>
      </c>
    </row>
    <row r="828" spans="1:11" x14ac:dyDescent="0.35">
      <c r="A828" s="13">
        <v>44470</v>
      </c>
      <c r="B828" s="8">
        <v>23</v>
      </c>
      <c r="C828" s="8">
        <v>19.899999999999999</v>
      </c>
      <c r="D828" s="8">
        <v>29.8</v>
      </c>
      <c r="E828" s="8">
        <v>8.5</v>
      </c>
      <c r="F828" s="8" t="s">
        <v>30</v>
      </c>
      <c r="G828" s="8" t="s">
        <v>30</v>
      </c>
      <c r="H828" s="8" t="s">
        <v>30</v>
      </c>
      <c r="I828" s="8" t="s">
        <v>30</v>
      </c>
      <c r="J828" s="8">
        <v>2021</v>
      </c>
      <c r="K828" s="8">
        <v>10</v>
      </c>
    </row>
    <row r="829" spans="1:11" x14ac:dyDescent="0.35">
      <c r="A829" s="13">
        <v>44471</v>
      </c>
      <c r="B829" s="8">
        <v>23.1</v>
      </c>
      <c r="C829" s="8">
        <v>19.2</v>
      </c>
      <c r="D829" s="8">
        <v>29</v>
      </c>
      <c r="E829" s="8">
        <v>5.8</v>
      </c>
      <c r="F829" s="8" t="s">
        <v>30</v>
      </c>
      <c r="G829" s="8" t="s">
        <v>30</v>
      </c>
      <c r="H829" s="8" t="s">
        <v>30</v>
      </c>
      <c r="I829" s="8" t="s">
        <v>30</v>
      </c>
      <c r="J829" s="8">
        <v>2021</v>
      </c>
      <c r="K829" s="8">
        <v>10</v>
      </c>
    </row>
    <row r="830" spans="1:11" x14ac:dyDescent="0.35">
      <c r="A830" s="13">
        <v>44472</v>
      </c>
      <c r="B830" s="8">
        <v>23.7</v>
      </c>
      <c r="C830" s="8">
        <v>20</v>
      </c>
      <c r="D830" s="8">
        <v>30</v>
      </c>
      <c r="E830" s="8">
        <v>0</v>
      </c>
      <c r="F830" s="8" t="s">
        <v>30</v>
      </c>
      <c r="G830" s="8" t="s">
        <v>30</v>
      </c>
      <c r="H830" s="8" t="s">
        <v>30</v>
      </c>
      <c r="I830" s="8" t="s">
        <v>30</v>
      </c>
      <c r="J830" s="8">
        <v>2021</v>
      </c>
      <c r="K830" s="8">
        <v>10</v>
      </c>
    </row>
    <row r="831" spans="1:11" x14ac:dyDescent="0.35">
      <c r="A831" s="13">
        <v>44474</v>
      </c>
      <c r="B831" s="8">
        <v>23.3</v>
      </c>
      <c r="C831" s="8">
        <v>19.100000000000001</v>
      </c>
      <c r="D831" s="8">
        <v>30.6</v>
      </c>
      <c r="E831" s="8">
        <v>0</v>
      </c>
      <c r="F831" s="8" t="s">
        <v>30</v>
      </c>
      <c r="G831" s="8" t="s">
        <v>30</v>
      </c>
      <c r="H831" s="8" t="s">
        <v>30</v>
      </c>
      <c r="I831" s="8" t="s">
        <v>30</v>
      </c>
      <c r="J831" s="8">
        <v>2021</v>
      </c>
      <c r="K831" s="8">
        <v>10</v>
      </c>
    </row>
    <row r="832" spans="1:11" x14ac:dyDescent="0.35">
      <c r="A832" s="13">
        <v>44476</v>
      </c>
      <c r="B832" s="8">
        <v>24.9</v>
      </c>
      <c r="C832" s="8">
        <v>21</v>
      </c>
      <c r="D832" s="8">
        <v>29.6</v>
      </c>
      <c r="E832" s="8">
        <v>0.5</v>
      </c>
      <c r="F832" s="8" t="s">
        <v>30</v>
      </c>
      <c r="G832" s="8" t="s">
        <v>30</v>
      </c>
      <c r="H832" s="8" t="s">
        <v>30</v>
      </c>
      <c r="I832" s="8" t="s">
        <v>30</v>
      </c>
      <c r="J832" s="8">
        <v>2021</v>
      </c>
      <c r="K832" s="8">
        <v>10</v>
      </c>
    </row>
    <row r="833" spans="1:11" x14ac:dyDescent="0.35">
      <c r="A833" s="13">
        <v>44477</v>
      </c>
      <c r="B833" s="8">
        <v>22.8</v>
      </c>
      <c r="C833" s="8">
        <v>21.8</v>
      </c>
      <c r="D833" s="8">
        <v>30.6</v>
      </c>
      <c r="E833" s="8">
        <v>6.1</v>
      </c>
      <c r="F833" s="8" t="s">
        <v>30</v>
      </c>
      <c r="G833" s="8" t="s">
        <v>30</v>
      </c>
      <c r="H833" s="8" t="s">
        <v>30</v>
      </c>
      <c r="I833" s="8" t="s">
        <v>30</v>
      </c>
      <c r="J833" s="8">
        <v>2021</v>
      </c>
      <c r="K833" s="8">
        <v>10</v>
      </c>
    </row>
    <row r="834" spans="1:11" x14ac:dyDescent="0.35">
      <c r="A834" s="13">
        <v>44478</v>
      </c>
      <c r="B834" s="8">
        <v>22.1</v>
      </c>
      <c r="C834" s="8">
        <v>20.8</v>
      </c>
      <c r="D834" s="8">
        <v>27.1</v>
      </c>
      <c r="E834" s="8">
        <v>7.9</v>
      </c>
      <c r="F834" s="8" t="s">
        <v>30</v>
      </c>
      <c r="G834" s="8" t="s">
        <v>30</v>
      </c>
      <c r="H834" s="8" t="s">
        <v>30</v>
      </c>
      <c r="I834" s="8" t="s">
        <v>30</v>
      </c>
      <c r="J834" s="8">
        <v>2021</v>
      </c>
      <c r="K834" s="8">
        <v>10</v>
      </c>
    </row>
    <row r="835" spans="1:11" x14ac:dyDescent="0.35">
      <c r="A835" s="13">
        <v>44486</v>
      </c>
      <c r="B835" s="8">
        <v>22.7</v>
      </c>
      <c r="C835" s="8">
        <v>20.6</v>
      </c>
      <c r="D835" s="8">
        <v>28.9</v>
      </c>
      <c r="E835" s="8">
        <v>7.1</v>
      </c>
      <c r="F835" s="8" t="s">
        <v>30</v>
      </c>
      <c r="G835" s="8" t="s">
        <v>30</v>
      </c>
      <c r="H835" s="8" t="s">
        <v>30</v>
      </c>
      <c r="I835" s="8" t="s">
        <v>30</v>
      </c>
      <c r="J835" s="8">
        <v>2021</v>
      </c>
      <c r="K835" s="8">
        <v>10</v>
      </c>
    </row>
    <row r="836" spans="1:11" x14ac:dyDescent="0.35">
      <c r="A836" s="13">
        <v>44487</v>
      </c>
      <c r="B836" s="8">
        <v>22.9</v>
      </c>
      <c r="C836" s="8">
        <v>20.8</v>
      </c>
      <c r="D836" s="8">
        <v>26.7</v>
      </c>
      <c r="E836" s="8">
        <v>0.8</v>
      </c>
      <c r="F836" s="8" t="s">
        <v>30</v>
      </c>
      <c r="G836" s="8" t="s">
        <v>30</v>
      </c>
      <c r="H836" s="8" t="s">
        <v>30</v>
      </c>
      <c r="I836" s="8" t="s">
        <v>30</v>
      </c>
      <c r="J836" s="8">
        <v>2021</v>
      </c>
      <c r="K836" s="8">
        <v>10</v>
      </c>
    </row>
    <row r="837" spans="1:11" x14ac:dyDescent="0.35">
      <c r="A837" s="13">
        <v>44489</v>
      </c>
      <c r="B837" s="8">
        <v>24.7</v>
      </c>
      <c r="C837" s="8">
        <v>20</v>
      </c>
      <c r="D837" s="8">
        <v>28.8</v>
      </c>
      <c r="E837" s="8">
        <v>0</v>
      </c>
      <c r="F837" s="8" t="s">
        <v>30</v>
      </c>
      <c r="G837" s="8" t="s">
        <v>30</v>
      </c>
      <c r="H837" s="8" t="s">
        <v>30</v>
      </c>
      <c r="I837" s="8" t="s">
        <v>30</v>
      </c>
      <c r="J837" s="8">
        <v>2021</v>
      </c>
      <c r="K837" s="8">
        <v>10</v>
      </c>
    </row>
    <row r="838" spans="1:11" x14ac:dyDescent="0.35">
      <c r="A838" s="13">
        <v>44490</v>
      </c>
      <c r="B838" s="8">
        <v>25.5</v>
      </c>
      <c r="C838" s="8">
        <v>20.9</v>
      </c>
      <c r="D838" s="8">
        <v>29.3</v>
      </c>
      <c r="E838" s="8">
        <v>0.5</v>
      </c>
      <c r="F838" s="8" t="s">
        <v>30</v>
      </c>
      <c r="G838" s="8" t="s">
        <v>30</v>
      </c>
      <c r="H838" s="8" t="s">
        <v>30</v>
      </c>
      <c r="I838" s="8" t="s">
        <v>30</v>
      </c>
      <c r="J838" s="8">
        <v>2021</v>
      </c>
      <c r="K838" s="8">
        <v>10</v>
      </c>
    </row>
    <row r="839" spans="1:11" x14ac:dyDescent="0.35">
      <c r="A839" s="13">
        <v>44491</v>
      </c>
      <c r="B839" s="8">
        <v>25.1</v>
      </c>
      <c r="C839" s="8">
        <v>18.5</v>
      </c>
      <c r="D839" s="8">
        <v>30.7</v>
      </c>
      <c r="E839" s="8">
        <v>0.3</v>
      </c>
      <c r="F839" s="8" t="s">
        <v>30</v>
      </c>
      <c r="G839" s="8" t="s">
        <v>30</v>
      </c>
      <c r="H839" s="8" t="s">
        <v>30</v>
      </c>
      <c r="I839" s="8" t="s">
        <v>30</v>
      </c>
      <c r="J839" s="8">
        <v>2021</v>
      </c>
      <c r="K839" s="8">
        <v>10</v>
      </c>
    </row>
    <row r="840" spans="1:11" x14ac:dyDescent="0.35">
      <c r="A840" s="13">
        <v>44494</v>
      </c>
      <c r="B840" s="8">
        <v>23.9</v>
      </c>
      <c r="C840" s="8">
        <v>20.9</v>
      </c>
      <c r="D840" s="8">
        <v>29.4</v>
      </c>
      <c r="E840" s="8">
        <v>0</v>
      </c>
      <c r="F840" s="8" t="s">
        <v>30</v>
      </c>
      <c r="G840" s="8" t="s">
        <v>30</v>
      </c>
      <c r="H840" s="8" t="s">
        <v>30</v>
      </c>
      <c r="I840" s="8" t="s">
        <v>30</v>
      </c>
      <c r="J840" s="8">
        <v>2021</v>
      </c>
      <c r="K840" s="8">
        <v>10</v>
      </c>
    </row>
    <row r="841" spans="1:11" x14ac:dyDescent="0.35">
      <c r="A841" s="13">
        <v>44495</v>
      </c>
      <c r="B841" s="8">
        <v>22.5</v>
      </c>
      <c r="C841" s="8">
        <v>17.8</v>
      </c>
      <c r="D841" s="8">
        <v>27</v>
      </c>
      <c r="E841" s="8">
        <v>0.8</v>
      </c>
      <c r="F841" s="8" t="s">
        <v>30</v>
      </c>
      <c r="G841" s="8" t="s">
        <v>30</v>
      </c>
      <c r="H841" s="8" t="s">
        <v>30</v>
      </c>
      <c r="I841" s="8" t="s">
        <v>30</v>
      </c>
      <c r="J841" s="8">
        <v>2021</v>
      </c>
      <c r="K841" s="8">
        <v>10</v>
      </c>
    </row>
    <row r="842" spans="1:11" x14ac:dyDescent="0.35">
      <c r="A842" s="13">
        <v>44496</v>
      </c>
      <c r="B842" s="8">
        <v>22.3</v>
      </c>
      <c r="C842" s="8">
        <v>18.3</v>
      </c>
      <c r="D842" s="8">
        <v>26.6</v>
      </c>
      <c r="E842" s="8">
        <v>0</v>
      </c>
      <c r="F842" s="8" t="s">
        <v>30</v>
      </c>
      <c r="G842" s="8" t="s">
        <v>30</v>
      </c>
      <c r="H842" s="8" t="s">
        <v>30</v>
      </c>
      <c r="I842" s="8" t="s">
        <v>30</v>
      </c>
      <c r="J842" s="8">
        <v>2021</v>
      </c>
      <c r="K842" s="8">
        <v>10</v>
      </c>
    </row>
    <row r="843" spans="1:11" x14ac:dyDescent="0.35">
      <c r="A843" s="13">
        <v>44497</v>
      </c>
      <c r="B843" s="8">
        <v>22</v>
      </c>
      <c r="C843" s="8">
        <v>17.2</v>
      </c>
      <c r="D843" s="8">
        <v>27.4</v>
      </c>
      <c r="E843" s="8">
        <v>0.1</v>
      </c>
      <c r="F843" s="8" t="s">
        <v>30</v>
      </c>
      <c r="G843" s="8" t="s">
        <v>30</v>
      </c>
      <c r="H843" s="8" t="s">
        <v>30</v>
      </c>
      <c r="I843" s="8" t="s">
        <v>30</v>
      </c>
      <c r="J843" s="8">
        <v>2021</v>
      </c>
      <c r="K843" s="8">
        <v>10</v>
      </c>
    </row>
    <row r="844" spans="1:11" x14ac:dyDescent="0.35">
      <c r="A844" s="13">
        <v>44499</v>
      </c>
      <c r="B844" s="8">
        <v>22.5</v>
      </c>
      <c r="C844" s="8">
        <v>19.899999999999999</v>
      </c>
      <c r="D844" s="8">
        <v>26.8</v>
      </c>
      <c r="E844" s="8">
        <v>5</v>
      </c>
      <c r="F844" s="8" t="s">
        <v>30</v>
      </c>
      <c r="G844" s="8" t="s">
        <v>30</v>
      </c>
      <c r="H844" s="8" t="s">
        <v>30</v>
      </c>
      <c r="I844" s="8" t="s">
        <v>30</v>
      </c>
      <c r="J844" s="8">
        <v>2021</v>
      </c>
      <c r="K844" s="8">
        <v>10</v>
      </c>
    </row>
    <row r="845" spans="1:11" x14ac:dyDescent="0.35">
      <c r="A845" s="13">
        <v>44500</v>
      </c>
      <c r="B845" s="8">
        <v>22.3</v>
      </c>
      <c r="C845" s="8">
        <v>19.7</v>
      </c>
      <c r="D845" s="8">
        <v>26.8</v>
      </c>
      <c r="E845" s="8">
        <v>8.6</v>
      </c>
      <c r="F845" s="8" t="s">
        <v>30</v>
      </c>
      <c r="G845" s="8" t="s">
        <v>30</v>
      </c>
      <c r="H845" s="8" t="s">
        <v>30</v>
      </c>
      <c r="I845" s="8" t="s">
        <v>30</v>
      </c>
      <c r="J845" s="8">
        <v>2021</v>
      </c>
      <c r="K845" s="8">
        <v>10</v>
      </c>
    </row>
    <row r="846" spans="1:11" x14ac:dyDescent="0.35">
      <c r="A846" s="13">
        <v>44501</v>
      </c>
      <c r="B846" s="8">
        <v>21.7</v>
      </c>
      <c r="C846" s="8">
        <v>19.600000000000001</v>
      </c>
      <c r="D846" s="8">
        <v>26.8</v>
      </c>
      <c r="E846" s="8">
        <v>8.6999999999999993</v>
      </c>
      <c r="F846" s="8" t="s">
        <v>30</v>
      </c>
      <c r="G846" s="8" t="s">
        <v>30</v>
      </c>
      <c r="H846" s="8" t="s">
        <v>30</v>
      </c>
      <c r="I846" s="8" t="s">
        <v>30</v>
      </c>
      <c r="J846" s="8">
        <v>2021</v>
      </c>
      <c r="K846" s="8">
        <v>11</v>
      </c>
    </row>
    <row r="847" spans="1:11" x14ac:dyDescent="0.35">
      <c r="A847" s="13">
        <v>44502</v>
      </c>
      <c r="B847" s="8">
        <v>21.9</v>
      </c>
      <c r="C847" s="8">
        <v>19.5</v>
      </c>
      <c r="D847" s="8">
        <v>25.9</v>
      </c>
      <c r="E847" s="8">
        <v>5.3</v>
      </c>
      <c r="F847" s="8" t="s">
        <v>30</v>
      </c>
      <c r="G847" s="8" t="s">
        <v>30</v>
      </c>
      <c r="H847" s="8" t="s">
        <v>30</v>
      </c>
      <c r="I847" s="8" t="s">
        <v>30</v>
      </c>
      <c r="J847" s="8">
        <v>2021</v>
      </c>
      <c r="K847" s="8">
        <v>11</v>
      </c>
    </row>
    <row r="848" spans="1:11" x14ac:dyDescent="0.35">
      <c r="A848" s="13">
        <v>44503</v>
      </c>
      <c r="B848" s="8">
        <v>22.3</v>
      </c>
      <c r="C848" s="8">
        <v>20.2</v>
      </c>
      <c r="D848" s="8">
        <v>26.8</v>
      </c>
      <c r="E848" s="8">
        <v>0</v>
      </c>
      <c r="F848" s="8" t="s">
        <v>30</v>
      </c>
      <c r="G848" s="8" t="s">
        <v>30</v>
      </c>
      <c r="H848" s="8" t="s">
        <v>30</v>
      </c>
      <c r="I848" s="8" t="s">
        <v>30</v>
      </c>
      <c r="J848" s="8">
        <v>2021</v>
      </c>
      <c r="K848" s="8">
        <v>11</v>
      </c>
    </row>
    <row r="849" spans="1:11" x14ac:dyDescent="0.35">
      <c r="A849" s="13">
        <v>44506</v>
      </c>
      <c r="B849" s="8">
        <v>22.8</v>
      </c>
      <c r="C849" s="8">
        <v>18.3</v>
      </c>
      <c r="D849" s="8">
        <v>26.6</v>
      </c>
      <c r="E849" s="8">
        <v>0</v>
      </c>
      <c r="F849" s="8" t="s">
        <v>30</v>
      </c>
      <c r="G849" s="8" t="s">
        <v>30</v>
      </c>
      <c r="H849" s="8" t="s">
        <v>30</v>
      </c>
      <c r="I849" s="8" t="s">
        <v>30</v>
      </c>
      <c r="J849" s="8">
        <v>2021</v>
      </c>
      <c r="K849" s="8">
        <v>11</v>
      </c>
    </row>
    <row r="850" spans="1:11" x14ac:dyDescent="0.35">
      <c r="A850" s="13">
        <v>44507</v>
      </c>
      <c r="B850" s="8">
        <v>21</v>
      </c>
      <c r="C850" s="8">
        <v>19.2</v>
      </c>
      <c r="D850" s="8">
        <v>23.6</v>
      </c>
      <c r="E850" s="8">
        <v>3.7</v>
      </c>
      <c r="F850" s="8" t="s">
        <v>30</v>
      </c>
      <c r="G850" s="8" t="s">
        <v>30</v>
      </c>
      <c r="H850" s="8" t="s">
        <v>30</v>
      </c>
      <c r="I850" s="8" t="s">
        <v>30</v>
      </c>
      <c r="J850" s="8">
        <v>2021</v>
      </c>
      <c r="K850" s="8">
        <v>11</v>
      </c>
    </row>
    <row r="851" spans="1:11" x14ac:dyDescent="0.35">
      <c r="A851" s="13">
        <v>44508</v>
      </c>
      <c r="B851" s="8">
        <v>20.5</v>
      </c>
      <c r="C851" s="8">
        <v>19.5</v>
      </c>
      <c r="D851" s="8">
        <v>24.5</v>
      </c>
      <c r="E851" s="8">
        <v>2</v>
      </c>
      <c r="F851" s="8" t="s">
        <v>30</v>
      </c>
      <c r="G851" s="8" t="s">
        <v>30</v>
      </c>
      <c r="H851" s="8" t="s">
        <v>30</v>
      </c>
      <c r="I851" s="8" t="s">
        <v>30</v>
      </c>
      <c r="J851" s="8">
        <v>2021</v>
      </c>
      <c r="K851" s="8">
        <v>11</v>
      </c>
    </row>
    <row r="852" spans="1:11" x14ac:dyDescent="0.35">
      <c r="A852" s="13">
        <v>44509</v>
      </c>
      <c r="B852" s="8">
        <v>21.4</v>
      </c>
      <c r="C852" s="8">
        <v>18.2</v>
      </c>
      <c r="D852" s="8">
        <v>25.6</v>
      </c>
      <c r="E852" s="8">
        <v>1</v>
      </c>
      <c r="F852" s="8" t="s">
        <v>30</v>
      </c>
      <c r="G852" s="8" t="s">
        <v>30</v>
      </c>
      <c r="H852" s="8" t="s">
        <v>30</v>
      </c>
      <c r="I852" s="8" t="s">
        <v>30</v>
      </c>
      <c r="J852" s="8">
        <v>2021</v>
      </c>
      <c r="K852" s="8">
        <v>11</v>
      </c>
    </row>
    <row r="853" spans="1:11" x14ac:dyDescent="0.35">
      <c r="A853" s="13">
        <v>44510</v>
      </c>
      <c r="B853" s="8">
        <v>20.7</v>
      </c>
      <c r="C853" s="8">
        <v>17.399999999999999</v>
      </c>
      <c r="D853" s="8">
        <v>26.6</v>
      </c>
      <c r="E853" s="8">
        <v>0</v>
      </c>
      <c r="F853" s="8" t="s">
        <v>30</v>
      </c>
      <c r="G853" s="8" t="s">
        <v>30</v>
      </c>
      <c r="H853" s="8" t="s">
        <v>30</v>
      </c>
      <c r="I853" s="8" t="s">
        <v>30</v>
      </c>
      <c r="J853" s="8">
        <v>2021</v>
      </c>
      <c r="K853" s="8">
        <v>11</v>
      </c>
    </row>
    <row r="854" spans="1:11" x14ac:dyDescent="0.35">
      <c r="A854" s="13">
        <v>44513</v>
      </c>
      <c r="B854" s="8">
        <v>21.8</v>
      </c>
      <c r="C854" s="8">
        <v>20.100000000000001</v>
      </c>
      <c r="D854" s="8">
        <v>24.7</v>
      </c>
      <c r="E854" s="8">
        <v>6.6</v>
      </c>
      <c r="F854" s="8" t="s">
        <v>30</v>
      </c>
      <c r="G854" s="8" t="s">
        <v>30</v>
      </c>
      <c r="H854" s="8" t="s">
        <v>30</v>
      </c>
      <c r="I854" s="8" t="s">
        <v>30</v>
      </c>
      <c r="J854" s="8">
        <v>2021</v>
      </c>
      <c r="K854" s="8">
        <v>11</v>
      </c>
    </row>
    <row r="855" spans="1:11" x14ac:dyDescent="0.35">
      <c r="A855" s="13">
        <v>44514</v>
      </c>
      <c r="B855" s="8">
        <v>22.4</v>
      </c>
      <c r="C855" s="8">
        <v>19.100000000000001</v>
      </c>
      <c r="D855" s="8">
        <v>26</v>
      </c>
      <c r="E855" s="8">
        <v>0</v>
      </c>
      <c r="F855" s="8" t="s">
        <v>30</v>
      </c>
      <c r="G855" s="8" t="s">
        <v>30</v>
      </c>
      <c r="H855" s="8" t="s">
        <v>30</v>
      </c>
      <c r="I855" s="8" t="s">
        <v>30</v>
      </c>
      <c r="J855" s="8">
        <v>2021</v>
      </c>
      <c r="K855" s="8">
        <v>11</v>
      </c>
    </row>
    <row r="856" spans="1:11" x14ac:dyDescent="0.35">
      <c r="A856" s="13">
        <v>44515</v>
      </c>
      <c r="B856" s="8">
        <v>22.8</v>
      </c>
      <c r="C856" s="8">
        <v>20.7</v>
      </c>
      <c r="D856" s="8">
        <v>26.2</v>
      </c>
      <c r="E856" s="8">
        <v>1</v>
      </c>
      <c r="F856" s="8" t="s">
        <v>30</v>
      </c>
      <c r="G856" s="8" t="s">
        <v>30</v>
      </c>
      <c r="H856" s="8" t="s">
        <v>30</v>
      </c>
      <c r="I856" s="8" t="s">
        <v>30</v>
      </c>
      <c r="J856" s="8">
        <v>2021</v>
      </c>
      <c r="K856" s="8">
        <v>11</v>
      </c>
    </row>
    <row r="857" spans="1:11" x14ac:dyDescent="0.35">
      <c r="A857" s="13">
        <v>44517</v>
      </c>
      <c r="B857" s="8">
        <v>22.5</v>
      </c>
      <c r="C857" s="8">
        <v>19.8</v>
      </c>
      <c r="D857" s="8">
        <v>27.6</v>
      </c>
      <c r="E857" s="8">
        <v>0.8</v>
      </c>
      <c r="F857" s="8" t="s">
        <v>30</v>
      </c>
      <c r="G857" s="8" t="s">
        <v>30</v>
      </c>
      <c r="H857" s="8" t="s">
        <v>30</v>
      </c>
      <c r="I857" s="8" t="s">
        <v>30</v>
      </c>
      <c r="J857" s="8">
        <v>2021</v>
      </c>
      <c r="K857" s="8">
        <v>11</v>
      </c>
    </row>
    <row r="858" spans="1:11" x14ac:dyDescent="0.35">
      <c r="A858" s="13">
        <v>44518</v>
      </c>
      <c r="B858" s="8">
        <v>20.6</v>
      </c>
      <c r="C858" s="8">
        <v>20</v>
      </c>
      <c r="D858" s="8">
        <v>27.2</v>
      </c>
      <c r="E858" s="8">
        <v>3.6</v>
      </c>
      <c r="F858" s="8" t="s">
        <v>30</v>
      </c>
      <c r="G858" s="8" t="s">
        <v>30</v>
      </c>
      <c r="H858" s="8" t="s">
        <v>30</v>
      </c>
      <c r="I858" s="8" t="s">
        <v>30</v>
      </c>
      <c r="J858" s="8">
        <v>2021</v>
      </c>
      <c r="K858" s="8">
        <v>11</v>
      </c>
    </row>
    <row r="859" spans="1:11" x14ac:dyDescent="0.35">
      <c r="A859" s="13">
        <v>44520</v>
      </c>
      <c r="B859" s="8">
        <v>21.1</v>
      </c>
      <c r="C859" s="8">
        <v>20.100000000000001</v>
      </c>
      <c r="D859" s="8">
        <v>22.6</v>
      </c>
      <c r="E859" s="8">
        <v>3.8</v>
      </c>
      <c r="F859" s="8" t="s">
        <v>30</v>
      </c>
      <c r="G859" s="8" t="s">
        <v>30</v>
      </c>
      <c r="H859" s="8" t="s">
        <v>30</v>
      </c>
      <c r="I859" s="8" t="s">
        <v>30</v>
      </c>
      <c r="J859" s="8">
        <v>2021</v>
      </c>
      <c r="K859" s="8">
        <v>11</v>
      </c>
    </row>
    <row r="860" spans="1:11" x14ac:dyDescent="0.35">
      <c r="A860" s="13">
        <v>44521</v>
      </c>
      <c r="B860" s="8">
        <v>22.5</v>
      </c>
      <c r="C860" s="8">
        <v>19.3</v>
      </c>
      <c r="D860" s="8">
        <v>26.2</v>
      </c>
      <c r="E860" s="8">
        <v>2.2999999999999998</v>
      </c>
      <c r="F860" s="8" t="s">
        <v>30</v>
      </c>
      <c r="G860" s="8" t="s">
        <v>30</v>
      </c>
      <c r="H860" s="8" t="s">
        <v>30</v>
      </c>
      <c r="I860" s="8" t="s">
        <v>30</v>
      </c>
      <c r="J860" s="8">
        <v>2021</v>
      </c>
      <c r="K860" s="8">
        <v>11</v>
      </c>
    </row>
    <row r="861" spans="1:11" x14ac:dyDescent="0.35">
      <c r="A861" s="13">
        <v>44522</v>
      </c>
      <c r="B861" s="8">
        <v>22.8</v>
      </c>
      <c r="C861" s="8">
        <v>20.5</v>
      </c>
      <c r="D861" s="8">
        <v>26.5</v>
      </c>
      <c r="E861" s="8">
        <v>5.0999999999999996</v>
      </c>
      <c r="F861" s="8" t="s">
        <v>30</v>
      </c>
      <c r="G861" s="8" t="s">
        <v>30</v>
      </c>
      <c r="H861" s="8" t="s">
        <v>30</v>
      </c>
      <c r="I861" s="8" t="s">
        <v>30</v>
      </c>
      <c r="J861" s="8">
        <v>2021</v>
      </c>
      <c r="K861" s="8">
        <v>11</v>
      </c>
    </row>
    <row r="862" spans="1:11" x14ac:dyDescent="0.35">
      <c r="A862" s="13">
        <v>44523</v>
      </c>
      <c r="B862" s="8">
        <v>24.2</v>
      </c>
      <c r="C862" s="8">
        <v>20.100000000000001</v>
      </c>
      <c r="D862" s="8">
        <v>28.4</v>
      </c>
      <c r="E862" s="8">
        <v>0</v>
      </c>
      <c r="F862" s="8" t="s">
        <v>30</v>
      </c>
      <c r="G862" s="8" t="s">
        <v>30</v>
      </c>
      <c r="H862" s="8" t="s">
        <v>30</v>
      </c>
      <c r="I862" s="8" t="s">
        <v>30</v>
      </c>
      <c r="J862" s="8">
        <v>2021</v>
      </c>
      <c r="K862" s="8">
        <v>11</v>
      </c>
    </row>
    <row r="863" spans="1:11" x14ac:dyDescent="0.35">
      <c r="A863" s="13">
        <v>44524</v>
      </c>
      <c r="B863" s="8">
        <v>22.8</v>
      </c>
      <c r="C863" s="8">
        <v>20.100000000000001</v>
      </c>
      <c r="D863" s="8">
        <v>29.8</v>
      </c>
      <c r="E863" s="8">
        <v>0</v>
      </c>
      <c r="F863" s="8" t="s">
        <v>30</v>
      </c>
      <c r="G863" s="8" t="s">
        <v>30</v>
      </c>
      <c r="H863" s="8" t="s">
        <v>30</v>
      </c>
      <c r="I863" s="8" t="s">
        <v>30</v>
      </c>
      <c r="J863" s="8">
        <v>2021</v>
      </c>
      <c r="K863" s="8">
        <v>11</v>
      </c>
    </row>
    <row r="864" spans="1:11" x14ac:dyDescent="0.35">
      <c r="A864" s="13">
        <v>44526</v>
      </c>
      <c r="B864" s="8">
        <v>21.8</v>
      </c>
      <c r="C864" s="8">
        <v>19.100000000000001</v>
      </c>
      <c r="D864" s="8">
        <v>27</v>
      </c>
      <c r="E864" s="8">
        <v>0</v>
      </c>
      <c r="F864" s="8" t="s">
        <v>30</v>
      </c>
      <c r="G864" s="8" t="s">
        <v>30</v>
      </c>
      <c r="H864" s="8" t="s">
        <v>30</v>
      </c>
      <c r="I864" s="8" t="s">
        <v>30</v>
      </c>
      <c r="J864" s="8">
        <v>2021</v>
      </c>
      <c r="K864" s="8">
        <v>11</v>
      </c>
    </row>
    <row r="865" spans="1:11" x14ac:dyDescent="0.35">
      <c r="A865" s="13">
        <v>44527</v>
      </c>
      <c r="B865" s="8">
        <v>20.399999999999999</v>
      </c>
      <c r="C865" s="8">
        <v>18.399999999999999</v>
      </c>
      <c r="D865" s="8">
        <v>23</v>
      </c>
      <c r="E865" s="8">
        <v>5</v>
      </c>
      <c r="F865" s="8" t="s">
        <v>30</v>
      </c>
      <c r="G865" s="8" t="s">
        <v>30</v>
      </c>
      <c r="H865" s="8" t="s">
        <v>30</v>
      </c>
      <c r="I865" s="8" t="s">
        <v>30</v>
      </c>
      <c r="J865" s="8">
        <v>2021</v>
      </c>
      <c r="K865" s="8">
        <v>11</v>
      </c>
    </row>
    <row r="866" spans="1:11" x14ac:dyDescent="0.35">
      <c r="A866" s="13">
        <v>44528</v>
      </c>
      <c r="B866" s="8">
        <v>21</v>
      </c>
      <c r="C866" s="8">
        <v>19.8</v>
      </c>
      <c r="D866" s="8">
        <v>23.4</v>
      </c>
      <c r="E866" s="8">
        <v>0</v>
      </c>
      <c r="F866" s="8" t="s">
        <v>30</v>
      </c>
      <c r="G866" s="8" t="s">
        <v>30</v>
      </c>
      <c r="H866" s="8" t="s">
        <v>30</v>
      </c>
      <c r="I866" s="8" t="s">
        <v>30</v>
      </c>
      <c r="J866" s="8">
        <v>2021</v>
      </c>
      <c r="K866" s="8">
        <v>11</v>
      </c>
    </row>
    <row r="867" spans="1:11" x14ac:dyDescent="0.35">
      <c r="A867" s="13">
        <v>44529</v>
      </c>
      <c r="B867" s="8">
        <v>21.1</v>
      </c>
      <c r="C867" s="8">
        <v>19.5</v>
      </c>
      <c r="D867" s="8">
        <v>22.6</v>
      </c>
      <c r="E867" s="8">
        <v>0</v>
      </c>
      <c r="F867" s="8" t="s">
        <v>30</v>
      </c>
      <c r="G867" s="8" t="s">
        <v>30</v>
      </c>
      <c r="H867" s="8" t="s">
        <v>30</v>
      </c>
      <c r="I867" s="8" t="s">
        <v>30</v>
      </c>
      <c r="J867" s="8">
        <v>2021</v>
      </c>
      <c r="K867" s="8">
        <v>11</v>
      </c>
    </row>
    <row r="868" spans="1:11" x14ac:dyDescent="0.35">
      <c r="A868" s="13">
        <v>44530</v>
      </c>
      <c r="B868" s="8">
        <v>22.4</v>
      </c>
      <c r="C868" s="8">
        <v>18.899999999999999</v>
      </c>
      <c r="D868" s="8">
        <v>25.8</v>
      </c>
      <c r="E868" s="8">
        <v>0.5</v>
      </c>
      <c r="F868" s="8" t="s">
        <v>30</v>
      </c>
      <c r="G868" s="8" t="s">
        <v>30</v>
      </c>
      <c r="H868" s="8" t="s">
        <v>30</v>
      </c>
      <c r="I868" s="8" t="s">
        <v>30</v>
      </c>
      <c r="J868" s="8">
        <v>2021</v>
      </c>
      <c r="K868" s="8">
        <v>11</v>
      </c>
    </row>
    <row r="869" spans="1:11" x14ac:dyDescent="0.35">
      <c r="A869" s="13">
        <v>44531</v>
      </c>
      <c r="B869" s="8">
        <v>21.7</v>
      </c>
      <c r="C869" s="8">
        <v>20</v>
      </c>
      <c r="D869" s="8">
        <v>26.4</v>
      </c>
      <c r="E869" s="8">
        <v>0</v>
      </c>
      <c r="F869" s="8" t="s">
        <v>30</v>
      </c>
      <c r="G869" s="8" t="s">
        <v>30</v>
      </c>
      <c r="H869" s="8" t="s">
        <v>30</v>
      </c>
      <c r="I869" s="8" t="s">
        <v>30</v>
      </c>
      <c r="J869" s="8">
        <v>2021</v>
      </c>
      <c r="K869" s="8">
        <v>12</v>
      </c>
    </row>
    <row r="870" spans="1:11" x14ac:dyDescent="0.35">
      <c r="A870" s="13">
        <v>44532</v>
      </c>
      <c r="B870" s="8">
        <v>21.6</v>
      </c>
      <c r="C870" s="8">
        <v>19.2</v>
      </c>
      <c r="D870" s="8">
        <v>25.9</v>
      </c>
      <c r="E870" s="8">
        <v>6.9</v>
      </c>
      <c r="F870" s="8" t="s">
        <v>30</v>
      </c>
      <c r="G870" s="8" t="s">
        <v>30</v>
      </c>
      <c r="H870" s="8" t="s">
        <v>30</v>
      </c>
      <c r="I870" s="8" t="s">
        <v>30</v>
      </c>
      <c r="J870" s="8">
        <v>2021</v>
      </c>
      <c r="K870" s="8">
        <v>12</v>
      </c>
    </row>
    <row r="871" spans="1:11" x14ac:dyDescent="0.35">
      <c r="A871" s="13">
        <v>44533</v>
      </c>
      <c r="B871" s="8">
        <v>21.9</v>
      </c>
      <c r="C871" s="8">
        <v>17.899999999999999</v>
      </c>
      <c r="D871" s="8">
        <v>27.4</v>
      </c>
      <c r="E871" s="8">
        <v>3</v>
      </c>
      <c r="F871" s="8" t="s">
        <v>30</v>
      </c>
      <c r="G871" s="8" t="s">
        <v>30</v>
      </c>
      <c r="H871" s="8" t="s">
        <v>30</v>
      </c>
      <c r="I871" s="8" t="s">
        <v>30</v>
      </c>
      <c r="J871" s="8">
        <v>2021</v>
      </c>
      <c r="K871" s="8">
        <v>12</v>
      </c>
    </row>
    <row r="872" spans="1:11" x14ac:dyDescent="0.35">
      <c r="A872" s="13">
        <v>44534</v>
      </c>
      <c r="B872" s="8">
        <v>23.9</v>
      </c>
      <c r="C872" s="8">
        <v>21</v>
      </c>
      <c r="D872" s="8">
        <v>28.2</v>
      </c>
      <c r="E872" s="8">
        <v>0</v>
      </c>
      <c r="F872" s="8" t="s">
        <v>30</v>
      </c>
      <c r="G872" s="8" t="s">
        <v>30</v>
      </c>
      <c r="H872" s="8" t="s">
        <v>30</v>
      </c>
      <c r="I872" s="8" t="s">
        <v>30</v>
      </c>
      <c r="J872" s="8">
        <v>2021</v>
      </c>
      <c r="K872" s="8">
        <v>12</v>
      </c>
    </row>
    <row r="873" spans="1:11" x14ac:dyDescent="0.35">
      <c r="A873" s="13">
        <v>44535</v>
      </c>
      <c r="B873" s="8">
        <v>23.2</v>
      </c>
      <c r="C873" s="8">
        <v>19.8</v>
      </c>
      <c r="D873" s="8">
        <v>28.4</v>
      </c>
      <c r="E873" s="8">
        <v>1</v>
      </c>
      <c r="F873" s="8" t="s">
        <v>30</v>
      </c>
      <c r="G873" s="8" t="s">
        <v>30</v>
      </c>
      <c r="H873" s="8" t="s">
        <v>30</v>
      </c>
      <c r="I873" s="8" t="s">
        <v>30</v>
      </c>
      <c r="J873" s="8">
        <v>2021</v>
      </c>
      <c r="K873" s="8">
        <v>12</v>
      </c>
    </row>
    <row r="874" spans="1:11" x14ac:dyDescent="0.35">
      <c r="A874" s="13">
        <v>44536</v>
      </c>
      <c r="B874" s="8">
        <v>23.2</v>
      </c>
      <c r="C874" s="8">
        <v>19.3</v>
      </c>
      <c r="D874" s="8">
        <v>29.2</v>
      </c>
      <c r="E874" s="8">
        <v>0</v>
      </c>
      <c r="F874" s="8" t="s">
        <v>30</v>
      </c>
      <c r="G874" s="8" t="s">
        <v>30</v>
      </c>
      <c r="H874" s="8" t="s">
        <v>30</v>
      </c>
      <c r="I874" s="8" t="s">
        <v>30</v>
      </c>
      <c r="J874" s="8">
        <v>2021</v>
      </c>
      <c r="K874" s="8">
        <v>12</v>
      </c>
    </row>
    <row r="875" spans="1:11" x14ac:dyDescent="0.35">
      <c r="A875" s="13">
        <v>44537</v>
      </c>
      <c r="B875" s="8">
        <v>22.1</v>
      </c>
      <c r="C875" s="8">
        <v>17.7</v>
      </c>
      <c r="D875" s="8">
        <v>26.4</v>
      </c>
      <c r="E875" s="8">
        <v>0</v>
      </c>
      <c r="F875" s="8" t="s">
        <v>30</v>
      </c>
      <c r="G875" s="8" t="s">
        <v>30</v>
      </c>
      <c r="H875" s="8" t="s">
        <v>30</v>
      </c>
      <c r="I875" s="8" t="s">
        <v>30</v>
      </c>
      <c r="J875" s="8">
        <v>2021</v>
      </c>
      <c r="K875" s="8">
        <v>12</v>
      </c>
    </row>
    <row r="876" spans="1:11" x14ac:dyDescent="0.35">
      <c r="A876" s="13">
        <v>44538</v>
      </c>
      <c r="B876" s="8">
        <v>21.7</v>
      </c>
      <c r="C876" s="8">
        <v>16.899999999999999</v>
      </c>
      <c r="D876" s="8">
        <v>27.4</v>
      </c>
      <c r="E876" s="8">
        <v>0</v>
      </c>
      <c r="F876" s="8" t="s">
        <v>30</v>
      </c>
      <c r="G876" s="8" t="s">
        <v>30</v>
      </c>
      <c r="H876" s="8" t="s">
        <v>30</v>
      </c>
      <c r="I876" s="8" t="s">
        <v>30</v>
      </c>
      <c r="J876" s="8">
        <v>2021</v>
      </c>
      <c r="K876" s="8">
        <v>12</v>
      </c>
    </row>
    <row r="877" spans="1:11" x14ac:dyDescent="0.35">
      <c r="A877" s="13">
        <v>44539</v>
      </c>
      <c r="B877" s="8">
        <v>22.1</v>
      </c>
      <c r="C877" s="8">
        <v>18.8</v>
      </c>
      <c r="D877" s="8">
        <v>26.2</v>
      </c>
      <c r="E877" s="8">
        <v>0.9</v>
      </c>
      <c r="F877" s="8" t="s">
        <v>30</v>
      </c>
      <c r="G877" s="8" t="s">
        <v>30</v>
      </c>
      <c r="H877" s="8" t="s">
        <v>30</v>
      </c>
      <c r="I877" s="8" t="s">
        <v>30</v>
      </c>
      <c r="J877" s="8">
        <v>2021</v>
      </c>
      <c r="K877" s="8">
        <v>12</v>
      </c>
    </row>
    <row r="878" spans="1:11" x14ac:dyDescent="0.35">
      <c r="A878" s="13">
        <v>44540</v>
      </c>
      <c r="B878" s="8">
        <v>22.7</v>
      </c>
      <c r="C878" s="8">
        <v>18.600000000000001</v>
      </c>
      <c r="D878" s="8">
        <v>27.2</v>
      </c>
      <c r="E878" s="8">
        <v>1</v>
      </c>
      <c r="F878" s="8" t="s">
        <v>30</v>
      </c>
      <c r="G878" s="8" t="s">
        <v>30</v>
      </c>
      <c r="H878" s="8" t="s">
        <v>30</v>
      </c>
      <c r="I878" s="8" t="s">
        <v>30</v>
      </c>
      <c r="J878" s="8">
        <v>2021</v>
      </c>
      <c r="K878" s="8">
        <v>12</v>
      </c>
    </row>
    <row r="879" spans="1:11" x14ac:dyDescent="0.35">
      <c r="A879" s="13">
        <v>44541</v>
      </c>
      <c r="B879" s="8">
        <v>21.6</v>
      </c>
      <c r="C879" s="8">
        <v>18</v>
      </c>
      <c r="D879" s="8">
        <v>28.4</v>
      </c>
      <c r="E879" s="8">
        <v>0</v>
      </c>
      <c r="F879" s="8" t="s">
        <v>30</v>
      </c>
      <c r="G879" s="8" t="s">
        <v>30</v>
      </c>
      <c r="H879" s="8" t="s">
        <v>30</v>
      </c>
      <c r="I879" s="8" t="s">
        <v>30</v>
      </c>
      <c r="J879" s="8">
        <v>2021</v>
      </c>
      <c r="K879" s="8">
        <v>12</v>
      </c>
    </row>
    <row r="880" spans="1:11" x14ac:dyDescent="0.35">
      <c r="A880" s="13">
        <v>44542</v>
      </c>
      <c r="B880" s="8">
        <v>20.9</v>
      </c>
      <c r="C880" s="8">
        <v>17.5</v>
      </c>
      <c r="D880" s="8">
        <v>24.7</v>
      </c>
      <c r="E880" s="8">
        <v>0.2</v>
      </c>
      <c r="F880" s="8" t="s">
        <v>30</v>
      </c>
      <c r="G880" s="8" t="s">
        <v>30</v>
      </c>
      <c r="H880" s="8" t="s">
        <v>30</v>
      </c>
      <c r="I880" s="8" t="s">
        <v>30</v>
      </c>
      <c r="J880" s="8">
        <v>2021</v>
      </c>
      <c r="K880" s="8">
        <v>12</v>
      </c>
    </row>
    <row r="881" spans="1:11" x14ac:dyDescent="0.35">
      <c r="A881" s="13">
        <v>44543</v>
      </c>
      <c r="B881" s="8">
        <v>20.6</v>
      </c>
      <c r="C881" s="8">
        <v>18</v>
      </c>
      <c r="D881" s="8">
        <v>24.9</v>
      </c>
      <c r="E881" s="8">
        <v>2.4</v>
      </c>
      <c r="F881" s="8" t="s">
        <v>30</v>
      </c>
      <c r="G881" s="8" t="s">
        <v>30</v>
      </c>
      <c r="H881" s="8" t="s">
        <v>30</v>
      </c>
      <c r="I881" s="8" t="s">
        <v>30</v>
      </c>
      <c r="J881" s="8">
        <v>2021</v>
      </c>
      <c r="K881" s="8">
        <v>12</v>
      </c>
    </row>
    <row r="882" spans="1:11" x14ac:dyDescent="0.35">
      <c r="A882" s="13">
        <v>44544</v>
      </c>
      <c r="B882" s="8">
        <v>21.2</v>
      </c>
      <c r="C882" s="8">
        <v>18.3</v>
      </c>
      <c r="D882" s="8">
        <v>24.4</v>
      </c>
      <c r="E882" s="8">
        <v>2.8</v>
      </c>
      <c r="F882" s="8" t="s">
        <v>30</v>
      </c>
      <c r="G882" s="8" t="s">
        <v>30</v>
      </c>
      <c r="H882" s="8" t="s">
        <v>30</v>
      </c>
      <c r="I882" s="8" t="s">
        <v>30</v>
      </c>
      <c r="J882" s="8">
        <v>2021</v>
      </c>
      <c r="K882" s="8">
        <v>12</v>
      </c>
    </row>
    <row r="883" spans="1:11" x14ac:dyDescent="0.35">
      <c r="A883" s="13">
        <v>44545</v>
      </c>
      <c r="B883" s="8">
        <v>20.6</v>
      </c>
      <c r="C883" s="8">
        <v>17.399999999999999</v>
      </c>
      <c r="D883" s="8">
        <v>24.4</v>
      </c>
      <c r="E883" s="8">
        <v>0.3</v>
      </c>
      <c r="F883" s="8" t="s">
        <v>30</v>
      </c>
      <c r="G883" s="8" t="s">
        <v>30</v>
      </c>
      <c r="H883" s="8" t="s">
        <v>30</v>
      </c>
      <c r="I883" s="8" t="s">
        <v>30</v>
      </c>
      <c r="J883" s="8">
        <v>2021</v>
      </c>
      <c r="K883" s="8">
        <v>12</v>
      </c>
    </row>
    <row r="884" spans="1:11" x14ac:dyDescent="0.35">
      <c r="A884" s="13">
        <v>44546</v>
      </c>
      <c r="B884" s="8">
        <v>21.5</v>
      </c>
      <c r="C884" s="8">
        <v>17.2</v>
      </c>
      <c r="D884" s="8">
        <v>26.4</v>
      </c>
      <c r="E884" s="8">
        <v>0</v>
      </c>
      <c r="F884" s="8" t="s">
        <v>30</v>
      </c>
      <c r="G884" s="8" t="s">
        <v>30</v>
      </c>
      <c r="H884" s="8" t="s">
        <v>30</v>
      </c>
      <c r="I884" s="8" t="s">
        <v>30</v>
      </c>
      <c r="J884" s="8">
        <v>2021</v>
      </c>
      <c r="K884" s="8">
        <v>12</v>
      </c>
    </row>
    <row r="885" spans="1:11" x14ac:dyDescent="0.35">
      <c r="A885" s="13">
        <v>44559</v>
      </c>
      <c r="B885" s="8">
        <v>21</v>
      </c>
      <c r="C885" s="8">
        <v>17</v>
      </c>
      <c r="D885" s="8">
        <v>26</v>
      </c>
      <c r="E885" s="8">
        <v>0</v>
      </c>
      <c r="F885" s="8" t="s">
        <v>30</v>
      </c>
      <c r="G885" s="8" t="s">
        <v>30</v>
      </c>
      <c r="H885" s="8" t="s">
        <v>30</v>
      </c>
      <c r="I885" s="8" t="s">
        <v>30</v>
      </c>
      <c r="J885" s="8">
        <v>2021</v>
      </c>
      <c r="K885" s="8">
        <v>12</v>
      </c>
    </row>
    <row r="886" spans="1:11" x14ac:dyDescent="0.35">
      <c r="A886" s="13">
        <v>44561</v>
      </c>
      <c r="B886" s="8">
        <v>20.3</v>
      </c>
      <c r="C886" s="8">
        <v>17.600000000000001</v>
      </c>
      <c r="D886" s="8">
        <v>26.5</v>
      </c>
      <c r="E886" s="8">
        <v>0</v>
      </c>
      <c r="F886" s="8" t="s">
        <v>30</v>
      </c>
      <c r="G886" s="8" t="s">
        <v>30</v>
      </c>
      <c r="H886" s="8" t="s">
        <v>30</v>
      </c>
      <c r="I886" s="8" t="s">
        <v>30</v>
      </c>
      <c r="J886" s="8">
        <v>2021</v>
      </c>
      <c r="K886" s="8">
        <v>12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FED8F-CE75-43F9-B72E-98019F68164A}">
  <dimension ref="A1:C28"/>
  <sheetViews>
    <sheetView workbookViewId="0">
      <selection activeCell="B24" sqref="B24"/>
    </sheetView>
  </sheetViews>
  <sheetFormatPr defaultRowHeight="14.5" x14ac:dyDescent="0.35"/>
  <cols>
    <col min="1" max="1" width="18.1796875" bestFit="1" customWidth="1"/>
  </cols>
  <sheetData>
    <row r="1" spans="1:2" x14ac:dyDescent="0.35">
      <c r="A1" t="s">
        <v>5</v>
      </c>
    </row>
    <row r="2" spans="1:2" x14ac:dyDescent="0.35">
      <c r="A2" t="s">
        <v>8</v>
      </c>
    </row>
    <row r="3" spans="1:2" x14ac:dyDescent="0.35">
      <c r="A3" t="s">
        <v>6</v>
      </c>
      <c r="B3">
        <f>QUARTILE(DATA!B2:B1326,1)</f>
        <v>22.6</v>
      </c>
    </row>
    <row r="4" spans="1:2" x14ac:dyDescent="0.35">
      <c r="A4" t="s">
        <v>7</v>
      </c>
      <c r="B4">
        <f>QUARTILE(DATA!B2:B1326,3)</f>
        <v>24.9</v>
      </c>
    </row>
    <row r="5" spans="1:2" x14ac:dyDescent="0.35">
      <c r="A5" t="s">
        <v>9</v>
      </c>
      <c r="B5">
        <f>B4-B3</f>
        <v>2.2999999999999972</v>
      </c>
    </row>
    <row r="6" spans="1:2" x14ac:dyDescent="0.35">
      <c r="A6" t="s">
        <v>10</v>
      </c>
      <c r="B6">
        <f>B4+B5*1.5</f>
        <v>28.349999999999994</v>
      </c>
    </row>
    <row r="7" spans="1:2" x14ac:dyDescent="0.35">
      <c r="A7" t="s">
        <v>11</v>
      </c>
      <c r="B7">
        <f>B3-B5*1.5</f>
        <v>19.150000000000006</v>
      </c>
    </row>
    <row r="9" spans="1:2" x14ac:dyDescent="0.35">
      <c r="A9" t="s">
        <v>13</v>
      </c>
    </row>
    <row r="10" spans="1:2" x14ac:dyDescent="0.35">
      <c r="A10" t="s">
        <v>6</v>
      </c>
      <c r="B10">
        <f>QUARTILE(DATA!C9:C1333,1)</f>
        <v>19.3</v>
      </c>
    </row>
    <row r="11" spans="1:2" x14ac:dyDescent="0.35">
      <c r="A11" t="s">
        <v>7</v>
      </c>
      <c r="B11">
        <f>QUARTILE(DATA!C9:C1333,3)</f>
        <v>20.9</v>
      </c>
    </row>
    <row r="12" spans="1:2" x14ac:dyDescent="0.35">
      <c r="A12" t="s">
        <v>9</v>
      </c>
      <c r="B12">
        <f>B11-B10</f>
        <v>1.5999999999999979</v>
      </c>
    </row>
    <row r="13" spans="1:2" x14ac:dyDescent="0.35">
      <c r="A13" t="s">
        <v>10</v>
      </c>
      <c r="B13">
        <f>B11+B12*1.5</f>
        <v>23.299999999999997</v>
      </c>
    </row>
    <row r="14" spans="1:2" x14ac:dyDescent="0.35">
      <c r="A14" t="s">
        <v>11</v>
      </c>
      <c r="B14">
        <f>B10-B12*1.5</f>
        <v>16.900000000000006</v>
      </c>
    </row>
    <row r="16" spans="1:2" x14ac:dyDescent="0.35">
      <c r="A16" t="s">
        <v>14</v>
      </c>
    </row>
    <row r="17" spans="1:3" x14ac:dyDescent="0.35">
      <c r="A17" t="s">
        <v>6</v>
      </c>
      <c r="B17">
        <f>QUARTILE(DATA!D16:D1340,1)</f>
        <v>27.6</v>
      </c>
    </row>
    <row r="18" spans="1:3" x14ac:dyDescent="0.35">
      <c r="A18" t="s">
        <v>7</v>
      </c>
      <c r="B18">
        <f>QUARTILE(DATA!D16:D1340,3)</f>
        <v>31.1</v>
      </c>
    </row>
    <row r="19" spans="1:3" x14ac:dyDescent="0.35">
      <c r="A19" t="s">
        <v>9</v>
      </c>
      <c r="B19">
        <f>B18-B17</f>
        <v>3.5</v>
      </c>
    </row>
    <row r="20" spans="1:3" x14ac:dyDescent="0.35">
      <c r="A20" t="s">
        <v>10</v>
      </c>
      <c r="B20">
        <f>B18+B19*1.5</f>
        <v>36.35</v>
      </c>
    </row>
    <row r="21" spans="1:3" x14ac:dyDescent="0.35">
      <c r="A21" t="s">
        <v>11</v>
      </c>
      <c r="B21">
        <f>B17-B19*1.5</f>
        <v>22.35</v>
      </c>
    </row>
    <row r="23" spans="1:3" x14ac:dyDescent="0.35">
      <c r="A23" t="s">
        <v>12</v>
      </c>
    </row>
    <row r="24" spans="1:3" x14ac:dyDescent="0.35">
      <c r="A24" t="s">
        <v>6</v>
      </c>
      <c r="B24">
        <f>QUARTILE(DATA!E21:E1347,1)</f>
        <v>0</v>
      </c>
    </row>
    <row r="25" spans="1:3" x14ac:dyDescent="0.35">
      <c r="A25" t="s">
        <v>7</v>
      </c>
      <c r="B25">
        <f>QUARTILE(DATA!E21:E1347,3)</f>
        <v>4.0999999999999996</v>
      </c>
    </row>
    <row r="26" spans="1:3" x14ac:dyDescent="0.35">
      <c r="A26" t="s">
        <v>9</v>
      </c>
      <c r="B26">
        <f>B25-B24</f>
        <v>4.0999999999999996</v>
      </c>
    </row>
    <row r="27" spans="1:3" x14ac:dyDescent="0.35">
      <c r="A27" t="s">
        <v>10</v>
      </c>
      <c r="B27">
        <f>B25+B26*1.5</f>
        <v>10.25</v>
      </c>
    </row>
    <row r="28" spans="1:3" x14ac:dyDescent="0.35">
      <c r="A28" t="s">
        <v>11</v>
      </c>
      <c r="B28">
        <f>B24-B26*1.5</f>
        <v>-6.1499999999999995</v>
      </c>
      <c r="C2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building</vt:lpstr>
      <vt:lpstr>testing</vt:lpstr>
      <vt:lpstr>training</vt:lpstr>
      <vt:lpstr>monthly_testing</vt:lpstr>
      <vt:lpstr>monthly_training</vt:lpstr>
      <vt:lpstr>outliers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Preevan Lasrado</dc:creator>
  <cp:lastModifiedBy>Kunsh Bali</cp:lastModifiedBy>
  <dcterms:created xsi:type="dcterms:W3CDTF">2026-02-12T11:49:53Z</dcterms:created>
  <dcterms:modified xsi:type="dcterms:W3CDTF">2026-02-14T06:18:54Z</dcterms:modified>
</cp:coreProperties>
</file>