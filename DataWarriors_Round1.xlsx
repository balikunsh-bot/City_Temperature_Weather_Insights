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f01731662df26a/Desktop/"/>
    </mc:Choice>
  </mc:AlternateContent>
  <xr:revisionPtr revIDLastSave="0" documentId="13_ncr:1_{77608086-183A-4E5D-B7BD-7158492DA640}" xr6:coauthVersionLast="47" xr6:coauthVersionMax="47" xr10:uidLastSave="{00000000-0000-0000-0000-000000000000}"/>
  <bookViews>
    <workbookView xWindow="-110" yWindow="-110" windowWidth="19420" windowHeight="11500" xr2:uid="{75D2F613-0C0C-4A88-8373-F83D9EB4F408}"/>
  </bookViews>
  <sheets>
    <sheet name="Task 1" sheetId="1" r:id="rId1"/>
    <sheet name="Task 2" sheetId="2" r:id="rId2"/>
    <sheet name="Task 3" sheetId="4" r:id="rId3"/>
    <sheet name="Task 4" sheetId="5" r:id="rId4"/>
  </sheets>
  <calcPr calcId="191029"/>
  <pivotCaches>
    <pivotCache cacheId="4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2" l="1" a="1"/>
  <c r="F27" i="2" s="1"/>
  <c r="F26" i="2" a="1"/>
  <c r="F26" i="2"/>
  <c r="F25" i="2" a="1"/>
  <c r="F25" i="2"/>
  <c r="F24" i="2" a="1"/>
  <c r="F24" i="2" s="1"/>
  <c r="F28" i="2" a="1"/>
  <c r="F28" i="2" s="1"/>
  <c r="C24" i="2"/>
  <c r="H28" i="2"/>
  <c r="H27" i="2"/>
  <c r="H26" i="2"/>
  <c r="H24" i="2"/>
  <c r="G28" i="2"/>
  <c r="G27" i="2"/>
  <c r="G26" i="2"/>
  <c r="G25" i="2"/>
  <c r="G24" i="2"/>
  <c r="E28" i="2"/>
  <c r="E27" i="2"/>
  <c r="E26" i="2"/>
  <c r="E25" i="2"/>
  <c r="E24" i="2"/>
  <c r="D28" i="2"/>
  <c r="D27" i="2"/>
  <c r="D26" i="2"/>
  <c r="D25" i="2"/>
  <c r="D24" i="2"/>
  <c r="C25" i="2"/>
  <c r="C28" i="2"/>
  <c r="C27" i="2"/>
  <c r="C26" i="2"/>
  <c r="H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<sst xmlns="http://schemas.openxmlformats.org/spreadsheetml/2006/main" count="239" uniqueCount="29">
  <si>
    <t>Annual Rainfall</t>
  </si>
  <si>
    <t>Year</t>
  </si>
  <si>
    <t>City</t>
  </si>
  <si>
    <t>Avg Temp (°C)</t>
  </si>
  <si>
    <t>Avg Humidity (%)</t>
  </si>
  <si>
    <t>Annual Rainfall (mm)</t>
  </si>
  <si>
    <t>Bengaluru</t>
  </si>
  <si>
    <t>Hyderabad</t>
  </si>
  <si>
    <t>Delhi</t>
  </si>
  <si>
    <t>Kolkata</t>
  </si>
  <si>
    <t>Mumbai</t>
  </si>
  <si>
    <t>Sum of Avg Temp (°C)</t>
  </si>
  <si>
    <t>Column Labels</t>
  </si>
  <si>
    <t>Grand Total</t>
  </si>
  <si>
    <t>Row Labels</t>
  </si>
  <si>
    <t>Temperature</t>
  </si>
  <si>
    <t>Sum of Annual Rainfall (mm)</t>
  </si>
  <si>
    <t>Sum of Avg Humidity (%)</t>
  </si>
  <si>
    <t>Humidity</t>
  </si>
  <si>
    <t>Total Sum of Avg Temp (°C)</t>
  </si>
  <si>
    <t>Total Sum of Avg Humidity (%)</t>
  </si>
  <si>
    <t>Total Sum of Annual Rainfall (mm)</t>
  </si>
  <si>
    <t>Average Temperature</t>
  </si>
  <si>
    <t>Average Humidity</t>
  </si>
  <si>
    <t>Total Rainfall</t>
  </si>
  <si>
    <t>Hottest Year</t>
  </si>
  <si>
    <t>Wettest Year</t>
  </si>
  <si>
    <t>TASK 2</t>
  </si>
  <si>
    <t>City Wise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</si>
</sst>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1" fillId="2" borderId="1" xfId="0" applyFont="1" applyFill="1" applyBorder="1"/>
    <xf numFmtId="0" fontId="0" fillId="0" borderId="0" xfId="0" applyAlignment="1">
      <alignment horizontal="left"/>
    </xf>
    <xf numFmtId="0" fontId="4" fillId="0" borderId="0" xfId="0" applyFont="1"/>
    <xf numFmtId="0" fontId="0" fillId="0" borderId="3" xfId="0" applyBorder="1"/>
    <xf numFmtId="0" fontId="5" fillId="3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[DataWarriors_Round1.xlsx]Task 1!PivotTable27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1'!$K$3:$K$4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1'!$J$5:$J$10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1'!$K$5:$K$10</c:f>
              <c:numCache>
                <c:formatCode>General</c:formatCode>
                <c:ptCount val="5"/>
                <c:pt idx="0">
                  <c:v>26.2</c:v>
                </c:pt>
                <c:pt idx="1">
                  <c:v>29.8</c:v>
                </c:pt>
                <c:pt idx="2">
                  <c:v>29.4</c:v>
                </c:pt>
                <c:pt idx="3">
                  <c:v>29.3</c:v>
                </c:pt>
                <c:pt idx="4">
                  <c:v>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C-49EF-BE61-FEB38A767438}"/>
            </c:ext>
          </c:extLst>
        </c:ser>
        <c:ser>
          <c:idx val="1"/>
          <c:order val="1"/>
          <c:tx>
            <c:strRef>
              <c:f>'Task 1'!$L$3:$L$4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1'!$J$5:$J$10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1'!$L$5:$L$10</c:f>
              <c:numCache>
                <c:formatCode>General</c:formatCode>
                <c:ptCount val="5"/>
                <c:pt idx="0">
                  <c:v>26.3</c:v>
                </c:pt>
                <c:pt idx="1">
                  <c:v>30</c:v>
                </c:pt>
                <c:pt idx="2">
                  <c:v>29.6</c:v>
                </c:pt>
                <c:pt idx="3">
                  <c:v>29.5</c:v>
                </c:pt>
                <c:pt idx="4">
                  <c:v>29.7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C-49EF-BE61-FEB38A767438}"/>
            </c:ext>
          </c:extLst>
        </c:ser>
        <c:ser>
          <c:idx val="2"/>
          <c:order val="2"/>
          <c:tx>
            <c:strRef>
              <c:f>'Task 1'!$M$3:$M$4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1'!$J$5:$J$10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1'!$M$5:$M$10</c:f>
              <c:numCache>
                <c:formatCode>General</c:formatCode>
                <c:ptCount val="5"/>
                <c:pt idx="0">
                  <c:v>26.5</c:v>
                </c:pt>
                <c:pt idx="1">
                  <c:v>30.2</c:v>
                </c:pt>
                <c:pt idx="2">
                  <c:v>29.8</c:v>
                </c:pt>
                <c:pt idx="3">
                  <c:v>29.7</c:v>
                </c:pt>
                <c:pt idx="4">
                  <c:v>29.8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C-49EF-BE61-FEB38A767438}"/>
            </c:ext>
          </c:extLst>
        </c:ser>
        <c:ser>
          <c:idx val="3"/>
          <c:order val="3"/>
          <c:tx>
            <c:strRef>
              <c:f>'Task 1'!$N$3:$N$4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 1'!$J$5:$J$10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1'!$N$5:$N$10</c:f>
              <c:numCache>
                <c:formatCode>General</c:formatCode>
                <c:ptCount val="5"/>
                <c:pt idx="0">
                  <c:v>26.6</c:v>
                </c:pt>
                <c:pt idx="1">
                  <c:v>30.5</c:v>
                </c:pt>
                <c:pt idx="2">
                  <c:v>30</c:v>
                </c:pt>
                <c:pt idx="3">
                  <c:v>29.9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C-49EF-BE61-FEB38A767438}"/>
            </c:ext>
          </c:extLst>
        </c:ser>
        <c:ser>
          <c:idx val="4"/>
          <c:order val="4"/>
          <c:tx>
            <c:strRef>
              <c:f>'Task 1'!$O$3:$O$4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'Task 1'!$J$5:$J$10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1'!$O$5:$O$10</c:f>
              <c:numCache>
                <c:formatCode>General</c:formatCode>
                <c:ptCount val="5"/>
                <c:pt idx="0">
                  <c:v>26.8</c:v>
                </c:pt>
                <c:pt idx="1">
                  <c:v>30.7</c:v>
                </c:pt>
                <c:pt idx="2">
                  <c:v>30.2</c:v>
                </c:pt>
                <c:pt idx="3">
                  <c:v>30.1</c:v>
                </c:pt>
                <c:pt idx="4">
                  <c:v>30.2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6C-49EF-BE61-FEB38A767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8330464"/>
        <c:axId val="568325184"/>
      </c:barChart>
      <c:catAx>
        <c:axId val="56833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25184"/>
        <c:crosses val="autoZero"/>
        <c:auto val="1"/>
        <c:lblAlgn val="ctr"/>
        <c:lblOffset val="100"/>
        <c:noMultiLvlLbl val="0"/>
      </c:catAx>
      <c:valAx>
        <c:axId val="5683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3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[DataWarriors_Round1.xlsx]Task 1!PivotTable28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1'!$L$22:$L$23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1'!$K$24:$K$29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1'!$L$24:$L$29</c:f>
              <c:numCache>
                <c:formatCode>General</c:formatCode>
                <c:ptCount val="5"/>
                <c:pt idx="0">
                  <c:v>1180</c:v>
                </c:pt>
                <c:pt idx="1">
                  <c:v>650</c:v>
                </c:pt>
                <c:pt idx="2">
                  <c:v>1120</c:v>
                </c:pt>
                <c:pt idx="3">
                  <c:v>2000</c:v>
                </c:pt>
                <c:pt idx="4">
                  <c:v>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B-451E-A868-4150A74C9BA0}"/>
            </c:ext>
          </c:extLst>
        </c:ser>
        <c:ser>
          <c:idx val="1"/>
          <c:order val="1"/>
          <c:tx>
            <c:strRef>
              <c:f>'Task 1'!$M$22:$M$23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1'!$K$24:$K$29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1'!$M$24:$M$29</c:f>
              <c:numCache>
                <c:formatCode>General</c:formatCode>
                <c:ptCount val="5"/>
                <c:pt idx="0">
                  <c:v>1200</c:v>
                </c:pt>
                <c:pt idx="1">
                  <c:v>670</c:v>
                </c:pt>
                <c:pt idx="2">
                  <c:v>1150</c:v>
                </c:pt>
                <c:pt idx="3">
                  <c:v>2050</c:v>
                </c:pt>
                <c:pt idx="4">
                  <c:v>3350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CB-451E-A868-4150A74C9BA0}"/>
            </c:ext>
          </c:extLst>
        </c:ser>
        <c:ser>
          <c:idx val="2"/>
          <c:order val="2"/>
          <c:tx>
            <c:strRef>
              <c:f>'Task 1'!$N$22:$N$23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1'!$K$24:$K$29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1'!$N$24:$N$29</c:f>
              <c:numCache>
                <c:formatCode>General</c:formatCode>
                <c:ptCount val="5"/>
                <c:pt idx="0">
                  <c:v>1220</c:v>
                </c:pt>
                <c:pt idx="1">
                  <c:v>640</c:v>
                </c:pt>
                <c:pt idx="2">
                  <c:v>1180</c:v>
                </c:pt>
                <c:pt idx="3">
                  <c:v>2080</c:v>
                </c:pt>
                <c:pt idx="4">
                  <c:v>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CB-451E-A868-4150A74C9BA0}"/>
            </c:ext>
          </c:extLst>
        </c:ser>
        <c:ser>
          <c:idx val="3"/>
          <c:order val="3"/>
          <c:tx>
            <c:strRef>
              <c:f>'Task 1'!$O$22:$O$23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 1'!$K$24:$K$29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1'!$O$24:$O$29</c:f>
              <c:numCache>
                <c:formatCode>General</c:formatCode>
                <c:ptCount val="5"/>
                <c:pt idx="0">
                  <c:v>1250</c:v>
                </c:pt>
                <c:pt idx="1">
                  <c:v>620</c:v>
                </c:pt>
                <c:pt idx="2">
                  <c:v>1200</c:v>
                </c:pt>
                <c:pt idx="3">
                  <c:v>2100</c:v>
                </c:pt>
                <c:pt idx="4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CB-451E-A868-4150A74C9BA0}"/>
            </c:ext>
          </c:extLst>
        </c:ser>
        <c:ser>
          <c:idx val="4"/>
          <c:order val="4"/>
          <c:tx>
            <c:strRef>
              <c:f>'Task 1'!$P$22:$P$23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'Task 1'!$K$24:$K$29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1'!$P$24:$P$29</c:f>
              <c:numCache>
                <c:formatCode>General</c:formatCode>
                <c:ptCount val="5"/>
                <c:pt idx="0">
                  <c:v>1280</c:v>
                </c:pt>
                <c:pt idx="1">
                  <c:v>600</c:v>
                </c:pt>
                <c:pt idx="2">
                  <c:v>1230</c:v>
                </c:pt>
                <c:pt idx="3">
                  <c:v>2150</c:v>
                </c:pt>
                <c:pt idx="4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CB-451E-A868-4150A74C9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8367904"/>
        <c:axId val="568368384"/>
      </c:barChart>
      <c:catAx>
        <c:axId val="5683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68384"/>
        <c:crosses val="autoZero"/>
        <c:auto val="1"/>
        <c:lblAlgn val="ctr"/>
        <c:lblOffset val="100"/>
        <c:noMultiLvlLbl val="0"/>
      </c:catAx>
      <c:valAx>
        <c:axId val="56836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[DataWarriors_Round1.xlsx]Task 1!PivotTable29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'Task 1'!$L$38:$L$39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'Task 1'!$K$40:$K$45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1'!$L$40:$L$45</c:f>
              <c:numCache>
                <c:formatCode>General</c:formatCode>
                <c:ptCount val="5"/>
                <c:pt idx="0">
                  <c:v>70</c:v>
                </c:pt>
                <c:pt idx="1">
                  <c:v>44</c:v>
                </c:pt>
                <c:pt idx="2">
                  <c:v>60</c:v>
                </c:pt>
                <c:pt idx="3">
                  <c:v>78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F-480D-91A4-38C85B386778}"/>
            </c:ext>
          </c:extLst>
        </c:ser>
        <c:ser>
          <c:idx val="1"/>
          <c:order val="1"/>
          <c:tx>
            <c:strRef>
              <c:f>'Task 1'!$M$38:$M$39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'Task 1'!$K$40:$K$45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1'!$M$40:$M$45</c:f>
              <c:numCache>
                <c:formatCode>General</c:formatCode>
                <c:ptCount val="5"/>
                <c:pt idx="0">
                  <c:v>71</c:v>
                </c:pt>
                <c:pt idx="1">
                  <c:v>45</c:v>
                </c:pt>
                <c:pt idx="2">
                  <c:v>61</c:v>
                </c:pt>
                <c:pt idx="3">
                  <c:v>79</c:v>
                </c:pt>
                <c:pt idx="4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FF-480D-91A4-38C85B386778}"/>
            </c:ext>
          </c:extLst>
        </c:ser>
        <c:ser>
          <c:idx val="2"/>
          <c:order val="2"/>
          <c:tx>
            <c:strRef>
              <c:f>'Task 1'!$N$38:$N$39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'Task 1'!$K$40:$K$45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1'!$N$40:$N$45</c:f>
              <c:numCache>
                <c:formatCode>General</c:formatCode>
                <c:ptCount val="5"/>
                <c:pt idx="0">
                  <c:v>70</c:v>
                </c:pt>
                <c:pt idx="1">
                  <c:v>44</c:v>
                </c:pt>
                <c:pt idx="2">
                  <c:v>60</c:v>
                </c:pt>
                <c:pt idx="3">
                  <c:v>78</c:v>
                </c:pt>
                <c:pt idx="4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FF-480D-91A4-38C85B386778}"/>
            </c:ext>
          </c:extLst>
        </c:ser>
        <c:ser>
          <c:idx val="3"/>
          <c:order val="3"/>
          <c:tx>
            <c:strRef>
              <c:f>'Task 1'!$O$38:$O$39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'Task 1'!$K$40:$K$45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1'!$O$40:$O$45</c:f>
              <c:numCache>
                <c:formatCode>General</c:formatCode>
                <c:ptCount val="5"/>
                <c:pt idx="0">
                  <c:v>72</c:v>
                </c:pt>
                <c:pt idx="1">
                  <c:v>43</c:v>
                </c:pt>
                <c:pt idx="2">
                  <c:v>62</c:v>
                </c:pt>
                <c:pt idx="3">
                  <c:v>80</c:v>
                </c:pt>
                <c:pt idx="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FF-480D-91A4-38C85B386778}"/>
            </c:ext>
          </c:extLst>
        </c:ser>
        <c:ser>
          <c:idx val="4"/>
          <c:order val="4"/>
          <c:tx>
            <c:strRef>
              <c:f>'Task 1'!$P$38:$P$39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'Task 1'!$K$40:$K$45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'Task 1'!$P$40:$P$45</c:f>
              <c:numCache>
                <c:formatCode>General</c:formatCode>
                <c:ptCount val="5"/>
                <c:pt idx="0">
                  <c:v>73</c:v>
                </c:pt>
                <c:pt idx="1">
                  <c:v>42</c:v>
                </c:pt>
                <c:pt idx="2">
                  <c:v>63</c:v>
                </c:pt>
                <c:pt idx="3">
                  <c:v>81</c:v>
                </c:pt>
                <c:pt idx="4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FF-480D-91A4-38C85B386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425008"/>
        <c:axId val="489432688"/>
      </c:lineChart>
      <c:catAx>
        <c:axId val="48942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32688"/>
        <c:crosses val="autoZero"/>
        <c:auto val="1"/>
        <c:lblAlgn val="ctr"/>
        <c:lblOffset val="100"/>
        <c:noMultiLvlLbl val="0"/>
      </c:catAx>
      <c:valAx>
        <c:axId val="4894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2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</a:t>
            </a:r>
            <a:r>
              <a:rPr lang="en-IN" baseline="0"/>
              <a:t> Plot of Rainfall vs Humidity.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1'!$L$51</c:f>
              <c:strCache>
                <c:ptCount val="1"/>
                <c:pt idx="0">
                  <c:v>Sum of Avg Temp (°C)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'Task 1'!$K$52:$K$56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xVal>
          <c:yVal>
            <c:numRef>
              <c:f>'Task 1'!$L$52:$L$56</c:f>
              <c:numCache>
                <c:formatCode>General</c:formatCode>
                <c:ptCount val="5"/>
                <c:pt idx="0">
                  <c:v>132.4</c:v>
                </c:pt>
                <c:pt idx="1">
                  <c:v>151.19999999999999</c:v>
                </c:pt>
                <c:pt idx="2">
                  <c:v>149</c:v>
                </c:pt>
                <c:pt idx="3">
                  <c:v>148.5</c:v>
                </c:pt>
                <c:pt idx="4">
                  <c:v>149.19999999999999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FA-4D79-A525-4C706CC940F4}"/>
            </c:ext>
          </c:extLst>
        </c:ser>
        <c:ser>
          <c:idx val="1"/>
          <c:order val="1"/>
          <c:tx>
            <c:strRef>
              <c:f>'Task 1'!$M$51</c:f>
              <c:strCache>
                <c:ptCount val="1"/>
                <c:pt idx="0">
                  <c:v>Sum of Avg Humidity (%)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'Task 1'!$K$52:$K$56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xVal>
          <c:yVal>
            <c:numRef>
              <c:f>'Task 1'!$M$52:$M$56</c:f>
              <c:numCache>
                <c:formatCode>General</c:formatCode>
                <c:ptCount val="5"/>
                <c:pt idx="0">
                  <c:v>356</c:v>
                </c:pt>
                <c:pt idx="1">
                  <c:v>218</c:v>
                </c:pt>
                <c:pt idx="2">
                  <c:v>306</c:v>
                </c:pt>
                <c:pt idx="3">
                  <c:v>396</c:v>
                </c:pt>
                <c:pt idx="4">
                  <c:v>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FA-4D79-A525-4C706CC94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13391"/>
        <c:axId val="155311471"/>
      </c:scatterChart>
      <c:valAx>
        <c:axId val="15531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11471"/>
        <c:crosses val="autoZero"/>
        <c:crossBetween val="midCat"/>
      </c:valAx>
      <c:valAx>
        <c:axId val="15531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1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[DataWarriors_Round1.xlsx]Task 3!PivotTable1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3'!$B$3:$B$4</c:f>
              <c:strCache>
                <c:ptCount val="1"/>
                <c:pt idx="0">
                  <c:v>Bengaluru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3'!$B$5</c:f>
              <c:numCache>
                <c:formatCode>General</c:formatCode>
                <c:ptCount val="1"/>
                <c:pt idx="0">
                  <c:v>132.4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A-4CA4-8C7B-2974F52C9A60}"/>
            </c:ext>
          </c:extLst>
        </c:ser>
        <c:ser>
          <c:idx val="1"/>
          <c:order val="1"/>
          <c:tx>
            <c:strRef>
              <c:f>'Task 3'!$C$3:$C$4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3'!$A$5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3'!$C$5</c:f>
              <c:numCache>
                <c:formatCode>General</c:formatCode>
                <c:ptCount val="1"/>
                <c:pt idx="0">
                  <c:v>151.19999999999999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A-4CA4-8C7B-2974F52C9A60}"/>
            </c:ext>
          </c:extLst>
        </c:ser>
        <c:ser>
          <c:idx val="2"/>
          <c:order val="2"/>
          <c:tx>
            <c:strRef>
              <c:f>'Task 3'!$D$3:$D$4</c:f>
              <c:strCache>
                <c:ptCount val="1"/>
                <c:pt idx="0">
                  <c:v>Hyderabad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3'!$A$5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3'!$D$5</c:f>
              <c:numCache>
                <c:formatCode>General</c:formatCode>
                <c:ptCount val="1"/>
                <c:pt idx="0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2A-4CA4-8C7B-2974F52C9A60}"/>
            </c:ext>
          </c:extLst>
        </c:ser>
        <c:ser>
          <c:idx val="3"/>
          <c:order val="3"/>
          <c:tx>
            <c:strRef>
              <c:f>'Task 3'!$E$3:$E$4</c:f>
              <c:strCache>
                <c:ptCount val="1"/>
                <c:pt idx="0">
                  <c:v>Kolkata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 3'!$A$5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3'!$E$5</c:f>
              <c:numCache>
                <c:formatCode>General</c:formatCode>
                <c:ptCount val="1"/>
                <c:pt idx="0">
                  <c:v>148.5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2A-4CA4-8C7B-2974F52C9A60}"/>
            </c:ext>
          </c:extLst>
        </c:ser>
        <c:ser>
          <c:idx val="4"/>
          <c:order val="4"/>
          <c:tx>
            <c:strRef>
              <c:f>'Task 3'!$F$3:$F$4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'Task 3'!$A$5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3'!$F$5</c:f>
              <c:numCache>
                <c:formatCode>General</c:formatCode>
                <c:ptCount val="1"/>
                <c:pt idx="0">
                  <c:v>149.19999999999999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2A-4CA4-8C7B-2974F52C9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613071"/>
        <c:axId val="1918614991"/>
      </c:barChart>
      <c:catAx>
        <c:axId val="191861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614991"/>
        <c:crosses val="autoZero"/>
        <c:auto val="1"/>
        <c:lblAlgn val="ctr"/>
        <c:lblOffset val="100"/>
        <c:noMultiLvlLbl val="0"/>
      </c:catAx>
      <c:valAx>
        <c:axId val="191861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61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[DataWarriors_Round1.xlsx]Task 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'Task 3'!$B$23:$B$24</c:f>
              <c:strCache>
                <c:ptCount val="1"/>
                <c:pt idx="0">
                  <c:v>Bengaluru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'Task 3'!$A$25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3'!$B$25</c:f>
              <c:numCache>
                <c:formatCode>General</c:formatCode>
                <c:ptCount val="1"/>
                <c:pt idx="0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015-B14E-11A8ACDEA829}"/>
            </c:ext>
          </c:extLst>
        </c:ser>
        <c:ser>
          <c:idx val="1"/>
          <c:order val="1"/>
          <c:tx>
            <c:strRef>
              <c:f>'Task 3'!$C$23:$C$24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'Task 3'!$A$25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3'!$C$25</c:f>
              <c:numCache>
                <c:formatCode>General</c:formatCode>
                <c:ptCount val="1"/>
                <c:pt idx="0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015-B14E-11A8ACDEA829}"/>
            </c:ext>
          </c:extLst>
        </c:ser>
        <c:ser>
          <c:idx val="2"/>
          <c:order val="2"/>
          <c:tx>
            <c:strRef>
              <c:f>'Task 3'!$D$23:$D$24</c:f>
              <c:strCache>
                <c:ptCount val="1"/>
                <c:pt idx="0">
                  <c:v>Hyderabad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'Task 3'!$A$25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3'!$D$25</c:f>
              <c:numCache>
                <c:formatCode>General</c:formatCode>
                <c:ptCount val="1"/>
                <c:pt idx="0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68-4015-B14E-11A8ACDEA829}"/>
            </c:ext>
          </c:extLst>
        </c:ser>
        <c:ser>
          <c:idx val="3"/>
          <c:order val="3"/>
          <c:tx>
            <c:strRef>
              <c:f>'Task 3'!$E$23:$E$24</c:f>
              <c:strCache>
                <c:ptCount val="1"/>
                <c:pt idx="0">
                  <c:v>Kolkata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'Task 3'!$A$25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3'!$E$25</c:f>
              <c:numCache>
                <c:formatCode>General</c:formatCode>
                <c:ptCount val="1"/>
                <c:pt idx="0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68-4015-B14E-11A8ACDEA829}"/>
            </c:ext>
          </c:extLst>
        </c:ser>
        <c:ser>
          <c:idx val="4"/>
          <c:order val="4"/>
          <c:tx>
            <c:strRef>
              <c:f>'Task 3'!$F$23:$F$24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'Task 3'!$A$25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3'!$F$25</c:f>
              <c:numCache>
                <c:formatCode>General</c:formatCode>
                <c:ptCount val="1"/>
                <c:pt idx="0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68-4015-B14E-11A8ACDEA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3284895"/>
        <c:axId val="1593288255"/>
        <c:axId val="0"/>
      </c:bar3DChart>
      <c:catAx>
        <c:axId val="1593284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88255"/>
        <c:crosses val="autoZero"/>
        <c:auto val="1"/>
        <c:lblAlgn val="ctr"/>
        <c:lblOffset val="100"/>
        <c:noMultiLvlLbl val="0"/>
      </c:catAx>
      <c:valAx>
        <c:axId val="159328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8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[DataWarriors_Round1.xlsx]Task 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'Task 3'!$B$43:$B$44</c:f>
              <c:strCache>
                <c:ptCount val="1"/>
                <c:pt idx="0">
                  <c:v>Bengaluru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'Task 3'!$A$45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3'!$B$45</c:f>
              <c:numCache>
                <c:formatCode>General</c:formatCode>
                <c:ptCount val="1"/>
                <c:pt idx="0">
                  <c:v>6130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4-406E-9847-557B9003451D}"/>
            </c:ext>
          </c:extLst>
        </c:ser>
        <c:ser>
          <c:idx val="1"/>
          <c:order val="1"/>
          <c:tx>
            <c:strRef>
              <c:f>'Task 3'!$C$43:$C$44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'Task 3'!$A$45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3'!$C$45</c:f>
              <c:numCache>
                <c:formatCode>General</c:formatCode>
                <c:ptCount val="1"/>
                <c:pt idx="0">
                  <c:v>3180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4-406E-9847-557B9003451D}"/>
            </c:ext>
          </c:extLst>
        </c:ser>
        <c:ser>
          <c:idx val="2"/>
          <c:order val="2"/>
          <c:tx>
            <c:strRef>
              <c:f>'Task 3'!$D$43:$D$44</c:f>
              <c:strCache>
                <c:ptCount val="1"/>
                <c:pt idx="0">
                  <c:v>Hyderabad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'Task 3'!$A$45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3'!$D$45</c:f>
              <c:numCache>
                <c:formatCode>General</c:formatCode>
                <c:ptCount val="1"/>
                <c:pt idx="0">
                  <c:v>5880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04-406E-9847-557B9003451D}"/>
            </c:ext>
          </c:extLst>
        </c:ser>
        <c:ser>
          <c:idx val="3"/>
          <c:order val="3"/>
          <c:tx>
            <c:strRef>
              <c:f>'Task 3'!$E$43:$E$44</c:f>
              <c:strCache>
                <c:ptCount val="1"/>
                <c:pt idx="0">
                  <c:v>Kolkata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'Task 3'!$A$45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3'!$E$45</c:f>
              <c:numCache>
                <c:formatCode>General</c:formatCode>
                <c:ptCount val="1"/>
                <c:pt idx="0">
                  <c:v>10380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04-406E-9847-557B9003451D}"/>
            </c:ext>
          </c:extLst>
        </c:ser>
        <c:ser>
          <c:idx val="4"/>
          <c:order val="4"/>
          <c:tx>
            <c:strRef>
              <c:f>'Task 3'!$F$43:$F$44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'Task 3'!$A$45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3'!$F$45</c:f>
              <c:numCache>
                <c:formatCode>General</c:formatCode>
                <c:ptCount val="1"/>
                <c:pt idx="0">
                  <c:v>17150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04-406E-9847-557B90034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0833295"/>
        <c:axId val="2030837135"/>
        <c:axId val="0"/>
      </c:bar3DChart>
      <c:catAx>
        <c:axId val="203083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37135"/>
        <c:crosses val="autoZero"/>
        <c:auto val="1"/>
        <c:lblAlgn val="ctr"/>
        <c:lblOffset val="100"/>
        <c:noMultiLvlLbl val="0"/>
      </c:catAx>
      <c:valAx>
        <c:axId val="203083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3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[DataWarriors_Round1.xlsx]Task 3!PivotTable4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3'!$B$63:$B$64</c:f>
              <c:strCache>
                <c:ptCount val="1"/>
                <c:pt idx="0">
                  <c:v>Bengaluru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3'!$A$65:$A$70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3'!$B$65:$B$70</c:f>
              <c:numCache>
                <c:formatCode>General</c:formatCode>
                <c:ptCount val="5"/>
                <c:pt idx="0">
                  <c:v>1180</c:v>
                </c:pt>
                <c:pt idx="1">
                  <c:v>1200</c:v>
                </c:pt>
                <c:pt idx="2">
                  <c:v>1220</c:v>
                </c:pt>
                <c:pt idx="3">
                  <c:v>1250</c:v>
                </c:pt>
                <c:pt idx="4">
                  <c:v>1280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0-4657-B5A4-A46CF7DABBA4}"/>
            </c:ext>
          </c:extLst>
        </c:ser>
        <c:ser>
          <c:idx val="1"/>
          <c:order val="1"/>
          <c:tx>
            <c:strRef>
              <c:f>'Task 3'!$C$63:$C$64</c:f>
              <c:strCache>
                <c:ptCount val="1"/>
                <c:pt idx="0">
                  <c:v>Delhi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3'!$A$65:$A$70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3'!$C$65:$C$70</c:f>
              <c:numCache>
                <c:formatCode>General</c:formatCode>
                <c:ptCount val="5"/>
                <c:pt idx="0">
                  <c:v>650</c:v>
                </c:pt>
                <c:pt idx="1">
                  <c:v>670</c:v>
                </c:pt>
                <c:pt idx="2">
                  <c:v>640</c:v>
                </c:pt>
                <c:pt idx="3">
                  <c:v>620</c:v>
                </c:pt>
                <c:pt idx="4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70-4657-B5A4-A46CF7DABBA4}"/>
            </c:ext>
          </c:extLst>
        </c:ser>
        <c:ser>
          <c:idx val="2"/>
          <c:order val="2"/>
          <c:tx>
            <c:strRef>
              <c:f>'Task 3'!$D$63:$D$64</c:f>
              <c:strCache>
                <c:ptCount val="1"/>
                <c:pt idx="0">
                  <c:v>Hyderabad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 3'!$A$65:$A$70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3'!$D$65:$D$70</c:f>
              <c:numCache>
                <c:formatCode>General</c:formatCode>
                <c:ptCount val="5"/>
                <c:pt idx="0">
                  <c:v>1120</c:v>
                </c:pt>
                <c:pt idx="1">
                  <c:v>1150</c:v>
                </c:pt>
                <c:pt idx="2">
                  <c:v>1180</c:v>
                </c:pt>
                <c:pt idx="3">
                  <c:v>1200</c:v>
                </c:pt>
                <c:pt idx="4">
                  <c:v>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70-4657-B5A4-A46CF7DABBA4}"/>
            </c:ext>
          </c:extLst>
        </c:ser>
        <c:ser>
          <c:idx val="3"/>
          <c:order val="3"/>
          <c:tx>
            <c:strRef>
              <c:f>'Task 3'!$E$63:$E$64</c:f>
              <c:strCache>
                <c:ptCount val="1"/>
                <c:pt idx="0">
                  <c:v>Kolkata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'Task 3'!$A$65:$A$70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3'!$E$65:$E$70</c:f>
              <c:numCache>
                <c:formatCode>General</c:formatCode>
                <c:ptCount val="5"/>
                <c:pt idx="0">
                  <c:v>2000</c:v>
                </c:pt>
                <c:pt idx="1">
                  <c:v>2050</c:v>
                </c:pt>
                <c:pt idx="2">
                  <c:v>2080</c:v>
                </c:pt>
                <c:pt idx="3">
                  <c:v>2100</c:v>
                </c:pt>
                <c:pt idx="4">
                  <c:v>2150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70-4657-B5A4-A46CF7DABBA4}"/>
            </c:ext>
          </c:extLst>
        </c:ser>
        <c:ser>
          <c:idx val="4"/>
          <c:order val="4"/>
          <c:tx>
            <c:strRef>
              <c:f>'Task 3'!$F$63:$F$64</c:f>
              <c:strCache>
                <c:ptCount val="1"/>
                <c:pt idx="0">
                  <c:v>Mumbai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'Task 3'!$A$65:$A$70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3'!$F$65:$F$70</c:f>
              <c:numCache>
                <c:formatCode>General</c:formatCode>
                <c:ptCount val="5"/>
                <c:pt idx="0">
                  <c:v>3300</c:v>
                </c:pt>
                <c:pt idx="1">
                  <c:v>3350</c:v>
                </c:pt>
                <c:pt idx="2">
                  <c:v>3400</c:v>
                </c:pt>
                <c:pt idx="3">
                  <c:v>3500</c:v>
                </c:pt>
                <c:pt idx="4">
                  <c:v>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70-4657-B5A4-A46CF7DA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255935"/>
        <c:axId val="1968256895"/>
      </c:lineChart>
      <c:catAx>
        <c:axId val="196825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56895"/>
        <c:crosses val="autoZero"/>
        <c:auto val="1"/>
        <c:lblAlgn val="ctr"/>
        <c:lblOffset val="100"/>
        <c:noMultiLvlLbl val="0"/>
      </c:catAx>
      <c:valAx>
        <c:axId val="196825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5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[DataWarriors_Round1.xlsx]Task 3!PivotTable5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'Task 3'!$B$93:$B$94</c:f>
              <c:strCache>
                <c:ptCount val="1"/>
                <c:pt idx="0">
                  <c:v>Bengaluru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3'!$A$95:$A$100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3'!$B$95:$B$100</c:f>
              <c:numCache>
                <c:formatCode>General</c:formatCode>
                <c:ptCount val="5"/>
                <c:pt idx="0">
                  <c:v>70</c:v>
                </c:pt>
                <c:pt idx="1">
                  <c:v>71</c:v>
                </c:pt>
                <c:pt idx="2">
                  <c:v>70</c:v>
                </c:pt>
                <c:pt idx="3">
                  <c:v>72</c:v>
                </c:pt>
                <c:pt idx="4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F3-476F-BBFD-A2DE29D5BB1A}"/>
            </c:ext>
          </c:extLst>
        </c:ser>
        <c:ser>
          <c:idx val="1"/>
          <c:order val="1"/>
          <c:tx>
            <c:strRef>
              <c:f>'Task 3'!$C$93:$C$94</c:f>
              <c:strCache>
                <c:ptCount val="1"/>
                <c:pt idx="0">
                  <c:v>Delhi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3'!$A$95:$A$100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3'!$C$95:$C$100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44</c:v>
                </c:pt>
                <c:pt idx="3">
                  <c:v>43</c:v>
                </c:pt>
                <c:pt idx="4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F3-476F-BBFD-A2DE29D5BB1A}"/>
            </c:ext>
          </c:extLst>
        </c:ser>
        <c:ser>
          <c:idx val="2"/>
          <c:order val="2"/>
          <c:tx>
            <c:strRef>
              <c:f>'Task 3'!$D$93:$D$94</c:f>
              <c:strCache>
                <c:ptCount val="1"/>
                <c:pt idx="0">
                  <c:v>Hyderabad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 3'!$A$95:$A$100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3'!$D$95:$D$100</c:f>
              <c:numCache>
                <c:formatCode>General</c:formatCode>
                <c:ptCount val="5"/>
                <c:pt idx="0">
                  <c:v>60</c:v>
                </c:pt>
                <c:pt idx="1">
                  <c:v>61</c:v>
                </c:pt>
                <c:pt idx="2">
                  <c:v>60</c:v>
                </c:pt>
                <c:pt idx="3">
                  <c:v>62</c:v>
                </c:pt>
                <c:pt idx="4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F3-476F-BBFD-A2DE29D5BB1A}"/>
            </c:ext>
          </c:extLst>
        </c:ser>
        <c:ser>
          <c:idx val="3"/>
          <c:order val="3"/>
          <c:tx>
            <c:strRef>
              <c:f>'Task 3'!$E$93:$E$94</c:f>
              <c:strCache>
                <c:ptCount val="1"/>
                <c:pt idx="0">
                  <c:v>Kolkata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'Task 3'!$A$95:$A$100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3'!$E$95:$E$100</c:f>
              <c:numCache>
                <c:formatCode>General</c:formatCode>
                <c:ptCount val="5"/>
                <c:pt idx="0">
                  <c:v>78</c:v>
                </c:pt>
                <c:pt idx="1">
                  <c:v>79</c:v>
                </c:pt>
                <c:pt idx="2">
                  <c:v>78</c:v>
                </c:pt>
                <c:pt idx="3">
                  <c:v>80</c:v>
                </c:pt>
                <c:pt idx="4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F3-476F-BBFD-A2DE29D5BB1A}"/>
            </c:ext>
          </c:extLst>
        </c:ser>
        <c:ser>
          <c:idx val="4"/>
          <c:order val="4"/>
          <c:tx>
            <c:strRef>
              <c:f>'Task 3'!$F$93:$F$94</c:f>
              <c:strCache>
                <c:ptCount val="1"/>
                <c:pt idx="0">
                  <c:v>Mumbai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'Task 3'!$A$95:$A$100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3'!$F$95:$F$100</c:f>
              <c:numCache>
                <c:formatCode>General</c:formatCode>
                <c:ptCount val="5"/>
                <c:pt idx="0">
                  <c:v>88</c:v>
                </c:pt>
                <c:pt idx="1">
                  <c:v>89</c:v>
                </c:pt>
                <c:pt idx="2">
                  <c:v>89</c:v>
                </c:pt>
                <c:pt idx="3">
                  <c:v>90</c:v>
                </c:pt>
                <c:pt idx="4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F3-476F-BBFD-A2DE29D5B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320751"/>
        <c:axId val="1582321231"/>
      </c:lineChart>
      <c:catAx>
        <c:axId val="158232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21231"/>
        <c:crosses val="autoZero"/>
        <c:auto val="1"/>
        <c:lblAlgn val="ctr"/>
        <c:lblOffset val="100"/>
        <c:noMultiLvlLbl val="0"/>
      </c:catAx>
      <c:valAx>
        <c:axId val="158232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2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[DataWarriors_Round1.xlsx]Task 3!PivotTable6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'Task 3'!$B$119:$B$120</c:f>
              <c:strCache>
                <c:ptCount val="1"/>
                <c:pt idx="0">
                  <c:v>Bengaluru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3'!$A$121:$A$126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3'!$B$121:$B$126</c:f>
              <c:numCache>
                <c:formatCode>General</c:formatCode>
                <c:ptCount val="5"/>
                <c:pt idx="0">
                  <c:v>26.2</c:v>
                </c:pt>
                <c:pt idx="1">
                  <c:v>26.3</c:v>
                </c:pt>
                <c:pt idx="2">
                  <c:v>26.5</c:v>
                </c:pt>
                <c:pt idx="3">
                  <c:v>26.6</c:v>
                </c:pt>
                <c:pt idx="4">
                  <c:v>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40-47C4-9A08-38F872C59C8B}"/>
            </c:ext>
          </c:extLst>
        </c:ser>
        <c:ser>
          <c:idx val="1"/>
          <c:order val="1"/>
          <c:tx>
            <c:strRef>
              <c:f>'Task 3'!$C$119:$C$120</c:f>
              <c:strCache>
                <c:ptCount val="1"/>
                <c:pt idx="0">
                  <c:v>Delhi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3'!$A$121:$A$126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3'!$C$121:$C$126</c:f>
              <c:numCache>
                <c:formatCode>General</c:formatCode>
                <c:ptCount val="5"/>
                <c:pt idx="0">
                  <c:v>29.8</c:v>
                </c:pt>
                <c:pt idx="1">
                  <c:v>30</c:v>
                </c:pt>
                <c:pt idx="2">
                  <c:v>30.2</c:v>
                </c:pt>
                <c:pt idx="3">
                  <c:v>30.5</c:v>
                </c:pt>
                <c:pt idx="4">
                  <c:v>30.7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40-47C4-9A08-38F872C59C8B}"/>
            </c:ext>
          </c:extLst>
        </c:ser>
        <c:ser>
          <c:idx val="2"/>
          <c:order val="2"/>
          <c:tx>
            <c:strRef>
              <c:f>'Task 3'!$D$119:$D$120</c:f>
              <c:strCache>
                <c:ptCount val="1"/>
                <c:pt idx="0">
                  <c:v>Hyderabad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 3'!$A$121:$A$126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3'!$D$121:$D$126</c:f>
              <c:numCache>
                <c:formatCode>General</c:formatCode>
                <c:ptCount val="5"/>
                <c:pt idx="0">
                  <c:v>29.4</c:v>
                </c:pt>
                <c:pt idx="1">
                  <c:v>29.6</c:v>
                </c:pt>
                <c:pt idx="2">
                  <c:v>29.8</c:v>
                </c:pt>
                <c:pt idx="3">
                  <c:v>30</c:v>
                </c:pt>
                <c:pt idx="4">
                  <c:v>30.2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40-47C4-9A08-38F872C59C8B}"/>
            </c:ext>
          </c:extLst>
        </c:ser>
        <c:ser>
          <c:idx val="3"/>
          <c:order val="3"/>
          <c:tx>
            <c:strRef>
              <c:f>'Task 3'!$E$119:$E$120</c:f>
              <c:strCache>
                <c:ptCount val="1"/>
                <c:pt idx="0">
                  <c:v>Kolkata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'Task 3'!$A$121:$A$126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3'!$E$121:$E$126</c:f>
              <c:numCache>
                <c:formatCode>General</c:formatCode>
                <c:ptCount val="5"/>
                <c:pt idx="0">
                  <c:v>29.3</c:v>
                </c:pt>
                <c:pt idx="1">
                  <c:v>29.5</c:v>
                </c:pt>
                <c:pt idx="2">
                  <c:v>29.7</c:v>
                </c:pt>
                <c:pt idx="3">
                  <c:v>29.9</c:v>
                </c:pt>
                <c:pt idx="4">
                  <c:v>30.1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40-47C4-9A08-38F872C59C8B}"/>
            </c:ext>
          </c:extLst>
        </c:ser>
        <c:ser>
          <c:idx val="4"/>
          <c:order val="4"/>
          <c:tx>
            <c:strRef>
              <c:f>'Task 3'!$F$119:$F$120</c:f>
              <c:strCache>
                <c:ptCount val="1"/>
                <c:pt idx="0">
                  <c:v>Mumbai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'Task 3'!$A$121:$A$126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'Task 3'!$F$121:$F$126</c:f>
              <c:numCache>
                <c:formatCode>General</c:formatCode>
                <c:ptCount val="5"/>
                <c:pt idx="0">
                  <c:v>29.5</c:v>
                </c:pt>
                <c:pt idx="1">
                  <c:v>29.7</c:v>
                </c:pt>
                <c:pt idx="2">
                  <c:v>29.8</c:v>
                </c:pt>
                <c:pt idx="3">
                  <c:v>30</c:v>
                </c:pt>
                <c:pt idx="4">
                  <c:v>30.2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40-47C4-9A08-38F872C59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230495"/>
        <c:axId val="1968232415"/>
      </c:lineChart>
      <c:catAx>
        <c:axId val="196823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32415"/>
        <c:crosses val="autoZero"/>
        <c:auto val="1"/>
        <c:lblAlgn val="ctr"/>
        <c:lblOffset val="100"/>
        <c:noMultiLvlLbl val="0"/>
      </c:catAx>
      <c:valAx>
        <c:axId val="196823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3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257175</xdr:colOff>
      <xdr:row>2</xdr:row>
      <xdr:rowOff>292100</xdr:rowOff>
    </xdr:from>
    <xdr:to>
      <xdr:col>25</xdr:col>
      <xdr:colOff>682625</xdr:colOff>
      <xdr:row>14</xdr:row>
      <xdr:rowOff>111125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6C5EE0-1ECC-555A-98BA-B9B465D00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409575</xdr:colOff>
      <xdr:row>17</xdr:row>
      <xdr:rowOff>38100</xdr:rowOff>
    </xdr:from>
    <xdr:to>
      <xdr:col>25</xdr:col>
      <xdr:colOff>561975</xdr:colOff>
      <xdr:row>29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BC8F21-800B-1129-9E26-19EF748C7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305361</xdr:colOff>
      <xdr:row>34</xdr:row>
      <xdr:rowOff>52482</xdr:rowOff>
    </xdr:from>
    <xdr:to>
      <xdr:col>25</xdr:col>
      <xdr:colOff>469713</xdr:colOff>
      <xdr:row>48</xdr:row>
      <xdr:rowOff>180976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3FA573-7835-F111-7162-79B53FB91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393700</xdr:colOff>
      <xdr:row>51</xdr:row>
      <xdr:rowOff>95250</xdr:rowOff>
    </xdr:from>
    <xdr:to>
      <xdr:col>18</xdr:col>
      <xdr:colOff>1511300</xdr:colOff>
      <xdr:row>68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40C2FD-975B-42D8-CFC0-020EBC7AA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5</xdr:row>
      <xdr:rowOff>171450</xdr:rowOff>
    </xdr:from>
    <xdr:to>
      <xdr:col>6</xdr:col>
      <xdr:colOff>336550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1BBDFA-563E-C355-CF97-3D610C0A8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476250</xdr:colOff>
      <xdr:row>25</xdr:row>
      <xdr:rowOff>101600</xdr:rowOff>
    </xdr:from>
    <xdr:to>
      <xdr:col>6</xdr:col>
      <xdr:colOff>368300</xdr:colOff>
      <xdr:row>40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017621-C399-8222-9719-E88B11212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495300</xdr:colOff>
      <xdr:row>45</xdr:row>
      <xdr:rowOff>152400</xdr:rowOff>
    </xdr:from>
    <xdr:to>
      <xdr:col>6</xdr:col>
      <xdr:colOff>158750</xdr:colOff>
      <xdr:row>60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491D8D-A64A-D75A-36E4-545886E06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925812</xdr:colOff>
      <xdr:row>71</xdr:row>
      <xdr:rowOff>105466</xdr:rowOff>
    </xdr:from>
    <xdr:to>
      <xdr:col>5</xdr:col>
      <xdr:colOff>506160</xdr:colOff>
      <xdr:row>89</xdr:row>
      <xdr:rowOff>165653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607F0D-AC08-3B87-4030-28A1145F0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428855</xdr:colOff>
      <xdr:row>100</xdr:row>
      <xdr:rowOff>169885</xdr:rowOff>
    </xdr:from>
    <xdr:to>
      <xdr:col>6</xdr:col>
      <xdr:colOff>242956</xdr:colOff>
      <xdr:row>115</xdr:row>
      <xdr:rowOff>152215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BE5B03-BAC6-8A80-A837-9FCC7011F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373638</xdr:colOff>
      <xdr:row>127</xdr:row>
      <xdr:rowOff>22639</xdr:rowOff>
    </xdr:from>
    <xdr:to>
      <xdr:col>6</xdr:col>
      <xdr:colOff>334986</xdr:colOff>
      <xdr:row>142</xdr:row>
      <xdr:rowOff>4969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EAB32B-9757-4F18-0D4F-9AC6580B4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sh Bali" refreshedDate="46064.735021643515" createdVersion="8" refreshedVersion="8" minRefreshableVersion="3" recordCount="25" xr:uid="{10925320-CE23-4B90-8A62-00187507160A}">
  <cacheSource type="worksheet">
    <worksheetSource ref="A1:C26" sheet="Task 1"/>
  </cacheSource>
  <cacheFields count="3">
    <cacheField name="Year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City" numFmtId="0">
      <sharedItems count="5">
        <s v="Bengaluru"/>
        <s v="Hyderabad"/>
        <s v="Delhi"/>
        <s v="Kolkata"/>
        <s v="Mumbai"/>
      </sharedItems>
    </cacheField>
    <cacheField name="Avg Temp (°C)" numFmtId="0">
      <sharedItems containsSemiMixedTypes="0" containsString="0" containsNumber="1" minValue="26.2" maxValue="30.7" count="17">
        <n v="26.2"/>
        <n v="29.4"/>
        <n v="29.8"/>
        <n v="29.3"/>
        <n v="29.5"/>
        <n v="26.3"/>
        <n v="29.6"/>
        <n v="30"/>
        <n v="29.7"/>
        <n v="26.5"/>
        <n v="30.2"/>
        <n v="26.6"/>
        <n v="30.5"/>
        <n v="29.9"/>
        <n v="26.8"/>
        <n v="30.7"/>
        <n v="30.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sh Bali" refreshedDate="46064.738439583336" createdVersion="8" refreshedVersion="8" minRefreshableVersion="3" recordCount="25" xr:uid="{CA8D8EE6-DBF2-46E5-8CB4-8DA32FC793C4}">
  <cacheSource type="worksheet">
    <worksheetSource ref="A1:E26" sheet="Task 1"/>
  </cacheSource>
  <cacheFields count="5">
    <cacheField name="Year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City" numFmtId="0">
      <sharedItems count="5">
        <s v="Bengaluru"/>
        <s v="Hyderabad"/>
        <s v="Delhi"/>
        <s v="Kolkata"/>
        <s v="Mumbai"/>
      </sharedItems>
    </cacheField>
    <cacheField name="Avg Temp (°C)" numFmtId="0">
      <sharedItems containsSemiMixedTypes="0" containsString="0" containsNumber="1" minValue="26.2" maxValue="30.7" count="17">
        <n v="26.2"/>
        <n v="29.4"/>
        <n v="29.8"/>
        <n v="29.3"/>
        <n v="29.5"/>
        <n v="26.3"/>
        <n v="29.6"/>
        <n v="30"/>
        <n v="29.7"/>
        <n v="26.5"/>
        <n v="30.2"/>
        <n v="26.6"/>
        <n v="30.5"/>
        <n v="29.9"/>
        <n v="26.8"/>
        <n v="30.7"/>
        <n v="30.1"/>
      </sharedItems>
    </cacheField>
    <cacheField name="Avg Humidity (%)" numFmtId="0">
      <sharedItems containsSemiMixedTypes="0" containsString="0" containsNumber="1" containsInteger="1" minValue="42" maxValue="91" count="20">
        <n v="70"/>
        <n v="60"/>
        <n v="44"/>
        <n v="78"/>
        <n v="88"/>
        <n v="71"/>
        <n v="61"/>
        <n v="45"/>
        <n v="79"/>
        <n v="89"/>
        <n v="72"/>
        <n v="62"/>
        <n v="43"/>
        <n v="80"/>
        <n v="90"/>
        <n v="73"/>
        <n v="63"/>
        <n v="42"/>
        <n v="81"/>
        <n v="91"/>
      </sharedItems>
    </cacheField>
    <cacheField name="Annual Rainfall (mm)" numFmtId="0">
      <sharedItems containsSemiMixedTypes="0" containsString="0" containsNumber="1" containsInteger="1" minValue="600" maxValue="3600" count="23">
        <n v="1180"/>
        <n v="1120"/>
        <n v="650"/>
        <n v="2000"/>
        <n v="3300"/>
        <n v="1200"/>
        <n v="1150"/>
        <n v="670"/>
        <n v="2050"/>
        <n v="3350"/>
        <n v="1220"/>
        <n v="640"/>
        <n v="2080"/>
        <n v="3400"/>
        <n v="1250"/>
        <n v="620"/>
        <n v="2100"/>
        <n v="3500"/>
        <n v="1280"/>
        <n v="1230"/>
        <n v="600"/>
        <n v="2150"/>
        <n v="36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1"/>
    <x v="0"/>
    <x v="5"/>
  </r>
  <r>
    <x v="1"/>
    <x v="1"/>
    <x v="6"/>
  </r>
  <r>
    <x v="1"/>
    <x v="2"/>
    <x v="7"/>
  </r>
  <r>
    <x v="1"/>
    <x v="3"/>
    <x v="4"/>
  </r>
  <r>
    <x v="1"/>
    <x v="4"/>
    <x v="8"/>
  </r>
  <r>
    <x v="2"/>
    <x v="0"/>
    <x v="9"/>
  </r>
  <r>
    <x v="2"/>
    <x v="1"/>
    <x v="2"/>
  </r>
  <r>
    <x v="2"/>
    <x v="2"/>
    <x v="10"/>
  </r>
  <r>
    <x v="2"/>
    <x v="3"/>
    <x v="8"/>
  </r>
  <r>
    <x v="2"/>
    <x v="4"/>
    <x v="2"/>
  </r>
  <r>
    <x v="3"/>
    <x v="0"/>
    <x v="11"/>
  </r>
  <r>
    <x v="3"/>
    <x v="1"/>
    <x v="7"/>
  </r>
  <r>
    <x v="3"/>
    <x v="2"/>
    <x v="12"/>
  </r>
  <r>
    <x v="3"/>
    <x v="3"/>
    <x v="13"/>
  </r>
  <r>
    <x v="3"/>
    <x v="4"/>
    <x v="7"/>
  </r>
  <r>
    <x v="4"/>
    <x v="0"/>
    <x v="14"/>
  </r>
  <r>
    <x v="4"/>
    <x v="1"/>
    <x v="10"/>
  </r>
  <r>
    <x v="4"/>
    <x v="2"/>
    <x v="15"/>
  </r>
  <r>
    <x v="4"/>
    <x v="3"/>
    <x v="16"/>
  </r>
  <r>
    <x v="4"/>
    <x v="4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x v="0"/>
    <x v="0"/>
  </r>
  <r>
    <x v="0"/>
    <x v="1"/>
    <x v="1"/>
    <x v="1"/>
    <x v="1"/>
  </r>
  <r>
    <x v="0"/>
    <x v="2"/>
    <x v="2"/>
    <x v="2"/>
    <x v="2"/>
  </r>
  <r>
    <x v="0"/>
    <x v="3"/>
    <x v="3"/>
    <x v="3"/>
    <x v="3"/>
  </r>
  <r>
    <x v="0"/>
    <x v="4"/>
    <x v="4"/>
    <x v="4"/>
    <x v="4"/>
  </r>
  <r>
    <x v="1"/>
    <x v="0"/>
    <x v="5"/>
    <x v="5"/>
    <x v="5"/>
  </r>
  <r>
    <x v="1"/>
    <x v="1"/>
    <x v="6"/>
    <x v="6"/>
    <x v="6"/>
  </r>
  <r>
    <x v="1"/>
    <x v="2"/>
    <x v="7"/>
    <x v="7"/>
    <x v="7"/>
  </r>
  <r>
    <x v="1"/>
    <x v="3"/>
    <x v="4"/>
    <x v="8"/>
    <x v="8"/>
  </r>
  <r>
    <x v="1"/>
    <x v="4"/>
    <x v="8"/>
    <x v="9"/>
    <x v="9"/>
  </r>
  <r>
    <x v="2"/>
    <x v="0"/>
    <x v="9"/>
    <x v="0"/>
    <x v="10"/>
  </r>
  <r>
    <x v="2"/>
    <x v="1"/>
    <x v="2"/>
    <x v="1"/>
    <x v="0"/>
  </r>
  <r>
    <x v="2"/>
    <x v="2"/>
    <x v="10"/>
    <x v="2"/>
    <x v="11"/>
  </r>
  <r>
    <x v="2"/>
    <x v="3"/>
    <x v="8"/>
    <x v="3"/>
    <x v="12"/>
  </r>
  <r>
    <x v="2"/>
    <x v="4"/>
    <x v="2"/>
    <x v="9"/>
    <x v="13"/>
  </r>
  <r>
    <x v="3"/>
    <x v="0"/>
    <x v="11"/>
    <x v="10"/>
    <x v="14"/>
  </r>
  <r>
    <x v="3"/>
    <x v="1"/>
    <x v="7"/>
    <x v="11"/>
    <x v="5"/>
  </r>
  <r>
    <x v="3"/>
    <x v="2"/>
    <x v="12"/>
    <x v="12"/>
    <x v="15"/>
  </r>
  <r>
    <x v="3"/>
    <x v="3"/>
    <x v="13"/>
    <x v="13"/>
    <x v="16"/>
  </r>
  <r>
    <x v="3"/>
    <x v="4"/>
    <x v="7"/>
    <x v="14"/>
    <x v="17"/>
  </r>
  <r>
    <x v="4"/>
    <x v="0"/>
    <x v="14"/>
    <x v="15"/>
    <x v="18"/>
  </r>
  <r>
    <x v="4"/>
    <x v="1"/>
    <x v="10"/>
    <x v="16"/>
    <x v="19"/>
  </r>
  <r>
    <x v="4"/>
    <x v="2"/>
    <x v="15"/>
    <x v="17"/>
    <x v="20"/>
  </r>
  <r>
    <x v="4"/>
    <x v="3"/>
    <x v="16"/>
    <x v="18"/>
    <x v="21"/>
  </r>
  <r>
    <x v="4"/>
    <x v="4"/>
    <x v="10"/>
    <x v="19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9FEAB-F911-4934-B863-43F55A830F18}" name="PivotTable4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77:AC85" firstHeaderRow="1" firstDataRow="3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0"/>
        <item x="2"/>
        <item x="1"/>
        <item x="3"/>
        <item x="4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-2"/>
  </colFields>
  <col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Avg Temp (°C)" fld="2" baseField="0" baseItem="0"/>
    <dataField name="Sum of Avg Humidity (%)" fld="3" baseField="0" baseItem="0"/>
    <dataField name="Sum of Annual Rainfall (mm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A472F-B63A-4A47-9AC8-3EC1468471EC}" name="PivotTable4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8:M64" firstHeaderRow="0" firstDataRow="1" firstDataCol="1"/>
  <pivotFields count="5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dataFiel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 Temp (°C)" fld="2" baseField="0" baseItem="0"/>
    <dataField name="Sum of Avg Humidity (%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E16DB-3209-4AB1-B596-354B0D535E29}" name="PivotTable2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38:Q45" firstHeaderRow="1" firstDataRow="2" firstDataCol="1"/>
  <pivotFields count="5"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Humidity" fld="3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B1F49-DDFA-40D2-8CD5-DB84257EC139}" name="PivotTable2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22:Q29" firstHeaderRow="1" firstDataRow="2" firstDataCol="1"/>
  <pivotFields count="5"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dataField="1" showAll="0">
      <items count="24">
        <item x="20"/>
        <item x="15"/>
        <item x="11"/>
        <item x="2"/>
        <item x="7"/>
        <item x="1"/>
        <item x="6"/>
        <item x="0"/>
        <item x="5"/>
        <item x="10"/>
        <item x="19"/>
        <item x="14"/>
        <item x="18"/>
        <item x="3"/>
        <item x="8"/>
        <item x="12"/>
        <item x="16"/>
        <item x="21"/>
        <item x="4"/>
        <item x="9"/>
        <item x="13"/>
        <item x="17"/>
        <item x="2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nnual Rainfall" fld="4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9467D-62CC-4310-8BFE-A5EBAB486F31}" name="PivotTable2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3:P10" firstHeaderRow="1" firstDataRow="2" firstDataCol="1"/>
  <pivotFields count="3"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dataField="1" showAll="0">
      <items count="18">
        <item x="0"/>
        <item x="5"/>
        <item x="9"/>
        <item x="11"/>
        <item x="14"/>
        <item x="3"/>
        <item x="1"/>
        <item x="4"/>
        <item x="6"/>
        <item x="8"/>
        <item x="2"/>
        <item x="13"/>
        <item x="7"/>
        <item x="16"/>
        <item x="10"/>
        <item x="12"/>
        <item x="15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emperature" fld="2" baseField="0" baseItem="0"/>
  </dataField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65C01-ED4B-4280-916D-CE5A52F8B6CE}" name="PivotTable1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:T19" firstHeaderRow="1" firstDataRow="3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0"/>
        <item x="2"/>
        <item x="1"/>
        <item x="3"/>
        <item x="4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-2"/>
  </colFields>
  <col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Avg Temp (°C)" fld="2" baseField="0" baseItem="0"/>
    <dataField name="Sum of Avg Humidity (%)" fld="3" baseField="0" baseItem="0"/>
    <dataField name="Sum of Annual Rainfall (mm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EA1E5-FB62-473C-AA12-3DA075084E4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G5" firstHeaderRow="1" firstDataRow="2" firstDataCol="1"/>
  <pivotFields count="5">
    <pivotField showAll="0"/>
    <pivotField axis="axisCol" showAll="0">
      <items count="6">
        <item x="0"/>
        <item x="2"/>
        <item x="1"/>
        <item x="3"/>
        <item x="4"/>
        <item t="default"/>
      </items>
    </pivotField>
    <pivotField dataField="1" showAll="0"/>
    <pivotField showAll="0"/>
    <pivotField showAll="0"/>
  </pivotFields>
  <rowItems count="1">
    <i/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vg Temp (°C)" fld="2" baseField="0" baseItem="0"/>
  </dataFields>
  <chartFormats count="5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A5A08-E0B8-4DE7-B0B6-72D69D19D750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19:G126" firstHeaderRow="1" firstDataRow="2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0"/>
        <item x="2"/>
        <item x="1"/>
        <item x="3"/>
        <item x="4"/>
        <item t="default"/>
      </items>
    </pivotField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vg Temp (°C)" fld="2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5289A-41D8-49CE-9886-8C15103DB201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93:G100" firstHeaderRow="1" firstDataRow="2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vg Humidity (%)" fld="3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C910E-9C6C-4F77-97A0-F540B2700515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3:G70" firstHeaderRow="1" firstDataRow="2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nnual Rainfall (mm)" fld="4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FBD03-6434-49EC-9A5E-055080A5417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3:G45" firstHeaderRow="1" firstDataRow="2" firstDataCol="1"/>
  <pivotFields count="5">
    <pivotField showAll="0"/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dataField="1" showAll="0"/>
  </pivotFields>
  <rowItems count="1">
    <i/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nnual Rainfall (mm)" fld="4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2E835-5F94-42B7-8F6A-1146016F075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3:G25" firstHeaderRow="1" firstDataRow="2" firstDataCol="1"/>
  <pivotFields count="5">
    <pivotField showAll="0"/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</pivotFields>
  <rowItems count="1">
    <i/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vg Humidity (%)" fld="3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612B-D40C-4ABB-9F9F-5F941DCD358D}">
  <dimension ref="A1:AC99"/>
  <sheetViews>
    <sheetView tabSelected="1" zoomScale="40" zoomScaleNormal="68" workbookViewId="0">
      <selection activeCell="N18" sqref="N18"/>
    </sheetView>
  </sheetViews>
  <sheetFormatPr defaultRowHeight="14.5" x14ac:dyDescent="0.35"/>
  <cols>
    <col min="1" max="1" width="14.1796875" customWidth="1"/>
    <col min="2" max="2" width="15.453125" customWidth="1"/>
    <col min="10" max="10" width="19" bestFit="1" customWidth="1"/>
    <col min="11" max="11" width="14.26953125" bestFit="1" customWidth="1"/>
    <col min="12" max="12" width="24.453125" bestFit="1" customWidth="1"/>
    <col min="13" max="13" width="22.54296875" bestFit="1" customWidth="1"/>
    <col min="14" max="14" width="25.6328125" bestFit="1" customWidth="1"/>
    <col min="15" max="15" width="19.6328125" bestFit="1" customWidth="1"/>
    <col min="16" max="16" width="21.7265625" bestFit="1" customWidth="1"/>
    <col min="17" max="17" width="25.08984375" bestFit="1" customWidth="1"/>
    <col min="18" max="18" width="19" bestFit="1" customWidth="1"/>
    <col min="19" max="19" width="21.7265625" bestFit="1" customWidth="1"/>
    <col min="20" max="20" width="25.08984375" bestFit="1" customWidth="1"/>
    <col min="21" max="21" width="19" bestFit="1" customWidth="1"/>
    <col min="22" max="22" width="21.7265625" bestFit="1" customWidth="1"/>
    <col min="23" max="23" width="25.08984375" bestFit="1" customWidth="1"/>
    <col min="24" max="24" width="19" bestFit="1" customWidth="1"/>
    <col min="25" max="25" width="21.7265625" bestFit="1" customWidth="1"/>
    <col min="26" max="26" width="25.08984375" bestFit="1" customWidth="1"/>
    <col min="27" max="27" width="23.81640625" bestFit="1" customWidth="1"/>
    <col min="28" max="28" width="26.453125" bestFit="1" customWidth="1"/>
    <col min="29" max="29" width="29.81640625" bestFit="1" customWidth="1"/>
    <col min="30" max="43" width="25.08984375" bestFit="1" customWidth="1"/>
    <col min="44" max="44" width="23.54296875" bestFit="1" customWidth="1"/>
    <col min="45" max="45" width="26.1796875" bestFit="1" customWidth="1"/>
    <col min="46" max="46" width="29.54296875" bestFit="1" customWidth="1"/>
    <col min="47" max="61" width="25.08984375" bestFit="1" customWidth="1"/>
    <col min="62" max="62" width="23.54296875" bestFit="1" customWidth="1"/>
    <col min="63" max="63" width="26.1796875" bestFit="1" customWidth="1"/>
    <col min="64" max="64" width="29.54296875" bestFit="1" customWidth="1"/>
    <col min="65" max="79" width="25.08984375" bestFit="1" customWidth="1"/>
    <col min="80" max="80" width="23.54296875" bestFit="1" customWidth="1"/>
    <col min="81" max="81" width="26.1796875" bestFit="1" customWidth="1"/>
    <col min="82" max="82" width="29.54296875" bestFit="1" customWidth="1"/>
    <col min="83" max="97" width="25.08984375" bestFit="1" customWidth="1"/>
    <col min="98" max="98" width="23.54296875" bestFit="1" customWidth="1"/>
    <col min="99" max="99" width="26.1796875" bestFit="1" customWidth="1"/>
    <col min="100" max="100" width="29.54296875" bestFit="1" customWidth="1"/>
    <col min="101" max="101" width="23.81640625" bestFit="1" customWidth="1"/>
    <col min="102" max="102" width="26.453125" bestFit="1" customWidth="1"/>
    <col min="103" max="103" width="29.81640625" bestFit="1" customWidth="1"/>
  </cols>
  <sheetData>
    <row r="1" spans="1:16" ht="43.5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16" ht="29" x14ac:dyDescent="0.35">
      <c r="A2" s="2">
        <v>2020</v>
      </c>
      <c r="B2" s="2" t="s">
        <v>6</v>
      </c>
      <c r="C2" s="2">
        <v>26.2</v>
      </c>
      <c r="D2" s="2">
        <v>70</v>
      </c>
      <c r="E2" s="2">
        <v>1180</v>
      </c>
    </row>
    <row r="3" spans="1:16" ht="29" x14ac:dyDescent="0.35">
      <c r="A3" s="2">
        <v>2020</v>
      </c>
      <c r="B3" s="2" t="s">
        <v>7</v>
      </c>
      <c r="C3" s="2">
        <v>29.4</v>
      </c>
      <c r="D3" s="2">
        <v>60</v>
      </c>
      <c r="E3" s="2">
        <v>1120</v>
      </c>
      <c r="J3" s="3" t="s">
        <v>15</v>
      </c>
      <c r="K3" s="3" t="s">
        <v>12</v>
      </c>
    </row>
    <row r="4" spans="1:16" x14ac:dyDescent="0.35">
      <c r="A4" s="2">
        <v>2020</v>
      </c>
      <c r="B4" s="2" t="s">
        <v>8</v>
      </c>
      <c r="C4" s="2">
        <v>29.8</v>
      </c>
      <c r="D4" s="2">
        <v>44</v>
      </c>
      <c r="E4" s="2">
        <v>650</v>
      </c>
      <c r="J4" s="3" t="s">
        <v>14</v>
      </c>
      <c r="K4">
        <v>2020</v>
      </c>
      <c r="L4">
        <v>2021</v>
      </c>
      <c r="M4">
        <v>2022</v>
      </c>
      <c r="N4">
        <v>2023</v>
      </c>
      <c r="O4">
        <v>2024</v>
      </c>
      <c r="P4" t="s">
        <v>13</v>
      </c>
    </row>
    <row r="5" spans="1:16" x14ac:dyDescent="0.35">
      <c r="A5" s="2">
        <v>2020</v>
      </c>
      <c r="B5" s="2" t="s">
        <v>9</v>
      </c>
      <c r="C5" s="2">
        <v>29.3</v>
      </c>
      <c r="D5" s="2">
        <v>78</v>
      </c>
      <c r="E5" s="2">
        <v>2000</v>
      </c>
      <c r="J5" s="5" t="s">
        <v>6</v>
      </c>
      <c r="K5">
        <v>26.2</v>
      </c>
      <c r="L5">
        <v>26.3</v>
      </c>
      <c r="M5">
        <v>26.5</v>
      </c>
      <c r="N5">
        <v>26.6</v>
      </c>
      <c r="O5">
        <v>26.8</v>
      </c>
      <c r="P5">
        <v>132.4</v>
      </c>
    </row>
    <row r="6" spans="1:16" x14ac:dyDescent="0.35">
      <c r="A6" s="2">
        <v>2020</v>
      </c>
      <c r="B6" s="2" t="s">
        <v>10</v>
      </c>
      <c r="C6" s="2">
        <v>29.5</v>
      </c>
      <c r="D6" s="2">
        <v>88</v>
      </c>
      <c r="E6" s="2">
        <v>3300</v>
      </c>
      <c r="J6" s="5" t="s">
        <v>8</v>
      </c>
      <c r="K6">
        <v>29.8</v>
      </c>
      <c r="L6">
        <v>30</v>
      </c>
      <c r="M6">
        <v>30.2</v>
      </c>
      <c r="N6">
        <v>30.5</v>
      </c>
      <c r="O6">
        <v>30.7</v>
      </c>
      <c r="P6">
        <v>151.19999999999999</v>
      </c>
    </row>
    <row r="7" spans="1:16" ht="29" x14ac:dyDescent="0.35">
      <c r="A7" s="2">
        <v>2021</v>
      </c>
      <c r="B7" s="2" t="s">
        <v>6</v>
      </c>
      <c r="C7" s="2">
        <v>26.3</v>
      </c>
      <c r="D7" s="2">
        <v>71</v>
      </c>
      <c r="E7" s="2">
        <v>1200</v>
      </c>
      <c r="J7" s="5" t="s">
        <v>7</v>
      </c>
      <c r="K7">
        <v>29.4</v>
      </c>
      <c r="L7">
        <v>29.6</v>
      </c>
      <c r="M7">
        <v>29.8</v>
      </c>
      <c r="N7">
        <v>30</v>
      </c>
      <c r="O7">
        <v>30.2</v>
      </c>
      <c r="P7">
        <v>149</v>
      </c>
    </row>
    <row r="8" spans="1:16" ht="29" x14ac:dyDescent="0.35">
      <c r="A8" s="2">
        <v>2021</v>
      </c>
      <c r="B8" s="2" t="s">
        <v>7</v>
      </c>
      <c r="C8" s="2">
        <v>29.6</v>
      </c>
      <c r="D8" s="2">
        <v>61</v>
      </c>
      <c r="E8" s="2">
        <v>1150</v>
      </c>
      <c r="J8" s="5" t="s">
        <v>9</v>
      </c>
      <c r="K8">
        <v>29.3</v>
      </c>
      <c r="L8">
        <v>29.5</v>
      </c>
      <c r="M8">
        <v>29.7</v>
      </c>
      <c r="N8">
        <v>29.9</v>
      </c>
      <c r="O8">
        <v>30.1</v>
      </c>
      <c r="P8">
        <v>148.5</v>
      </c>
    </row>
    <row r="9" spans="1:16" x14ac:dyDescent="0.35">
      <c r="A9" s="2">
        <v>2021</v>
      </c>
      <c r="B9" s="2" t="s">
        <v>8</v>
      </c>
      <c r="C9" s="2">
        <v>30</v>
      </c>
      <c r="D9" s="2">
        <v>45</v>
      </c>
      <c r="E9" s="2">
        <v>670</v>
      </c>
      <c r="J9" s="5" t="s">
        <v>10</v>
      </c>
      <c r="K9">
        <v>29.5</v>
      </c>
      <c r="L9">
        <v>29.7</v>
      </c>
      <c r="M9">
        <v>29.8</v>
      </c>
      <c r="N9">
        <v>30</v>
      </c>
      <c r="O9">
        <v>30.2</v>
      </c>
      <c r="P9">
        <v>149.19999999999999</v>
      </c>
    </row>
    <row r="10" spans="1:16" x14ac:dyDescent="0.35">
      <c r="A10" s="2">
        <v>2021</v>
      </c>
      <c r="B10" s="2" t="s">
        <v>9</v>
      </c>
      <c r="C10" s="2">
        <v>29.5</v>
      </c>
      <c r="D10" s="2">
        <v>79</v>
      </c>
      <c r="E10" s="2">
        <v>2050</v>
      </c>
      <c r="J10" s="5" t="s">
        <v>13</v>
      </c>
      <c r="K10">
        <v>144.19999999999999</v>
      </c>
      <c r="L10">
        <v>145.1</v>
      </c>
      <c r="M10">
        <v>146</v>
      </c>
      <c r="N10">
        <v>147</v>
      </c>
      <c r="O10">
        <v>148</v>
      </c>
      <c r="P10">
        <v>730.3</v>
      </c>
    </row>
    <row r="11" spans="1:16" x14ac:dyDescent="0.35">
      <c r="A11" s="2">
        <v>2021</v>
      </c>
      <c r="B11" s="2" t="s">
        <v>10</v>
      </c>
      <c r="C11" s="2">
        <v>29.7</v>
      </c>
      <c r="D11" s="2">
        <v>89</v>
      </c>
      <c r="E11" s="2">
        <v>3350</v>
      </c>
    </row>
    <row r="12" spans="1:16" ht="29" x14ac:dyDescent="0.35">
      <c r="A12" s="2">
        <v>2022</v>
      </c>
      <c r="B12" s="2" t="s">
        <v>6</v>
      </c>
      <c r="C12" s="2">
        <v>26.5</v>
      </c>
      <c r="D12" s="2">
        <v>70</v>
      </c>
      <c r="E12" s="2">
        <v>1220</v>
      </c>
    </row>
    <row r="13" spans="1:16" ht="29" x14ac:dyDescent="0.35">
      <c r="A13" s="2">
        <v>2022</v>
      </c>
      <c r="B13" s="2" t="s">
        <v>7</v>
      </c>
      <c r="C13" s="2">
        <v>29.8</v>
      </c>
      <c r="D13" s="2">
        <v>60</v>
      </c>
      <c r="E13" s="2">
        <v>1180</v>
      </c>
    </row>
    <row r="14" spans="1:16" x14ac:dyDescent="0.35">
      <c r="A14" s="2">
        <v>2022</v>
      </c>
      <c r="B14" s="2" t="s">
        <v>8</v>
      </c>
      <c r="C14" s="2">
        <v>30.2</v>
      </c>
      <c r="D14" s="2">
        <v>44</v>
      </c>
      <c r="E14" s="2">
        <v>640</v>
      </c>
    </row>
    <row r="15" spans="1:16" x14ac:dyDescent="0.35">
      <c r="A15" s="2">
        <v>2022</v>
      </c>
      <c r="B15" s="2" t="s">
        <v>9</v>
      </c>
      <c r="C15" s="2">
        <v>29.7</v>
      </c>
      <c r="D15" s="2">
        <v>78</v>
      </c>
      <c r="E15" s="2">
        <v>2080</v>
      </c>
    </row>
    <row r="16" spans="1:16" x14ac:dyDescent="0.35">
      <c r="A16" s="2">
        <v>2022</v>
      </c>
      <c r="B16" s="2" t="s">
        <v>10</v>
      </c>
      <c r="C16" s="2">
        <v>29.8</v>
      </c>
      <c r="D16" s="2">
        <v>89</v>
      </c>
      <c r="E16" s="2">
        <v>3400</v>
      </c>
    </row>
    <row r="17" spans="1:17" ht="29" x14ac:dyDescent="0.35">
      <c r="A17" s="2">
        <v>2023</v>
      </c>
      <c r="B17" s="2" t="s">
        <v>6</v>
      </c>
      <c r="C17" s="2">
        <v>26.6</v>
      </c>
      <c r="D17" s="2">
        <v>72</v>
      </c>
      <c r="E17" s="2">
        <v>1250</v>
      </c>
    </row>
    <row r="18" spans="1:17" ht="29" x14ac:dyDescent="0.35">
      <c r="A18" s="2">
        <v>2023</v>
      </c>
      <c r="B18" s="2" t="s">
        <v>7</v>
      </c>
      <c r="C18" s="2">
        <v>30</v>
      </c>
      <c r="D18" s="2">
        <v>62</v>
      </c>
      <c r="E18" s="2">
        <v>1200</v>
      </c>
    </row>
    <row r="19" spans="1:17" x14ac:dyDescent="0.35">
      <c r="A19" s="2">
        <v>2023</v>
      </c>
      <c r="B19" s="2" t="s">
        <v>8</v>
      </c>
      <c r="C19" s="2">
        <v>30.5</v>
      </c>
      <c r="D19" s="2">
        <v>43</v>
      </c>
      <c r="E19" s="2">
        <v>620</v>
      </c>
    </row>
    <row r="20" spans="1:17" x14ac:dyDescent="0.35">
      <c r="A20" s="2">
        <v>2023</v>
      </c>
      <c r="B20" s="2" t="s">
        <v>9</v>
      </c>
      <c r="C20" s="2">
        <v>29.9</v>
      </c>
      <c r="D20" s="2">
        <v>80</v>
      </c>
      <c r="E20" s="2">
        <v>2100</v>
      </c>
    </row>
    <row r="21" spans="1:17" x14ac:dyDescent="0.35">
      <c r="A21" s="2">
        <v>2023</v>
      </c>
      <c r="B21" s="2" t="s">
        <v>10</v>
      </c>
      <c r="C21" s="2">
        <v>30</v>
      </c>
      <c r="D21" s="2">
        <v>90</v>
      </c>
      <c r="E21" s="2">
        <v>3500</v>
      </c>
    </row>
    <row r="22" spans="1:17" ht="29" x14ac:dyDescent="0.35">
      <c r="A22" s="2">
        <v>2024</v>
      </c>
      <c r="B22" s="2" t="s">
        <v>6</v>
      </c>
      <c r="C22" s="2">
        <v>26.8</v>
      </c>
      <c r="D22" s="2">
        <v>73</v>
      </c>
      <c r="E22" s="2">
        <v>1280</v>
      </c>
      <c r="K22" s="3" t="s">
        <v>0</v>
      </c>
      <c r="L22" s="3" t="s">
        <v>12</v>
      </c>
    </row>
    <row r="23" spans="1:17" ht="29" x14ac:dyDescent="0.35">
      <c r="A23" s="2">
        <v>2024</v>
      </c>
      <c r="B23" s="2" t="s">
        <v>7</v>
      </c>
      <c r="C23" s="2">
        <v>30.2</v>
      </c>
      <c r="D23" s="2">
        <v>63</v>
      </c>
      <c r="E23" s="2">
        <v>1230</v>
      </c>
      <c r="K23" s="3" t="s">
        <v>14</v>
      </c>
      <c r="L23">
        <v>2020</v>
      </c>
      <c r="M23">
        <v>2021</v>
      </c>
      <c r="N23">
        <v>2022</v>
      </c>
      <c r="O23">
        <v>2023</v>
      </c>
      <c r="P23">
        <v>2024</v>
      </c>
      <c r="Q23" t="s">
        <v>13</v>
      </c>
    </row>
    <row r="24" spans="1:17" x14ac:dyDescent="0.35">
      <c r="A24" s="2">
        <v>2024</v>
      </c>
      <c r="B24" s="2" t="s">
        <v>8</v>
      </c>
      <c r="C24" s="2">
        <v>30.7</v>
      </c>
      <c r="D24" s="2">
        <v>42</v>
      </c>
      <c r="E24" s="2">
        <v>600</v>
      </c>
      <c r="K24" s="5" t="s">
        <v>6</v>
      </c>
      <c r="L24">
        <v>1180</v>
      </c>
      <c r="M24">
        <v>1200</v>
      </c>
      <c r="N24">
        <v>1220</v>
      </c>
      <c r="O24">
        <v>1250</v>
      </c>
      <c r="P24">
        <v>1280</v>
      </c>
      <c r="Q24">
        <v>6130</v>
      </c>
    </row>
    <row r="25" spans="1:17" x14ac:dyDescent="0.35">
      <c r="A25" s="2">
        <v>2024</v>
      </c>
      <c r="B25" s="2" t="s">
        <v>9</v>
      </c>
      <c r="C25" s="2">
        <v>30.1</v>
      </c>
      <c r="D25" s="2">
        <v>81</v>
      </c>
      <c r="E25" s="2">
        <v>2150</v>
      </c>
      <c r="K25" s="5" t="s">
        <v>8</v>
      </c>
      <c r="L25">
        <v>650</v>
      </c>
      <c r="M25">
        <v>670</v>
      </c>
      <c r="N25">
        <v>640</v>
      </c>
      <c r="O25">
        <v>620</v>
      </c>
      <c r="P25">
        <v>600</v>
      </c>
      <c r="Q25">
        <v>3180</v>
      </c>
    </row>
    <row r="26" spans="1:17" x14ac:dyDescent="0.35">
      <c r="A26" s="2">
        <v>2024</v>
      </c>
      <c r="B26" s="2" t="s">
        <v>10</v>
      </c>
      <c r="C26" s="2">
        <v>30.2</v>
      </c>
      <c r="D26" s="2">
        <v>91</v>
      </c>
      <c r="E26" s="2">
        <v>3600</v>
      </c>
      <c r="K26" s="5" t="s">
        <v>7</v>
      </c>
      <c r="L26">
        <v>1120</v>
      </c>
      <c r="M26">
        <v>1150</v>
      </c>
      <c r="N26">
        <v>1180</v>
      </c>
      <c r="O26">
        <v>1200</v>
      </c>
      <c r="P26">
        <v>1230</v>
      </c>
      <c r="Q26">
        <v>5880</v>
      </c>
    </row>
    <row r="27" spans="1:17" x14ac:dyDescent="0.35">
      <c r="K27" s="5" t="s">
        <v>9</v>
      </c>
      <c r="L27">
        <v>2000</v>
      </c>
      <c r="M27">
        <v>2050</v>
      </c>
      <c r="N27">
        <v>2080</v>
      </c>
      <c r="O27">
        <v>2100</v>
      </c>
      <c r="P27">
        <v>2150</v>
      </c>
      <c r="Q27">
        <v>10380</v>
      </c>
    </row>
    <row r="28" spans="1:17" x14ac:dyDescent="0.35">
      <c r="K28" s="5" t="s">
        <v>10</v>
      </c>
      <c r="L28">
        <v>3300</v>
      </c>
      <c r="M28">
        <v>3350</v>
      </c>
      <c r="N28">
        <v>3400</v>
      </c>
      <c r="O28">
        <v>3500</v>
      </c>
      <c r="P28">
        <v>3600</v>
      </c>
      <c r="Q28">
        <v>17150</v>
      </c>
    </row>
    <row r="29" spans="1:17" x14ac:dyDescent="0.35">
      <c r="K29" s="5" t="s">
        <v>13</v>
      </c>
      <c r="L29">
        <v>8250</v>
      </c>
      <c r="M29">
        <v>8420</v>
      </c>
      <c r="N29">
        <v>8520</v>
      </c>
      <c r="O29">
        <v>8670</v>
      </c>
      <c r="P29">
        <v>8860</v>
      </c>
      <c r="Q29">
        <v>42720</v>
      </c>
    </row>
    <row r="38" spans="11:17" x14ac:dyDescent="0.35">
      <c r="K38" s="3" t="s">
        <v>18</v>
      </c>
      <c r="L38" s="3" t="s">
        <v>12</v>
      </c>
    </row>
    <row r="39" spans="11:17" x14ac:dyDescent="0.35">
      <c r="K39" s="3" t="s">
        <v>14</v>
      </c>
      <c r="L39">
        <v>2020</v>
      </c>
      <c r="M39">
        <v>2021</v>
      </c>
      <c r="N39">
        <v>2022</v>
      </c>
      <c r="O39">
        <v>2023</v>
      </c>
      <c r="P39">
        <v>2024</v>
      </c>
      <c r="Q39" t="s">
        <v>13</v>
      </c>
    </row>
    <row r="40" spans="11:17" x14ac:dyDescent="0.35">
      <c r="K40" s="5" t="s">
        <v>6</v>
      </c>
      <c r="L40">
        <v>70</v>
      </c>
      <c r="M40">
        <v>71</v>
      </c>
      <c r="N40">
        <v>70</v>
      </c>
      <c r="O40">
        <v>72</v>
      </c>
      <c r="P40">
        <v>73</v>
      </c>
      <c r="Q40">
        <v>356</v>
      </c>
    </row>
    <row r="41" spans="11:17" x14ac:dyDescent="0.35">
      <c r="K41" s="5" t="s">
        <v>8</v>
      </c>
      <c r="L41">
        <v>44</v>
      </c>
      <c r="M41">
        <v>45</v>
      </c>
      <c r="N41">
        <v>44</v>
      </c>
      <c r="O41">
        <v>43</v>
      </c>
      <c r="P41">
        <v>42</v>
      </c>
      <c r="Q41">
        <v>218</v>
      </c>
    </row>
    <row r="42" spans="11:17" x14ac:dyDescent="0.35">
      <c r="K42" s="5" t="s">
        <v>7</v>
      </c>
      <c r="L42">
        <v>60</v>
      </c>
      <c r="M42">
        <v>61</v>
      </c>
      <c r="N42">
        <v>60</v>
      </c>
      <c r="O42">
        <v>62</v>
      </c>
      <c r="P42">
        <v>63</v>
      </c>
      <c r="Q42">
        <v>306</v>
      </c>
    </row>
    <row r="43" spans="11:17" x14ac:dyDescent="0.35">
      <c r="K43" s="5" t="s">
        <v>9</v>
      </c>
      <c r="L43">
        <v>78</v>
      </c>
      <c r="M43">
        <v>79</v>
      </c>
      <c r="N43">
        <v>78</v>
      </c>
      <c r="O43">
        <v>80</v>
      </c>
      <c r="P43">
        <v>81</v>
      </c>
      <c r="Q43">
        <v>396</v>
      </c>
    </row>
    <row r="44" spans="11:17" x14ac:dyDescent="0.35">
      <c r="K44" s="5" t="s">
        <v>10</v>
      </c>
      <c r="L44">
        <v>88</v>
      </c>
      <c r="M44">
        <v>89</v>
      </c>
      <c r="N44">
        <v>89</v>
      </c>
      <c r="O44">
        <v>90</v>
      </c>
      <c r="P44">
        <v>91</v>
      </c>
      <c r="Q44">
        <v>447</v>
      </c>
    </row>
    <row r="45" spans="11:17" x14ac:dyDescent="0.35">
      <c r="K45" s="5" t="s">
        <v>13</v>
      </c>
      <c r="L45">
        <v>340</v>
      </c>
      <c r="M45">
        <v>345</v>
      </c>
      <c r="N45">
        <v>341</v>
      </c>
      <c r="O45">
        <v>347</v>
      </c>
      <c r="P45">
        <v>350</v>
      </c>
      <c r="Q45">
        <v>1723</v>
      </c>
    </row>
    <row r="51" spans="11:13" x14ac:dyDescent="0.35">
      <c r="K51" s="4" t="s">
        <v>14</v>
      </c>
      <c r="L51" s="4" t="s">
        <v>11</v>
      </c>
      <c r="M51" s="4" t="s">
        <v>17</v>
      </c>
    </row>
    <row r="52" spans="11:13" x14ac:dyDescent="0.35">
      <c r="K52" s="5" t="s">
        <v>6</v>
      </c>
      <c r="L52">
        <v>132.4</v>
      </c>
      <c r="M52">
        <v>356</v>
      </c>
    </row>
    <row r="53" spans="11:13" x14ac:dyDescent="0.35">
      <c r="K53" s="5" t="s">
        <v>8</v>
      </c>
      <c r="L53">
        <v>151.19999999999999</v>
      </c>
      <c r="M53">
        <v>218</v>
      </c>
    </row>
    <row r="54" spans="11:13" x14ac:dyDescent="0.35">
      <c r="K54" s="5" t="s">
        <v>7</v>
      </c>
      <c r="L54">
        <v>149</v>
      </c>
      <c r="M54">
        <v>306</v>
      </c>
    </row>
    <row r="55" spans="11:13" x14ac:dyDescent="0.35">
      <c r="K55" s="5" t="s">
        <v>9</v>
      </c>
      <c r="L55">
        <v>148.5</v>
      </c>
      <c r="M55">
        <v>396</v>
      </c>
    </row>
    <row r="56" spans="11:13" x14ac:dyDescent="0.35">
      <c r="K56" s="5" t="s">
        <v>10</v>
      </c>
      <c r="L56">
        <v>149.19999999999999</v>
      </c>
      <c r="M56">
        <v>447</v>
      </c>
    </row>
    <row r="58" spans="11:13" x14ac:dyDescent="0.35">
      <c r="K58" s="3" t="s">
        <v>14</v>
      </c>
      <c r="L58" t="s">
        <v>11</v>
      </c>
      <c r="M58" t="s">
        <v>17</v>
      </c>
    </row>
    <row r="59" spans="11:13" x14ac:dyDescent="0.35">
      <c r="K59" s="5" t="s">
        <v>6</v>
      </c>
      <c r="L59">
        <v>132.4</v>
      </c>
      <c r="M59">
        <v>356</v>
      </c>
    </row>
    <row r="60" spans="11:13" x14ac:dyDescent="0.35">
      <c r="K60" s="5" t="s">
        <v>8</v>
      </c>
      <c r="L60">
        <v>151.19999999999999</v>
      </c>
      <c r="M60">
        <v>218</v>
      </c>
    </row>
    <row r="61" spans="11:13" x14ac:dyDescent="0.35">
      <c r="K61" s="5" t="s">
        <v>7</v>
      </c>
      <c r="L61">
        <v>149</v>
      </c>
      <c r="M61">
        <v>306</v>
      </c>
    </row>
    <row r="62" spans="11:13" x14ac:dyDescent="0.35">
      <c r="K62" s="5" t="s">
        <v>9</v>
      </c>
      <c r="L62">
        <v>148.5</v>
      </c>
      <c r="M62">
        <v>396</v>
      </c>
    </row>
    <row r="63" spans="11:13" x14ac:dyDescent="0.35">
      <c r="K63" s="5" t="s">
        <v>10</v>
      </c>
      <c r="L63">
        <v>149.19999999999999</v>
      </c>
      <c r="M63">
        <v>447</v>
      </c>
    </row>
    <row r="64" spans="11:13" x14ac:dyDescent="0.35">
      <c r="K64" s="5" t="s">
        <v>13</v>
      </c>
      <c r="L64">
        <v>730.3</v>
      </c>
      <c r="M64">
        <v>1723</v>
      </c>
    </row>
    <row r="77" spans="11:29" x14ac:dyDescent="0.35">
      <c r="L77" s="3" t="s">
        <v>12</v>
      </c>
    </row>
    <row r="78" spans="11:29" x14ac:dyDescent="0.35">
      <c r="L78" t="s">
        <v>6</v>
      </c>
      <c r="O78" t="s">
        <v>8</v>
      </c>
      <c r="R78" t="s">
        <v>7</v>
      </c>
      <c r="U78" t="s">
        <v>9</v>
      </c>
      <c r="X78" t="s">
        <v>10</v>
      </c>
      <c r="AA78" t="s">
        <v>19</v>
      </c>
      <c r="AB78" t="s">
        <v>20</v>
      </c>
      <c r="AC78" t="s">
        <v>21</v>
      </c>
    </row>
    <row r="79" spans="11:29" x14ac:dyDescent="0.35">
      <c r="K79" s="3" t="s">
        <v>14</v>
      </c>
      <c r="L79" t="s">
        <v>11</v>
      </c>
      <c r="M79" t="s">
        <v>17</v>
      </c>
      <c r="N79" t="s">
        <v>16</v>
      </c>
      <c r="O79" t="s">
        <v>11</v>
      </c>
      <c r="P79" t="s">
        <v>17</v>
      </c>
      <c r="Q79" t="s">
        <v>16</v>
      </c>
      <c r="R79" t="s">
        <v>11</v>
      </c>
      <c r="S79" t="s">
        <v>17</v>
      </c>
      <c r="T79" t="s">
        <v>16</v>
      </c>
      <c r="U79" t="s">
        <v>11</v>
      </c>
      <c r="V79" t="s">
        <v>17</v>
      </c>
      <c r="W79" t="s">
        <v>16</v>
      </c>
      <c r="X79" t="s">
        <v>11</v>
      </c>
      <c r="Y79" t="s">
        <v>17</v>
      </c>
      <c r="Z79" t="s">
        <v>16</v>
      </c>
    </row>
    <row r="80" spans="11:29" x14ac:dyDescent="0.35">
      <c r="K80" s="5">
        <v>2020</v>
      </c>
      <c r="L80">
        <v>26.2</v>
      </c>
      <c r="M80">
        <v>70</v>
      </c>
      <c r="N80">
        <v>1180</v>
      </c>
      <c r="O80">
        <v>29.8</v>
      </c>
      <c r="P80">
        <v>44</v>
      </c>
      <c r="Q80">
        <v>650</v>
      </c>
      <c r="R80">
        <v>29.4</v>
      </c>
      <c r="S80">
        <v>60</v>
      </c>
      <c r="T80">
        <v>1120</v>
      </c>
      <c r="U80">
        <v>29.3</v>
      </c>
      <c r="V80">
        <v>78</v>
      </c>
      <c r="W80">
        <v>2000</v>
      </c>
      <c r="X80">
        <v>29.5</v>
      </c>
      <c r="Y80">
        <v>88</v>
      </c>
      <c r="Z80">
        <v>3300</v>
      </c>
      <c r="AA80">
        <v>144.19999999999999</v>
      </c>
      <c r="AB80">
        <v>340</v>
      </c>
      <c r="AC80">
        <v>8250</v>
      </c>
    </row>
    <row r="81" spans="11:29" x14ac:dyDescent="0.35">
      <c r="K81" s="5">
        <v>2021</v>
      </c>
      <c r="L81">
        <v>26.3</v>
      </c>
      <c r="M81">
        <v>71</v>
      </c>
      <c r="N81">
        <v>1200</v>
      </c>
      <c r="O81">
        <v>30</v>
      </c>
      <c r="P81">
        <v>45</v>
      </c>
      <c r="Q81">
        <v>670</v>
      </c>
      <c r="R81">
        <v>29.6</v>
      </c>
      <c r="S81">
        <v>61</v>
      </c>
      <c r="T81">
        <v>1150</v>
      </c>
      <c r="U81">
        <v>29.5</v>
      </c>
      <c r="V81">
        <v>79</v>
      </c>
      <c r="W81">
        <v>2050</v>
      </c>
      <c r="X81">
        <v>29.7</v>
      </c>
      <c r="Y81">
        <v>89</v>
      </c>
      <c r="Z81">
        <v>3350</v>
      </c>
      <c r="AA81">
        <v>145.1</v>
      </c>
      <c r="AB81">
        <v>345</v>
      </c>
      <c r="AC81">
        <v>8420</v>
      </c>
    </row>
    <row r="82" spans="11:29" x14ac:dyDescent="0.35">
      <c r="K82" s="5">
        <v>2022</v>
      </c>
      <c r="L82">
        <v>26.5</v>
      </c>
      <c r="M82">
        <v>70</v>
      </c>
      <c r="N82">
        <v>1220</v>
      </c>
      <c r="O82">
        <v>30.2</v>
      </c>
      <c r="P82">
        <v>44</v>
      </c>
      <c r="Q82">
        <v>640</v>
      </c>
      <c r="R82">
        <v>29.8</v>
      </c>
      <c r="S82">
        <v>60</v>
      </c>
      <c r="T82">
        <v>1180</v>
      </c>
      <c r="U82">
        <v>29.7</v>
      </c>
      <c r="V82">
        <v>78</v>
      </c>
      <c r="W82">
        <v>2080</v>
      </c>
      <c r="X82">
        <v>29.8</v>
      </c>
      <c r="Y82">
        <v>89</v>
      </c>
      <c r="Z82">
        <v>3400</v>
      </c>
      <c r="AA82">
        <v>146</v>
      </c>
      <c r="AB82">
        <v>341</v>
      </c>
      <c r="AC82">
        <v>8520</v>
      </c>
    </row>
    <row r="83" spans="11:29" x14ac:dyDescent="0.35">
      <c r="K83" s="5">
        <v>2023</v>
      </c>
      <c r="L83">
        <v>26.6</v>
      </c>
      <c r="M83">
        <v>72</v>
      </c>
      <c r="N83">
        <v>1250</v>
      </c>
      <c r="O83">
        <v>30.5</v>
      </c>
      <c r="P83">
        <v>43</v>
      </c>
      <c r="Q83">
        <v>620</v>
      </c>
      <c r="R83">
        <v>30</v>
      </c>
      <c r="S83">
        <v>62</v>
      </c>
      <c r="T83">
        <v>1200</v>
      </c>
      <c r="U83">
        <v>29.9</v>
      </c>
      <c r="V83">
        <v>80</v>
      </c>
      <c r="W83">
        <v>2100</v>
      </c>
      <c r="X83">
        <v>30</v>
      </c>
      <c r="Y83">
        <v>90</v>
      </c>
      <c r="Z83">
        <v>3500</v>
      </c>
      <c r="AA83">
        <v>147</v>
      </c>
      <c r="AB83">
        <v>347</v>
      </c>
      <c r="AC83">
        <v>8670</v>
      </c>
    </row>
    <row r="84" spans="11:29" x14ac:dyDescent="0.35">
      <c r="K84" s="5">
        <v>2024</v>
      </c>
      <c r="L84">
        <v>26.8</v>
      </c>
      <c r="M84">
        <v>73</v>
      </c>
      <c r="N84">
        <v>1280</v>
      </c>
      <c r="O84">
        <v>30.7</v>
      </c>
      <c r="P84">
        <v>42</v>
      </c>
      <c r="Q84">
        <v>600</v>
      </c>
      <c r="R84">
        <v>30.2</v>
      </c>
      <c r="S84">
        <v>63</v>
      </c>
      <c r="T84">
        <v>1230</v>
      </c>
      <c r="U84">
        <v>30.1</v>
      </c>
      <c r="V84">
        <v>81</v>
      </c>
      <c r="W84">
        <v>2150</v>
      </c>
      <c r="X84">
        <v>30.2</v>
      </c>
      <c r="Y84">
        <v>91</v>
      </c>
      <c r="Z84">
        <v>3600</v>
      </c>
      <c r="AA84">
        <v>148</v>
      </c>
      <c r="AB84">
        <v>350</v>
      </c>
      <c r="AC84">
        <v>8860</v>
      </c>
    </row>
    <row r="85" spans="11:29" x14ac:dyDescent="0.35">
      <c r="K85" s="5" t="s">
        <v>13</v>
      </c>
      <c r="L85">
        <v>132.4</v>
      </c>
      <c r="M85">
        <v>356</v>
      </c>
      <c r="N85">
        <v>6130</v>
      </c>
      <c r="O85">
        <v>151.19999999999999</v>
      </c>
      <c r="P85">
        <v>218</v>
      </c>
      <c r="Q85">
        <v>3180</v>
      </c>
      <c r="R85">
        <v>149</v>
      </c>
      <c r="S85">
        <v>306</v>
      </c>
      <c r="T85">
        <v>5880</v>
      </c>
      <c r="U85">
        <v>148.5</v>
      </c>
      <c r="V85">
        <v>396</v>
      </c>
      <c r="W85">
        <v>10380</v>
      </c>
      <c r="X85">
        <v>149.19999999999999</v>
      </c>
      <c r="Y85">
        <v>447</v>
      </c>
      <c r="Z85">
        <v>17150</v>
      </c>
      <c r="AA85">
        <v>730.3</v>
      </c>
      <c r="AB85">
        <v>1723</v>
      </c>
      <c r="AC85">
        <v>42720</v>
      </c>
    </row>
    <row r="89" spans="11:29" ht="31" x14ac:dyDescent="0.7">
      <c r="K89" s="19"/>
      <c r="L89" s="20"/>
      <c r="M89" s="20"/>
      <c r="N89" s="20"/>
      <c r="O89" s="20"/>
      <c r="P89" s="20"/>
    </row>
    <row r="90" spans="11:29" ht="18.5" x14ac:dyDescent="0.45">
      <c r="K90" s="6"/>
      <c r="L90" s="6"/>
      <c r="M90" s="6"/>
      <c r="N90" s="6"/>
      <c r="O90" s="6"/>
      <c r="P90" s="6"/>
    </row>
    <row r="91" spans="11:29" ht="18.5" x14ac:dyDescent="0.45">
      <c r="K91" s="6"/>
      <c r="L91" s="6"/>
      <c r="M91" s="6"/>
      <c r="N91" s="6"/>
      <c r="O91" s="6"/>
      <c r="P91" s="6"/>
    </row>
    <row r="92" spans="11:29" ht="18.5" x14ac:dyDescent="0.45">
      <c r="K92" s="6"/>
      <c r="L92" s="6"/>
      <c r="M92" s="6"/>
      <c r="N92" s="6"/>
      <c r="O92" s="6"/>
      <c r="P92" s="6"/>
    </row>
    <row r="93" spans="11:29" ht="18.5" x14ac:dyDescent="0.45">
      <c r="K93" s="6"/>
      <c r="L93" s="6"/>
      <c r="M93" s="6"/>
      <c r="N93" s="6"/>
      <c r="O93" s="6"/>
      <c r="P93" s="6"/>
    </row>
    <row r="94" spans="11:29" ht="18.5" x14ac:dyDescent="0.45">
      <c r="K94" s="6"/>
      <c r="L94" s="6"/>
      <c r="M94" s="6"/>
      <c r="N94" s="6"/>
      <c r="O94" s="6"/>
      <c r="P94" s="6"/>
    </row>
    <row r="95" spans="11:29" ht="18.5" x14ac:dyDescent="0.45">
      <c r="K95" s="6"/>
      <c r="L95" s="6"/>
      <c r="M95" s="6"/>
      <c r="N95" s="6"/>
      <c r="O95" s="6"/>
      <c r="P95" s="6"/>
    </row>
    <row r="99" spans="11:16" ht="21" x14ac:dyDescent="0.5">
      <c r="K99" s="21"/>
      <c r="L99" s="20"/>
      <c r="M99" s="20"/>
      <c r="N99" s="20"/>
      <c r="O99" s="20"/>
      <c r="P99" s="20"/>
    </row>
  </sheetData>
  <mergeCells count="2">
    <mergeCell ref="K89:P89"/>
    <mergeCell ref="K99:P99"/>
  </mergeCells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70F6-3D74-4DC1-A48E-E76267C0DE5B}">
  <dimension ref="B4:T28"/>
  <sheetViews>
    <sheetView topLeftCell="A13" zoomScale="44" workbookViewId="0">
      <selection activeCell="E32" sqref="E32"/>
    </sheetView>
  </sheetViews>
  <sheetFormatPr defaultRowHeight="14.5" x14ac:dyDescent="0.35"/>
  <cols>
    <col min="2" max="2" width="12.36328125" bestFit="1" customWidth="1"/>
    <col min="3" max="3" width="19" bestFit="1" customWidth="1"/>
    <col min="4" max="4" width="21.6328125" bestFit="1" customWidth="1"/>
    <col min="5" max="5" width="33.81640625" bestFit="1" customWidth="1"/>
    <col min="6" max="6" width="27" bestFit="1" customWidth="1"/>
    <col min="7" max="7" width="29.453125" bestFit="1" customWidth="1"/>
    <col min="8" max="8" width="24.90625" bestFit="1" customWidth="1"/>
    <col min="9" max="9" width="19" bestFit="1" customWidth="1"/>
    <col min="10" max="10" width="21.6328125" bestFit="1" customWidth="1"/>
    <col min="11" max="11" width="24.90625" bestFit="1" customWidth="1"/>
    <col min="12" max="12" width="19" bestFit="1" customWidth="1"/>
    <col min="13" max="13" width="21.6328125" bestFit="1" customWidth="1"/>
    <col min="14" max="14" width="24.90625" bestFit="1" customWidth="1"/>
    <col min="15" max="15" width="19" bestFit="1" customWidth="1"/>
    <col min="16" max="16" width="21.6328125" bestFit="1" customWidth="1"/>
    <col min="17" max="17" width="24.90625" bestFit="1" customWidth="1"/>
    <col min="18" max="18" width="23.81640625" bestFit="1" customWidth="1"/>
    <col min="19" max="19" width="26.453125" bestFit="1" customWidth="1"/>
    <col min="20" max="20" width="29.81640625" bestFit="1" customWidth="1"/>
  </cols>
  <sheetData>
    <row r="4" spans="2:20" ht="18.5" x14ac:dyDescent="0.45">
      <c r="B4" s="6"/>
      <c r="C4" s="6"/>
      <c r="D4" s="6"/>
      <c r="E4" s="6"/>
      <c r="F4" s="6"/>
      <c r="G4" s="6"/>
    </row>
    <row r="5" spans="2:20" ht="18.5" x14ac:dyDescent="0.45">
      <c r="B5" s="6"/>
      <c r="C5" s="6"/>
      <c r="D5" s="6"/>
      <c r="E5" s="6"/>
      <c r="F5" s="6"/>
      <c r="G5" s="6"/>
    </row>
    <row r="6" spans="2:20" ht="18.5" x14ac:dyDescent="0.45">
      <c r="B6" s="6"/>
      <c r="C6" s="6"/>
      <c r="D6" s="6"/>
      <c r="E6" s="6"/>
      <c r="F6" s="6"/>
      <c r="G6" s="6"/>
    </row>
    <row r="7" spans="2:20" ht="18.5" x14ac:dyDescent="0.45">
      <c r="B7" s="6"/>
      <c r="C7" s="6"/>
      <c r="D7" s="6"/>
      <c r="E7" s="6"/>
      <c r="F7" s="6"/>
      <c r="G7" s="6"/>
    </row>
    <row r="8" spans="2:20" ht="18.5" x14ac:dyDescent="0.45">
      <c r="B8" s="6"/>
      <c r="C8" s="6"/>
      <c r="D8" s="6"/>
      <c r="E8" s="6"/>
      <c r="F8" s="6"/>
      <c r="G8" s="6"/>
    </row>
    <row r="9" spans="2:20" ht="18.5" x14ac:dyDescent="0.45">
      <c r="B9" s="6"/>
      <c r="C9" s="6"/>
      <c r="D9" s="6"/>
      <c r="E9" s="6"/>
      <c r="F9" s="6"/>
      <c r="G9" s="6"/>
    </row>
    <row r="11" spans="2:20" x14ac:dyDescent="0.35">
      <c r="C11" s="3" t="s">
        <v>12</v>
      </c>
    </row>
    <row r="12" spans="2:20" x14ac:dyDescent="0.35">
      <c r="C12" t="s">
        <v>6</v>
      </c>
      <c r="F12" t="s">
        <v>8</v>
      </c>
      <c r="I12" t="s">
        <v>7</v>
      </c>
      <c r="L12" t="s">
        <v>9</v>
      </c>
      <c r="O12" t="s">
        <v>10</v>
      </c>
      <c r="R12" t="s">
        <v>19</v>
      </c>
      <c r="S12" t="s">
        <v>20</v>
      </c>
      <c r="T12" t="s">
        <v>21</v>
      </c>
    </row>
    <row r="13" spans="2:20" x14ac:dyDescent="0.35">
      <c r="B13" s="3" t="s">
        <v>14</v>
      </c>
      <c r="C13" t="s">
        <v>11</v>
      </c>
      <c r="D13" t="s">
        <v>17</v>
      </c>
      <c r="E13" t="s">
        <v>16</v>
      </c>
      <c r="F13" t="s">
        <v>11</v>
      </c>
      <c r="G13" t="s">
        <v>17</v>
      </c>
      <c r="H13" t="s">
        <v>16</v>
      </c>
      <c r="I13" t="s">
        <v>11</v>
      </c>
      <c r="J13" t="s">
        <v>17</v>
      </c>
      <c r="K13" t="s">
        <v>16</v>
      </c>
      <c r="L13" t="s">
        <v>11</v>
      </c>
      <c r="M13" t="s">
        <v>17</v>
      </c>
      <c r="N13" t="s">
        <v>16</v>
      </c>
      <c r="O13" t="s">
        <v>11</v>
      </c>
      <c r="P13" t="s">
        <v>17</v>
      </c>
      <c r="Q13" t="s">
        <v>16</v>
      </c>
    </row>
    <row r="14" spans="2:20" x14ac:dyDescent="0.35">
      <c r="B14" s="5">
        <v>2020</v>
      </c>
      <c r="C14">
        <v>26.2</v>
      </c>
      <c r="D14">
        <v>70</v>
      </c>
      <c r="E14">
        <v>1180</v>
      </c>
      <c r="F14">
        <v>29.8</v>
      </c>
      <c r="G14">
        <v>44</v>
      </c>
      <c r="H14">
        <v>650</v>
      </c>
      <c r="I14">
        <v>29.4</v>
      </c>
      <c r="J14">
        <v>60</v>
      </c>
      <c r="K14">
        <v>1120</v>
      </c>
      <c r="L14">
        <v>29.3</v>
      </c>
      <c r="M14">
        <v>78</v>
      </c>
      <c r="N14">
        <v>2000</v>
      </c>
      <c r="O14">
        <v>29.5</v>
      </c>
      <c r="P14">
        <v>88</v>
      </c>
      <c r="Q14">
        <v>3300</v>
      </c>
      <c r="R14">
        <v>144.19999999999999</v>
      </c>
      <c r="S14">
        <v>340</v>
      </c>
      <c r="T14">
        <v>8250</v>
      </c>
    </row>
    <row r="15" spans="2:20" x14ac:dyDescent="0.35">
      <c r="B15" s="5">
        <v>2021</v>
      </c>
      <c r="C15">
        <v>26.3</v>
      </c>
      <c r="D15">
        <v>71</v>
      </c>
      <c r="E15">
        <v>1200</v>
      </c>
      <c r="F15">
        <v>30</v>
      </c>
      <c r="G15">
        <v>45</v>
      </c>
      <c r="H15">
        <v>670</v>
      </c>
      <c r="I15">
        <v>29.6</v>
      </c>
      <c r="J15">
        <v>61</v>
      </c>
      <c r="K15">
        <v>1150</v>
      </c>
      <c r="L15">
        <v>29.5</v>
      </c>
      <c r="M15">
        <v>79</v>
      </c>
      <c r="N15">
        <v>2050</v>
      </c>
      <c r="O15">
        <v>29.7</v>
      </c>
      <c r="P15">
        <v>89</v>
      </c>
      <c r="Q15">
        <v>3350</v>
      </c>
      <c r="R15">
        <v>145.1</v>
      </c>
      <c r="S15">
        <v>345</v>
      </c>
      <c r="T15">
        <v>8420</v>
      </c>
    </row>
    <row r="16" spans="2:20" x14ac:dyDescent="0.35">
      <c r="B16" s="5">
        <v>2022</v>
      </c>
      <c r="C16">
        <v>26.5</v>
      </c>
      <c r="D16">
        <v>70</v>
      </c>
      <c r="E16">
        <v>1220</v>
      </c>
      <c r="F16">
        <v>30.2</v>
      </c>
      <c r="G16">
        <v>44</v>
      </c>
      <c r="H16">
        <v>640</v>
      </c>
      <c r="I16">
        <v>29.8</v>
      </c>
      <c r="J16">
        <v>60</v>
      </c>
      <c r="K16">
        <v>1180</v>
      </c>
      <c r="L16">
        <v>29.7</v>
      </c>
      <c r="M16">
        <v>78</v>
      </c>
      <c r="N16">
        <v>2080</v>
      </c>
      <c r="O16">
        <v>29.8</v>
      </c>
      <c r="P16">
        <v>89</v>
      </c>
      <c r="Q16">
        <v>3400</v>
      </c>
      <c r="R16">
        <v>146</v>
      </c>
      <c r="S16">
        <v>341</v>
      </c>
      <c r="T16">
        <v>8520</v>
      </c>
    </row>
    <row r="17" spans="2:20" x14ac:dyDescent="0.35">
      <c r="B17" s="5">
        <v>2023</v>
      </c>
      <c r="C17">
        <v>26.6</v>
      </c>
      <c r="D17">
        <v>72</v>
      </c>
      <c r="E17">
        <v>1250</v>
      </c>
      <c r="F17">
        <v>30.5</v>
      </c>
      <c r="G17">
        <v>43</v>
      </c>
      <c r="H17">
        <v>620</v>
      </c>
      <c r="I17">
        <v>30</v>
      </c>
      <c r="J17">
        <v>62</v>
      </c>
      <c r="K17">
        <v>1200</v>
      </c>
      <c r="L17">
        <v>29.9</v>
      </c>
      <c r="M17">
        <v>80</v>
      </c>
      <c r="N17">
        <v>2100</v>
      </c>
      <c r="O17">
        <v>30</v>
      </c>
      <c r="P17">
        <v>90</v>
      </c>
      <c r="Q17">
        <v>3500</v>
      </c>
      <c r="R17">
        <v>147</v>
      </c>
      <c r="S17">
        <v>347</v>
      </c>
      <c r="T17">
        <v>8670</v>
      </c>
    </row>
    <row r="18" spans="2:20" x14ac:dyDescent="0.35">
      <c r="B18" s="5">
        <v>2024</v>
      </c>
      <c r="C18">
        <v>26.8</v>
      </c>
      <c r="D18">
        <v>73</v>
      </c>
      <c r="E18">
        <v>1280</v>
      </c>
      <c r="F18">
        <v>30.7</v>
      </c>
      <c r="G18">
        <v>42</v>
      </c>
      <c r="H18">
        <v>600</v>
      </c>
      <c r="I18">
        <v>30.2</v>
      </c>
      <c r="J18">
        <v>63</v>
      </c>
      <c r="K18">
        <v>1230</v>
      </c>
      <c r="L18">
        <v>30.1</v>
      </c>
      <c r="M18">
        <v>81</v>
      </c>
      <c r="N18">
        <v>2150</v>
      </c>
      <c r="O18">
        <v>30.2</v>
      </c>
      <c r="P18">
        <v>91</v>
      </c>
      <c r="Q18">
        <v>3600</v>
      </c>
      <c r="R18">
        <v>148</v>
      </c>
      <c r="S18">
        <v>350</v>
      </c>
      <c r="T18">
        <v>8860</v>
      </c>
    </row>
    <row r="19" spans="2:20" x14ac:dyDescent="0.35">
      <c r="B19" s="5" t="s">
        <v>13</v>
      </c>
      <c r="C19">
        <v>132.4</v>
      </c>
      <c r="D19">
        <v>356</v>
      </c>
      <c r="E19">
        <v>6130</v>
      </c>
      <c r="F19">
        <v>151.19999999999999</v>
      </c>
      <c r="G19">
        <v>218</v>
      </c>
      <c r="H19">
        <v>3180</v>
      </c>
      <c r="I19">
        <v>149</v>
      </c>
      <c r="J19">
        <v>306</v>
      </c>
      <c r="K19">
        <v>5880</v>
      </c>
      <c r="L19">
        <v>148.5</v>
      </c>
      <c r="M19">
        <v>396</v>
      </c>
      <c r="N19">
        <v>10380</v>
      </c>
      <c r="O19">
        <v>149.19999999999999</v>
      </c>
      <c r="P19">
        <v>447</v>
      </c>
      <c r="Q19">
        <v>17150</v>
      </c>
      <c r="R19">
        <v>730.3</v>
      </c>
      <c r="S19">
        <v>1723</v>
      </c>
      <c r="T19">
        <v>42720</v>
      </c>
    </row>
    <row r="22" spans="2:20" ht="31" x14ac:dyDescent="0.7">
      <c r="B22" s="19" t="s">
        <v>27</v>
      </c>
      <c r="C22" s="20"/>
      <c r="D22" s="20"/>
      <c r="E22" s="20"/>
      <c r="F22" s="20"/>
      <c r="G22" s="20"/>
    </row>
    <row r="23" spans="2:20" ht="18.5" x14ac:dyDescent="0.45">
      <c r="B23" s="6" t="s">
        <v>2</v>
      </c>
      <c r="C23" s="6" t="s">
        <v>22</v>
      </c>
      <c r="D23" s="6" t="s">
        <v>23</v>
      </c>
      <c r="E23" s="6" t="s">
        <v>24</v>
      </c>
      <c r="F23" s="6" t="s">
        <v>28</v>
      </c>
      <c r="G23" s="6" t="s">
        <v>25</v>
      </c>
      <c r="H23" s="6" t="s">
        <v>26</v>
      </c>
    </row>
    <row r="24" spans="2:20" ht="18.5" x14ac:dyDescent="0.45">
      <c r="B24" s="6" t="s">
        <v>6</v>
      </c>
      <c r="C24" s="6">
        <f>AVERAGE(C14:C18)</f>
        <v>26.48</v>
      </c>
      <c r="D24" s="6">
        <f>AVERAGE(D14:D18)</f>
        <v>71.2</v>
      </c>
      <c r="E24" s="6">
        <f>SUM(E14:E18)</f>
        <v>6130</v>
      </c>
      <c r="F24" s="18" t="str" cm="1">
        <f t="array" ref="F24">_xlfn.IFS(E19 &gt; 15000, "Very High Rainfall", E19 &gt; 5000, "Moderate Rainfall", TRUE, "Low Rainfall")</f>
        <v>Moderate Rainfall</v>
      </c>
      <c r="G24" s="6">
        <f>INDEX(B14:B18, MATCH(MAX(C14:C18), C14:C18, 0))</f>
        <v>2024</v>
      </c>
      <c r="H24" s="6">
        <f>INDEX(B14:B18, MATCH(MAX(E14:E18), E14:E18, 0))</f>
        <v>2024</v>
      </c>
    </row>
    <row r="25" spans="2:20" ht="18.5" x14ac:dyDescent="0.45">
      <c r="B25" s="6" t="s">
        <v>8</v>
      </c>
      <c r="C25" s="6">
        <f>AVERAGE(F14:F18)</f>
        <v>30.24</v>
      </c>
      <c r="D25" s="6">
        <f>AVERAGE(G14:G18)</f>
        <v>43.6</v>
      </c>
      <c r="E25" s="6">
        <f>SUM(H14:H18)</f>
        <v>3180</v>
      </c>
      <c r="F25" s="18" t="str" cm="1">
        <f t="array" ref="F25">_xlfn.IFS(H19 &gt; 15000, "Very High Rainfall", H19 &gt; 5000, "Moderate Rainfall", TRUE, "Low Rainfall")</f>
        <v>Low Rainfall</v>
      </c>
      <c r="G25" s="6">
        <f>INDEX(B14:B18, MATCH(MAX(F14:F18), F14:F18, 0))</f>
        <v>2024</v>
      </c>
      <c r="H25" s="6">
        <f>INDEX(B13:B17, MATCH(MAX(H13:H17), H13:H17, 0))</f>
        <v>2021</v>
      </c>
    </row>
    <row r="26" spans="2:20" ht="18.5" x14ac:dyDescent="0.45">
      <c r="B26" s="6" t="s">
        <v>7</v>
      </c>
      <c r="C26" s="6">
        <f>AVERAGE(I14:I18)</f>
        <v>29.8</v>
      </c>
      <c r="D26" s="6">
        <f>AVERAGE(J14:J18)</f>
        <v>61.2</v>
      </c>
      <c r="E26" s="6">
        <f>SUM(K14:K18)</f>
        <v>5880</v>
      </c>
      <c r="F26" s="18" t="str" cm="1">
        <f t="array" ref="F26">_xlfn.IFS(K19 &gt; 15000, "Very High Rainfall", K19 &gt; 5000, "Moderate Rainfall", TRUE, "Low Rainfall")</f>
        <v>Moderate Rainfall</v>
      </c>
      <c r="G26" s="6">
        <f>INDEX(B14:B18, MATCH(MAX(I14:I18), I14:I18, 0))</f>
        <v>2024</v>
      </c>
      <c r="H26" s="6">
        <f>INDEX(B14:B18, MATCH(MAX(K14:K18), K14:K18, 0))</f>
        <v>2024</v>
      </c>
    </row>
    <row r="27" spans="2:20" ht="18.5" x14ac:dyDescent="0.45">
      <c r="B27" s="6" t="s">
        <v>9</v>
      </c>
      <c r="C27" s="6">
        <f>AVERAGE(L14:L18)</f>
        <v>29.7</v>
      </c>
      <c r="D27" s="6">
        <f>AVERAGE(M14:M18)</f>
        <v>79.2</v>
      </c>
      <c r="E27" s="6">
        <f>SUM(N14:N18)</f>
        <v>10380</v>
      </c>
      <c r="F27" s="18" t="str" cm="1">
        <f t="array" ref="F27">_xlfn.IFS(N19 &gt; 15000, "Very High Rainfall", N19 &gt; 5000, "Moderate Rainfall", TRUE, "Low Rainfall")</f>
        <v>Moderate Rainfall</v>
      </c>
      <c r="G27" s="6">
        <f>INDEX(B14:B18, MATCH(MAX(L14:L18), L14:L18, 0))</f>
        <v>2024</v>
      </c>
      <c r="H27" s="6">
        <f>INDEX(B14:B18, MATCH(MAX(N14:N18),N14:N18, 0))</f>
        <v>2024</v>
      </c>
    </row>
    <row r="28" spans="2:20" ht="18.5" x14ac:dyDescent="0.45">
      <c r="B28" s="6" t="s">
        <v>10</v>
      </c>
      <c r="C28" s="6">
        <f>AVERAGE(O14:O18)</f>
        <v>29.839999999999996</v>
      </c>
      <c r="D28" s="6">
        <f>AVERAGE(P14:P18)</f>
        <v>89.4</v>
      </c>
      <c r="E28" s="6">
        <f>SUM(Q14:Q18)</f>
        <v>17150</v>
      </c>
      <c r="F28" s="18" t="str" cm="1">
        <f t="array" ref="F28">_xlfn.IFS(Q19 &gt; 15000, "Very High Rainfall", Q19 &gt; 5000, "Moderate Rainfall", TRUE, "Low Rainfall")</f>
        <v>Very High Rainfall</v>
      </c>
      <c r="G28" s="6">
        <f>INDEX(B14:B18, MATCH(MAX(O14:O18), O14:O18, 0))</f>
        <v>2024</v>
      </c>
      <c r="H28" s="6">
        <f>INDEX(B14:B18, MATCH(MAX(Q14:Q18), Q14:Q18, 0))</f>
        <v>2024</v>
      </c>
    </row>
  </sheetData>
  <mergeCells count="1">
    <mergeCell ref="B22:G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B286-FD1C-4E27-9853-434334FB7F88}">
  <dimension ref="A3:G126"/>
  <sheetViews>
    <sheetView topLeftCell="A112" zoomScale="69" workbookViewId="0">
      <selection activeCell="A145" sqref="A145"/>
    </sheetView>
  </sheetViews>
  <sheetFormatPr defaultRowHeight="14.5" x14ac:dyDescent="0.35"/>
  <cols>
    <col min="1" max="1" width="19" bestFit="1" customWidth="1"/>
    <col min="2" max="2" width="16.1796875" bestFit="1" customWidth="1"/>
    <col min="3" max="3" width="5.81640625" bestFit="1" customWidth="1"/>
    <col min="4" max="4" width="10" bestFit="1" customWidth="1"/>
    <col min="5" max="5" width="7.1796875" bestFit="1" customWidth="1"/>
    <col min="6" max="6" width="7.81640625" bestFit="1" customWidth="1"/>
    <col min="7" max="7" width="10.7265625" bestFit="1" customWidth="1"/>
    <col min="8" max="8" width="27.1796875" bestFit="1" customWidth="1"/>
    <col min="9" max="9" width="35.08984375" bestFit="1" customWidth="1"/>
    <col min="10" max="10" width="27.1796875" bestFit="1" customWidth="1"/>
    <col min="11" max="11" width="35.08984375" bestFit="1" customWidth="1"/>
    <col min="12" max="12" width="34.26953125" bestFit="1" customWidth="1"/>
    <col min="13" max="13" width="42" bestFit="1" customWidth="1"/>
    <col min="14" max="14" width="19" bestFit="1" customWidth="1"/>
    <col min="15" max="15" width="21.6328125" bestFit="1" customWidth="1"/>
    <col min="16" max="16" width="24.90625" bestFit="1" customWidth="1"/>
    <col min="17" max="17" width="23.81640625" bestFit="1" customWidth="1"/>
    <col min="18" max="18" width="26.453125" bestFit="1" customWidth="1"/>
    <col min="19" max="19" width="29.81640625" bestFit="1" customWidth="1"/>
  </cols>
  <sheetData>
    <row r="3" spans="1:7" x14ac:dyDescent="0.35">
      <c r="B3" s="3" t="s">
        <v>12</v>
      </c>
    </row>
    <row r="4" spans="1:7" x14ac:dyDescent="0.35">
      <c r="B4" t="s">
        <v>6</v>
      </c>
      <c r="C4" t="s">
        <v>8</v>
      </c>
      <c r="D4" t="s">
        <v>7</v>
      </c>
      <c r="E4" t="s">
        <v>9</v>
      </c>
      <c r="F4" t="s">
        <v>10</v>
      </c>
      <c r="G4" t="s">
        <v>13</v>
      </c>
    </row>
    <row r="5" spans="1:7" x14ac:dyDescent="0.35">
      <c r="A5" t="s">
        <v>11</v>
      </c>
      <c r="B5">
        <v>132.4</v>
      </c>
      <c r="C5">
        <v>151.19999999999999</v>
      </c>
      <c r="D5">
        <v>149</v>
      </c>
      <c r="E5">
        <v>148.5</v>
      </c>
      <c r="F5">
        <v>149.19999999999999</v>
      </c>
      <c r="G5">
        <v>730.3</v>
      </c>
    </row>
    <row r="23" spans="1:7" x14ac:dyDescent="0.35">
      <c r="B23" s="3" t="s">
        <v>12</v>
      </c>
    </row>
    <row r="24" spans="1:7" x14ac:dyDescent="0.35">
      <c r="B24" t="s">
        <v>6</v>
      </c>
      <c r="C24" t="s">
        <v>8</v>
      </c>
      <c r="D24" t="s">
        <v>7</v>
      </c>
      <c r="E24" t="s">
        <v>9</v>
      </c>
      <c r="F24" t="s">
        <v>10</v>
      </c>
      <c r="G24" t="s">
        <v>13</v>
      </c>
    </row>
    <row r="25" spans="1:7" x14ac:dyDescent="0.35">
      <c r="A25" t="s">
        <v>17</v>
      </c>
      <c r="B25">
        <v>356</v>
      </c>
      <c r="C25">
        <v>218</v>
      </c>
      <c r="D25">
        <v>306</v>
      </c>
      <c r="E25">
        <v>396</v>
      </c>
      <c r="F25">
        <v>447</v>
      </c>
      <c r="G25">
        <v>1723</v>
      </c>
    </row>
    <row r="43" spans="1:7" x14ac:dyDescent="0.35">
      <c r="B43" s="3" t="s">
        <v>12</v>
      </c>
    </row>
    <row r="44" spans="1:7" x14ac:dyDescent="0.35">
      <c r="B44" t="s">
        <v>6</v>
      </c>
      <c r="C44" t="s">
        <v>8</v>
      </c>
      <c r="D44" t="s">
        <v>7</v>
      </c>
      <c r="E44" t="s">
        <v>9</v>
      </c>
      <c r="F44" t="s">
        <v>10</v>
      </c>
      <c r="G44" t="s">
        <v>13</v>
      </c>
    </row>
    <row r="45" spans="1:7" x14ac:dyDescent="0.35">
      <c r="A45" t="s">
        <v>16</v>
      </c>
      <c r="B45">
        <v>6130</v>
      </c>
      <c r="C45">
        <v>3180</v>
      </c>
      <c r="D45">
        <v>5880</v>
      </c>
      <c r="E45">
        <v>10380</v>
      </c>
      <c r="F45">
        <v>17150</v>
      </c>
      <c r="G45">
        <v>42720</v>
      </c>
    </row>
    <row r="63" spans="1:7" x14ac:dyDescent="0.35">
      <c r="A63" s="3" t="s">
        <v>16</v>
      </c>
      <c r="B63" s="3" t="s">
        <v>12</v>
      </c>
    </row>
    <row r="64" spans="1:7" x14ac:dyDescent="0.35">
      <c r="A64" s="3" t="s">
        <v>14</v>
      </c>
      <c r="B64" t="s">
        <v>6</v>
      </c>
      <c r="C64" t="s">
        <v>8</v>
      </c>
      <c r="D64" t="s">
        <v>7</v>
      </c>
      <c r="E64" t="s">
        <v>9</v>
      </c>
      <c r="F64" t="s">
        <v>10</v>
      </c>
      <c r="G64" t="s">
        <v>13</v>
      </c>
    </row>
    <row r="65" spans="1:7" x14ac:dyDescent="0.35">
      <c r="A65" s="5">
        <v>2020</v>
      </c>
      <c r="B65">
        <v>1180</v>
      </c>
      <c r="C65">
        <v>650</v>
      </c>
      <c r="D65">
        <v>1120</v>
      </c>
      <c r="E65">
        <v>2000</v>
      </c>
      <c r="F65">
        <v>3300</v>
      </c>
      <c r="G65">
        <v>8250</v>
      </c>
    </row>
    <row r="66" spans="1:7" x14ac:dyDescent="0.35">
      <c r="A66" s="5">
        <v>2021</v>
      </c>
      <c r="B66">
        <v>1200</v>
      </c>
      <c r="C66">
        <v>670</v>
      </c>
      <c r="D66">
        <v>1150</v>
      </c>
      <c r="E66">
        <v>2050</v>
      </c>
      <c r="F66">
        <v>3350</v>
      </c>
      <c r="G66">
        <v>8420</v>
      </c>
    </row>
    <row r="67" spans="1:7" x14ac:dyDescent="0.35">
      <c r="A67" s="5">
        <v>2022</v>
      </c>
      <c r="B67">
        <v>1220</v>
      </c>
      <c r="C67">
        <v>640</v>
      </c>
      <c r="D67">
        <v>1180</v>
      </c>
      <c r="E67">
        <v>2080</v>
      </c>
      <c r="F67">
        <v>3400</v>
      </c>
      <c r="G67">
        <v>8520</v>
      </c>
    </row>
    <row r="68" spans="1:7" x14ac:dyDescent="0.35">
      <c r="A68" s="5">
        <v>2023</v>
      </c>
      <c r="B68">
        <v>1250</v>
      </c>
      <c r="C68">
        <v>620</v>
      </c>
      <c r="D68">
        <v>1200</v>
      </c>
      <c r="E68">
        <v>2100</v>
      </c>
      <c r="F68">
        <v>3500</v>
      </c>
      <c r="G68">
        <v>8670</v>
      </c>
    </row>
    <row r="69" spans="1:7" x14ac:dyDescent="0.35">
      <c r="A69" s="5">
        <v>2024</v>
      </c>
      <c r="B69">
        <v>1280</v>
      </c>
      <c r="C69">
        <v>600</v>
      </c>
      <c r="D69">
        <v>1230</v>
      </c>
      <c r="E69">
        <v>2150</v>
      </c>
      <c r="F69">
        <v>3600</v>
      </c>
      <c r="G69">
        <v>8860</v>
      </c>
    </row>
    <row r="70" spans="1:7" x14ac:dyDescent="0.35">
      <c r="A70" s="5" t="s">
        <v>13</v>
      </c>
      <c r="B70">
        <v>6130</v>
      </c>
      <c r="C70">
        <v>3180</v>
      </c>
      <c r="D70">
        <v>5880</v>
      </c>
      <c r="E70">
        <v>10380</v>
      </c>
      <c r="F70">
        <v>17150</v>
      </c>
      <c r="G70">
        <v>42720</v>
      </c>
    </row>
    <row r="93" spans="1:7" x14ac:dyDescent="0.35">
      <c r="A93" s="3" t="s">
        <v>17</v>
      </c>
      <c r="B93" s="3" t="s">
        <v>12</v>
      </c>
    </row>
    <row r="94" spans="1:7" x14ac:dyDescent="0.35">
      <c r="A94" s="3" t="s">
        <v>14</v>
      </c>
      <c r="B94" t="s">
        <v>6</v>
      </c>
      <c r="C94" t="s">
        <v>8</v>
      </c>
      <c r="D94" t="s">
        <v>7</v>
      </c>
      <c r="E94" t="s">
        <v>9</v>
      </c>
      <c r="F94" t="s">
        <v>10</v>
      </c>
      <c r="G94" t="s">
        <v>13</v>
      </c>
    </row>
    <row r="95" spans="1:7" x14ac:dyDescent="0.35">
      <c r="A95" s="5">
        <v>2020</v>
      </c>
      <c r="B95">
        <v>70</v>
      </c>
      <c r="C95">
        <v>44</v>
      </c>
      <c r="D95">
        <v>60</v>
      </c>
      <c r="E95">
        <v>78</v>
      </c>
      <c r="F95">
        <v>88</v>
      </c>
      <c r="G95">
        <v>340</v>
      </c>
    </row>
    <row r="96" spans="1:7" x14ac:dyDescent="0.35">
      <c r="A96" s="5">
        <v>2021</v>
      </c>
      <c r="B96">
        <v>71</v>
      </c>
      <c r="C96">
        <v>45</v>
      </c>
      <c r="D96">
        <v>61</v>
      </c>
      <c r="E96">
        <v>79</v>
      </c>
      <c r="F96">
        <v>89</v>
      </c>
      <c r="G96">
        <v>345</v>
      </c>
    </row>
    <row r="97" spans="1:7" x14ac:dyDescent="0.35">
      <c r="A97" s="5">
        <v>2022</v>
      </c>
      <c r="B97">
        <v>70</v>
      </c>
      <c r="C97">
        <v>44</v>
      </c>
      <c r="D97">
        <v>60</v>
      </c>
      <c r="E97">
        <v>78</v>
      </c>
      <c r="F97">
        <v>89</v>
      </c>
      <c r="G97">
        <v>341</v>
      </c>
    </row>
    <row r="98" spans="1:7" x14ac:dyDescent="0.35">
      <c r="A98" s="5">
        <v>2023</v>
      </c>
      <c r="B98">
        <v>72</v>
      </c>
      <c r="C98">
        <v>43</v>
      </c>
      <c r="D98">
        <v>62</v>
      </c>
      <c r="E98">
        <v>80</v>
      </c>
      <c r="F98">
        <v>90</v>
      </c>
      <c r="G98">
        <v>347</v>
      </c>
    </row>
    <row r="99" spans="1:7" x14ac:dyDescent="0.35">
      <c r="A99" s="5">
        <v>2024</v>
      </c>
      <c r="B99">
        <v>73</v>
      </c>
      <c r="C99">
        <v>42</v>
      </c>
      <c r="D99">
        <v>63</v>
      </c>
      <c r="E99">
        <v>81</v>
      </c>
      <c r="F99">
        <v>91</v>
      </c>
      <c r="G99">
        <v>350</v>
      </c>
    </row>
    <row r="100" spans="1:7" x14ac:dyDescent="0.35">
      <c r="A100" s="5" t="s">
        <v>13</v>
      </c>
      <c r="B100">
        <v>356</v>
      </c>
      <c r="C100">
        <v>218</v>
      </c>
      <c r="D100">
        <v>306</v>
      </c>
      <c r="E100">
        <v>396</v>
      </c>
      <c r="F100">
        <v>447</v>
      </c>
      <c r="G100">
        <v>1723</v>
      </c>
    </row>
    <row r="119" spans="1:7" x14ac:dyDescent="0.35">
      <c r="A119" s="3" t="s">
        <v>11</v>
      </c>
      <c r="B119" s="3" t="s">
        <v>12</v>
      </c>
    </row>
    <row r="120" spans="1:7" x14ac:dyDescent="0.35">
      <c r="A120" s="3" t="s">
        <v>14</v>
      </c>
      <c r="B120" t="s">
        <v>6</v>
      </c>
      <c r="C120" t="s">
        <v>8</v>
      </c>
      <c r="D120" t="s">
        <v>7</v>
      </c>
      <c r="E120" t="s">
        <v>9</v>
      </c>
      <c r="F120" t="s">
        <v>10</v>
      </c>
      <c r="G120" t="s">
        <v>13</v>
      </c>
    </row>
    <row r="121" spans="1:7" x14ac:dyDescent="0.35">
      <c r="A121" s="5">
        <v>2020</v>
      </c>
      <c r="B121">
        <v>26.2</v>
      </c>
      <c r="C121">
        <v>29.8</v>
      </c>
      <c r="D121">
        <v>29.4</v>
      </c>
      <c r="E121">
        <v>29.3</v>
      </c>
      <c r="F121">
        <v>29.5</v>
      </c>
      <c r="G121">
        <v>144.19999999999999</v>
      </c>
    </row>
    <row r="122" spans="1:7" x14ac:dyDescent="0.35">
      <c r="A122" s="5">
        <v>2021</v>
      </c>
      <c r="B122">
        <v>26.3</v>
      </c>
      <c r="C122">
        <v>30</v>
      </c>
      <c r="D122">
        <v>29.6</v>
      </c>
      <c r="E122">
        <v>29.5</v>
      </c>
      <c r="F122">
        <v>29.7</v>
      </c>
      <c r="G122">
        <v>145.1</v>
      </c>
    </row>
    <row r="123" spans="1:7" x14ac:dyDescent="0.35">
      <c r="A123" s="5">
        <v>2022</v>
      </c>
      <c r="B123">
        <v>26.5</v>
      </c>
      <c r="C123">
        <v>30.2</v>
      </c>
      <c r="D123">
        <v>29.8</v>
      </c>
      <c r="E123">
        <v>29.7</v>
      </c>
      <c r="F123">
        <v>29.8</v>
      </c>
      <c r="G123">
        <v>146</v>
      </c>
    </row>
    <row r="124" spans="1:7" x14ac:dyDescent="0.35">
      <c r="A124" s="5">
        <v>2023</v>
      </c>
      <c r="B124">
        <v>26.6</v>
      </c>
      <c r="C124">
        <v>30.5</v>
      </c>
      <c r="D124">
        <v>30</v>
      </c>
      <c r="E124">
        <v>29.9</v>
      </c>
      <c r="F124">
        <v>30</v>
      </c>
      <c r="G124">
        <v>147</v>
      </c>
    </row>
    <row r="125" spans="1:7" x14ac:dyDescent="0.35">
      <c r="A125" s="5">
        <v>2024</v>
      </c>
      <c r="B125">
        <v>26.8</v>
      </c>
      <c r="C125">
        <v>30.7</v>
      </c>
      <c r="D125">
        <v>30.2</v>
      </c>
      <c r="E125">
        <v>30.1</v>
      </c>
      <c r="F125">
        <v>30.2</v>
      </c>
      <c r="G125">
        <v>148</v>
      </c>
    </row>
    <row r="126" spans="1:7" x14ac:dyDescent="0.35">
      <c r="A126" s="5" t="s">
        <v>13</v>
      </c>
      <c r="B126">
        <v>132.4</v>
      </c>
      <c r="C126">
        <v>151.19999999999999</v>
      </c>
      <c r="D126">
        <v>149</v>
      </c>
      <c r="E126">
        <v>148.5</v>
      </c>
      <c r="F126">
        <v>149.19999999999999</v>
      </c>
      <c r="G126">
        <v>730.3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3C54-F081-42E4-B528-811B44C9217D}">
  <dimension ref="A1:M34"/>
  <sheetViews>
    <sheetView zoomScale="64" workbookViewId="0">
      <selection activeCell="D29" sqref="D29"/>
    </sheetView>
  </sheetViews>
  <sheetFormatPr defaultRowHeight="14.5" x14ac:dyDescent="0.35"/>
  <cols>
    <col min="1" max="1" width="19" bestFit="1" customWidth="1"/>
    <col min="2" max="2" width="24.90625" customWidth="1"/>
    <col min="3" max="3" width="20.7265625" bestFit="1" customWidth="1"/>
    <col min="4" max="4" width="15.26953125" bestFit="1" customWidth="1"/>
    <col min="5" max="6" width="4.90625" bestFit="1" customWidth="1"/>
    <col min="7" max="7" width="10.90625" bestFit="1" customWidth="1"/>
    <col min="8" max="8" width="8.7265625" customWidth="1"/>
    <col min="9" max="9" width="18.54296875" bestFit="1" customWidth="1"/>
    <col min="10" max="11" width="18.7265625" bestFit="1" customWidth="1"/>
    <col min="12" max="12" width="8.7265625" customWidth="1"/>
  </cols>
  <sheetData>
    <row r="1" spans="1:13" ht="87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</v>
      </c>
      <c r="H1" s="15"/>
      <c r="I1" s="16"/>
      <c r="J1" s="16"/>
      <c r="K1" s="16"/>
      <c r="L1" s="16"/>
      <c r="M1" s="17"/>
    </row>
    <row r="2" spans="1:13" x14ac:dyDescent="0.35">
      <c r="A2" s="2">
        <v>2020</v>
      </c>
      <c r="B2" s="2" t="s">
        <v>6</v>
      </c>
      <c r="C2" s="2">
        <v>26.2</v>
      </c>
      <c r="D2" s="2">
        <v>70</v>
      </c>
      <c r="E2" s="2">
        <v>1180</v>
      </c>
      <c r="F2" s="2">
        <v>26.2</v>
      </c>
      <c r="H2" s="11"/>
      <c r="I2" s="8"/>
      <c r="J2" s="9" t="s">
        <v>3</v>
      </c>
      <c r="K2" s="9" t="s">
        <v>4</v>
      </c>
      <c r="L2" s="10"/>
      <c r="M2" s="12"/>
    </row>
    <row r="3" spans="1:13" x14ac:dyDescent="0.35">
      <c r="A3" s="2">
        <v>2020</v>
      </c>
      <c r="B3" s="2" t="s">
        <v>7</v>
      </c>
      <c r="C3" s="2">
        <v>29.4</v>
      </c>
      <c r="D3" s="2">
        <v>60</v>
      </c>
      <c r="E3" s="2">
        <v>1120</v>
      </c>
      <c r="F3" s="2">
        <v>29.4</v>
      </c>
      <c r="H3" s="11"/>
      <c r="I3" s="11" t="s">
        <v>3</v>
      </c>
      <c r="J3">
        <v>1</v>
      </c>
      <c r="L3" s="12"/>
      <c r="M3" s="12"/>
    </row>
    <row r="4" spans="1:13" x14ac:dyDescent="0.35">
      <c r="A4" s="2">
        <v>2020</v>
      </c>
      <c r="B4" s="2" t="s">
        <v>8</v>
      </c>
      <c r="C4" s="2">
        <v>29.8</v>
      </c>
      <c r="D4" s="2">
        <v>44</v>
      </c>
      <c r="E4" s="2">
        <v>650</v>
      </c>
      <c r="F4" s="2">
        <v>29.8</v>
      </c>
      <c r="H4" s="11"/>
      <c r="I4" s="13" t="s">
        <v>4</v>
      </c>
      <c r="J4" s="7">
        <v>-0.16466441642288132</v>
      </c>
      <c r="K4" s="7">
        <v>1</v>
      </c>
      <c r="L4" s="14"/>
      <c r="M4" s="12"/>
    </row>
    <row r="5" spans="1:13" x14ac:dyDescent="0.35">
      <c r="A5" s="2">
        <v>2020</v>
      </c>
      <c r="B5" s="2" t="s">
        <v>9</v>
      </c>
      <c r="C5" s="2">
        <v>29.3</v>
      </c>
      <c r="D5" s="2">
        <v>78</v>
      </c>
      <c r="E5" s="2">
        <v>2000</v>
      </c>
      <c r="F5" s="2">
        <v>29.3</v>
      </c>
      <c r="H5" s="11"/>
      <c r="M5" s="12"/>
    </row>
    <row r="6" spans="1:13" x14ac:dyDescent="0.35">
      <c r="A6" s="2">
        <v>2020</v>
      </c>
      <c r="B6" s="2" t="s">
        <v>10</v>
      </c>
      <c r="C6" s="2">
        <v>29.5</v>
      </c>
      <c r="D6" s="2">
        <v>88</v>
      </c>
      <c r="E6" s="2">
        <v>3300</v>
      </c>
      <c r="F6" s="2">
        <v>29.5</v>
      </c>
      <c r="H6" s="11"/>
      <c r="M6" s="12"/>
    </row>
    <row r="7" spans="1:13" x14ac:dyDescent="0.35">
      <c r="A7" s="2">
        <v>2021</v>
      </c>
      <c r="B7" s="2" t="s">
        <v>6</v>
      </c>
      <c r="C7" s="2">
        <v>26.3</v>
      </c>
      <c r="D7" s="2">
        <v>71</v>
      </c>
      <c r="E7" s="2">
        <v>1200</v>
      </c>
      <c r="F7" s="2">
        <v>26.3</v>
      </c>
      <c r="H7" s="11"/>
      <c r="I7" s="8"/>
      <c r="J7" s="9" t="s">
        <v>5</v>
      </c>
      <c r="K7" s="9" t="s">
        <v>3</v>
      </c>
      <c r="L7" s="10"/>
      <c r="M7" s="12"/>
    </row>
    <row r="8" spans="1:13" ht="29" x14ac:dyDescent="0.35">
      <c r="A8" s="2">
        <v>2021</v>
      </c>
      <c r="B8" s="2" t="s">
        <v>7</v>
      </c>
      <c r="C8" s="2">
        <v>29.6</v>
      </c>
      <c r="D8" s="2">
        <v>61</v>
      </c>
      <c r="E8" s="2">
        <v>1150</v>
      </c>
      <c r="F8" s="2">
        <v>29.6</v>
      </c>
      <c r="H8" s="11"/>
      <c r="I8" s="11" t="s">
        <v>5</v>
      </c>
      <c r="J8">
        <v>1</v>
      </c>
      <c r="L8" s="12"/>
      <c r="M8" s="12"/>
    </row>
    <row r="9" spans="1:13" x14ac:dyDescent="0.35">
      <c r="A9" s="2">
        <v>2021</v>
      </c>
      <c r="B9" s="2" t="s">
        <v>8</v>
      </c>
      <c r="C9" s="2">
        <v>30</v>
      </c>
      <c r="D9" s="2">
        <v>45</v>
      </c>
      <c r="E9" s="2">
        <v>670</v>
      </c>
      <c r="F9" s="2">
        <v>30</v>
      </c>
      <c r="H9" s="11"/>
      <c r="I9" s="13" t="s">
        <v>3</v>
      </c>
      <c r="J9" s="7">
        <v>0.17671250401005381</v>
      </c>
      <c r="K9" s="7">
        <v>1</v>
      </c>
      <c r="L9" s="14"/>
      <c r="M9" s="12"/>
    </row>
    <row r="10" spans="1:13" x14ac:dyDescent="0.35">
      <c r="A10" s="2">
        <v>2021</v>
      </c>
      <c r="B10" s="2" t="s">
        <v>9</v>
      </c>
      <c r="C10" s="2">
        <v>29.5</v>
      </c>
      <c r="D10" s="2">
        <v>79</v>
      </c>
      <c r="E10" s="2">
        <v>2050</v>
      </c>
      <c r="F10" s="2">
        <v>29.5</v>
      </c>
      <c r="H10" s="11"/>
      <c r="M10" s="12"/>
    </row>
    <row r="11" spans="1:13" x14ac:dyDescent="0.35">
      <c r="A11" s="2">
        <v>2021</v>
      </c>
      <c r="B11" s="2" t="s">
        <v>10</v>
      </c>
      <c r="C11" s="2">
        <v>29.7</v>
      </c>
      <c r="D11" s="2">
        <v>89</v>
      </c>
      <c r="E11" s="2">
        <v>3350</v>
      </c>
      <c r="F11" s="2">
        <v>29.7</v>
      </c>
      <c r="H11" s="11"/>
      <c r="M11" s="12"/>
    </row>
    <row r="12" spans="1:13" ht="29" x14ac:dyDescent="0.35">
      <c r="A12" s="2">
        <v>2022</v>
      </c>
      <c r="B12" s="2" t="s">
        <v>6</v>
      </c>
      <c r="C12" s="2">
        <v>26.5</v>
      </c>
      <c r="D12" s="2">
        <v>70</v>
      </c>
      <c r="E12" s="2">
        <v>1220</v>
      </c>
      <c r="F12" s="2">
        <v>26.5</v>
      </c>
      <c r="H12" s="11"/>
      <c r="I12" s="8"/>
      <c r="J12" s="9" t="s">
        <v>4</v>
      </c>
      <c r="K12" s="9" t="s">
        <v>5</v>
      </c>
      <c r="L12" s="10"/>
      <c r="M12" s="12"/>
    </row>
    <row r="13" spans="1:13" ht="29" x14ac:dyDescent="0.35">
      <c r="A13" s="2">
        <v>2022</v>
      </c>
      <c r="B13" s="2" t="s">
        <v>7</v>
      </c>
      <c r="C13" s="2">
        <v>29.8</v>
      </c>
      <c r="D13" s="2">
        <v>60</v>
      </c>
      <c r="E13" s="2">
        <v>1180</v>
      </c>
      <c r="F13" s="2">
        <v>29.8</v>
      </c>
      <c r="H13" s="11"/>
      <c r="I13" s="11" t="s">
        <v>4</v>
      </c>
      <c r="J13">
        <v>1</v>
      </c>
      <c r="L13" s="12"/>
      <c r="M13" s="12"/>
    </row>
    <row r="14" spans="1:13" x14ac:dyDescent="0.35">
      <c r="A14" s="2">
        <v>2022</v>
      </c>
      <c r="B14" s="2" t="s">
        <v>8</v>
      </c>
      <c r="C14" s="2">
        <v>30.2</v>
      </c>
      <c r="D14" s="2">
        <v>44</v>
      </c>
      <c r="E14" s="2">
        <v>640</v>
      </c>
      <c r="F14" s="2">
        <v>30.2</v>
      </c>
      <c r="H14" s="11"/>
      <c r="I14" s="13" t="s">
        <v>5</v>
      </c>
      <c r="J14" s="7">
        <v>0.90293814627436364</v>
      </c>
      <c r="K14" s="7">
        <v>1</v>
      </c>
      <c r="L14" s="14"/>
      <c r="M14" s="12"/>
    </row>
    <row r="15" spans="1:13" x14ac:dyDescent="0.35">
      <c r="A15" s="2">
        <v>2022</v>
      </c>
      <c r="B15" s="2" t="s">
        <v>9</v>
      </c>
      <c r="C15" s="2">
        <v>29.7</v>
      </c>
      <c r="D15" s="2">
        <v>78</v>
      </c>
      <c r="E15" s="2">
        <v>2080</v>
      </c>
      <c r="F15" s="2">
        <v>29.7</v>
      </c>
      <c r="H15" s="11"/>
      <c r="M15" s="12"/>
    </row>
    <row r="16" spans="1:13" x14ac:dyDescent="0.35">
      <c r="A16" s="2">
        <v>2022</v>
      </c>
      <c r="B16" s="2" t="s">
        <v>10</v>
      </c>
      <c r="C16" s="2">
        <v>29.8</v>
      </c>
      <c r="D16" s="2">
        <v>89</v>
      </c>
      <c r="E16" s="2">
        <v>3400</v>
      </c>
      <c r="F16" s="2">
        <v>29.8</v>
      </c>
      <c r="H16" s="13"/>
      <c r="I16" s="7"/>
      <c r="J16" s="7"/>
      <c r="K16" s="7"/>
      <c r="L16" s="7"/>
      <c r="M16" s="14"/>
    </row>
    <row r="17" spans="1:6" ht="29" x14ac:dyDescent="0.35">
      <c r="A17" s="2">
        <v>2023</v>
      </c>
      <c r="B17" s="2" t="s">
        <v>6</v>
      </c>
      <c r="C17" s="2">
        <v>26.6</v>
      </c>
      <c r="D17" s="2">
        <v>72</v>
      </c>
      <c r="E17" s="2">
        <v>1250</v>
      </c>
      <c r="F17" s="2">
        <v>26.6</v>
      </c>
    </row>
    <row r="18" spans="1:6" x14ac:dyDescent="0.35">
      <c r="A18" s="2">
        <v>2023</v>
      </c>
      <c r="B18" s="2" t="s">
        <v>7</v>
      </c>
      <c r="C18" s="2">
        <v>30</v>
      </c>
      <c r="D18" s="2">
        <v>62</v>
      </c>
      <c r="E18" s="2">
        <v>1200</v>
      </c>
      <c r="F18" s="2">
        <v>30</v>
      </c>
    </row>
    <row r="19" spans="1:6" x14ac:dyDescent="0.35">
      <c r="A19" s="2">
        <v>2023</v>
      </c>
      <c r="B19" s="2" t="s">
        <v>8</v>
      </c>
      <c r="C19" s="2">
        <v>30.5</v>
      </c>
      <c r="D19" s="2">
        <v>43</v>
      </c>
      <c r="E19" s="2">
        <v>620</v>
      </c>
      <c r="F19" s="2">
        <v>30.5</v>
      </c>
    </row>
    <row r="20" spans="1:6" x14ac:dyDescent="0.35">
      <c r="A20" s="2">
        <v>2023</v>
      </c>
      <c r="B20" s="2" t="s">
        <v>9</v>
      </c>
      <c r="C20" s="2">
        <v>29.9</v>
      </c>
      <c r="D20" s="2">
        <v>80</v>
      </c>
      <c r="E20" s="2">
        <v>2100</v>
      </c>
      <c r="F20" s="2">
        <v>29.9</v>
      </c>
    </row>
    <row r="21" spans="1:6" x14ac:dyDescent="0.35">
      <c r="A21" s="2">
        <v>2023</v>
      </c>
      <c r="B21" s="2" t="s">
        <v>10</v>
      </c>
      <c r="C21" s="2">
        <v>30</v>
      </c>
      <c r="D21" s="2">
        <v>90</v>
      </c>
      <c r="E21" s="2">
        <v>3500</v>
      </c>
      <c r="F21" s="2">
        <v>30</v>
      </c>
    </row>
    <row r="22" spans="1:6" x14ac:dyDescent="0.35">
      <c r="A22" s="2">
        <v>2024</v>
      </c>
      <c r="B22" s="2" t="s">
        <v>6</v>
      </c>
      <c r="C22" s="2">
        <v>26.8</v>
      </c>
      <c r="D22" s="2">
        <v>73</v>
      </c>
      <c r="E22" s="2">
        <v>1280</v>
      </c>
      <c r="F22" s="2">
        <v>26.8</v>
      </c>
    </row>
    <row r="23" spans="1:6" x14ac:dyDescent="0.35">
      <c r="A23" s="2">
        <v>2024</v>
      </c>
      <c r="B23" s="2" t="s">
        <v>7</v>
      </c>
      <c r="C23" s="2">
        <v>30.2</v>
      </c>
      <c r="D23" s="2">
        <v>63</v>
      </c>
      <c r="E23" s="2">
        <v>1230</v>
      </c>
      <c r="F23" s="2">
        <v>30.2</v>
      </c>
    </row>
    <row r="24" spans="1:6" x14ac:dyDescent="0.35">
      <c r="A24" s="2">
        <v>2024</v>
      </c>
      <c r="B24" s="2" t="s">
        <v>8</v>
      </c>
      <c r="C24" s="2">
        <v>30.7</v>
      </c>
      <c r="D24" s="2">
        <v>42</v>
      </c>
      <c r="E24" s="2">
        <v>600</v>
      </c>
      <c r="F24" s="2">
        <v>30.7</v>
      </c>
    </row>
    <row r="25" spans="1:6" x14ac:dyDescent="0.35">
      <c r="A25" s="2">
        <v>2024</v>
      </c>
      <c r="B25" s="2" t="s">
        <v>9</v>
      </c>
      <c r="C25" s="2">
        <v>30.1</v>
      </c>
      <c r="D25" s="2">
        <v>81</v>
      </c>
      <c r="E25" s="2">
        <v>2150</v>
      </c>
      <c r="F25" s="2">
        <v>30.1</v>
      </c>
    </row>
    <row r="26" spans="1:6" x14ac:dyDescent="0.35">
      <c r="A26" s="2">
        <v>2024</v>
      </c>
      <c r="B26" s="2" t="s">
        <v>10</v>
      </c>
      <c r="C26" s="2">
        <v>30.2</v>
      </c>
      <c r="D26" s="2">
        <v>91</v>
      </c>
      <c r="E26" s="2">
        <v>3600</v>
      </c>
      <c r="F26" s="2">
        <v>30.2</v>
      </c>
    </row>
    <row r="29" spans="1:6" x14ac:dyDescent="0.35">
      <c r="A29" s="1"/>
      <c r="B29" s="1"/>
      <c r="C29" s="1"/>
      <c r="D29" s="1"/>
    </row>
    <row r="30" spans="1:6" x14ac:dyDescent="0.35">
      <c r="A30" s="2"/>
      <c r="B30" s="2"/>
      <c r="C30" s="2"/>
      <c r="D30" s="2"/>
    </row>
    <row r="31" spans="1:6" x14ac:dyDescent="0.35">
      <c r="A31" s="2"/>
      <c r="B31" s="2"/>
      <c r="C31" s="2"/>
      <c r="D31" s="2"/>
    </row>
    <row r="32" spans="1:6" x14ac:dyDescent="0.35">
      <c r="A32" s="2"/>
      <c r="B32" s="2"/>
      <c r="C32" s="2"/>
      <c r="D32" s="2"/>
    </row>
    <row r="33" spans="1:4" x14ac:dyDescent="0.35">
      <c r="A33" s="2"/>
      <c r="B33" s="2"/>
      <c r="C33" s="2"/>
      <c r="D33" s="2"/>
    </row>
    <row r="34" spans="1:4" x14ac:dyDescent="0.35">
      <c r="A34" s="2"/>
      <c r="B34" s="2"/>
      <c r="C34" s="2"/>
      <c r="D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</vt:lpstr>
      <vt:lpstr>Task 2</vt:lpstr>
      <vt:lpstr>Task 3</vt:lpstr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Kunsh Bali</dc:creator>
  <cp:lastModifiedBy>Kunsh Bali</cp:lastModifiedBy>
  <dcterms:created xsi:type="dcterms:W3CDTF">2026-02-11T11:44:16Z</dcterms:created>
  <dcterms:modified xsi:type="dcterms:W3CDTF">2026-02-14T07:07:02Z</dcterms:modified>
</cp:coreProperties>
</file>