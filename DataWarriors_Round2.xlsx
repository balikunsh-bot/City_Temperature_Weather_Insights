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f01731662df26a/Desktop/"/>
    </mc:Choice>
  </mc:AlternateContent>
  <xr:revisionPtr revIDLastSave="341" documentId="8_{66F11700-8071-452B-A299-61A47D61A292}" xr6:coauthVersionLast="47" xr6:coauthVersionMax="47" xr10:uidLastSave="{D1FB912C-1CC3-4861-91E0-D945909A21E4}"/>
  <bookViews>
    <workbookView xWindow="-110" yWindow="-110" windowWidth="19420" windowHeight="11500" activeTab="2" xr2:uid="{65528A1D-C263-423A-83B7-E79428BCA6E1}"/>
  </bookViews>
  <sheets>
    <sheet name="Sheet9" sheetId="9" r:id="rId1"/>
    <sheet name="Sheet1" sheetId="1" r:id="rId2"/>
    <sheet name="Sheet2" sheetId="10" r:id="rId3"/>
  </sheets>
  <definedNames>
    <definedName name="_xlnm._FilterDatabase" localSheetId="1" hidden="1">Sheet1!$A$1:$I$2033</definedName>
  </definedName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A17" i="9"/>
  <c r="B15" i="9"/>
  <c r="B17" i="9"/>
  <c r="S2033" i="1"/>
  <c r="S2032" i="1"/>
  <c r="S2029" i="1"/>
  <c r="S2027" i="1"/>
  <c r="S2026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09" i="1"/>
  <c r="S2008" i="1"/>
  <c r="S2006" i="1"/>
  <c r="S2004" i="1"/>
  <c r="S2003" i="1"/>
  <c r="S2002" i="1"/>
  <c r="S2000" i="1"/>
  <c r="S1999" i="1"/>
  <c r="S1998" i="1"/>
  <c r="S1997" i="1"/>
  <c r="S1996" i="1"/>
  <c r="S1995" i="1"/>
  <c r="S1993" i="1"/>
  <c r="S1992" i="1"/>
  <c r="S1991" i="1"/>
  <c r="S1990" i="1"/>
  <c r="S1989" i="1"/>
  <c r="S1988" i="1"/>
  <c r="S1987" i="1"/>
  <c r="S1985" i="1"/>
  <c r="S1984" i="1"/>
  <c r="S1983" i="1"/>
  <c r="S1982" i="1"/>
  <c r="S1981" i="1"/>
  <c r="S1979" i="1"/>
  <c r="S1978" i="1"/>
  <c r="S1977" i="1"/>
  <c r="S1975" i="1"/>
  <c r="S1973" i="1"/>
  <c r="S1968" i="1"/>
  <c r="S1967" i="1"/>
  <c r="S1966" i="1"/>
  <c r="S1965" i="1"/>
  <c r="S1964" i="1"/>
  <c r="S1963" i="1"/>
  <c r="S1962" i="1"/>
  <c r="S1960" i="1"/>
  <c r="S1959" i="1"/>
  <c r="S1958" i="1"/>
  <c r="S1957" i="1"/>
  <c r="S1956" i="1"/>
  <c r="S1954" i="1"/>
  <c r="S1953" i="1"/>
  <c r="S1952" i="1"/>
  <c r="S1951" i="1"/>
  <c r="S1949" i="1"/>
  <c r="S1936" i="1"/>
  <c r="S1935" i="1"/>
  <c r="S1934" i="1"/>
  <c r="S1932" i="1"/>
  <c r="S1931" i="1"/>
  <c r="S1930" i="1"/>
  <c r="S1916" i="1"/>
  <c r="S1915" i="1"/>
  <c r="S1911" i="1"/>
  <c r="S1909" i="1"/>
  <c r="S1908" i="1"/>
  <c r="S1907" i="1"/>
  <c r="S1905" i="1"/>
  <c r="S1893" i="1"/>
  <c r="S1854" i="1"/>
  <c r="S1853" i="1"/>
  <c r="S1828" i="1"/>
  <c r="S1826" i="1"/>
  <c r="S1811" i="1"/>
  <c r="S1810" i="1"/>
  <c r="S1809" i="1"/>
  <c r="S1808" i="1"/>
  <c r="S1806" i="1"/>
  <c r="S1805" i="1"/>
  <c r="S1801" i="1"/>
  <c r="S1799" i="1"/>
  <c r="S1798" i="1"/>
  <c r="S1796" i="1"/>
  <c r="S1793" i="1"/>
  <c r="S1791" i="1"/>
  <c r="S1788" i="1"/>
  <c r="S1787" i="1"/>
  <c r="S1786" i="1"/>
  <c r="S1785" i="1"/>
  <c r="S1784" i="1"/>
  <c r="S1783" i="1"/>
  <c r="S1782" i="1"/>
  <c r="S1781" i="1"/>
  <c r="S1779" i="1"/>
  <c r="S1778" i="1"/>
  <c r="S1777" i="1"/>
  <c r="S1775" i="1"/>
  <c r="S1774" i="1"/>
  <c r="S1773" i="1"/>
  <c r="S1771" i="1"/>
  <c r="S1770" i="1"/>
  <c r="S1768" i="1"/>
  <c r="S1767" i="1"/>
  <c r="S1766" i="1"/>
  <c r="S1765" i="1"/>
  <c r="S1764" i="1"/>
  <c r="S1763" i="1"/>
  <c r="S1761" i="1"/>
  <c r="S1759" i="1"/>
  <c r="S1758" i="1"/>
  <c r="S1757" i="1"/>
  <c r="S1756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39" i="1"/>
  <c r="S1737" i="1"/>
  <c r="S1736" i="1"/>
  <c r="S1734" i="1"/>
  <c r="S1733" i="1"/>
  <c r="S1732" i="1"/>
  <c r="S1731" i="1"/>
  <c r="S1730" i="1"/>
  <c r="S1729" i="1"/>
  <c r="S1727" i="1"/>
  <c r="S1726" i="1"/>
  <c r="S1725" i="1"/>
  <c r="S1724" i="1"/>
  <c r="S1723" i="1"/>
  <c r="S1722" i="1"/>
  <c r="S1721" i="1"/>
  <c r="S1720" i="1"/>
  <c r="S1716" i="1"/>
  <c r="S1714" i="1"/>
  <c r="S1713" i="1"/>
  <c r="S1712" i="1"/>
  <c r="S1711" i="1"/>
  <c r="S1710" i="1"/>
  <c r="S1708" i="1"/>
  <c r="S1707" i="1"/>
  <c r="S1705" i="1"/>
  <c r="S1704" i="1"/>
  <c r="S1703" i="1"/>
  <c r="S1702" i="1"/>
  <c r="S1701" i="1"/>
  <c r="S1699" i="1"/>
  <c r="S1698" i="1"/>
  <c r="S1697" i="1"/>
  <c r="S1696" i="1"/>
  <c r="S1695" i="1"/>
  <c r="S1694" i="1"/>
  <c r="S1693" i="1"/>
  <c r="S1691" i="1"/>
  <c r="S1689" i="1"/>
  <c r="S1687" i="1"/>
  <c r="S1686" i="1"/>
  <c r="S1683" i="1"/>
  <c r="S1682" i="1"/>
  <c r="S1681" i="1"/>
  <c r="S1680" i="1"/>
  <c r="S1679" i="1"/>
  <c r="S1678" i="1"/>
  <c r="S1677" i="1"/>
  <c r="S1674" i="1"/>
  <c r="S1672" i="1"/>
  <c r="S1671" i="1"/>
  <c r="S1669" i="1"/>
  <c r="S1668" i="1"/>
  <c r="S1667" i="1"/>
  <c r="S1666" i="1"/>
  <c r="S1665" i="1"/>
  <c r="S1663" i="1"/>
  <c r="S1662" i="1"/>
  <c r="S1661" i="1"/>
  <c r="S1660" i="1"/>
  <c r="S1659" i="1"/>
  <c r="S1658" i="1"/>
  <c r="S1657" i="1"/>
  <c r="S1656" i="1"/>
  <c r="S1654" i="1"/>
  <c r="S1653" i="1"/>
  <c r="S1649" i="1"/>
  <c r="S1648" i="1"/>
  <c r="S1647" i="1"/>
  <c r="S1646" i="1"/>
  <c r="S1644" i="1"/>
  <c r="S1643" i="1"/>
  <c r="S1641" i="1"/>
  <c r="S1640" i="1"/>
  <c r="S1638" i="1"/>
  <c r="S1637" i="1"/>
  <c r="S1635" i="1"/>
  <c r="S1634" i="1"/>
  <c r="S1631" i="1"/>
  <c r="S1630" i="1"/>
  <c r="S1629" i="1"/>
  <c r="S1628" i="1"/>
  <c r="S1626" i="1"/>
  <c r="S1625" i="1"/>
  <c r="S1623" i="1"/>
  <c r="S1622" i="1"/>
  <c r="S1620" i="1"/>
  <c r="S1619" i="1"/>
  <c r="S1618" i="1"/>
  <c r="S1617" i="1"/>
  <c r="S1616" i="1"/>
  <c r="S1615" i="1"/>
  <c r="S1614" i="1"/>
  <c r="S1613" i="1"/>
  <c r="S1612" i="1"/>
  <c r="S1611" i="1"/>
  <c r="S1608" i="1"/>
  <c r="S1607" i="1"/>
  <c r="S1605" i="1"/>
  <c r="S1604" i="1"/>
  <c r="S1603" i="1"/>
  <c r="S1602" i="1"/>
  <c r="S1601" i="1"/>
  <c r="S1596" i="1"/>
  <c r="S1595" i="1"/>
  <c r="S1593" i="1"/>
  <c r="S1592" i="1"/>
  <c r="S1591" i="1"/>
  <c r="S1590" i="1"/>
  <c r="S1589" i="1"/>
  <c r="S1586" i="1"/>
  <c r="S1585" i="1"/>
  <c r="S1581" i="1"/>
  <c r="S1580" i="1"/>
  <c r="S1576" i="1"/>
  <c r="S1575" i="1"/>
  <c r="S1574" i="1"/>
  <c r="S1572" i="1"/>
  <c r="S1571" i="1"/>
  <c r="S1570" i="1"/>
  <c r="S1568" i="1"/>
  <c r="S1567" i="1"/>
  <c r="S1566" i="1"/>
  <c r="S1515" i="1"/>
  <c r="S1514" i="1"/>
  <c r="S1513" i="1"/>
  <c r="S1512" i="1"/>
  <c r="S1511" i="1"/>
  <c r="S1484" i="1"/>
  <c r="S1476" i="1"/>
  <c r="S1470" i="1"/>
  <c r="S1469" i="1"/>
  <c r="S1468" i="1"/>
  <c r="S1464" i="1"/>
  <c r="S1463" i="1"/>
  <c r="S1448" i="1"/>
  <c r="S1440" i="1"/>
  <c r="S1439" i="1"/>
  <c r="S1438" i="1"/>
  <c r="S1437" i="1"/>
  <c r="S1436" i="1"/>
  <c r="S1435" i="1"/>
  <c r="S1434" i="1"/>
  <c r="S1429" i="1"/>
  <c r="S1427" i="1"/>
  <c r="S1418" i="1"/>
  <c r="S1417" i="1"/>
  <c r="S1415" i="1"/>
  <c r="S1409" i="1"/>
  <c r="S1407" i="1"/>
  <c r="S1403" i="1"/>
  <c r="S1396" i="1"/>
  <c r="S1394" i="1"/>
  <c r="S1393" i="1"/>
  <c r="S1392" i="1"/>
  <c r="S1391" i="1"/>
  <c r="S1390" i="1"/>
  <c r="S1389" i="1"/>
  <c r="S1388" i="1"/>
  <c r="S1384" i="1"/>
  <c r="S1383" i="1"/>
  <c r="S1382" i="1"/>
  <c r="S1381" i="1"/>
  <c r="S1380" i="1"/>
  <c r="S1375" i="1"/>
  <c r="S1373" i="1"/>
  <c r="S1370" i="1"/>
  <c r="S1366" i="1"/>
  <c r="S1365" i="1"/>
  <c r="S1361" i="1"/>
  <c r="S1360" i="1"/>
  <c r="S1358" i="1"/>
  <c r="S1356" i="1"/>
  <c r="S1354" i="1"/>
  <c r="S1353" i="1"/>
  <c r="S1352" i="1"/>
  <c r="S1350" i="1"/>
  <c r="S1349" i="1"/>
  <c r="S1348" i="1"/>
  <c r="S1344" i="1"/>
  <c r="S1343" i="1"/>
  <c r="S1342" i="1"/>
  <c r="S1341" i="1"/>
  <c r="S1340" i="1"/>
  <c r="S1333" i="1"/>
  <c r="S1327" i="1"/>
  <c r="S1326" i="1"/>
  <c r="S1321" i="1"/>
  <c r="S1319" i="1"/>
  <c r="S1318" i="1"/>
  <c r="S1316" i="1"/>
  <c r="S1315" i="1"/>
  <c r="S1314" i="1"/>
  <c r="S1313" i="1"/>
  <c r="S1312" i="1"/>
  <c r="S1311" i="1"/>
  <c r="S1310" i="1"/>
  <c r="S1309" i="1"/>
  <c r="S1308" i="1"/>
  <c r="S1307" i="1"/>
  <c r="S1306" i="1"/>
  <c r="S1304" i="1"/>
  <c r="S1302" i="1"/>
  <c r="S1299" i="1"/>
  <c r="S1298" i="1"/>
  <c r="S1297" i="1"/>
  <c r="S1295" i="1"/>
  <c r="S1294" i="1"/>
  <c r="S1290" i="1"/>
  <c r="S1289" i="1"/>
  <c r="S1288" i="1"/>
  <c r="S1287" i="1"/>
  <c r="S1286" i="1"/>
  <c r="S1284" i="1"/>
  <c r="S1282" i="1"/>
  <c r="S1281" i="1"/>
  <c r="S1278" i="1"/>
  <c r="S1276" i="1"/>
  <c r="S1274" i="1"/>
  <c r="S1273" i="1"/>
  <c r="S1272" i="1"/>
  <c r="S1271" i="1"/>
  <c r="S1270" i="1"/>
  <c r="S1264" i="1"/>
  <c r="S1262" i="1"/>
  <c r="S1260" i="1"/>
  <c r="S1259" i="1"/>
  <c r="S1255" i="1"/>
  <c r="S1248" i="1"/>
  <c r="S1247" i="1"/>
  <c r="S1246" i="1"/>
  <c r="S1244" i="1"/>
  <c r="S1242" i="1"/>
  <c r="S1235" i="1"/>
  <c r="S1217" i="1"/>
  <c r="S1216" i="1"/>
  <c r="S1215" i="1"/>
  <c r="S1211" i="1"/>
  <c r="S1197" i="1"/>
  <c r="S1194" i="1"/>
  <c r="S1180" i="1"/>
  <c r="S1177" i="1"/>
  <c r="S1163" i="1"/>
  <c r="S1160" i="1"/>
  <c r="S1102" i="1"/>
  <c r="S1080" i="1"/>
  <c r="S1073" i="1"/>
  <c r="S1068" i="1"/>
  <c r="S1067" i="1"/>
  <c r="S1066" i="1"/>
  <c r="S1065" i="1"/>
  <c r="S1062" i="1"/>
  <c r="S1056" i="1"/>
  <c r="S1051" i="1"/>
  <c r="S1050" i="1"/>
  <c r="S1045" i="1"/>
  <c r="S1043" i="1"/>
  <c r="S1036" i="1"/>
  <c r="S1035" i="1"/>
  <c r="S1034" i="1"/>
  <c r="S1032" i="1"/>
  <c r="S1031" i="1"/>
  <c r="S1030" i="1"/>
  <c r="S1027" i="1"/>
  <c r="S1026" i="1"/>
  <c r="S1025" i="1"/>
  <c r="S1023" i="1"/>
  <c r="S1022" i="1"/>
  <c r="S1016" i="1"/>
  <c r="S1013" i="1"/>
  <c r="S1010" i="1"/>
  <c r="S1009" i="1"/>
  <c r="S1008" i="1"/>
  <c r="S1007" i="1"/>
  <c r="S1006" i="1"/>
  <c r="S1002" i="1"/>
  <c r="S1000" i="1"/>
  <c r="S999" i="1"/>
  <c r="S998" i="1"/>
  <c r="S997" i="1"/>
  <c r="S996" i="1"/>
  <c r="S994" i="1"/>
  <c r="S993" i="1"/>
  <c r="S992" i="1"/>
  <c r="S991" i="1"/>
  <c r="S990" i="1"/>
  <c r="S987" i="1"/>
  <c r="S983" i="1"/>
  <c r="S982" i="1"/>
  <c r="S981" i="1"/>
  <c r="S980" i="1"/>
  <c r="S978" i="1"/>
  <c r="S977" i="1"/>
  <c r="S976" i="1"/>
  <c r="S970" i="1"/>
  <c r="S967" i="1"/>
  <c r="S966" i="1"/>
  <c r="S964" i="1"/>
  <c r="S963" i="1"/>
  <c r="S962" i="1"/>
  <c r="S961" i="1"/>
  <c r="S960" i="1"/>
  <c r="S958" i="1"/>
  <c r="S957" i="1"/>
  <c r="S956" i="1"/>
  <c r="S955" i="1"/>
  <c r="S953" i="1"/>
  <c r="S952" i="1"/>
  <c r="S951" i="1"/>
  <c r="S950" i="1"/>
  <c r="S949" i="1"/>
  <c r="S948" i="1"/>
  <c r="S938" i="1"/>
  <c r="S937" i="1"/>
  <c r="S936" i="1"/>
  <c r="S935" i="1"/>
  <c r="S934" i="1"/>
  <c r="S932" i="1"/>
  <c r="S931" i="1"/>
  <c r="S930" i="1"/>
  <c r="S929" i="1"/>
  <c r="S928" i="1"/>
  <c r="S927" i="1"/>
  <c r="S926" i="1"/>
  <c r="S925" i="1"/>
  <c r="S924" i="1"/>
  <c r="S919" i="1"/>
  <c r="S910" i="1"/>
  <c r="S906" i="1"/>
  <c r="S905" i="1"/>
  <c r="S902" i="1"/>
  <c r="S889" i="1"/>
  <c r="S888" i="1"/>
  <c r="S885" i="1"/>
  <c r="S883" i="1"/>
  <c r="S880" i="1"/>
  <c r="S878" i="1"/>
  <c r="S875" i="1"/>
  <c r="S874" i="1"/>
  <c r="S868" i="1"/>
  <c r="S863" i="1"/>
  <c r="S859" i="1"/>
  <c r="S851" i="1"/>
  <c r="S845" i="1"/>
  <c r="S841" i="1"/>
  <c r="S840" i="1"/>
  <c r="S839" i="1"/>
  <c r="S831" i="1"/>
  <c r="S830" i="1"/>
  <c r="S760" i="1"/>
  <c r="S729" i="1"/>
  <c r="S705" i="1"/>
  <c r="S694" i="1"/>
  <c r="S693" i="1"/>
  <c r="S687" i="1"/>
  <c r="S674" i="1"/>
  <c r="S673" i="1"/>
  <c r="S658" i="1"/>
  <c r="S657" i="1"/>
  <c r="S655" i="1"/>
  <c r="S654" i="1"/>
  <c r="S648" i="1"/>
  <c r="S646" i="1"/>
  <c r="S645" i="1"/>
  <c r="S644" i="1"/>
  <c r="S643" i="1"/>
  <c r="S642" i="1"/>
  <c r="S640" i="1"/>
  <c r="S638" i="1"/>
  <c r="S637" i="1"/>
  <c r="S636" i="1"/>
  <c r="S635" i="1"/>
  <c r="S634" i="1"/>
  <c r="S633" i="1"/>
  <c r="S630" i="1"/>
  <c r="S625" i="1"/>
  <c r="S624" i="1"/>
  <c r="S623" i="1"/>
  <c r="S611" i="1"/>
  <c r="S609" i="1"/>
  <c r="S608" i="1"/>
  <c r="S607" i="1"/>
  <c r="S606" i="1"/>
  <c r="S605" i="1"/>
  <c r="S603" i="1"/>
  <c r="S602" i="1"/>
  <c r="S595" i="1"/>
  <c r="S594" i="1"/>
  <c r="S593" i="1"/>
  <c r="S592" i="1"/>
  <c r="S591" i="1"/>
  <c r="S590" i="1"/>
  <c r="S589" i="1"/>
  <c r="S587" i="1"/>
  <c r="S586" i="1"/>
  <c r="S585" i="1"/>
  <c r="S584" i="1"/>
  <c r="S582" i="1"/>
  <c r="S580" i="1"/>
  <c r="S579" i="1"/>
  <c r="S578" i="1"/>
  <c r="S577" i="1"/>
  <c r="S576" i="1"/>
  <c r="S575" i="1"/>
  <c r="S573" i="1"/>
  <c r="S572" i="1"/>
  <c r="S571" i="1"/>
  <c r="S569" i="1"/>
  <c r="S564" i="1"/>
  <c r="S562" i="1"/>
  <c r="S561" i="1"/>
  <c r="S559" i="1"/>
  <c r="S558" i="1"/>
  <c r="S557" i="1"/>
  <c r="S556" i="1"/>
  <c r="S554" i="1"/>
  <c r="S548" i="1"/>
  <c r="S545" i="1"/>
  <c r="S541" i="1"/>
  <c r="S540" i="1"/>
  <c r="S536" i="1"/>
  <c r="S533" i="1"/>
  <c r="S532" i="1"/>
  <c r="S528" i="1"/>
  <c r="S527" i="1"/>
  <c r="S526" i="1"/>
  <c r="S521" i="1"/>
  <c r="S520" i="1"/>
  <c r="S519" i="1"/>
  <c r="S517" i="1"/>
  <c r="S512" i="1"/>
  <c r="S511" i="1"/>
  <c r="S510" i="1"/>
  <c r="S508" i="1"/>
  <c r="S506" i="1"/>
  <c r="S505" i="1"/>
  <c r="S502" i="1"/>
  <c r="S501" i="1"/>
  <c r="S500" i="1"/>
  <c r="S498" i="1"/>
  <c r="S490" i="1"/>
  <c r="S489" i="1"/>
  <c r="S487" i="1"/>
  <c r="S486" i="1"/>
  <c r="S483" i="1"/>
  <c r="S482" i="1"/>
  <c r="S481" i="1"/>
  <c r="S479" i="1"/>
  <c r="S477" i="1"/>
  <c r="S473" i="1"/>
  <c r="S459" i="1"/>
  <c r="S456" i="1"/>
  <c r="S441" i="1"/>
  <c r="S405" i="1"/>
  <c r="S337" i="1"/>
  <c r="S336" i="1"/>
  <c r="S313" i="1"/>
  <c r="S312" i="1"/>
  <c r="S311" i="1"/>
  <c r="S310" i="1"/>
  <c r="S307" i="1"/>
  <c r="S289" i="1"/>
  <c r="S288" i="1"/>
  <c r="S287" i="1"/>
  <c r="S286" i="1"/>
  <c r="S285" i="1"/>
  <c r="S284" i="1"/>
  <c r="S283" i="1"/>
  <c r="S282" i="1"/>
  <c r="S281" i="1"/>
  <c r="S280" i="1"/>
  <c r="S279" i="1"/>
  <c r="S276" i="1"/>
  <c r="S275" i="1"/>
  <c r="S274" i="1"/>
  <c r="S273" i="1"/>
  <c r="S272" i="1"/>
  <c r="S271" i="1"/>
  <c r="S270" i="1"/>
  <c r="S269" i="1"/>
  <c r="S262" i="1"/>
  <c r="S261" i="1"/>
  <c r="S259" i="1"/>
  <c r="S254" i="1"/>
  <c r="S253" i="1"/>
  <c r="S252" i="1"/>
  <c r="S251" i="1"/>
  <c r="S250" i="1"/>
  <c r="S249" i="1"/>
  <c r="S248" i="1"/>
  <c r="S247" i="1"/>
  <c r="S246" i="1"/>
  <c r="S245" i="1"/>
  <c r="S241" i="1"/>
  <c r="S240" i="1"/>
  <c r="S239" i="1"/>
  <c r="S238" i="1"/>
  <c r="S237" i="1"/>
  <c r="S236" i="1"/>
  <c r="S234" i="1"/>
  <c r="S233" i="1"/>
  <c r="S232" i="1"/>
  <c r="S231" i="1"/>
  <c r="S230" i="1"/>
  <c r="S229" i="1"/>
  <c r="S228" i="1"/>
  <c r="S225" i="1"/>
  <c r="S224" i="1"/>
  <c r="S223" i="1"/>
  <c r="S222" i="1"/>
  <c r="S215" i="1"/>
  <c r="S214" i="1"/>
  <c r="S213" i="1"/>
  <c r="S211" i="1"/>
  <c r="S210" i="1"/>
  <c r="S203" i="1"/>
  <c r="S202" i="1"/>
  <c r="S195" i="1"/>
  <c r="S189" i="1"/>
  <c r="S188" i="1"/>
  <c r="S187" i="1"/>
  <c r="S186" i="1"/>
  <c r="S175" i="1"/>
  <c r="S173" i="1"/>
  <c r="S171" i="1"/>
  <c r="S169" i="1"/>
  <c r="S166" i="1"/>
  <c r="S165" i="1"/>
  <c r="S164" i="1"/>
  <c r="S162" i="1"/>
  <c r="S160" i="1"/>
  <c r="S149" i="1"/>
  <c r="S148" i="1"/>
  <c r="S145" i="1"/>
  <c r="S144" i="1"/>
  <c r="S142" i="1"/>
  <c r="S140" i="1"/>
  <c r="S139" i="1"/>
  <c r="S136" i="1"/>
  <c r="S133" i="1"/>
  <c r="S129" i="1"/>
  <c r="S122" i="1"/>
  <c r="S121" i="1"/>
  <c r="S117" i="1"/>
  <c r="S112" i="1"/>
  <c r="S111" i="1"/>
  <c r="S109" i="1"/>
  <c r="S108" i="1"/>
  <c r="S98" i="1"/>
  <c r="S97" i="1"/>
  <c r="S68" i="1"/>
  <c r="S67" i="1"/>
  <c r="S28" i="1"/>
  <c r="R2033" i="1"/>
  <c r="R2032" i="1"/>
  <c r="R2029" i="1"/>
  <c r="R2027" i="1"/>
  <c r="R2026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09" i="1"/>
  <c r="R2008" i="1"/>
  <c r="R2006" i="1"/>
  <c r="R2004" i="1"/>
  <c r="R2003" i="1"/>
  <c r="R2002" i="1"/>
  <c r="R2000" i="1"/>
  <c r="R1999" i="1"/>
  <c r="R1998" i="1"/>
  <c r="R1997" i="1"/>
  <c r="R1996" i="1"/>
  <c r="R1995" i="1"/>
  <c r="R1993" i="1"/>
  <c r="R1992" i="1"/>
  <c r="R1991" i="1"/>
  <c r="R1990" i="1"/>
  <c r="R1989" i="1"/>
  <c r="R1988" i="1"/>
  <c r="R1987" i="1"/>
  <c r="R1985" i="1"/>
  <c r="R1984" i="1"/>
  <c r="R1983" i="1"/>
  <c r="R1982" i="1"/>
  <c r="R1981" i="1"/>
  <c r="R1979" i="1"/>
  <c r="R1978" i="1"/>
  <c r="R1977" i="1"/>
  <c r="R1975" i="1"/>
  <c r="R1973" i="1"/>
  <c r="R1968" i="1"/>
  <c r="R1967" i="1"/>
  <c r="R1966" i="1"/>
  <c r="R1965" i="1"/>
  <c r="R1964" i="1"/>
  <c r="R1963" i="1"/>
  <c r="R1962" i="1"/>
  <c r="R1960" i="1"/>
  <c r="R1959" i="1"/>
  <c r="R1958" i="1"/>
  <c r="R1957" i="1"/>
  <c r="R1956" i="1"/>
  <c r="R1954" i="1"/>
  <c r="R1953" i="1"/>
  <c r="R1952" i="1"/>
  <c r="R1951" i="1"/>
  <c r="R1949" i="1"/>
  <c r="R1936" i="1"/>
  <c r="R1935" i="1"/>
  <c r="R1934" i="1"/>
  <c r="R1932" i="1"/>
  <c r="R1931" i="1"/>
  <c r="R1930" i="1"/>
  <c r="R1916" i="1"/>
  <c r="R1915" i="1"/>
  <c r="R1911" i="1"/>
  <c r="R1909" i="1"/>
  <c r="R1908" i="1"/>
  <c r="R1907" i="1"/>
  <c r="R1905" i="1"/>
  <c r="R1893" i="1"/>
  <c r="R1854" i="1"/>
  <c r="R1853" i="1"/>
  <c r="R1828" i="1"/>
  <c r="R1826" i="1"/>
  <c r="R1811" i="1"/>
  <c r="R1810" i="1"/>
  <c r="R1809" i="1"/>
  <c r="R1808" i="1"/>
  <c r="R1806" i="1"/>
  <c r="R1805" i="1"/>
  <c r="R1801" i="1"/>
  <c r="R1799" i="1"/>
  <c r="R1798" i="1"/>
  <c r="R1796" i="1"/>
  <c r="R1793" i="1"/>
  <c r="R1791" i="1"/>
  <c r="R1788" i="1"/>
  <c r="R1787" i="1"/>
  <c r="R1786" i="1"/>
  <c r="R1785" i="1"/>
  <c r="R1784" i="1"/>
  <c r="R1783" i="1"/>
  <c r="R1782" i="1"/>
  <c r="R1781" i="1"/>
  <c r="R1779" i="1"/>
  <c r="R1778" i="1"/>
  <c r="R1777" i="1"/>
  <c r="R1775" i="1"/>
  <c r="R1774" i="1"/>
  <c r="R1773" i="1"/>
  <c r="R1771" i="1"/>
  <c r="R1770" i="1"/>
  <c r="R1768" i="1"/>
  <c r="R1767" i="1"/>
  <c r="R1766" i="1"/>
  <c r="R1765" i="1"/>
  <c r="R1764" i="1"/>
  <c r="R1763" i="1"/>
  <c r="R1761" i="1"/>
  <c r="R1759" i="1"/>
  <c r="R1758" i="1"/>
  <c r="R1757" i="1"/>
  <c r="R1756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39" i="1"/>
  <c r="R1737" i="1"/>
  <c r="R1736" i="1"/>
  <c r="R1734" i="1"/>
  <c r="R1733" i="1"/>
  <c r="R1732" i="1"/>
  <c r="R1731" i="1"/>
  <c r="R1730" i="1"/>
  <c r="R1729" i="1"/>
  <c r="R1727" i="1"/>
  <c r="R1726" i="1"/>
  <c r="R1725" i="1"/>
  <c r="R1724" i="1"/>
  <c r="R1723" i="1"/>
  <c r="R1722" i="1"/>
  <c r="R1721" i="1"/>
  <c r="R1720" i="1"/>
  <c r="R1716" i="1"/>
  <c r="R1714" i="1"/>
  <c r="R1713" i="1"/>
  <c r="R1712" i="1"/>
  <c r="R1711" i="1"/>
  <c r="R1710" i="1"/>
  <c r="R1708" i="1"/>
  <c r="R1707" i="1"/>
  <c r="R1705" i="1"/>
  <c r="R1704" i="1"/>
  <c r="R1703" i="1"/>
  <c r="R1702" i="1"/>
  <c r="R1701" i="1"/>
  <c r="R1699" i="1"/>
  <c r="R1698" i="1"/>
  <c r="R1697" i="1"/>
  <c r="R1696" i="1"/>
  <c r="R1695" i="1"/>
  <c r="R1694" i="1"/>
  <c r="R1693" i="1"/>
  <c r="R1691" i="1"/>
  <c r="R1689" i="1"/>
  <c r="R1687" i="1"/>
  <c r="R1686" i="1"/>
  <c r="R1683" i="1"/>
  <c r="R1682" i="1"/>
  <c r="R1681" i="1"/>
  <c r="R1680" i="1"/>
  <c r="R1679" i="1"/>
  <c r="R1678" i="1"/>
  <c r="R1677" i="1"/>
  <c r="R1674" i="1"/>
  <c r="R1672" i="1"/>
  <c r="R1671" i="1"/>
  <c r="R1669" i="1"/>
  <c r="R1668" i="1"/>
  <c r="R1667" i="1"/>
  <c r="R1666" i="1"/>
  <c r="R1665" i="1"/>
  <c r="R1663" i="1"/>
  <c r="R1662" i="1"/>
  <c r="R1661" i="1"/>
  <c r="R1660" i="1"/>
  <c r="R1659" i="1"/>
  <c r="R1658" i="1"/>
  <c r="R1657" i="1"/>
  <c r="R1656" i="1"/>
  <c r="R1654" i="1"/>
  <c r="R1653" i="1"/>
  <c r="R1649" i="1"/>
  <c r="R1648" i="1"/>
  <c r="R1647" i="1"/>
  <c r="R1646" i="1"/>
  <c r="R1644" i="1"/>
  <c r="R1643" i="1"/>
  <c r="R1641" i="1"/>
  <c r="R1640" i="1"/>
  <c r="R1638" i="1"/>
  <c r="R1637" i="1"/>
  <c r="R1635" i="1"/>
  <c r="R1634" i="1"/>
  <c r="R1631" i="1"/>
  <c r="R1630" i="1"/>
  <c r="R1629" i="1"/>
  <c r="R1628" i="1"/>
  <c r="R1626" i="1"/>
  <c r="R1625" i="1"/>
  <c r="R1623" i="1"/>
  <c r="R1622" i="1"/>
  <c r="R1620" i="1"/>
  <c r="R1619" i="1"/>
  <c r="R1618" i="1"/>
  <c r="R1617" i="1"/>
  <c r="R1616" i="1"/>
  <c r="R1615" i="1"/>
  <c r="R1614" i="1"/>
  <c r="R1613" i="1"/>
  <c r="R1612" i="1"/>
  <c r="R1611" i="1"/>
  <c r="R1608" i="1"/>
  <c r="R1607" i="1"/>
  <c r="R1605" i="1"/>
  <c r="R1604" i="1"/>
  <c r="R1603" i="1"/>
  <c r="R1602" i="1"/>
  <c r="R1601" i="1"/>
  <c r="R1596" i="1"/>
  <c r="R1595" i="1"/>
  <c r="R1593" i="1"/>
  <c r="R1592" i="1"/>
  <c r="R1591" i="1"/>
  <c r="R1590" i="1"/>
  <c r="R1589" i="1"/>
  <c r="R1586" i="1"/>
  <c r="R1585" i="1"/>
  <c r="R1581" i="1"/>
  <c r="R1580" i="1"/>
  <c r="R1576" i="1"/>
  <c r="R1575" i="1"/>
  <c r="R1574" i="1"/>
  <c r="R1572" i="1"/>
  <c r="R1571" i="1"/>
  <c r="R1570" i="1"/>
  <c r="R1568" i="1"/>
  <c r="R1567" i="1"/>
  <c r="R1566" i="1"/>
  <c r="R1515" i="1"/>
  <c r="R1514" i="1"/>
  <c r="R1513" i="1"/>
  <c r="R1512" i="1"/>
  <c r="R1511" i="1"/>
  <c r="R1484" i="1"/>
  <c r="R1476" i="1"/>
  <c r="R1470" i="1"/>
  <c r="R1469" i="1"/>
  <c r="R1468" i="1"/>
  <c r="R1464" i="1"/>
  <c r="R1463" i="1"/>
  <c r="R1448" i="1"/>
  <c r="R1440" i="1"/>
  <c r="R1439" i="1"/>
  <c r="R1438" i="1"/>
  <c r="R1437" i="1"/>
  <c r="R1436" i="1"/>
  <c r="R1435" i="1"/>
  <c r="R1434" i="1"/>
  <c r="R1429" i="1"/>
  <c r="R1427" i="1"/>
  <c r="R1418" i="1"/>
  <c r="R1417" i="1"/>
  <c r="R1415" i="1"/>
  <c r="R1409" i="1"/>
  <c r="R1407" i="1"/>
  <c r="R1403" i="1"/>
  <c r="R1396" i="1"/>
  <c r="R1394" i="1"/>
  <c r="R1393" i="1"/>
  <c r="R1392" i="1"/>
  <c r="R1391" i="1"/>
  <c r="R1390" i="1"/>
  <c r="R1389" i="1"/>
  <c r="R1388" i="1"/>
  <c r="R1384" i="1"/>
  <c r="R1383" i="1"/>
  <c r="R1382" i="1"/>
  <c r="R1381" i="1"/>
  <c r="R1380" i="1"/>
  <c r="R1375" i="1"/>
  <c r="R1373" i="1"/>
  <c r="R1370" i="1"/>
  <c r="R1366" i="1"/>
  <c r="R1365" i="1"/>
  <c r="R1361" i="1"/>
  <c r="R1360" i="1"/>
  <c r="R1358" i="1"/>
  <c r="R1356" i="1"/>
  <c r="R1354" i="1"/>
  <c r="R1353" i="1"/>
  <c r="R1352" i="1"/>
  <c r="R1350" i="1"/>
  <c r="R1349" i="1"/>
  <c r="R1348" i="1"/>
  <c r="R1344" i="1"/>
  <c r="R1343" i="1"/>
  <c r="R1342" i="1"/>
  <c r="R1341" i="1"/>
  <c r="R1340" i="1"/>
  <c r="R1333" i="1"/>
  <c r="R1327" i="1"/>
  <c r="R1326" i="1"/>
  <c r="R1321" i="1"/>
  <c r="R1319" i="1"/>
  <c r="R1318" i="1"/>
  <c r="R1316" i="1"/>
  <c r="R1315" i="1"/>
  <c r="R1314" i="1"/>
  <c r="R1313" i="1"/>
  <c r="R1312" i="1"/>
  <c r="R1311" i="1"/>
  <c r="R1310" i="1"/>
  <c r="R1309" i="1"/>
  <c r="R1308" i="1"/>
  <c r="R1307" i="1"/>
  <c r="R1306" i="1"/>
  <c r="R1304" i="1"/>
  <c r="R1302" i="1"/>
  <c r="R1299" i="1"/>
  <c r="R1298" i="1"/>
  <c r="R1297" i="1"/>
  <c r="R1295" i="1"/>
  <c r="R1294" i="1"/>
  <c r="R1290" i="1"/>
  <c r="R1289" i="1"/>
  <c r="R1288" i="1"/>
  <c r="R1287" i="1"/>
  <c r="R1286" i="1"/>
  <c r="R1284" i="1"/>
  <c r="R1282" i="1"/>
  <c r="R1281" i="1"/>
  <c r="R1278" i="1"/>
  <c r="R1276" i="1"/>
  <c r="R1274" i="1"/>
  <c r="R1273" i="1"/>
  <c r="R1272" i="1"/>
  <c r="R1271" i="1"/>
  <c r="R1270" i="1"/>
  <c r="R1264" i="1"/>
  <c r="R1262" i="1"/>
  <c r="R1260" i="1"/>
  <c r="R1259" i="1"/>
  <c r="R1255" i="1"/>
  <c r="R1248" i="1"/>
  <c r="R1247" i="1"/>
  <c r="R1246" i="1"/>
  <c r="R1244" i="1"/>
  <c r="R1242" i="1"/>
  <c r="R1235" i="1"/>
  <c r="R1217" i="1"/>
  <c r="R1216" i="1"/>
  <c r="R1215" i="1"/>
  <c r="R1211" i="1"/>
  <c r="R1197" i="1"/>
  <c r="R1194" i="1"/>
  <c r="R1180" i="1"/>
  <c r="R1177" i="1"/>
  <c r="R1163" i="1"/>
  <c r="R1160" i="1"/>
  <c r="R1102" i="1"/>
  <c r="R1080" i="1"/>
  <c r="R1073" i="1"/>
  <c r="R1068" i="1"/>
  <c r="R1067" i="1"/>
  <c r="R1066" i="1"/>
  <c r="R1065" i="1"/>
  <c r="R1062" i="1"/>
  <c r="R1056" i="1"/>
  <c r="R1051" i="1"/>
  <c r="R1050" i="1"/>
  <c r="R1045" i="1"/>
  <c r="R1043" i="1"/>
  <c r="R1036" i="1"/>
  <c r="R1035" i="1"/>
  <c r="R1034" i="1"/>
  <c r="R1032" i="1"/>
  <c r="R1031" i="1"/>
  <c r="R1030" i="1"/>
  <c r="R1027" i="1"/>
  <c r="R1026" i="1"/>
  <c r="R1025" i="1"/>
  <c r="R1023" i="1"/>
  <c r="R1022" i="1"/>
  <c r="R1016" i="1"/>
  <c r="R1013" i="1"/>
  <c r="R1010" i="1"/>
  <c r="R1009" i="1"/>
  <c r="R1008" i="1"/>
  <c r="R1007" i="1"/>
  <c r="R1006" i="1"/>
  <c r="R1002" i="1"/>
  <c r="R1000" i="1"/>
  <c r="R999" i="1"/>
  <c r="R998" i="1"/>
  <c r="R997" i="1"/>
  <c r="R996" i="1"/>
  <c r="R994" i="1"/>
  <c r="R993" i="1"/>
  <c r="R992" i="1"/>
  <c r="R991" i="1"/>
  <c r="R990" i="1"/>
  <c r="R987" i="1"/>
  <c r="R983" i="1"/>
  <c r="R982" i="1"/>
  <c r="R981" i="1"/>
  <c r="R980" i="1"/>
  <c r="R978" i="1"/>
  <c r="R977" i="1"/>
  <c r="R976" i="1"/>
  <c r="R970" i="1"/>
  <c r="R967" i="1"/>
  <c r="R966" i="1"/>
  <c r="R964" i="1"/>
  <c r="R963" i="1"/>
  <c r="R962" i="1"/>
  <c r="R961" i="1"/>
  <c r="R960" i="1"/>
  <c r="R958" i="1"/>
  <c r="R957" i="1"/>
  <c r="R956" i="1"/>
  <c r="R955" i="1"/>
  <c r="R953" i="1"/>
  <c r="R952" i="1"/>
  <c r="R951" i="1"/>
  <c r="R950" i="1"/>
  <c r="R949" i="1"/>
  <c r="R948" i="1"/>
  <c r="R938" i="1"/>
  <c r="R937" i="1"/>
  <c r="R936" i="1"/>
  <c r="R935" i="1"/>
  <c r="R934" i="1"/>
  <c r="R932" i="1"/>
  <c r="R931" i="1"/>
  <c r="R930" i="1"/>
  <c r="R929" i="1"/>
  <c r="R928" i="1"/>
  <c r="R927" i="1"/>
  <c r="R926" i="1"/>
  <c r="R925" i="1"/>
  <c r="R924" i="1"/>
  <c r="R919" i="1"/>
  <c r="R910" i="1"/>
  <c r="R906" i="1"/>
  <c r="R905" i="1"/>
  <c r="R902" i="1"/>
  <c r="R889" i="1"/>
  <c r="R888" i="1"/>
  <c r="R885" i="1"/>
  <c r="R883" i="1"/>
  <c r="R880" i="1"/>
  <c r="R878" i="1"/>
  <c r="R875" i="1"/>
  <c r="R874" i="1"/>
  <c r="R868" i="1"/>
  <c r="R863" i="1"/>
  <c r="R859" i="1"/>
  <c r="R851" i="1"/>
  <c r="R845" i="1"/>
  <c r="R841" i="1"/>
  <c r="R840" i="1"/>
  <c r="R839" i="1"/>
  <c r="R831" i="1"/>
  <c r="R830" i="1"/>
  <c r="R760" i="1"/>
  <c r="R729" i="1"/>
  <c r="R705" i="1"/>
  <c r="R694" i="1"/>
  <c r="R693" i="1"/>
  <c r="R687" i="1"/>
  <c r="R674" i="1"/>
  <c r="R673" i="1"/>
  <c r="R658" i="1"/>
  <c r="R657" i="1"/>
  <c r="R655" i="1"/>
  <c r="R654" i="1"/>
  <c r="R648" i="1"/>
  <c r="R646" i="1"/>
  <c r="R645" i="1"/>
  <c r="R644" i="1"/>
  <c r="R643" i="1"/>
  <c r="R642" i="1"/>
  <c r="R640" i="1"/>
  <c r="R638" i="1"/>
  <c r="R637" i="1"/>
  <c r="R636" i="1"/>
  <c r="R635" i="1"/>
  <c r="R634" i="1"/>
  <c r="R633" i="1"/>
  <c r="R630" i="1"/>
  <c r="R625" i="1"/>
  <c r="R624" i="1"/>
  <c r="R623" i="1"/>
  <c r="R611" i="1"/>
  <c r="R609" i="1"/>
  <c r="R608" i="1"/>
  <c r="R607" i="1"/>
  <c r="R606" i="1"/>
  <c r="R605" i="1"/>
  <c r="R603" i="1"/>
  <c r="R602" i="1"/>
  <c r="R595" i="1"/>
  <c r="R594" i="1"/>
  <c r="R593" i="1"/>
  <c r="R592" i="1"/>
  <c r="R591" i="1"/>
  <c r="R590" i="1"/>
  <c r="R589" i="1"/>
  <c r="R587" i="1"/>
  <c r="R586" i="1"/>
  <c r="R585" i="1"/>
  <c r="R584" i="1"/>
  <c r="R582" i="1"/>
  <c r="R580" i="1"/>
  <c r="R579" i="1"/>
  <c r="R578" i="1"/>
  <c r="R577" i="1"/>
  <c r="R576" i="1"/>
  <c r="R575" i="1"/>
  <c r="R573" i="1"/>
  <c r="R572" i="1"/>
  <c r="R571" i="1"/>
  <c r="R569" i="1"/>
  <c r="R564" i="1"/>
  <c r="R562" i="1"/>
  <c r="R561" i="1"/>
  <c r="R559" i="1"/>
  <c r="R558" i="1"/>
  <c r="R557" i="1"/>
  <c r="R556" i="1"/>
  <c r="R554" i="1"/>
  <c r="R548" i="1"/>
  <c r="R545" i="1"/>
  <c r="R541" i="1"/>
  <c r="R540" i="1"/>
  <c r="R536" i="1"/>
  <c r="R533" i="1"/>
  <c r="R532" i="1"/>
  <c r="R528" i="1"/>
  <c r="R527" i="1"/>
  <c r="R526" i="1"/>
  <c r="R521" i="1"/>
  <c r="R520" i="1"/>
  <c r="R519" i="1"/>
  <c r="R517" i="1"/>
  <c r="R512" i="1"/>
  <c r="R511" i="1"/>
  <c r="R510" i="1"/>
  <c r="R508" i="1"/>
  <c r="R506" i="1"/>
  <c r="R505" i="1"/>
  <c r="R502" i="1"/>
  <c r="R501" i="1"/>
  <c r="R500" i="1"/>
  <c r="R498" i="1"/>
  <c r="R490" i="1"/>
  <c r="R489" i="1"/>
  <c r="R487" i="1"/>
  <c r="R486" i="1"/>
  <c r="R483" i="1"/>
  <c r="R482" i="1"/>
  <c r="R481" i="1"/>
  <c r="R479" i="1"/>
  <c r="R477" i="1"/>
  <c r="R473" i="1"/>
  <c r="R459" i="1"/>
  <c r="R456" i="1"/>
  <c r="R441" i="1"/>
  <c r="R405" i="1"/>
  <c r="R337" i="1"/>
  <c r="R336" i="1"/>
  <c r="R313" i="1"/>
  <c r="R312" i="1"/>
  <c r="R311" i="1"/>
  <c r="R310" i="1"/>
  <c r="R307" i="1"/>
  <c r="R289" i="1"/>
  <c r="R288" i="1"/>
  <c r="R287" i="1"/>
  <c r="R286" i="1"/>
  <c r="R285" i="1"/>
  <c r="R284" i="1"/>
  <c r="R283" i="1"/>
  <c r="R282" i="1"/>
  <c r="R281" i="1"/>
  <c r="R280" i="1"/>
  <c r="R279" i="1"/>
  <c r="R276" i="1"/>
  <c r="R275" i="1"/>
  <c r="R274" i="1"/>
  <c r="R273" i="1"/>
  <c r="R272" i="1"/>
  <c r="R271" i="1"/>
  <c r="R270" i="1"/>
  <c r="R269" i="1"/>
  <c r="R262" i="1"/>
  <c r="R261" i="1"/>
  <c r="R259" i="1"/>
  <c r="R254" i="1"/>
  <c r="R253" i="1"/>
  <c r="R252" i="1"/>
  <c r="R251" i="1"/>
  <c r="R250" i="1"/>
  <c r="R249" i="1"/>
  <c r="R248" i="1"/>
  <c r="R247" i="1"/>
  <c r="R246" i="1"/>
  <c r="R245" i="1"/>
  <c r="R241" i="1"/>
  <c r="R240" i="1"/>
  <c r="R239" i="1"/>
  <c r="R238" i="1"/>
  <c r="R237" i="1"/>
  <c r="R236" i="1"/>
  <c r="R234" i="1"/>
  <c r="R233" i="1"/>
  <c r="R232" i="1"/>
  <c r="R231" i="1"/>
  <c r="R230" i="1"/>
  <c r="R229" i="1"/>
  <c r="R228" i="1"/>
  <c r="R225" i="1"/>
  <c r="R224" i="1"/>
  <c r="R223" i="1"/>
  <c r="R222" i="1"/>
  <c r="R215" i="1"/>
  <c r="R214" i="1"/>
  <c r="R213" i="1"/>
  <c r="R211" i="1"/>
  <c r="R210" i="1"/>
  <c r="R203" i="1"/>
  <c r="R202" i="1"/>
  <c r="R195" i="1"/>
  <c r="R189" i="1"/>
  <c r="R188" i="1"/>
  <c r="R187" i="1"/>
  <c r="R186" i="1"/>
  <c r="R175" i="1"/>
  <c r="R173" i="1"/>
  <c r="R171" i="1"/>
  <c r="R169" i="1"/>
  <c r="R166" i="1"/>
  <c r="R165" i="1"/>
  <c r="R164" i="1"/>
  <c r="R162" i="1"/>
  <c r="R160" i="1"/>
  <c r="R149" i="1"/>
  <c r="R148" i="1"/>
  <c r="R145" i="1"/>
  <c r="R144" i="1"/>
  <c r="R142" i="1"/>
  <c r="R140" i="1"/>
  <c r="R139" i="1"/>
  <c r="R136" i="1"/>
  <c r="R133" i="1"/>
  <c r="R129" i="1"/>
  <c r="R122" i="1"/>
  <c r="R121" i="1"/>
  <c r="R117" i="1"/>
  <c r="R112" i="1"/>
  <c r="R111" i="1"/>
  <c r="R109" i="1"/>
  <c r="R108" i="1"/>
  <c r="R98" i="1"/>
  <c r="R97" i="1"/>
  <c r="R68" i="1"/>
  <c r="R67" i="1"/>
  <c r="R28" i="1"/>
  <c r="N28" i="1"/>
  <c r="O28" i="1"/>
  <c r="P28" i="1"/>
  <c r="K2033" i="1"/>
  <c r="K2032" i="1"/>
  <c r="K2029" i="1"/>
  <c r="K2027" i="1"/>
  <c r="K2026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09" i="1"/>
  <c r="K2008" i="1"/>
  <c r="K2006" i="1"/>
  <c r="K2004" i="1"/>
  <c r="K2003" i="1"/>
  <c r="K2002" i="1"/>
  <c r="K2000" i="1"/>
  <c r="K1999" i="1"/>
  <c r="K1998" i="1"/>
  <c r="K1997" i="1"/>
  <c r="K1996" i="1"/>
  <c r="K1995" i="1"/>
  <c r="K1993" i="1"/>
  <c r="K1992" i="1"/>
  <c r="K1991" i="1"/>
  <c r="K1990" i="1"/>
  <c r="K1989" i="1"/>
  <c r="K1988" i="1"/>
  <c r="K1987" i="1"/>
  <c r="K1985" i="1"/>
  <c r="K1984" i="1"/>
  <c r="K1983" i="1"/>
  <c r="K1982" i="1"/>
  <c r="K1981" i="1"/>
  <c r="K1979" i="1"/>
  <c r="K1978" i="1"/>
  <c r="K1977" i="1"/>
  <c r="K1975" i="1"/>
  <c r="K1973" i="1"/>
  <c r="K1968" i="1"/>
  <c r="K1967" i="1"/>
  <c r="K1966" i="1"/>
  <c r="K1965" i="1"/>
  <c r="K1964" i="1"/>
  <c r="K1963" i="1"/>
  <c r="K1962" i="1"/>
  <c r="K1960" i="1"/>
  <c r="K1959" i="1"/>
  <c r="K1958" i="1"/>
  <c r="K1957" i="1"/>
  <c r="K1956" i="1"/>
  <c r="K1954" i="1"/>
  <c r="K1953" i="1"/>
  <c r="K1952" i="1"/>
  <c r="K1951" i="1"/>
  <c r="K1949" i="1"/>
  <c r="K1936" i="1"/>
  <c r="K1935" i="1"/>
  <c r="K1934" i="1"/>
  <c r="K1932" i="1"/>
  <c r="K1931" i="1"/>
  <c r="K1930" i="1"/>
  <c r="K1916" i="1"/>
  <c r="K1915" i="1"/>
  <c r="K1911" i="1"/>
  <c r="K1909" i="1"/>
  <c r="K1908" i="1"/>
  <c r="K1907" i="1"/>
  <c r="K1905" i="1"/>
  <c r="K1893" i="1"/>
  <c r="K1854" i="1"/>
  <c r="K1853" i="1"/>
  <c r="K1828" i="1"/>
  <c r="K1826" i="1"/>
  <c r="K1811" i="1"/>
  <c r="K1810" i="1"/>
  <c r="K1809" i="1"/>
  <c r="K1808" i="1"/>
  <c r="K1806" i="1"/>
  <c r="K1805" i="1"/>
  <c r="K1801" i="1"/>
  <c r="K1799" i="1"/>
  <c r="K1798" i="1"/>
  <c r="K1796" i="1"/>
  <c r="K1793" i="1"/>
  <c r="K1791" i="1"/>
  <c r="K1788" i="1"/>
  <c r="K1787" i="1"/>
  <c r="K1786" i="1"/>
  <c r="K1785" i="1"/>
  <c r="K1784" i="1"/>
  <c r="K1783" i="1"/>
  <c r="K1782" i="1"/>
  <c r="K1781" i="1"/>
  <c r="K1779" i="1"/>
  <c r="K1778" i="1"/>
  <c r="K1777" i="1"/>
  <c r="K1775" i="1"/>
  <c r="K1774" i="1"/>
  <c r="K1773" i="1"/>
  <c r="K1771" i="1"/>
  <c r="K1770" i="1"/>
  <c r="K1768" i="1"/>
  <c r="K1767" i="1"/>
  <c r="K1766" i="1"/>
  <c r="K1765" i="1"/>
  <c r="K1764" i="1"/>
  <c r="K1763" i="1"/>
  <c r="K1761" i="1"/>
  <c r="K1759" i="1"/>
  <c r="K1758" i="1"/>
  <c r="K1757" i="1"/>
  <c r="K1756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39" i="1"/>
  <c r="K1737" i="1"/>
  <c r="K1736" i="1"/>
  <c r="K1734" i="1"/>
  <c r="K1733" i="1"/>
  <c r="K1732" i="1"/>
  <c r="K1731" i="1"/>
  <c r="K1730" i="1"/>
  <c r="K1729" i="1"/>
  <c r="K1727" i="1"/>
  <c r="K1726" i="1"/>
  <c r="K1725" i="1"/>
  <c r="K1724" i="1"/>
  <c r="K1723" i="1"/>
  <c r="K1722" i="1"/>
  <c r="K1721" i="1"/>
  <c r="K1720" i="1"/>
  <c r="K1716" i="1"/>
  <c r="K1714" i="1"/>
  <c r="K1713" i="1"/>
  <c r="K1712" i="1"/>
  <c r="K1711" i="1"/>
  <c r="K1710" i="1"/>
  <c r="K1708" i="1"/>
  <c r="K1707" i="1"/>
  <c r="K1705" i="1"/>
  <c r="K1704" i="1"/>
  <c r="K1703" i="1"/>
  <c r="K1702" i="1"/>
  <c r="K1701" i="1"/>
  <c r="K1699" i="1"/>
  <c r="K1698" i="1"/>
  <c r="K1697" i="1"/>
  <c r="K1696" i="1"/>
  <c r="K1695" i="1"/>
  <c r="K1694" i="1"/>
  <c r="K1693" i="1"/>
  <c r="K1691" i="1"/>
  <c r="K1689" i="1"/>
  <c r="K1687" i="1"/>
  <c r="K1686" i="1"/>
  <c r="K1683" i="1"/>
  <c r="K1682" i="1"/>
  <c r="K1681" i="1"/>
  <c r="K1680" i="1"/>
  <c r="K1679" i="1"/>
  <c r="K1678" i="1"/>
  <c r="K1677" i="1"/>
  <c r="K1674" i="1"/>
  <c r="K1672" i="1"/>
  <c r="K1671" i="1"/>
  <c r="K1669" i="1"/>
  <c r="K1668" i="1"/>
  <c r="K1667" i="1"/>
  <c r="K1666" i="1"/>
  <c r="K1665" i="1"/>
  <c r="K1663" i="1"/>
  <c r="K1662" i="1"/>
  <c r="K1661" i="1"/>
  <c r="K1660" i="1"/>
  <c r="K1659" i="1"/>
  <c r="K1658" i="1"/>
  <c r="K1657" i="1"/>
  <c r="K1656" i="1"/>
  <c r="K1654" i="1"/>
  <c r="K1653" i="1"/>
  <c r="K1649" i="1"/>
  <c r="K1648" i="1"/>
  <c r="K1647" i="1"/>
  <c r="K1646" i="1"/>
  <c r="K1644" i="1"/>
  <c r="K1643" i="1"/>
  <c r="K1641" i="1"/>
  <c r="K1640" i="1"/>
  <c r="K1638" i="1"/>
  <c r="K1637" i="1"/>
  <c r="K1635" i="1"/>
  <c r="K1634" i="1"/>
  <c r="K1631" i="1"/>
  <c r="K1630" i="1"/>
  <c r="K1629" i="1"/>
  <c r="K1628" i="1"/>
  <c r="K1626" i="1"/>
  <c r="K1625" i="1"/>
  <c r="K1623" i="1"/>
  <c r="K1622" i="1"/>
  <c r="K1620" i="1"/>
  <c r="K1619" i="1"/>
  <c r="K1618" i="1"/>
  <c r="K1617" i="1"/>
  <c r="K1616" i="1"/>
  <c r="K1615" i="1"/>
  <c r="K1614" i="1"/>
  <c r="K1613" i="1"/>
  <c r="K1612" i="1"/>
  <c r="K1611" i="1"/>
  <c r="K1608" i="1"/>
  <c r="K1607" i="1"/>
  <c r="K1605" i="1"/>
  <c r="K1604" i="1"/>
  <c r="K1603" i="1"/>
  <c r="K1602" i="1"/>
  <c r="K1601" i="1"/>
  <c r="K1596" i="1"/>
  <c r="K1595" i="1"/>
  <c r="K1593" i="1"/>
  <c r="K1592" i="1"/>
  <c r="K1591" i="1"/>
  <c r="K1590" i="1"/>
  <c r="K1589" i="1"/>
  <c r="K1586" i="1"/>
  <c r="K1585" i="1"/>
  <c r="K1581" i="1"/>
  <c r="K1580" i="1"/>
  <c r="K1576" i="1"/>
  <c r="K1575" i="1"/>
  <c r="K1574" i="1"/>
  <c r="K1572" i="1"/>
  <c r="K1571" i="1"/>
  <c r="K1570" i="1"/>
  <c r="K1568" i="1"/>
  <c r="K1567" i="1"/>
  <c r="K1566" i="1"/>
  <c r="K1515" i="1"/>
  <c r="K1514" i="1"/>
  <c r="K1513" i="1"/>
  <c r="K1512" i="1"/>
  <c r="K1511" i="1"/>
  <c r="K1484" i="1"/>
  <c r="K1476" i="1"/>
  <c r="K1470" i="1"/>
  <c r="K1469" i="1"/>
  <c r="K1468" i="1"/>
  <c r="K1464" i="1"/>
  <c r="K1463" i="1"/>
  <c r="K1448" i="1"/>
  <c r="K1440" i="1"/>
  <c r="K1439" i="1"/>
  <c r="K1438" i="1"/>
  <c r="K1437" i="1"/>
  <c r="K1436" i="1"/>
  <c r="K1435" i="1"/>
  <c r="K1434" i="1"/>
  <c r="K1429" i="1"/>
  <c r="K1427" i="1"/>
  <c r="K1418" i="1"/>
  <c r="K1417" i="1"/>
  <c r="K1415" i="1"/>
  <c r="K1409" i="1"/>
  <c r="K1407" i="1"/>
  <c r="K1403" i="1"/>
  <c r="K1396" i="1"/>
  <c r="K1394" i="1"/>
  <c r="K1393" i="1"/>
  <c r="K1392" i="1"/>
  <c r="K1391" i="1"/>
  <c r="K1390" i="1"/>
  <c r="K1389" i="1"/>
  <c r="K1388" i="1"/>
  <c r="K1384" i="1"/>
  <c r="K1383" i="1"/>
  <c r="K1382" i="1"/>
  <c r="K1381" i="1"/>
  <c r="K1380" i="1"/>
  <c r="K1375" i="1"/>
  <c r="K1373" i="1"/>
  <c r="K1370" i="1"/>
  <c r="K1366" i="1"/>
  <c r="K1365" i="1"/>
  <c r="K1361" i="1"/>
  <c r="K1360" i="1"/>
  <c r="K1358" i="1"/>
  <c r="K1356" i="1"/>
  <c r="K1354" i="1"/>
  <c r="K1353" i="1"/>
  <c r="K1352" i="1"/>
  <c r="K1350" i="1"/>
  <c r="K1349" i="1"/>
  <c r="K1348" i="1"/>
  <c r="K1344" i="1"/>
  <c r="K1343" i="1"/>
  <c r="K1342" i="1"/>
  <c r="K1341" i="1"/>
  <c r="K1340" i="1"/>
  <c r="K1333" i="1"/>
  <c r="K1327" i="1"/>
  <c r="K1326" i="1"/>
  <c r="K1321" i="1"/>
  <c r="K1319" i="1"/>
  <c r="K1318" i="1"/>
  <c r="K1316" i="1"/>
  <c r="K1315" i="1"/>
  <c r="K1314" i="1"/>
  <c r="K1313" i="1"/>
  <c r="K1312" i="1"/>
  <c r="K1311" i="1"/>
  <c r="K1310" i="1"/>
  <c r="K1309" i="1"/>
  <c r="K1308" i="1"/>
  <c r="K1307" i="1"/>
  <c r="K1306" i="1"/>
  <c r="K1304" i="1"/>
  <c r="K1302" i="1"/>
  <c r="K1299" i="1"/>
  <c r="K1298" i="1"/>
  <c r="K1297" i="1"/>
  <c r="K1295" i="1"/>
  <c r="K1294" i="1"/>
  <c r="K1290" i="1"/>
  <c r="K1289" i="1"/>
  <c r="K1288" i="1"/>
  <c r="K1287" i="1"/>
  <c r="K1286" i="1"/>
  <c r="K1284" i="1"/>
  <c r="K1282" i="1"/>
  <c r="K1281" i="1"/>
  <c r="K1278" i="1"/>
  <c r="K1276" i="1"/>
  <c r="K1274" i="1"/>
  <c r="K1273" i="1"/>
  <c r="K1272" i="1"/>
  <c r="K1271" i="1"/>
  <c r="K1270" i="1"/>
  <c r="K1264" i="1"/>
  <c r="K1262" i="1"/>
  <c r="K1260" i="1"/>
  <c r="K1259" i="1"/>
  <c r="K1255" i="1"/>
  <c r="K1248" i="1"/>
  <c r="K1247" i="1"/>
  <c r="K1246" i="1"/>
  <c r="K1244" i="1"/>
  <c r="K1242" i="1"/>
  <c r="K1235" i="1"/>
  <c r="K1217" i="1"/>
  <c r="K1216" i="1"/>
  <c r="K1215" i="1"/>
  <c r="K1211" i="1"/>
  <c r="K1197" i="1"/>
  <c r="K1194" i="1"/>
  <c r="K1180" i="1"/>
  <c r="K1177" i="1"/>
  <c r="K1163" i="1"/>
  <c r="K1160" i="1"/>
  <c r="K1102" i="1"/>
  <c r="K1080" i="1"/>
  <c r="K1073" i="1"/>
  <c r="K1068" i="1"/>
  <c r="K1067" i="1"/>
  <c r="K1066" i="1"/>
  <c r="K1065" i="1"/>
  <c r="K1062" i="1"/>
  <c r="K1056" i="1"/>
  <c r="K1051" i="1"/>
  <c r="K1050" i="1"/>
  <c r="K1045" i="1"/>
  <c r="K1043" i="1"/>
  <c r="K1036" i="1"/>
  <c r="K1035" i="1"/>
  <c r="K1034" i="1"/>
  <c r="K1032" i="1"/>
  <c r="K1031" i="1"/>
  <c r="K1030" i="1"/>
  <c r="K1027" i="1"/>
  <c r="K1026" i="1"/>
  <c r="K1025" i="1"/>
  <c r="K1023" i="1"/>
  <c r="K1022" i="1"/>
  <c r="K1016" i="1"/>
  <c r="K1013" i="1"/>
  <c r="K1010" i="1"/>
  <c r="K1009" i="1"/>
  <c r="K1008" i="1"/>
  <c r="K1007" i="1"/>
  <c r="K1006" i="1"/>
  <c r="K1002" i="1"/>
  <c r="K1000" i="1"/>
  <c r="K999" i="1"/>
  <c r="K998" i="1"/>
  <c r="K997" i="1"/>
  <c r="K996" i="1"/>
  <c r="K994" i="1"/>
  <c r="K993" i="1"/>
  <c r="K992" i="1"/>
  <c r="K991" i="1"/>
  <c r="K990" i="1"/>
  <c r="K987" i="1"/>
  <c r="K983" i="1"/>
  <c r="K982" i="1"/>
  <c r="K981" i="1"/>
  <c r="K980" i="1"/>
  <c r="K978" i="1"/>
  <c r="K977" i="1"/>
  <c r="K976" i="1"/>
  <c r="K970" i="1"/>
  <c r="K967" i="1"/>
  <c r="K966" i="1"/>
  <c r="K964" i="1"/>
  <c r="K963" i="1"/>
  <c r="K962" i="1"/>
  <c r="K961" i="1"/>
  <c r="K960" i="1"/>
  <c r="K958" i="1"/>
  <c r="K957" i="1"/>
  <c r="K956" i="1"/>
  <c r="K955" i="1"/>
  <c r="K953" i="1"/>
  <c r="K952" i="1"/>
  <c r="K951" i="1"/>
  <c r="K950" i="1"/>
  <c r="K949" i="1"/>
  <c r="K948" i="1"/>
  <c r="K938" i="1"/>
  <c r="K937" i="1"/>
  <c r="K936" i="1"/>
  <c r="K935" i="1"/>
  <c r="K934" i="1"/>
  <c r="K932" i="1"/>
  <c r="K931" i="1"/>
  <c r="K930" i="1"/>
  <c r="K929" i="1"/>
  <c r="K928" i="1"/>
  <c r="K927" i="1"/>
  <c r="K926" i="1"/>
  <c r="K925" i="1"/>
  <c r="K924" i="1"/>
  <c r="K919" i="1"/>
  <c r="K910" i="1"/>
  <c r="K906" i="1"/>
  <c r="K905" i="1"/>
  <c r="K902" i="1"/>
  <c r="K889" i="1"/>
  <c r="K888" i="1"/>
  <c r="K885" i="1"/>
  <c r="K883" i="1"/>
  <c r="K880" i="1"/>
  <c r="K878" i="1"/>
  <c r="K875" i="1"/>
  <c r="K874" i="1"/>
  <c r="K868" i="1"/>
  <c r="K863" i="1"/>
  <c r="K859" i="1"/>
  <c r="K851" i="1"/>
  <c r="K845" i="1"/>
  <c r="K841" i="1"/>
  <c r="K840" i="1"/>
  <c r="K839" i="1"/>
  <c r="K831" i="1"/>
  <c r="K830" i="1"/>
  <c r="K760" i="1"/>
  <c r="K729" i="1"/>
  <c r="K705" i="1"/>
  <c r="K694" i="1"/>
  <c r="K693" i="1"/>
  <c r="K687" i="1"/>
  <c r="K674" i="1"/>
  <c r="K673" i="1"/>
  <c r="K658" i="1"/>
  <c r="K657" i="1"/>
  <c r="K655" i="1"/>
  <c r="K654" i="1"/>
  <c r="K648" i="1"/>
  <c r="K646" i="1"/>
  <c r="K645" i="1"/>
  <c r="K644" i="1"/>
  <c r="K643" i="1"/>
  <c r="K642" i="1"/>
  <c r="K640" i="1"/>
  <c r="K638" i="1"/>
  <c r="K637" i="1"/>
  <c r="K636" i="1"/>
  <c r="K635" i="1"/>
  <c r="K634" i="1"/>
  <c r="K633" i="1"/>
  <c r="K630" i="1"/>
  <c r="K625" i="1"/>
  <c r="K624" i="1"/>
  <c r="K623" i="1"/>
  <c r="K611" i="1"/>
  <c r="K609" i="1"/>
  <c r="K608" i="1"/>
  <c r="K607" i="1"/>
  <c r="K606" i="1"/>
  <c r="K605" i="1"/>
  <c r="K603" i="1"/>
  <c r="K602" i="1"/>
  <c r="K595" i="1"/>
  <c r="K594" i="1"/>
  <c r="K593" i="1"/>
  <c r="K592" i="1"/>
  <c r="K591" i="1"/>
  <c r="K590" i="1"/>
  <c r="K589" i="1"/>
  <c r="K587" i="1"/>
  <c r="K586" i="1"/>
  <c r="K585" i="1"/>
  <c r="K584" i="1"/>
  <c r="K582" i="1"/>
  <c r="K580" i="1"/>
  <c r="K579" i="1"/>
  <c r="K578" i="1"/>
  <c r="K577" i="1"/>
  <c r="K576" i="1"/>
  <c r="K575" i="1"/>
  <c r="K573" i="1"/>
  <c r="K572" i="1"/>
  <c r="K571" i="1"/>
  <c r="K569" i="1"/>
  <c r="K564" i="1"/>
  <c r="K562" i="1"/>
  <c r="K561" i="1"/>
  <c r="K559" i="1"/>
  <c r="K558" i="1"/>
  <c r="K557" i="1"/>
  <c r="K556" i="1"/>
  <c r="K554" i="1"/>
  <c r="K548" i="1"/>
  <c r="K545" i="1"/>
  <c r="K541" i="1"/>
  <c r="K540" i="1"/>
  <c r="K536" i="1"/>
  <c r="K533" i="1"/>
  <c r="K532" i="1"/>
  <c r="K528" i="1"/>
  <c r="K527" i="1"/>
  <c r="K526" i="1"/>
  <c r="K521" i="1"/>
  <c r="K520" i="1"/>
  <c r="K519" i="1"/>
  <c r="K517" i="1"/>
  <c r="K512" i="1"/>
  <c r="K511" i="1"/>
  <c r="K510" i="1"/>
  <c r="K508" i="1"/>
  <c r="K506" i="1"/>
  <c r="K505" i="1"/>
  <c r="K502" i="1"/>
  <c r="K501" i="1"/>
  <c r="K500" i="1"/>
  <c r="K498" i="1"/>
  <c r="K490" i="1"/>
  <c r="K489" i="1"/>
  <c r="K487" i="1"/>
  <c r="K486" i="1"/>
  <c r="K483" i="1"/>
  <c r="K482" i="1"/>
  <c r="K481" i="1"/>
  <c r="K479" i="1"/>
  <c r="K477" i="1"/>
  <c r="K473" i="1"/>
  <c r="K459" i="1"/>
  <c r="K456" i="1"/>
  <c r="K441" i="1"/>
  <c r="K405" i="1"/>
  <c r="K337" i="1"/>
  <c r="K336" i="1"/>
  <c r="K313" i="1"/>
  <c r="K312" i="1"/>
  <c r="K311" i="1"/>
  <c r="K310" i="1"/>
  <c r="K307" i="1"/>
  <c r="K289" i="1"/>
  <c r="K288" i="1"/>
  <c r="K287" i="1"/>
  <c r="K286" i="1"/>
  <c r="K285" i="1"/>
  <c r="K284" i="1"/>
  <c r="K283" i="1"/>
  <c r="K282" i="1"/>
  <c r="K281" i="1"/>
  <c r="K280" i="1"/>
  <c r="K279" i="1"/>
  <c r="K276" i="1"/>
  <c r="K275" i="1"/>
  <c r="K274" i="1"/>
  <c r="K273" i="1"/>
  <c r="K272" i="1"/>
  <c r="K271" i="1"/>
  <c r="K270" i="1"/>
  <c r="K269" i="1"/>
  <c r="K262" i="1"/>
  <c r="K261" i="1"/>
  <c r="K259" i="1"/>
  <c r="K254" i="1"/>
  <c r="K253" i="1"/>
  <c r="K252" i="1"/>
  <c r="K251" i="1"/>
  <c r="K250" i="1"/>
  <c r="K249" i="1"/>
  <c r="K248" i="1"/>
  <c r="K247" i="1"/>
  <c r="K246" i="1"/>
  <c r="K245" i="1"/>
  <c r="K241" i="1"/>
  <c r="K240" i="1"/>
  <c r="K239" i="1"/>
  <c r="K238" i="1"/>
  <c r="K237" i="1"/>
  <c r="K236" i="1"/>
  <c r="K234" i="1"/>
  <c r="K233" i="1"/>
  <c r="K232" i="1"/>
  <c r="K231" i="1"/>
  <c r="K230" i="1"/>
  <c r="K229" i="1"/>
  <c r="K228" i="1"/>
  <c r="K225" i="1"/>
  <c r="K224" i="1"/>
  <c r="K223" i="1"/>
  <c r="K222" i="1"/>
  <c r="K215" i="1"/>
  <c r="K214" i="1"/>
  <c r="K213" i="1"/>
  <c r="K211" i="1"/>
  <c r="K210" i="1"/>
  <c r="K203" i="1"/>
  <c r="K202" i="1"/>
  <c r="K195" i="1"/>
  <c r="K189" i="1"/>
  <c r="K188" i="1"/>
  <c r="K187" i="1"/>
  <c r="K186" i="1"/>
  <c r="K175" i="1"/>
  <c r="K173" i="1"/>
  <c r="K171" i="1"/>
  <c r="K169" i="1"/>
  <c r="K166" i="1"/>
  <c r="K165" i="1"/>
  <c r="K164" i="1"/>
  <c r="K162" i="1"/>
  <c r="K160" i="1"/>
  <c r="K149" i="1"/>
  <c r="K148" i="1"/>
  <c r="K145" i="1"/>
  <c r="K144" i="1"/>
  <c r="K142" i="1"/>
  <c r="K140" i="1"/>
  <c r="K139" i="1"/>
  <c r="K136" i="1"/>
  <c r="K133" i="1"/>
  <c r="K129" i="1"/>
  <c r="K122" i="1"/>
  <c r="K121" i="1"/>
  <c r="K117" i="1"/>
  <c r="K112" i="1"/>
  <c r="K111" i="1"/>
  <c r="K109" i="1"/>
  <c r="K108" i="1"/>
  <c r="K98" i="1"/>
  <c r="K97" i="1"/>
  <c r="K68" i="1"/>
  <c r="K67" i="1"/>
  <c r="K28" i="1"/>
  <c r="J2033" i="1"/>
  <c r="J2032" i="1"/>
  <c r="J2029" i="1"/>
  <c r="J2027" i="1"/>
  <c r="J2026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09" i="1"/>
  <c r="J2008" i="1"/>
  <c r="J2006" i="1"/>
  <c r="J2004" i="1"/>
  <c r="J2003" i="1"/>
  <c r="J2002" i="1"/>
  <c r="J2000" i="1"/>
  <c r="J1999" i="1"/>
  <c r="J1998" i="1"/>
  <c r="J1997" i="1"/>
  <c r="J1996" i="1"/>
  <c r="J1995" i="1"/>
  <c r="J1993" i="1"/>
  <c r="J1992" i="1"/>
  <c r="J1991" i="1"/>
  <c r="J1990" i="1"/>
  <c r="J1989" i="1"/>
  <c r="J1988" i="1"/>
  <c r="J1987" i="1"/>
  <c r="J1985" i="1"/>
  <c r="J1984" i="1"/>
  <c r="J1983" i="1"/>
  <c r="J1982" i="1"/>
  <c r="J1981" i="1"/>
  <c r="J1979" i="1"/>
  <c r="J1978" i="1"/>
  <c r="J1977" i="1"/>
  <c r="J1975" i="1"/>
  <c r="J1973" i="1"/>
  <c r="J1968" i="1"/>
  <c r="J1967" i="1"/>
  <c r="J1966" i="1"/>
  <c r="J1965" i="1"/>
  <c r="J1964" i="1"/>
  <c r="J1963" i="1"/>
  <c r="J1962" i="1"/>
  <c r="J1960" i="1"/>
  <c r="J1959" i="1"/>
  <c r="J1958" i="1"/>
  <c r="J1957" i="1"/>
  <c r="J1956" i="1"/>
  <c r="J1954" i="1"/>
  <c r="J1953" i="1"/>
  <c r="J1952" i="1"/>
  <c r="J1951" i="1"/>
  <c r="J1949" i="1"/>
  <c r="J1936" i="1"/>
  <c r="J1935" i="1"/>
  <c r="J1934" i="1"/>
  <c r="J1932" i="1"/>
  <c r="J1931" i="1"/>
  <c r="J1930" i="1"/>
  <c r="J1916" i="1"/>
  <c r="J1915" i="1"/>
  <c r="J1911" i="1"/>
  <c r="J1909" i="1"/>
  <c r="J1908" i="1"/>
  <c r="J1907" i="1"/>
  <c r="J1905" i="1"/>
  <c r="J1893" i="1"/>
  <c r="J1854" i="1"/>
  <c r="J1853" i="1"/>
  <c r="J1828" i="1"/>
  <c r="J1826" i="1"/>
  <c r="J1811" i="1"/>
  <c r="J1810" i="1"/>
  <c r="J1809" i="1"/>
  <c r="J1808" i="1"/>
  <c r="J1806" i="1"/>
  <c r="J1805" i="1"/>
  <c r="J1801" i="1"/>
  <c r="J1799" i="1"/>
  <c r="J1798" i="1"/>
  <c r="J1796" i="1"/>
  <c r="J1793" i="1"/>
  <c r="J1791" i="1"/>
  <c r="J1788" i="1"/>
  <c r="J1787" i="1"/>
  <c r="J1786" i="1"/>
  <c r="J1785" i="1"/>
  <c r="J1784" i="1"/>
  <c r="J1783" i="1"/>
  <c r="J1782" i="1"/>
  <c r="J1781" i="1"/>
  <c r="J1779" i="1"/>
  <c r="J1778" i="1"/>
  <c r="J1777" i="1"/>
  <c r="J1775" i="1"/>
  <c r="J1774" i="1"/>
  <c r="J1773" i="1"/>
  <c r="J1771" i="1"/>
  <c r="J1770" i="1"/>
  <c r="J1768" i="1"/>
  <c r="J1767" i="1"/>
  <c r="J1766" i="1"/>
  <c r="J1765" i="1"/>
  <c r="J1764" i="1"/>
  <c r="J1763" i="1"/>
  <c r="J1761" i="1"/>
  <c r="J1759" i="1"/>
  <c r="J1758" i="1"/>
  <c r="J1757" i="1"/>
  <c r="J1756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39" i="1"/>
  <c r="J1737" i="1"/>
  <c r="J1736" i="1"/>
  <c r="J1734" i="1"/>
  <c r="J1733" i="1"/>
  <c r="J1732" i="1"/>
  <c r="J1731" i="1"/>
  <c r="J1730" i="1"/>
  <c r="J1729" i="1"/>
  <c r="J1727" i="1"/>
  <c r="J1726" i="1"/>
  <c r="J1725" i="1"/>
  <c r="J1724" i="1"/>
  <c r="J1723" i="1"/>
  <c r="J1722" i="1"/>
  <c r="J1721" i="1"/>
  <c r="J1720" i="1"/>
  <c r="J1716" i="1"/>
  <c r="J1714" i="1"/>
  <c r="J1713" i="1"/>
  <c r="J1712" i="1"/>
  <c r="J1711" i="1"/>
  <c r="J1710" i="1"/>
  <c r="J1708" i="1"/>
  <c r="J1707" i="1"/>
  <c r="J1705" i="1"/>
  <c r="J1704" i="1"/>
  <c r="J1703" i="1"/>
  <c r="J1702" i="1"/>
  <c r="J1701" i="1"/>
  <c r="J1699" i="1"/>
  <c r="J1698" i="1"/>
  <c r="J1697" i="1"/>
  <c r="J1696" i="1"/>
  <c r="J1695" i="1"/>
  <c r="J1694" i="1"/>
  <c r="J1693" i="1"/>
  <c r="J1691" i="1"/>
  <c r="J1689" i="1"/>
  <c r="J1687" i="1"/>
  <c r="J1686" i="1"/>
  <c r="J1683" i="1"/>
  <c r="J1682" i="1"/>
  <c r="J1681" i="1"/>
  <c r="J1680" i="1"/>
  <c r="J1679" i="1"/>
  <c r="J1678" i="1"/>
  <c r="J1677" i="1"/>
  <c r="J1674" i="1"/>
  <c r="J1672" i="1"/>
  <c r="J1671" i="1"/>
  <c r="J1669" i="1"/>
  <c r="J1668" i="1"/>
  <c r="J1667" i="1"/>
  <c r="J1666" i="1"/>
  <c r="J1665" i="1"/>
  <c r="J1663" i="1"/>
  <c r="J1662" i="1"/>
  <c r="J1661" i="1"/>
  <c r="J1660" i="1"/>
  <c r="J1659" i="1"/>
  <c r="J1658" i="1"/>
  <c r="J1657" i="1"/>
  <c r="J1656" i="1"/>
  <c r="J1654" i="1"/>
  <c r="J1653" i="1"/>
  <c r="J1649" i="1"/>
  <c r="J1648" i="1"/>
  <c r="J1647" i="1"/>
  <c r="J1646" i="1"/>
  <c r="J1644" i="1"/>
  <c r="J1643" i="1"/>
  <c r="J1641" i="1"/>
  <c r="J1640" i="1"/>
  <c r="J1638" i="1"/>
  <c r="J1637" i="1"/>
  <c r="J1635" i="1"/>
  <c r="J1634" i="1"/>
  <c r="J1631" i="1"/>
  <c r="J1630" i="1"/>
  <c r="J1629" i="1"/>
  <c r="J1628" i="1"/>
  <c r="J1626" i="1"/>
  <c r="J1625" i="1"/>
  <c r="J1623" i="1"/>
  <c r="J1622" i="1"/>
  <c r="J1620" i="1"/>
  <c r="J1619" i="1"/>
  <c r="J1618" i="1"/>
  <c r="J1617" i="1"/>
  <c r="J1616" i="1"/>
  <c r="J1615" i="1"/>
  <c r="J1614" i="1"/>
  <c r="J1613" i="1"/>
  <c r="J1612" i="1"/>
  <c r="J1611" i="1"/>
  <c r="J1608" i="1"/>
  <c r="J1607" i="1"/>
  <c r="J1605" i="1"/>
  <c r="J1604" i="1"/>
  <c r="J1603" i="1"/>
  <c r="J1602" i="1"/>
  <c r="J1601" i="1"/>
  <c r="J1596" i="1"/>
  <c r="J1595" i="1"/>
  <c r="J1593" i="1"/>
  <c r="J1592" i="1"/>
  <c r="J1591" i="1"/>
  <c r="J1590" i="1"/>
  <c r="J1589" i="1"/>
  <c r="J1586" i="1"/>
  <c r="J1585" i="1"/>
  <c r="J1581" i="1"/>
  <c r="J1580" i="1"/>
  <c r="J1576" i="1"/>
  <c r="J1575" i="1"/>
  <c r="J1574" i="1"/>
  <c r="J1572" i="1"/>
  <c r="J1571" i="1"/>
  <c r="J1570" i="1"/>
  <c r="J1568" i="1"/>
  <c r="J1567" i="1"/>
  <c r="J1566" i="1"/>
  <c r="J1515" i="1"/>
  <c r="J1514" i="1"/>
  <c r="J1513" i="1"/>
  <c r="J1512" i="1"/>
  <c r="J1511" i="1"/>
  <c r="J1484" i="1"/>
  <c r="J1476" i="1"/>
  <c r="J1470" i="1"/>
  <c r="J1469" i="1"/>
  <c r="J1468" i="1"/>
  <c r="J1464" i="1"/>
  <c r="J1463" i="1"/>
  <c r="J1448" i="1"/>
  <c r="J1440" i="1"/>
  <c r="J1439" i="1"/>
  <c r="J1438" i="1"/>
  <c r="J1437" i="1"/>
  <c r="J1436" i="1"/>
  <c r="J1435" i="1"/>
  <c r="J1434" i="1"/>
  <c r="J1429" i="1"/>
  <c r="J1427" i="1"/>
  <c r="J1418" i="1"/>
  <c r="J1417" i="1"/>
  <c r="J1415" i="1"/>
  <c r="J1409" i="1"/>
  <c r="J1407" i="1"/>
  <c r="J1403" i="1"/>
  <c r="J1396" i="1"/>
  <c r="J1394" i="1"/>
  <c r="J1393" i="1"/>
  <c r="J1392" i="1"/>
  <c r="J1391" i="1"/>
  <c r="J1390" i="1"/>
  <c r="J1389" i="1"/>
  <c r="J1388" i="1"/>
  <c r="J1384" i="1"/>
  <c r="J1383" i="1"/>
  <c r="J1382" i="1"/>
  <c r="J1381" i="1"/>
  <c r="J1380" i="1"/>
  <c r="J1375" i="1"/>
  <c r="J1373" i="1"/>
  <c r="J1370" i="1"/>
  <c r="J1366" i="1"/>
  <c r="J1365" i="1"/>
  <c r="J1361" i="1"/>
  <c r="J1360" i="1"/>
  <c r="J1358" i="1"/>
  <c r="J1356" i="1"/>
  <c r="J1354" i="1"/>
  <c r="J1353" i="1"/>
  <c r="J1352" i="1"/>
  <c r="J1350" i="1"/>
  <c r="J1349" i="1"/>
  <c r="J1348" i="1"/>
  <c r="J1344" i="1"/>
  <c r="J1343" i="1"/>
  <c r="J1342" i="1"/>
  <c r="J1341" i="1"/>
  <c r="J1340" i="1"/>
  <c r="J1333" i="1"/>
  <c r="J1327" i="1"/>
  <c r="J1326" i="1"/>
  <c r="J1321" i="1"/>
  <c r="J1319" i="1"/>
  <c r="J1318" i="1"/>
  <c r="J1316" i="1"/>
  <c r="J1315" i="1"/>
  <c r="J1314" i="1"/>
  <c r="J1313" i="1"/>
  <c r="J1312" i="1"/>
  <c r="J1311" i="1"/>
  <c r="J1310" i="1"/>
  <c r="J1309" i="1"/>
  <c r="J1308" i="1"/>
  <c r="J1307" i="1"/>
  <c r="J1306" i="1"/>
  <c r="J1304" i="1"/>
  <c r="J1302" i="1"/>
  <c r="J1299" i="1"/>
  <c r="J1298" i="1"/>
  <c r="J1297" i="1"/>
  <c r="J1295" i="1"/>
  <c r="J1294" i="1"/>
  <c r="J1290" i="1"/>
  <c r="J1289" i="1"/>
  <c r="J1288" i="1"/>
  <c r="J1287" i="1"/>
  <c r="J1286" i="1"/>
  <c r="J1284" i="1"/>
  <c r="J1282" i="1"/>
  <c r="J1281" i="1"/>
  <c r="J1278" i="1"/>
  <c r="J1276" i="1"/>
  <c r="J1274" i="1"/>
  <c r="J1273" i="1"/>
  <c r="J1272" i="1"/>
  <c r="J1271" i="1"/>
  <c r="J1270" i="1"/>
  <c r="J1264" i="1"/>
  <c r="J1262" i="1"/>
  <c r="J1260" i="1"/>
  <c r="J1259" i="1"/>
  <c r="J1255" i="1"/>
  <c r="J1248" i="1"/>
  <c r="J1247" i="1"/>
  <c r="J1246" i="1"/>
  <c r="J1244" i="1"/>
  <c r="J1242" i="1"/>
  <c r="J1235" i="1"/>
  <c r="J1217" i="1"/>
  <c r="J1216" i="1"/>
  <c r="J1215" i="1"/>
  <c r="J1211" i="1"/>
  <c r="J1197" i="1"/>
  <c r="J1194" i="1"/>
  <c r="J1180" i="1"/>
  <c r="J1177" i="1"/>
  <c r="J1163" i="1"/>
  <c r="J1160" i="1"/>
  <c r="J1102" i="1"/>
  <c r="J1080" i="1"/>
  <c r="J1073" i="1"/>
  <c r="J1068" i="1"/>
  <c r="J1067" i="1"/>
  <c r="J1066" i="1"/>
  <c r="J1065" i="1"/>
  <c r="J1062" i="1"/>
  <c r="J1056" i="1"/>
  <c r="J1051" i="1"/>
  <c r="J1050" i="1"/>
  <c r="J1045" i="1"/>
  <c r="J1043" i="1"/>
  <c r="J1036" i="1"/>
  <c r="J1035" i="1"/>
  <c r="J1034" i="1"/>
  <c r="J1032" i="1"/>
  <c r="J1031" i="1"/>
  <c r="J1030" i="1"/>
  <c r="J1027" i="1"/>
  <c r="J1026" i="1"/>
  <c r="J1025" i="1"/>
  <c r="J1023" i="1"/>
  <c r="J1022" i="1"/>
  <c r="J1016" i="1"/>
  <c r="J1013" i="1"/>
  <c r="J1010" i="1"/>
  <c r="J1009" i="1"/>
  <c r="J1008" i="1"/>
  <c r="J1007" i="1"/>
  <c r="J1006" i="1"/>
  <c r="J1002" i="1"/>
  <c r="J1000" i="1"/>
  <c r="J999" i="1"/>
  <c r="J998" i="1"/>
  <c r="J997" i="1"/>
  <c r="J996" i="1"/>
  <c r="J994" i="1"/>
  <c r="J993" i="1"/>
  <c r="J992" i="1"/>
  <c r="J991" i="1"/>
  <c r="J990" i="1"/>
  <c r="J987" i="1"/>
  <c r="J983" i="1"/>
  <c r="J982" i="1"/>
  <c r="J981" i="1"/>
  <c r="J980" i="1"/>
  <c r="J978" i="1"/>
  <c r="J977" i="1"/>
  <c r="J976" i="1"/>
  <c r="J970" i="1"/>
  <c r="J967" i="1"/>
  <c r="J966" i="1"/>
  <c r="J964" i="1"/>
  <c r="J963" i="1"/>
  <c r="J962" i="1"/>
  <c r="J961" i="1"/>
  <c r="J960" i="1"/>
  <c r="J958" i="1"/>
  <c r="J957" i="1"/>
  <c r="J956" i="1"/>
  <c r="J955" i="1"/>
  <c r="J953" i="1"/>
  <c r="J952" i="1"/>
  <c r="J951" i="1"/>
  <c r="J950" i="1"/>
  <c r="J949" i="1"/>
  <c r="J948" i="1"/>
  <c r="J938" i="1"/>
  <c r="J937" i="1"/>
  <c r="J936" i="1"/>
  <c r="J935" i="1"/>
  <c r="J934" i="1"/>
  <c r="J932" i="1"/>
  <c r="J931" i="1"/>
  <c r="J930" i="1"/>
  <c r="J929" i="1"/>
  <c r="J928" i="1"/>
  <c r="J927" i="1"/>
  <c r="J926" i="1"/>
  <c r="J925" i="1"/>
  <c r="J924" i="1"/>
  <c r="J919" i="1"/>
  <c r="J910" i="1"/>
  <c r="J906" i="1"/>
  <c r="J905" i="1"/>
  <c r="J902" i="1"/>
  <c r="J889" i="1"/>
  <c r="J888" i="1"/>
  <c r="J885" i="1"/>
  <c r="J883" i="1"/>
  <c r="J880" i="1"/>
  <c r="J878" i="1"/>
  <c r="J875" i="1"/>
  <c r="J874" i="1"/>
  <c r="J868" i="1"/>
  <c r="J863" i="1"/>
  <c r="J859" i="1"/>
  <c r="J851" i="1"/>
  <c r="J845" i="1"/>
  <c r="J841" i="1"/>
  <c r="J840" i="1"/>
  <c r="J839" i="1"/>
  <c r="J831" i="1"/>
  <c r="J830" i="1"/>
  <c r="J760" i="1"/>
  <c r="J729" i="1"/>
  <c r="J705" i="1"/>
  <c r="J694" i="1"/>
  <c r="J693" i="1"/>
  <c r="J687" i="1"/>
  <c r="J674" i="1"/>
  <c r="J673" i="1"/>
  <c r="J658" i="1"/>
  <c r="J657" i="1"/>
  <c r="J655" i="1"/>
  <c r="J654" i="1"/>
  <c r="J648" i="1"/>
  <c r="J646" i="1"/>
  <c r="J645" i="1"/>
  <c r="J644" i="1"/>
  <c r="J643" i="1"/>
  <c r="J642" i="1"/>
  <c r="J640" i="1"/>
  <c r="J638" i="1"/>
  <c r="J637" i="1"/>
  <c r="J636" i="1"/>
  <c r="J635" i="1"/>
  <c r="J634" i="1"/>
  <c r="J633" i="1"/>
  <c r="J630" i="1"/>
  <c r="J625" i="1"/>
  <c r="J624" i="1"/>
  <c r="J623" i="1"/>
  <c r="J611" i="1"/>
  <c r="J609" i="1"/>
  <c r="J608" i="1"/>
  <c r="J607" i="1"/>
  <c r="J606" i="1"/>
  <c r="J605" i="1"/>
  <c r="J603" i="1"/>
  <c r="J602" i="1"/>
  <c r="J595" i="1"/>
  <c r="J594" i="1"/>
  <c r="J593" i="1"/>
  <c r="J592" i="1"/>
  <c r="J591" i="1"/>
  <c r="J590" i="1"/>
  <c r="J589" i="1"/>
  <c r="J587" i="1"/>
  <c r="J586" i="1"/>
  <c r="J585" i="1"/>
  <c r="J584" i="1"/>
  <c r="J582" i="1"/>
  <c r="J580" i="1"/>
  <c r="J579" i="1"/>
  <c r="J578" i="1"/>
  <c r="J577" i="1"/>
  <c r="J576" i="1"/>
  <c r="J575" i="1"/>
  <c r="J573" i="1"/>
  <c r="J572" i="1"/>
  <c r="J571" i="1"/>
  <c r="J569" i="1"/>
  <c r="J564" i="1"/>
  <c r="J562" i="1"/>
  <c r="J561" i="1"/>
  <c r="J559" i="1"/>
  <c r="J558" i="1"/>
  <c r="J557" i="1"/>
  <c r="J556" i="1"/>
  <c r="J554" i="1"/>
  <c r="J548" i="1"/>
  <c r="J545" i="1"/>
  <c r="J541" i="1"/>
  <c r="J540" i="1"/>
  <c r="J536" i="1"/>
  <c r="J533" i="1"/>
  <c r="J532" i="1"/>
  <c r="J528" i="1"/>
  <c r="J527" i="1"/>
  <c r="J526" i="1"/>
  <c r="J521" i="1"/>
  <c r="J520" i="1"/>
  <c r="J519" i="1"/>
  <c r="J517" i="1"/>
  <c r="J512" i="1"/>
  <c r="J511" i="1"/>
  <c r="J510" i="1"/>
  <c r="J508" i="1"/>
  <c r="J506" i="1"/>
  <c r="J505" i="1"/>
  <c r="J502" i="1"/>
  <c r="J501" i="1"/>
  <c r="J500" i="1"/>
  <c r="J498" i="1"/>
  <c r="J490" i="1"/>
  <c r="J489" i="1"/>
  <c r="J487" i="1"/>
  <c r="J486" i="1"/>
  <c r="J483" i="1"/>
  <c r="J482" i="1"/>
  <c r="J481" i="1"/>
  <c r="J479" i="1"/>
  <c r="J477" i="1"/>
  <c r="J473" i="1"/>
  <c r="J459" i="1"/>
  <c r="J456" i="1"/>
  <c r="J441" i="1"/>
  <c r="J405" i="1"/>
  <c r="J337" i="1"/>
  <c r="J336" i="1"/>
  <c r="J313" i="1"/>
  <c r="J312" i="1"/>
  <c r="J311" i="1"/>
  <c r="J310" i="1"/>
  <c r="J307" i="1"/>
  <c r="J289" i="1"/>
  <c r="J288" i="1"/>
  <c r="J287" i="1"/>
  <c r="J286" i="1"/>
  <c r="J285" i="1"/>
  <c r="J284" i="1"/>
  <c r="J283" i="1"/>
  <c r="J282" i="1"/>
  <c r="J281" i="1"/>
  <c r="J280" i="1"/>
  <c r="J279" i="1"/>
  <c r="J276" i="1"/>
  <c r="J275" i="1"/>
  <c r="J274" i="1"/>
  <c r="J273" i="1"/>
  <c r="J272" i="1"/>
  <c r="J271" i="1"/>
  <c r="J270" i="1"/>
  <c r="J269" i="1"/>
  <c r="J262" i="1"/>
  <c r="J261" i="1"/>
  <c r="J259" i="1"/>
  <c r="J254" i="1"/>
  <c r="J253" i="1"/>
  <c r="J252" i="1"/>
  <c r="J251" i="1"/>
  <c r="J250" i="1"/>
  <c r="J249" i="1"/>
  <c r="J248" i="1"/>
  <c r="J247" i="1"/>
  <c r="J246" i="1"/>
  <c r="J245" i="1"/>
  <c r="J241" i="1"/>
  <c r="J240" i="1"/>
  <c r="J239" i="1"/>
  <c r="J238" i="1"/>
  <c r="J237" i="1"/>
  <c r="J236" i="1"/>
  <c r="J234" i="1"/>
  <c r="J233" i="1"/>
  <c r="J232" i="1"/>
  <c r="J231" i="1"/>
  <c r="J230" i="1"/>
  <c r="J229" i="1"/>
  <c r="J228" i="1"/>
  <c r="J225" i="1"/>
  <c r="J224" i="1"/>
  <c r="J223" i="1"/>
  <c r="J222" i="1"/>
  <c r="J215" i="1"/>
  <c r="J214" i="1"/>
  <c r="J213" i="1"/>
  <c r="J211" i="1"/>
  <c r="J210" i="1"/>
  <c r="J203" i="1"/>
  <c r="J202" i="1"/>
  <c r="J195" i="1"/>
  <c r="J189" i="1"/>
  <c r="J188" i="1"/>
  <c r="J187" i="1"/>
  <c r="J186" i="1"/>
  <c r="J175" i="1"/>
  <c r="J173" i="1"/>
  <c r="J171" i="1"/>
  <c r="J169" i="1"/>
  <c r="J166" i="1"/>
  <c r="J165" i="1"/>
  <c r="J164" i="1"/>
  <c r="J162" i="1"/>
  <c r="J160" i="1"/>
  <c r="J149" i="1"/>
  <c r="J148" i="1"/>
  <c r="J145" i="1"/>
  <c r="J144" i="1"/>
  <c r="J142" i="1"/>
  <c r="J140" i="1"/>
  <c r="J139" i="1"/>
  <c r="J136" i="1"/>
  <c r="J133" i="1"/>
  <c r="J129" i="1"/>
  <c r="J122" i="1"/>
  <c r="J121" i="1"/>
  <c r="J117" i="1"/>
  <c r="J112" i="1"/>
  <c r="J111" i="1"/>
  <c r="J109" i="1"/>
  <c r="J108" i="1"/>
  <c r="J98" i="1"/>
  <c r="J97" i="1"/>
  <c r="J68" i="1"/>
  <c r="J67" i="1"/>
  <c r="A15" i="9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1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2" i="1"/>
  <c r="I1471" i="1"/>
  <c r="I1470" i="1"/>
  <c r="I1469" i="1"/>
  <c r="I1468" i="1"/>
  <c r="I1467" i="1"/>
  <c r="I1466" i="1"/>
  <c r="I1465" i="1"/>
  <c r="I1464" i="1"/>
  <c r="I1463" i="1"/>
  <c r="I1462" i="1"/>
  <c r="I1448" i="1"/>
  <c r="I1442" i="1"/>
  <c r="I1441" i="1"/>
  <c r="I1440" i="1"/>
  <c r="I1439" i="1"/>
  <c r="I1438" i="1"/>
  <c r="I1437" i="1"/>
  <c r="I1436" i="1"/>
  <c r="I1435" i="1"/>
  <c r="I1434" i="1"/>
  <c r="I1431" i="1"/>
  <c r="I1430" i="1"/>
  <c r="I1429" i="1"/>
  <c r="I1428" i="1"/>
  <c r="I1427" i="1"/>
  <c r="I1420" i="1"/>
  <c r="I1419" i="1"/>
  <c r="I1418" i="1"/>
  <c r="I1417" i="1"/>
  <c r="I1416" i="1"/>
  <c r="I1415" i="1"/>
  <c r="I1414" i="1"/>
  <c r="I1410" i="1"/>
  <c r="I1409" i="1"/>
  <c r="I1408" i="1"/>
  <c r="I1407" i="1"/>
  <c r="I1404" i="1"/>
  <c r="I1403" i="1"/>
  <c r="I1402" i="1"/>
  <c r="I1400" i="1"/>
  <c r="I1397" i="1"/>
  <c r="I1396" i="1"/>
  <c r="I1395" i="1"/>
  <c r="I1394" i="1"/>
  <c r="I1393" i="1"/>
  <c r="I1392" i="1"/>
  <c r="I1391" i="1"/>
  <c r="I1390" i="1"/>
  <c r="I1389" i="1"/>
  <c r="I1388" i="1"/>
  <c r="I1386" i="1"/>
  <c r="I1385" i="1"/>
  <c r="I1384" i="1"/>
  <c r="I1383" i="1"/>
  <c r="I1382" i="1"/>
  <c r="I1381" i="1"/>
  <c r="I1380" i="1"/>
  <c r="I1379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7" i="1"/>
  <c r="I1335" i="1"/>
  <c r="I1334" i="1"/>
  <c r="I1333" i="1"/>
  <c r="I1328" i="1"/>
  <c r="I1327" i="1"/>
  <c r="I1326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39" i="1"/>
  <c r="I1236" i="1"/>
  <c r="I1235" i="1"/>
  <c r="I1232" i="1"/>
  <c r="I1227" i="1"/>
  <c r="I1226" i="1"/>
  <c r="I1218" i="1"/>
  <c r="I1217" i="1"/>
  <c r="I1216" i="1"/>
  <c r="I1215" i="1"/>
  <c r="I1214" i="1"/>
  <c r="I1213" i="1"/>
  <c r="I1212" i="1"/>
  <c r="I1211" i="1"/>
  <c r="I1198" i="1"/>
  <c r="I1197" i="1"/>
  <c r="I1196" i="1"/>
  <c r="I1195" i="1"/>
  <c r="I1194" i="1"/>
  <c r="I1193" i="1"/>
  <c r="I1181" i="1"/>
  <c r="I1180" i="1"/>
  <c r="I1179" i="1"/>
  <c r="I1178" i="1"/>
  <c r="I1177" i="1"/>
  <c r="I1164" i="1"/>
  <c r="I1163" i="1"/>
  <c r="I1161" i="1"/>
  <c r="I1160" i="1"/>
  <c r="I1159" i="1"/>
  <c r="I1103" i="1"/>
  <c r="I1102" i="1"/>
  <c r="I1100" i="1"/>
  <c r="I1083" i="1"/>
  <c r="I1082" i="1"/>
  <c r="I1081" i="1"/>
  <c r="I1080" i="1"/>
  <c r="I1079" i="1"/>
  <c r="I1074" i="1"/>
  <c r="I1073" i="1"/>
  <c r="I1070" i="1"/>
  <c r="I1069" i="1"/>
  <c r="I1068" i="1"/>
  <c r="I1067" i="1"/>
  <c r="I1066" i="1"/>
  <c r="I1065" i="1"/>
  <c r="I1064" i="1"/>
  <c r="I1063" i="1"/>
  <c r="I1062" i="1"/>
  <c r="I1058" i="1"/>
  <c r="I1057" i="1"/>
  <c r="I1056" i="1"/>
  <c r="I1054" i="1"/>
  <c r="I1052" i="1"/>
  <c r="I1051" i="1"/>
  <c r="I1050" i="1"/>
  <c r="I1046" i="1"/>
  <c r="I1045" i="1"/>
  <c r="I1044" i="1"/>
  <c r="I1043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7" i="1"/>
  <c r="I915" i="1"/>
  <c r="I913" i="1"/>
  <c r="I911" i="1"/>
  <c r="I910" i="1"/>
  <c r="I908" i="1"/>
  <c r="I907" i="1"/>
  <c r="I906" i="1"/>
  <c r="I905" i="1"/>
  <c r="I904" i="1"/>
  <c r="I903" i="1"/>
  <c r="I902" i="1"/>
  <c r="I901" i="1"/>
  <c r="I895" i="1"/>
  <c r="I890" i="1"/>
  <c r="I889" i="1"/>
  <c r="I888" i="1"/>
  <c r="I886" i="1"/>
  <c r="I885" i="1"/>
  <c r="I884" i="1"/>
  <c r="I883" i="1"/>
  <c r="I881" i="1"/>
  <c r="I880" i="1"/>
  <c r="I879" i="1"/>
  <c r="I878" i="1"/>
  <c r="I876" i="1"/>
  <c r="I875" i="1"/>
  <c r="I874" i="1"/>
  <c r="I868" i="1"/>
  <c r="I866" i="1"/>
  <c r="I865" i="1"/>
  <c r="I864" i="1"/>
  <c r="I863" i="1"/>
  <c r="I860" i="1"/>
  <c r="I859" i="1"/>
  <c r="I858" i="1"/>
  <c r="I857" i="1"/>
  <c r="I852" i="1"/>
  <c r="I851" i="1"/>
  <c r="I846" i="1"/>
  <c r="I845" i="1"/>
  <c r="I844" i="1"/>
  <c r="I842" i="1"/>
  <c r="I841" i="1"/>
  <c r="I840" i="1"/>
  <c r="I839" i="1"/>
  <c r="I832" i="1"/>
  <c r="I831" i="1"/>
  <c r="I830" i="1"/>
  <c r="I795" i="1"/>
  <c r="I760" i="1"/>
  <c r="I730" i="1"/>
  <c r="I729" i="1"/>
  <c r="I720" i="1"/>
  <c r="I706" i="1"/>
  <c r="I705" i="1"/>
  <c r="I695" i="1"/>
  <c r="I694" i="1"/>
  <c r="I693" i="1"/>
  <c r="I692" i="1"/>
  <c r="I690" i="1"/>
  <c r="I688" i="1"/>
  <c r="I687" i="1"/>
  <c r="I686" i="1"/>
  <c r="I685" i="1"/>
  <c r="I675" i="1"/>
  <c r="I674" i="1"/>
  <c r="I673" i="1"/>
  <c r="I659" i="1"/>
  <c r="I658" i="1"/>
  <c r="I657" i="1"/>
  <c r="I656" i="1"/>
  <c r="I655" i="1"/>
  <c r="I654" i="1"/>
  <c r="I649" i="1"/>
  <c r="I648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1" i="1"/>
  <c r="I630" i="1"/>
  <c r="I625" i="1"/>
  <c r="I624" i="1"/>
  <c r="I623" i="1"/>
  <c r="I621" i="1"/>
  <c r="I620" i="1"/>
  <c r="I618" i="1"/>
  <c r="I617" i="1"/>
  <c r="I616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1" i="1"/>
  <c r="I549" i="1"/>
  <c r="I548" i="1"/>
  <c r="I547" i="1"/>
  <c r="I546" i="1"/>
  <c r="I545" i="1"/>
  <c r="I543" i="1"/>
  <c r="I542" i="1"/>
  <c r="I541" i="1"/>
  <c r="I540" i="1"/>
  <c r="I539" i="1"/>
  <c r="I537" i="1"/>
  <c r="I536" i="1"/>
  <c r="I534" i="1"/>
  <c r="I533" i="1"/>
  <c r="I532" i="1"/>
  <c r="I531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4" i="1"/>
  <c r="I513" i="1"/>
  <c r="I512" i="1"/>
  <c r="I511" i="1"/>
  <c r="I510" i="1"/>
  <c r="I508" i="1"/>
  <c r="I507" i="1"/>
  <c r="I506" i="1"/>
  <c r="I505" i="1"/>
  <c r="I503" i="1"/>
  <c r="I502" i="1"/>
  <c r="I501" i="1"/>
  <c r="I500" i="1"/>
  <c r="I499" i="1"/>
  <c r="I498" i="1"/>
  <c r="I495" i="1"/>
  <c r="I491" i="1"/>
  <c r="I490" i="1"/>
  <c r="I489" i="1"/>
  <c r="I488" i="1"/>
  <c r="I487" i="1"/>
  <c r="I486" i="1"/>
  <c r="I484" i="1"/>
  <c r="I483" i="1"/>
  <c r="I482" i="1"/>
  <c r="I481" i="1"/>
  <c r="I480" i="1"/>
  <c r="I479" i="1"/>
  <c r="I478" i="1"/>
  <c r="I477" i="1"/>
  <c r="I474" i="1"/>
  <c r="I473" i="1"/>
  <c r="I460" i="1"/>
  <c r="I459" i="1"/>
  <c r="I457" i="1"/>
  <c r="I456" i="1"/>
  <c r="I455" i="1"/>
  <c r="I443" i="1"/>
  <c r="I442" i="1"/>
  <c r="I441" i="1"/>
  <c r="I440" i="1"/>
  <c r="I439" i="1"/>
  <c r="I405" i="1"/>
  <c r="I348" i="1"/>
  <c r="I338" i="1"/>
  <c r="I337" i="1"/>
  <c r="I336" i="1"/>
  <c r="I335" i="1"/>
  <c r="I322" i="1"/>
  <c r="I314" i="1"/>
  <c r="I313" i="1"/>
  <c r="I312" i="1"/>
  <c r="I311" i="1"/>
  <c r="I310" i="1"/>
  <c r="I308" i="1"/>
  <c r="I307" i="1"/>
  <c r="I306" i="1"/>
  <c r="I305" i="1"/>
  <c r="I302" i="1"/>
  <c r="I301" i="1"/>
  <c r="I293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4" i="1"/>
  <c r="I263" i="1"/>
  <c r="I262" i="1"/>
  <c r="I261" i="1"/>
  <c r="I260" i="1"/>
  <c r="I259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0" i="1"/>
  <c r="I219" i="1"/>
  <c r="I218" i="1"/>
  <c r="I217" i="1"/>
  <c r="I216" i="1"/>
  <c r="I215" i="1"/>
  <c r="I214" i="1"/>
  <c r="I213" i="1"/>
  <c r="I212" i="1"/>
  <c r="I211" i="1"/>
  <c r="I210" i="1"/>
  <c r="I208" i="1"/>
  <c r="I207" i="1"/>
  <c r="I204" i="1"/>
  <c r="I203" i="1"/>
  <c r="I202" i="1"/>
  <c r="I201" i="1"/>
  <c r="I200" i="1"/>
  <c r="I199" i="1"/>
  <c r="I198" i="1"/>
  <c r="I197" i="1"/>
  <c r="I196" i="1"/>
  <c r="I195" i="1"/>
  <c r="I194" i="1"/>
  <c r="I191" i="1"/>
  <c r="I190" i="1"/>
  <c r="I189" i="1"/>
  <c r="I188" i="1"/>
  <c r="I187" i="1"/>
  <c r="I186" i="1"/>
  <c r="I184" i="1"/>
  <c r="I183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7" i="1"/>
  <c r="I166" i="1"/>
  <c r="I165" i="1"/>
  <c r="I164" i="1"/>
  <c r="I163" i="1"/>
  <c r="I162" i="1"/>
  <c r="I161" i="1"/>
  <c r="I160" i="1"/>
  <c r="I159" i="1"/>
  <c r="I158" i="1"/>
  <c r="I152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7" i="1"/>
  <c r="I136" i="1"/>
  <c r="I134" i="1"/>
  <c r="I133" i="1"/>
  <c r="I132" i="1"/>
  <c r="I131" i="1"/>
  <c r="I130" i="1"/>
  <c r="I129" i="1"/>
  <c r="I128" i="1"/>
  <c r="I123" i="1"/>
  <c r="I122" i="1"/>
  <c r="I121" i="1"/>
  <c r="I118" i="1"/>
  <c r="I117" i="1"/>
  <c r="I113" i="1"/>
  <c r="I112" i="1"/>
  <c r="I111" i="1"/>
  <c r="I110" i="1"/>
  <c r="I109" i="1"/>
  <c r="I108" i="1"/>
  <c r="I99" i="1"/>
  <c r="I98" i="1"/>
  <c r="I97" i="1"/>
  <c r="I96" i="1"/>
  <c r="I75" i="1"/>
  <c r="I74" i="1"/>
  <c r="I71" i="1"/>
  <c r="I69" i="1"/>
  <c r="I68" i="1"/>
  <c r="I67" i="1"/>
  <c r="I30" i="1"/>
  <c r="I29" i="1"/>
  <c r="I28" i="1"/>
  <c r="I27" i="1"/>
  <c r="P27" i="1"/>
  <c r="O27" i="1"/>
  <c r="N27" i="1"/>
  <c r="N29" i="1" l="1"/>
  <c r="N67" i="1" s="1"/>
  <c r="O29" i="1"/>
  <c r="O30" i="1" s="1"/>
  <c r="P29" i="1"/>
  <c r="P30" i="1" s="1"/>
  <c r="O67" i="1" l="1"/>
  <c r="P67" i="1"/>
  <c r="G2013" i="1"/>
  <c r="G2001" i="1"/>
  <c r="G1965" i="1"/>
  <c r="G1953" i="1"/>
  <c r="G1941" i="1"/>
  <c r="G1929" i="1"/>
  <c r="G1917" i="1"/>
  <c r="G1905" i="1"/>
  <c r="G1892" i="1"/>
  <c r="G1862" i="1"/>
  <c r="G1850" i="1"/>
  <c r="G1806" i="1"/>
  <c r="G1794" i="1"/>
  <c r="G1782" i="1"/>
  <c r="G1770" i="1"/>
  <c r="G1758" i="1"/>
  <c r="G1746" i="1"/>
  <c r="G1734" i="1"/>
  <c r="G1710" i="1"/>
  <c r="G1698" i="1"/>
  <c r="G1662" i="1"/>
  <c r="G1650" i="1"/>
  <c r="G1638" i="1"/>
  <c r="G1626" i="1"/>
  <c r="G1614" i="1"/>
  <c r="G1602" i="1"/>
  <c r="G1590" i="1"/>
  <c r="G1566" i="1"/>
  <c r="G1554" i="1"/>
  <c r="G1514" i="1"/>
  <c r="G1502" i="1"/>
  <c r="G1490" i="1"/>
  <c r="G1478" i="1"/>
  <c r="G1464" i="1"/>
  <c r="G1434" i="1"/>
  <c r="G1414" i="1"/>
  <c r="G1381" i="1"/>
  <c r="G1367" i="1"/>
  <c r="G1322" i="1"/>
  <c r="G1310" i="1"/>
  <c r="G1297" i="1"/>
  <c r="G1285" i="1"/>
  <c r="G1272" i="1"/>
  <c r="G1260" i="1"/>
  <c r="G1247" i="1"/>
  <c r="G1195" i="1"/>
  <c r="G1159" i="1"/>
  <c r="G1032" i="1"/>
  <c r="G1020" i="1"/>
  <c r="G1008" i="1"/>
  <c r="G994" i="1"/>
  <c r="G981" i="1"/>
  <c r="G969" i="1"/>
  <c r="G957" i="1"/>
  <c r="G928" i="1"/>
  <c r="G913" i="1"/>
  <c r="G851" i="1"/>
  <c r="G760" i="1"/>
  <c r="G687" i="1"/>
  <c r="G649" i="1"/>
  <c r="G636" i="1"/>
  <c r="G617" i="1"/>
  <c r="G602" i="1"/>
  <c r="G578" i="1"/>
  <c r="G2033" i="1"/>
  <c r="G1994" i="1"/>
  <c r="G1981" i="1"/>
  <c r="G1968" i="1"/>
  <c r="G1955" i="1"/>
  <c r="G1942" i="1"/>
  <c r="G1928" i="1"/>
  <c r="G1915" i="1"/>
  <c r="G1887" i="1"/>
  <c r="G1874" i="1"/>
  <c r="G1822" i="1"/>
  <c r="G1809" i="1"/>
  <c r="G1796" i="1"/>
  <c r="G1783" i="1"/>
  <c r="G1769" i="1"/>
  <c r="G1756" i="1"/>
  <c r="G1743" i="1"/>
  <c r="G1717" i="1"/>
  <c r="G1704" i="1"/>
  <c r="G1665" i="1"/>
  <c r="G1652" i="1"/>
  <c r="G1639" i="1"/>
  <c r="G1625" i="1"/>
  <c r="G1612" i="1"/>
  <c r="G1599" i="1"/>
  <c r="G1586" i="1"/>
  <c r="G1560" i="1"/>
  <c r="G1547" i="1"/>
  <c r="G1504" i="1"/>
  <c r="G1491" i="1"/>
  <c r="G1477" i="1"/>
  <c r="G1462" i="1"/>
  <c r="G1429" i="1"/>
  <c r="G1407" i="1"/>
  <c r="G1389" i="1"/>
  <c r="G1359" i="1"/>
  <c r="G1346" i="1"/>
  <c r="G1298" i="1"/>
  <c r="G1284" i="1"/>
  <c r="G1270" i="1"/>
  <c r="G1256" i="1"/>
  <c r="G1243" i="1"/>
  <c r="G1214" i="1"/>
  <c r="G1178" i="1"/>
  <c r="G1058" i="1"/>
  <c r="G1035" i="1"/>
  <c r="G993" i="1"/>
  <c r="G979" i="1"/>
  <c r="G966" i="1"/>
  <c r="G953" i="1"/>
  <c r="G935" i="1"/>
  <c r="G922" i="1"/>
  <c r="G904" i="1"/>
  <c r="G858" i="1"/>
  <c r="G830" i="1"/>
  <c r="G634" i="1"/>
  <c r="G611" i="1"/>
  <c r="G598" i="1"/>
  <c r="G585" i="1"/>
  <c r="G572" i="1"/>
  <c r="G559" i="1"/>
  <c r="G543" i="1"/>
  <c r="G514" i="1"/>
  <c r="G500" i="1"/>
  <c r="G322" i="1"/>
  <c r="G293" i="1"/>
  <c r="G280" i="1"/>
  <c r="G268" i="1"/>
  <c r="G252" i="1"/>
  <c r="G240" i="1"/>
  <c r="G228" i="1"/>
  <c r="G200" i="1"/>
  <c r="G186" i="1"/>
  <c r="G141" i="1"/>
  <c r="G123" i="1"/>
  <c r="G98" i="1"/>
  <c r="G2032" i="1"/>
  <c r="G2019" i="1"/>
  <c r="G2006" i="1"/>
  <c r="G1993" i="1"/>
  <c r="G1967" i="1"/>
  <c r="G1954" i="1"/>
  <c r="G1914" i="1"/>
  <c r="G1900" i="1"/>
  <c r="G1886" i="1"/>
  <c r="G1871" i="1"/>
  <c r="G1855" i="1"/>
  <c r="G1834" i="1"/>
  <c r="G1821" i="1"/>
  <c r="G1795" i="1"/>
  <c r="G1781" i="1"/>
  <c r="G1742" i="1"/>
  <c r="G1729" i="1"/>
  <c r="G1716" i="1"/>
  <c r="G1703" i="1"/>
  <c r="G1690" i="1"/>
  <c r="G1677" i="1"/>
  <c r="G1664" i="1"/>
  <c r="G1637" i="1"/>
  <c r="G1624" i="1"/>
  <c r="G1585" i="1"/>
  <c r="G1572" i="1"/>
  <c r="G1559" i="1"/>
  <c r="G1546" i="1"/>
  <c r="G1533" i="1"/>
  <c r="G1516" i="1"/>
  <c r="G1503" i="1"/>
  <c r="G1476" i="1"/>
  <c r="G1448" i="1"/>
  <c r="G1388" i="1"/>
  <c r="G1372" i="1"/>
  <c r="G1358" i="1"/>
  <c r="G1345" i="1"/>
  <c r="G1324" i="1"/>
  <c r="G1311" i="1"/>
  <c r="G1296" i="1"/>
  <c r="G1269" i="1"/>
  <c r="G1255" i="1"/>
  <c r="G1177" i="1"/>
  <c r="G1079" i="1"/>
  <c r="G1057" i="1"/>
  <c r="G1034" i="1"/>
  <c r="G1021" i="1"/>
  <c r="G1007" i="1"/>
  <c r="G992" i="1"/>
  <c r="G965" i="1"/>
  <c r="G952" i="1"/>
  <c r="G903" i="1"/>
  <c r="G879" i="1"/>
  <c r="G857" i="1"/>
  <c r="G795" i="1"/>
  <c r="G686" i="1"/>
  <c r="G646" i="1"/>
  <c r="G633" i="1"/>
  <c r="G597" i="1"/>
  <c r="G584" i="1"/>
  <c r="G542" i="1"/>
  <c r="G526" i="1"/>
  <c r="G513" i="1"/>
  <c r="G499" i="1"/>
  <c r="G481" i="1"/>
  <c r="G443" i="1"/>
  <c r="G314" i="1"/>
  <c r="G279" i="1"/>
  <c r="G267" i="1"/>
  <c r="G227" i="1"/>
  <c r="G214" i="1"/>
  <c r="G199" i="1"/>
  <c r="G184" i="1"/>
  <c r="G171" i="1"/>
  <c r="G158" i="1"/>
  <c r="G2031" i="1"/>
  <c r="G2005" i="1"/>
  <c r="G1992" i="1"/>
  <c r="G1952" i="1"/>
  <c r="G1939" i="1"/>
  <c r="G1926" i="1"/>
  <c r="G1913" i="1"/>
  <c r="G1899" i="1"/>
  <c r="G1885" i="1"/>
  <c r="G1867" i="1"/>
  <c r="G1833" i="1"/>
  <c r="G1820" i="1"/>
  <c r="G1780" i="1"/>
  <c r="G1767" i="1"/>
  <c r="G1754" i="1"/>
  <c r="G1741" i="1"/>
  <c r="G1728" i="1"/>
  <c r="G1715" i="1"/>
  <c r="G1702" i="1"/>
  <c r="G1676" i="1"/>
  <c r="G1663" i="1"/>
  <c r="G1623" i="1"/>
  <c r="G1610" i="1"/>
  <c r="G1597" i="1"/>
  <c r="G1584" i="1"/>
  <c r="G1571" i="1"/>
  <c r="G1558" i="1"/>
  <c r="G1545" i="1"/>
  <c r="G1515" i="1"/>
  <c r="G1501" i="1"/>
  <c r="G1442" i="1"/>
  <c r="G1427" i="1"/>
  <c r="G1403" i="1"/>
  <c r="G1386" i="1"/>
  <c r="G1371" i="1"/>
  <c r="G1357" i="1"/>
  <c r="G1344" i="1"/>
  <c r="G1309" i="1"/>
  <c r="G1295" i="1"/>
  <c r="G1254" i="1"/>
  <c r="G1241" i="1"/>
  <c r="G1212" i="1"/>
  <c r="G1164" i="1"/>
  <c r="G1074" i="1"/>
  <c r="G1056" i="1"/>
  <c r="G1033" i="1"/>
  <c r="G1006" i="1"/>
  <c r="G991" i="1"/>
  <c r="G951" i="1"/>
  <c r="G933" i="1"/>
  <c r="G920" i="1"/>
  <c r="G902" i="1"/>
  <c r="G878" i="1"/>
  <c r="G852" i="1"/>
  <c r="G730" i="1"/>
  <c r="G645" i="1"/>
  <c r="G631" i="1"/>
  <c r="G583" i="1"/>
  <c r="G570" i="1"/>
  <c r="G557" i="1"/>
  <c r="G541" i="1"/>
  <c r="G525" i="1"/>
  <c r="G512" i="1"/>
  <c r="G498" i="1"/>
  <c r="G442" i="1"/>
  <c r="G313" i="1"/>
  <c r="G266" i="1"/>
  <c r="G250" i="1"/>
  <c r="G238" i="1"/>
  <c r="G226" i="1"/>
  <c r="G213" i="1"/>
  <c r="G198" i="1"/>
  <c r="G183" i="1"/>
  <c r="G152" i="1"/>
  <c r="G2017" i="1"/>
  <c r="G1964" i="1"/>
  <c r="G1948" i="1"/>
  <c r="G1932" i="1"/>
  <c r="G1912" i="1"/>
  <c r="G1895" i="1"/>
  <c r="G1877" i="1"/>
  <c r="G1853" i="1"/>
  <c r="G1812" i="1"/>
  <c r="G1792" i="1"/>
  <c r="G1740" i="1"/>
  <c r="G1724" i="1"/>
  <c r="G1707" i="1"/>
  <c r="G1688" i="1"/>
  <c r="G1671" i="1"/>
  <c r="G1655" i="1"/>
  <c r="G1635" i="1"/>
  <c r="G1603" i="1"/>
  <c r="G1583" i="1"/>
  <c r="G1531" i="1"/>
  <c r="G1510" i="1"/>
  <c r="G1494" i="1"/>
  <c r="G1472" i="1"/>
  <c r="G1438" i="1"/>
  <c r="G1410" i="1"/>
  <c r="G1385" i="1"/>
  <c r="G1349" i="1"/>
  <c r="G1321" i="1"/>
  <c r="G1267" i="1"/>
  <c r="G1250" i="1"/>
  <c r="G1217" i="1"/>
  <c r="G1163" i="1"/>
  <c r="G1067" i="1"/>
  <c r="G1043" i="1"/>
  <c r="G1018" i="1"/>
  <c r="G983" i="1"/>
  <c r="G963" i="1"/>
  <c r="G901" i="1"/>
  <c r="G866" i="1"/>
  <c r="G839" i="1"/>
  <c r="G675" i="1"/>
  <c r="G641" i="1"/>
  <c r="G618" i="1"/>
  <c r="G595" i="1"/>
  <c r="G562" i="1"/>
  <c r="G540" i="1"/>
  <c r="G479" i="1"/>
  <c r="G405" i="1"/>
  <c r="G305" i="1"/>
  <c r="G277" i="1"/>
  <c r="G261" i="1"/>
  <c r="G243" i="1"/>
  <c r="G225" i="1"/>
  <c r="G189" i="1"/>
  <c r="G169" i="1"/>
  <c r="G110" i="1"/>
  <c r="G30" i="1"/>
  <c r="G2016" i="1"/>
  <c r="G1999" i="1"/>
  <c r="G1983" i="1"/>
  <c r="G1963" i="1"/>
  <c r="G1947" i="1"/>
  <c r="G1911" i="1"/>
  <c r="G1894" i="1"/>
  <c r="G1827" i="1"/>
  <c r="G1811" i="1"/>
  <c r="G1791" i="1"/>
  <c r="G1775" i="1"/>
  <c r="G1759" i="1"/>
  <c r="G1739" i="1"/>
  <c r="G1723" i="1"/>
  <c r="G1687" i="1"/>
  <c r="G1670" i="1"/>
  <c r="G1618" i="1"/>
  <c r="G1601" i="1"/>
  <c r="G1582" i="1"/>
  <c r="G1565" i="1"/>
  <c r="G1549" i="1"/>
  <c r="G1529" i="1"/>
  <c r="G1509" i="1"/>
  <c r="G1471" i="1"/>
  <c r="G1437" i="1"/>
  <c r="G1365" i="1"/>
  <c r="G1348" i="1"/>
  <c r="G1320" i="1"/>
  <c r="G1304" i="1"/>
  <c r="G1287" i="1"/>
  <c r="G1266" i="1"/>
  <c r="G1249" i="1"/>
  <c r="G1161" i="1"/>
  <c r="G1066" i="1"/>
  <c r="G999" i="1"/>
  <c r="G982" i="1"/>
  <c r="G962" i="1"/>
  <c r="G941" i="1"/>
  <c r="G924" i="1"/>
  <c r="G895" i="1"/>
  <c r="G865" i="1"/>
  <c r="G674" i="1"/>
  <c r="G640" i="1"/>
  <c r="G577" i="1"/>
  <c r="G561" i="1"/>
  <c r="G539" i="1"/>
  <c r="G520" i="1"/>
  <c r="G502" i="1"/>
  <c r="G478" i="1"/>
  <c r="G348" i="1"/>
  <c r="G276" i="1"/>
  <c r="G260" i="1"/>
  <c r="G207" i="1"/>
  <c r="G188" i="1"/>
  <c r="G167" i="1"/>
  <c r="G146" i="1"/>
  <c r="G131" i="1"/>
  <c r="G109" i="1"/>
  <c r="G29" i="1"/>
  <c r="G1998" i="1"/>
  <c r="G1982" i="1"/>
  <c r="G1930" i="1"/>
  <c r="G1910" i="1"/>
  <c r="G1893" i="1"/>
  <c r="G1875" i="1"/>
  <c r="G1851" i="1"/>
  <c r="G1826" i="1"/>
  <c r="G1810" i="1"/>
  <c r="G1774" i="1"/>
  <c r="G1757" i="1"/>
  <c r="G1721" i="1"/>
  <c r="G1705" i="1"/>
  <c r="G1685" i="1"/>
  <c r="G1669" i="1"/>
  <c r="G1653" i="1"/>
  <c r="G1633" i="1"/>
  <c r="G1617" i="1"/>
  <c r="G1600" i="1"/>
  <c r="G1564" i="1"/>
  <c r="G1548" i="1"/>
  <c r="G1508" i="1"/>
  <c r="G1492" i="1"/>
  <c r="G1470" i="1"/>
  <c r="G1436" i="1"/>
  <c r="G1408" i="1"/>
  <c r="G1383" i="1"/>
  <c r="G1363" i="1"/>
  <c r="G1347" i="1"/>
  <c r="G1303" i="1"/>
  <c r="G1286" i="1"/>
  <c r="G1248" i="1"/>
  <c r="G1215" i="1"/>
  <c r="G1160" i="1"/>
  <c r="G1065" i="1"/>
  <c r="G1036" i="1"/>
  <c r="G1016" i="1"/>
  <c r="G2027" i="1"/>
  <c r="G2004" i="1"/>
  <c r="G1958" i="1"/>
  <c r="G1935" i="1"/>
  <c r="G1884" i="1"/>
  <c r="G1859" i="1"/>
  <c r="G1825" i="1"/>
  <c r="G1802" i="1"/>
  <c r="G1779" i="1"/>
  <c r="G1753" i="1"/>
  <c r="G1733" i="1"/>
  <c r="G1711" i="1"/>
  <c r="G1661" i="1"/>
  <c r="G1642" i="1"/>
  <c r="G1593" i="1"/>
  <c r="G1570" i="1"/>
  <c r="G1544" i="1"/>
  <c r="G1520" i="1"/>
  <c r="G1497" i="1"/>
  <c r="G1469" i="1"/>
  <c r="G1420" i="1"/>
  <c r="G1392" i="1"/>
  <c r="G1337" i="1"/>
  <c r="G1308" i="1"/>
  <c r="G1261" i="1"/>
  <c r="G1232" i="1"/>
  <c r="G1103" i="1"/>
  <c r="G1054" i="1"/>
  <c r="G1025" i="1"/>
  <c r="G998" i="1"/>
  <c r="G975" i="1"/>
  <c r="G956" i="1"/>
  <c r="G906" i="1"/>
  <c r="G864" i="1"/>
  <c r="G656" i="1"/>
  <c r="G624" i="1"/>
  <c r="G600" i="1"/>
  <c r="G576" i="1"/>
  <c r="G555" i="1"/>
  <c r="G532" i="1"/>
  <c r="G508" i="1"/>
  <c r="G484" i="1"/>
  <c r="G288" i="1"/>
  <c r="G271" i="1"/>
  <c r="G230" i="1"/>
  <c r="G204" i="1"/>
  <c r="G180" i="1"/>
  <c r="G162" i="1"/>
  <c r="G137" i="1"/>
  <c r="G112" i="1"/>
  <c r="G28" i="1"/>
  <c r="G2026" i="1"/>
  <c r="G1976" i="1"/>
  <c r="G1957" i="1"/>
  <c r="G1908" i="1"/>
  <c r="G1883" i="1"/>
  <c r="G1858" i="1"/>
  <c r="G1824" i="1"/>
  <c r="G1801" i="1"/>
  <c r="G1778" i="1"/>
  <c r="G1752" i="1"/>
  <c r="G1732" i="1"/>
  <c r="G1683" i="1"/>
  <c r="G1660" i="1"/>
  <c r="G1615" i="1"/>
  <c r="G1592" i="1"/>
  <c r="G1569" i="1"/>
  <c r="G1543" i="1"/>
  <c r="G1519" i="1"/>
  <c r="G1496" i="1"/>
  <c r="G1468" i="1"/>
  <c r="G1419" i="1"/>
  <c r="G1361" i="1"/>
  <c r="G1335" i="1"/>
  <c r="G1279" i="1"/>
  <c r="G1259" i="1"/>
  <c r="G1227" i="1"/>
  <c r="G1102" i="1"/>
  <c r="G1051" i="1"/>
  <c r="G1024" i="1"/>
  <c r="G997" i="1"/>
  <c r="G974" i="1"/>
  <c r="G929" i="1"/>
  <c r="G905" i="1"/>
  <c r="G706" i="1"/>
  <c r="G655" i="1"/>
  <c r="G623" i="1"/>
  <c r="G599" i="1"/>
  <c r="G575" i="1"/>
  <c r="G554" i="1"/>
  <c r="G531" i="1"/>
  <c r="G507" i="1"/>
  <c r="G337" i="1"/>
  <c r="G287" i="1"/>
  <c r="G246" i="1"/>
  <c r="G229" i="1"/>
  <c r="G203" i="1"/>
  <c r="G179" i="1"/>
  <c r="G161" i="1"/>
  <c r="G136" i="1"/>
  <c r="G111" i="1"/>
  <c r="G2023" i="1"/>
  <c r="G1925" i="1"/>
  <c r="G1881" i="1"/>
  <c r="G1773" i="1"/>
  <c r="G1727" i="1"/>
  <c r="G1681" i="1"/>
  <c r="G1632" i="1"/>
  <c r="G1589" i="1"/>
  <c r="G1540" i="1"/>
  <c r="G1487" i="1"/>
  <c r="G1417" i="1"/>
  <c r="G1302" i="1"/>
  <c r="G1253" i="1"/>
  <c r="G1015" i="1"/>
  <c r="G972" i="1"/>
  <c r="G926" i="1"/>
  <c r="G859" i="1"/>
  <c r="G644" i="1"/>
  <c r="G592" i="1"/>
  <c r="G549" i="1"/>
  <c r="G505" i="1"/>
  <c r="G264" i="1"/>
  <c r="G222" i="1"/>
  <c r="G133" i="1"/>
  <c r="G1996" i="1"/>
  <c r="G1950" i="1"/>
  <c r="G1903" i="1"/>
  <c r="G1848" i="1"/>
  <c r="G1798" i="1"/>
  <c r="G1749" i="1"/>
  <c r="G1700" i="1"/>
  <c r="G1608" i="1"/>
  <c r="G1562" i="1"/>
  <c r="G1465" i="1"/>
  <c r="G1380" i="1"/>
  <c r="G1328" i="1"/>
  <c r="G1276" i="1"/>
  <c r="G1252" i="1"/>
  <c r="G1082" i="1"/>
  <c r="G1045" i="1"/>
  <c r="G990" i="1"/>
  <c r="G2024" i="1"/>
  <c r="G2002" i="1"/>
  <c r="G1956" i="1"/>
  <c r="G1933" i="1"/>
  <c r="G1907" i="1"/>
  <c r="G1882" i="1"/>
  <c r="G1857" i="1"/>
  <c r="G1823" i="1"/>
  <c r="G1800" i="1"/>
  <c r="G1777" i="1"/>
  <c r="G1731" i="1"/>
  <c r="G1708" i="1"/>
  <c r="G1659" i="1"/>
  <c r="G1640" i="1"/>
  <c r="G1613" i="1"/>
  <c r="G1591" i="1"/>
  <c r="G1568" i="1"/>
  <c r="G1541" i="1"/>
  <c r="G1518" i="1"/>
  <c r="G1495" i="1"/>
  <c r="G1418" i="1"/>
  <c r="G1390" i="1"/>
  <c r="G1334" i="1"/>
  <c r="G1306" i="1"/>
  <c r="G1278" i="1"/>
  <c r="G1257" i="1"/>
  <c r="G1218" i="1"/>
  <c r="G1100" i="1"/>
  <c r="G1050" i="1"/>
  <c r="G1023" i="1"/>
  <c r="G973" i="1"/>
  <c r="G954" i="1"/>
  <c r="G889" i="1"/>
  <c r="G860" i="1"/>
  <c r="G705" i="1"/>
  <c r="G654" i="1"/>
  <c r="G621" i="1"/>
  <c r="G593" i="1"/>
  <c r="G574" i="1"/>
  <c r="G551" i="1"/>
  <c r="G506" i="1"/>
  <c r="G477" i="1"/>
  <c r="G286" i="1"/>
  <c r="G269" i="1"/>
  <c r="G245" i="1"/>
  <c r="G223" i="1"/>
  <c r="G202" i="1"/>
  <c r="G178" i="1"/>
  <c r="G160" i="1"/>
  <c r="G134" i="1"/>
  <c r="G27" i="1"/>
  <c r="G1997" i="1"/>
  <c r="G1906" i="1"/>
  <c r="G1849" i="1"/>
  <c r="G1799" i="1"/>
  <c r="G1750" i="1"/>
  <c r="G1701" i="1"/>
  <c r="G1658" i="1"/>
  <c r="G1609" i="1"/>
  <c r="G1563" i="1"/>
  <c r="G1466" i="1"/>
  <c r="G1382" i="1"/>
  <c r="G1277" i="1"/>
  <c r="G1211" i="1"/>
  <c r="G1046" i="1"/>
  <c r="G995" i="1"/>
  <c r="G950" i="1"/>
  <c r="G888" i="1"/>
  <c r="G695" i="1"/>
  <c r="G620" i="1"/>
  <c r="G524" i="1"/>
  <c r="G474" i="1"/>
  <c r="G244" i="1"/>
  <c r="G201" i="1"/>
  <c r="G150" i="1"/>
  <c r="G99" i="1"/>
  <c r="G2022" i="1"/>
  <c r="G1973" i="1"/>
  <c r="G1924" i="1"/>
  <c r="G1880" i="1"/>
  <c r="G1772" i="1"/>
  <c r="G1726" i="1"/>
  <c r="G1631" i="1"/>
  <c r="G1588" i="1"/>
  <c r="G1539" i="1"/>
  <c r="G1486" i="1"/>
  <c r="G1416" i="1"/>
  <c r="G1355" i="1"/>
  <c r="G1300" i="1"/>
  <c r="G1198" i="1"/>
  <c r="G971" i="1"/>
  <c r="G1991" i="1"/>
  <c r="G1919" i="1"/>
  <c r="G1865" i="1"/>
  <c r="G1816" i="1"/>
  <c r="G1785" i="1"/>
  <c r="G1744" i="1"/>
  <c r="G1697" i="1"/>
  <c r="G1666" i="1"/>
  <c r="G1622" i="1"/>
  <c r="G1538" i="1"/>
  <c r="G1499" i="1"/>
  <c r="G1376" i="1"/>
  <c r="G1340" i="1"/>
  <c r="G1291" i="1"/>
  <c r="G1245" i="1"/>
  <c r="G1081" i="1"/>
  <c r="G1027" i="1"/>
  <c r="G986" i="1"/>
  <c r="G939" i="1"/>
  <c r="G844" i="1"/>
  <c r="G658" i="1"/>
  <c r="G581" i="1"/>
  <c r="G546" i="1"/>
  <c r="G511" i="1"/>
  <c r="G459" i="1"/>
  <c r="G301" i="1"/>
  <c r="G259" i="1"/>
  <c r="G232" i="1"/>
  <c r="G195" i="1"/>
  <c r="G128" i="1"/>
  <c r="G68" i="1"/>
  <c r="G1987" i="1"/>
  <c r="G1944" i="1"/>
  <c r="G1902" i="1"/>
  <c r="G1861" i="1"/>
  <c r="G1813" i="1"/>
  <c r="G1766" i="1"/>
  <c r="G1735" i="1"/>
  <c r="G1694" i="1"/>
  <c r="G1607" i="1"/>
  <c r="G1575" i="1"/>
  <c r="G1484" i="1"/>
  <c r="G1430" i="1"/>
  <c r="G1317" i="1"/>
  <c r="G1275" i="1"/>
  <c r="G1236" i="1"/>
  <c r="G1068" i="1"/>
  <c r="G1012" i="1"/>
  <c r="G976" i="1"/>
  <c r="G885" i="1"/>
  <c r="G840" i="1"/>
  <c r="G604" i="1"/>
  <c r="G568" i="1"/>
  <c r="G536" i="1"/>
  <c r="G441" i="1"/>
  <c r="G283" i="1"/>
  <c r="G253" i="1"/>
  <c r="G219" i="1"/>
  <c r="G190" i="1"/>
  <c r="G118" i="1"/>
  <c r="G1943" i="1"/>
  <c r="G1765" i="1"/>
  <c r="G1693" i="1"/>
  <c r="G1574" i="1"/>
  <c r="G1483" i="1"/>
  <c r="G1316" i="1"/>
  <c r="G1274" i="1"/>
  <c r="G1064" i="1"/>
  <c r="G932" i="1"/>
  <c r="G603" i="1"/>
  <c r="G534" i="1"/>
  <c r="G218" i="1"/>
  <c r="G145" i="1"/>
  <c r="G1985" i="1"/>
  <c r="G1897" i="1"/>
  <c r="G1764" i="1"/>
  <c r="G1692" i="1"/>
  <c r="G1561" i="1"/>
  <c r="G1482" i="1"/>
  <c r="G1197" i="1"/>
  <c r="G1010" i="1"/>
  <c r="G638" i="1"/>
  <c r="G533" i="1"/>
  <c r="G439" i="1"/>
  <c r="G248" i="1"/>
  <c r="G144" i="1"/>
  <c r="G2012" i="1"/>
  <c r="G1937" i="1"/>
  <c r="G1846" i="1"/>
  <c r="G1679" i="1"/>
  <c r="G1604" i="1"/>
  <c r="G1400" i="1"/>
  <c r="G1314" i="1"/>
  <c r="G1196" i="1"/>
  <c r="G1003" i="1"/>
  <c r="G923" i="1"/>
  <c r="G694" i="1"/>
  <c r="G591" i="1"/>
  <c r="G523" i="1"/>
  <c r="G241" i="1"/>
  <c r="G176" i="1"/>
  <c r="G2030" i="1"/>
  <c r="G1990" i="1"/>
  <c r="G1949" i="1"/>
  <c r="G1918" i="1"/>
  <c r="G1864" i="1"/>
  <c r="G1815" i="1"/>
  <c r="G1784" i="1"/>
  <c r="G1737" i="1"/>
  <c r="G1656" i="1"/>
  <c r="G1621" i="1"/>
  <c r="G1537" i="1"/>
  <c r="G1498" i="1"/>
  <c r="G1435" i="1"/>
  <c r="G1375" i="1"/>
  <c r="G1327" i="1"/>
  <c r="G1290" i="1"/>
  <c r="G1244" i="1"/>
  <c r="G1073" i="1"/>
  <c r="G984" i="1"/>
  <c r="G938" i="1"/>
  <c r="G842" i="1"/>
  <c r="G657" i="1"/>
  <c r="G606" i="1"/>
  <c r="G580" i="1"/>
  <c r="G545" i="1"/>
  <c r="G510" i="1"/>
  <c r="G457" i="1"/>
  <c r="G289" i="1"/>
  <c r="G255" i="1"/>
  <c r="G231" i="1"/>
  <c r="G194" i="1"/>
  <c r="G163" i="1"/>
  <c r="G122" i="1"/>
  <c r="G67" i="1"/>
  <c r="G1370" i="1"/>
  <c r="G495" i="1"/>
  <c r="G2021" i="1"/>
  <c r="G1898" i="1"/>
  <c r="G1646" i="1"/>
  <c r="G1415" i="1"/>
  <c r="G970" i="1"/>
  <c r="G491" i="1"/>
  <c r="G117" i="1"/>
  <c r="G1847" i="1"/>
  <c r="G1605" i="1"/>
  <c r="G1315" i="1"/>
  <c r="G968" i="1"/>
  <c r="G565" i="1"/>
  <c r="G217" i="1"/>
  <c r="G2029" i="1"/>
  <c r="G1988" i="1"/>
  <c r="G1945" i="1"/>
  <c r="G1916" i="1"/>
  <c r="G1863" i="1"/>
  <c r="G1814" i="1"/>
  <c r="G1771" i="1"/>
  <c r="G1736" i="1"/>
  <c r="G1695" i="1"/>
  <c r="G1648" i="1"/>
  <c r="G1620" i="1"/>
  <c r="G1576" i="1"/>
  <c r="G1536" i="1"/>
  <c r="G1485" i="1"/>
  <c r="G1431" i="1"/>
  <c r="G1374" i="1"/>
  <c r="G1318" i="1"/>
  <c r="G1289" i="1"/>
  <c r="G1239" i="1"/>
  <c r="G1070" i="1"/>
  <c r="G1013" i="1"/>
  <c r="G980" i="1"/>
  <c r="G937" i="1"/>
  <c r="G886" i="1"/>
  <c r="G841" i="1"/>
  <c r="G643" i="1"/>
  <c r="G605" i="1"/>
  <c r="G569" i="1"/>
  <c r="G537" i="1"/>
  <c r="G501" i="1"/>
  <c r="G456" i="1"/>
  <c r="G284" i="1"/>
  <c r="G254" i="1"/>
  <c r="G220" i="1"/>
  <c r="G191" i="1"/>
  <c r="G149" i="1"/>
  <c r="G121" i="1"/>
  <c r="G1986" i="1"/>
  <c r="G1860" i="1"/>
  <c r="G1725" i="1"/>
  <c r="G1606" i="1"/>
  <c r="G1523" i="1"/>
  <c r="G1369" i="1"/>
  <c r="G1235" i="1"/>
  <c r="G1011" i="1"/>
  <c r="G884" i="1"/>
  <c r="G639" i="1"/>
  <c r="G567" i="1"/>
  <c r="G440" i="1"/>
  <c r="G249" i="1"/>
  <c r="G187" i="1"/>
  <c r="G2014" i="1"/>
  <c r="G1938" i="1"/>
  <c r="G1804" i="1"/>
  <c r="G1720" i="1"/>
  <c r="G1645" i="1"/>
  <c r="G1522" i="1"/>
  <c r="G1402" i="1"/>
  <c r="G1273" i="1"/>
  <c r="G1063" i="1"/>
  <c r="G931" i="1"/>
  <c r="G729" i="1"/>
  <c r="G601" i="1"/>
  <c r="G490" i="1"/>
  <c r="G281" i="1"/>
  <c r="G181" i="1"/>
  <c r="G113" i="1"/>
  <c r="G1972" i="1"/>
  <c r="G1896" i="1"/>
  <c r="G1803" i="1"/>
  <c r="G1719" i="1"/>
  <c r="G1644" i="1"/>
  <c r="G1557" i="1"/>
  <c r="G1481" i="1"/>
  <c r="G1353" i="1"/>
  <c r="G1271" i="1"/>
  <c r="G1062" i="1"/>
  <c r="G967" i="1"/>
  <c r="G881" i="1"/>
  <c r="G637" i="1"/>
  <c r="G564" i="1"/>
  <c r="G489" i="1"/>
  <c r="G275" i="1"/>
  <c r="G216" i="1"/>
  <c r="G143" i="1"/>
  <c r="G1971" i="1"/>
  <c r="G1888" i="1"/>
  <c r="G1786" i="1"/>
  <c r="G1673" i="1"/>
  <c r="G1587" i="1"/>
  <c r="G1480" i="1"/>
  <c r="G1350" i="1"/>
  <c r="G1246" i="1"/>
  <c r="G1001" i="1"/>
  <c r="G911" i="1"/>
  <c r="G635" i="1"/>
  <c r="G556" i="1"/>
  <c r="G460" i="1"/>
  <c r="G236" i="1"/>
  <c r="G166" i="1"/>
  <c r="G1995" i="1"/>
  <c r="G1890" i="1"/>
  <c r="G1787" i="1"/>
  <c r="G1675" i="1"/>
  <c r="G1594" i="1"/>
  <c r="G1500" i="1"/>
  <c r="G1351" i="1"/>
  <c r="G1251" i="1"/>
  <c r="G1002" i="1"/>
  <c r="G915" i="1"/>
  <c r="G659" i="1"/>
  <c r="G560" i="1"/>
  <c r="G473" i="1"/>
  <c r="G237" i="1"/>
  <c r="G173" i="1"/>
  <c r="G69" i="1"/>
  <c r="G1970" i="1"/>
  <c r="G1878" i="1"/>
  <c r="G1762" i="1"/>
  <c r="G1672" i="1"/>
  <c r="G1580" i="1"/>
  <c r="G1479" i="1"/>
  <c r="G1343" i="1"/>
  <c r="G1194" i="1"/>
  <c r="G989" i="1"/>
  <c r="G910" i="1"/>
  <c r="G630" i="1"/>
  <c r="G548" i="1"/>
  <c r="G311" i="1"/>
  <c r="G235" i="1"/>
  <c r="G165" i="1"/>
  <c r="G1845" i="1"/>
  <c r="G1555" i="1"/>
  <c r="G1313" i="1"/>
  <c r="G987" i="1"/>
  <c r="G612" i="1"/>
  <c r="G308" i="1"/>
  <c r="G140" i="1"/>
  <c r="G1960" i="1"/>
  <c r="G1844" i="1"/>
  <c r="G1747" i="1"/>
  <c r="G1643" i="1"/>
  <c r="G1553" i="1"/>
  <c r="G1299" i="1"/>
  <c r="G1180" i="1"/>
  <c r="G961" i="1"/>
  <c r="G608" i="1"/>
  <c r="G519" i="1"/>
  <c r="G212" i="1"/>
  <c r="G1936" i="1"/>
  <c r="G1745" i="1"/>
  <c r="G1552" i="1"/>
  <c r="G1294" i="1"/>
  <c r="G846" i="1"/>
  <c r="G211" i="1"/>
  <c r="G1923" i="1"/>
  <c r="G1831" i="1"/>
  <c r="G1629" i="1"/>
  <c r="G1551" i="1"/>
  <c r="G1396" i="1"/>
  <c r="G1293" i="1"/>
  <c r="G959" i="1"/>
  <c r="G845" i="1"/>
  <c r="G517" i="1"/>
  <c r="G274" i="1"/>
  <c r="G129" i="1"/>
  <c r="G1511" i="1"/>
  <c r="G693" i="1"/>
  <c r="G197" i="1"/>
  <c r="G1921" i="1"/>
  <c r="G1713" i="1"/>
  <c r="G1507" i="1"/>
  <c r="G1030" i="1"/>
  <c r="G692" i="1"/>
  <c r="G488" i="1"/>
  <c r="G196" i="1"/>
  <c r="G1920" i="1"/>
  <c r="G1506" i="1"/>
  <c r="G919" i="1"/>
  <c r="G582" i="1"/>
  <c r="G263" i="1"/>
  <c r="G74" i="1"/>
  <c r="G1969" i="1"/>
  <c r="G1866" i="1"/>
  <c r="G1761" i="1"/>
  <c r="G1668" i="1"/>
  <c r="G1556" i="1"/>
  <c r="G1463" i="1"/>
  <c r="G1341" i="1"/>
  <c r="G1193" i="1"/>
  <c r="G988" i="1"/>
  <c r="G876" i="1"/>
  <c r="G625" i="1"/>
  <c r="G547" i="1"/>
  <c r="G310" i="1"/>
  <c r="G234" i="1"/>
  <c r="G142" i="1"/>
  <c r="G1961" i="1"/>
  <c r="G1748" i="1"/>
  <c r="G1667" i="1"/>
  <c r="G1441" i="1"/>
  <c r="G1181" i="1"/>
  <c r="G874" i="1"/>
  <c r="G522" i="1"/>
  <c r="G233" i="1"/>
  <c r="G1440" i="1"/>
  <c r="G868" i="1"/>
  <c r="G307" i="1"/>
  <c r="G139" i="1"/>
  <c r="G1832" i="1"/>
  <c r="G1630" i="1"/>
  <c r="G1397" i="1"/>
  <c r="G1179" i="1"/>
  <c r="G960" i="1"/>
  <c r="G589" i="1"/>
  <c r="G518" i="1"/>
  <c r="G306" i="1"/>
  <c r="G130" i="1"/>
  <c r="G1718" i="1"/>
  <c r="G1044" i="1"/>
  <c r="G588" i="1"/>
  <c r="G210" i="1"/>
  <c r="G2011" i="1"/>
  <c r="G1922" i="1"/>
  <c r="G1829" i="1"/>
  <c r="G1714" i="1"/>
  <c r="G1628" i="1"/>
  <c r="G1395" i="1"/>
  <c r="G1292" i="1"/>
  <c r="G1031" i="1"/>
  <c r="G958" i="1"/>
  <c r="G587" i="1"/>
  <c r="G516" i="1"/>
  <c r="G273" i="1"/>
  <c r="G96" i="1"/>
  <c r="G2010" i="1"/>
  <c r="G1797" i="1"/>
  <c r="G1627" i="1"/>
  <c r="G1393" i="1"/>
  <c r="G1264" i="1"/>
  <c r="G948" i="1"/>
  <c r="G586" i="1"/>
  <c r="G272" i="1"/>
  <c r="G75" i="1"/>
  <c r="G2009" i="1"/>
  <c r="G1789" i="1"/>
  <c r="G1712" i="1"/>
  <c r="G1596" i="1"/>
  <c r="G1379" i="1"/>
  <c r="G1263" i="1"/>
  <c r="G1029" i="1"/>
  <c r="G690" i="1"/>
  <c r="G487" i="1"/>
  <c r="G175" i="1"/>
  <c r="G2008" i="1"/>
  <c r="G1891" i="1"/>
  <c r="G1788" i="1"/>
  <c r="G1699" i="1"/>
  <c r="G1595" i="1"/>
  <c r="G1505" i="1"/>
  <c r="G1352" i="1"/>
  <c r="G1262" i="1"/>
  <c r="G1028" i="1"/>
  <c r="G917" i="1"/>
  <c r="G673" i="1"/>
  <c r="G563" i="1"/>
  <c r="G486" i="1"/>
  <c r="G262" i="1"/>
  <c r="G174" i="1"/>
  <c r="G71" i="1"/>
  <c r="H2033" i="1"/>
  <c r="H2021" i="1"/>
  <c r="H2009" i="1"/>
  <c r="H1997" i="1"/>
  <c r="H1985" i="1"/>
  <c r="H1973" i="1"/>
  <c r="H1961" i="1"/>
  <c r="H1949" i="1"/>
  <c r="H1937" i="1"/>
  <c r="H1925" i="1"/>
  <c r="H1913" i="1"/>
  <c r="H1900" i="1"/>
  <c r="H1887" i="1"/>
  <c r="H1875" i="1"/>
  <c r="H1858" i="1"/>
  <c r="H1846" i="1"/>
  <c r="H1826" i="1"/>
  <c r="H1814" i="1"/>
  <c r="H1802" i="1"/>
  <c r="H1790" i="1"/>
  <c r="H1778" i="1"/>
  <c r="H1766" i="1"/>
  <c r="H1754" i="1"/>
  <c r="H1742" i="1"/>
  <c r="H1730" i="1"/>
  <c r="H1718" i="1"/>
  <c r="H1706" i="1"/>
  <c r="H1694" i="1"/>
  <c r="H1682" i="1"/>
  <c r="H1670" i="1"/>
  <c r="H1658" i="1"/>
  <c r="H1646" i="1"/>
  <c r="H1634" i="1"/>
  <c r="H1622" i="1"/>
  <c r="H1610" i="1"/>
  <c r="H1598" i="1"/>
  <c r="H1586" i="1"/>
  <c r="H1574" i="1"/>
  <c r="H1562" i="1"/>
  <c r="H1550" i="1"/>
  <c r="H1538" i="1"/>
  <c r="H1522" i="1"/>
  <c r="H1510" i="1"/>
  <c r="H1498" i="1"/>
  <c r="H1486" i="1"/>
  <c r="H1472" i="1"/>
  <c r="H1442" i="1"/>
  <c r="H1428" i="1"/>
  <c r="H1407" i="1"/>
  <c r="H1390" i="1"/>
  <c r="H1375" i="1"/>
  <c r="H1362" i="1"/>
  <c r="H1350" i="1"/>
  <c r="H1335" i="1"/>
  <c r="H1318" i="1"/>
  <c r="H1306" i="1"/>
  <c r="H1293" i="1"/>
  <c r="H1281" i="1"/>
  <c r="H1268" i="1"/>
  <c r="H1255" i="1"/>
  <c r="H1243" i="1"/>
  <c r="H1215" i="1"/>
  <c r="H1180" i="1"/>
  <c r="H1083" i="1"/>
  <c r="H1065" i="1"/>
  <c r="H1045" i="1"/>
  <c r="H1028" i="1"/>
  <c r="H1016" i="1"/>
  <c r="H1002" i="1"/>
  <c r="H990" i="1"/>
  <c r="H977" i="1"/>
  <c r="H965" i="1"/>
  <c r="H953" i="1"/>
  <c r="H936" i="1"/>
  <c r="H924" i="1"/>
  <c r="H907" i="1"/>
  <c r="H885" i="1"/>
  <c r="H865" i="1"/>
  <c r="H842" i="1"/>
  <c r="H706" i="1"/>
  <c r="H674" i="1"/>
  <c r="H644" i="1"/>
  <c r="H631" i="1"/>
  <c r="H610" i="1"/>
  <c r="H598" i="1"/>
  <c r="H2032" i="1"/>
  <c r="H2020" i="1"/>
  <c r="H2008" i="1"/>
  <c r="H1996" i="1"/>
  <c r="H1984" i="1"/>
  <c r="H1972" i="1"/>
  <c r="H1960" i="1"/>
  <c r="H1948" i="1"/>
  <c r="H1936" i="1"/>
  <c r="H1924" i="1"/>
  <c r="H1912" i="1"/>
  <c r="H1899" i="1"/>
  <c r="H1886" i="1"/>
  <c r="H1874" i="1"/>
  <c r="H1857" i="1"/>
  <c r="H1845" i="1"/>
  <c r="H1825" i="1"/>
  <c r="H1813" i="1"/>
  <c r="H1801" i="1"/>
  <c r="H1789" i="1"/>
  <c r="H1777" i="1"/>
  <c r="H1765" i="1"/>
  <c r="H1753" i="1"/>
  <c r="H1741" i="1"/>
  <c r="H1729" i="1"/>
  <c r="H1717" i="1"/>
  <c r="H1705" i="1"/>
  <c r="H1693" i="1"/>
  <c r="H1681" i="1"/>
  <c r="H1669" i="1"/>
  <c r="H1657" i="1"/>
  <c r="H1645" i="1"/>
  <c r="H1633" i="1"/>
  <c r="H1621" i="1"/>
  <c r="H1609" i="1"/>
  <c r="H1597" i="1"/>
  <c r="H1585" i="1"/>
  <c r="H1573" i="1"/>
  <c r="H1561" i="1"/>
  <c r="H1549" i="1"/>
  <c r="H1537" i="1"/>
  <c r="H1521" i="1"/>
  <c r="H1509" i="1"/>
  <c r="H1497" i="1"/>
  <c r="H1485" i="1"/>
  <c r="H1471" i="1"/>
  <c r="H1441" i="1"/>
  <c r="H1427" i="1"/>
  <c r="H1404" i="1"/>
  <c r="H1389" i="1"/>
  <c r="H1374" i="1"/>
  <c r="H1361" i="1"/>
  <c r="H1349" i="1"/>
  <c r="H2031" i="1"/>
  <c r="H2019" i="1"/>
  <c r="H2007" i="1"/>
  <c r="H1995" i="1"/>
  <c r="H1983" i="1"/>
  <c r="H1971" i="1"/>
  <c r="H1959" i="1"/>
  <c r="H1947" i="1"/>
  <c r="H1935" i="1"/>
  <c r="H1923" i="1"/>
  <c r="H1911" i="1"/>
  <c r="H1898" i="1"/>
  <c r="H1885" i="1"/>
  <c r="H1871" i="1"/>
  <c r="H1856" i="1"/>
  <c r="H1844" i="1"/>
  <c r="H1824" i="1"/>
  <c r="H1812" i="1"/>
  <c r="H1800" i="1"/>
  <c r="H1788" i="1"/>
  <c r="H1776" i="1"/>
  <c r="H1764" i="1"/>
  <c r="H1752" i="1"/>
  <c r="H1740" i="1"/>
  <c r="H1728" i="1"/>
  <c r="H1716" i="1"/>
  <c r="H1704" i="1"/>
  <c r="H1692" i="1"/>
  <c r="H1680" i="1"/>
  <c r="H1668" i="1"/>
  <c r="H1656" i="1"/>
  <c r="H1644" i="1"/>
  <c r="H1632" i="1"/>
  <c r="H1620" i="1"/>
  <c r="H1608" i="1"/>
  <c r="H1596" i="1"/>
  <c r="H1584" i="1"/>
  <c r="H1572" i="1"/>
  <c r="H1560" i="1"/>
  <c r="H1548" i="1"/>
  <c r="H1536" i="1"/>
  <c r="H1520" i="1"/>
  <c r="H1508" i="1"/>
  <c r="H1496" i="1"/>
  <c r="H1484" i="1"/>
  <c r="H1470" i="1"/>
  <c r="H1440" i="1"/>
  <c r="H1420" i="1"/>
  <c r="H1403" i="1"/>
  <c r="H1388" i="1"/>
  <c r="H1373" i="1"/>
  <c r="H1360" i="1"/>
  <c r="H1348" i="1"/>
  <c r="H1333" i="1"/>
  <c r="H1316" i="1"/>
  <c r="H1304" i="1"/>
  <c r="H1291" i="1"/>
  <c r="H1278" i="1"/>
  <c r="H1266" i="1"/>
  <c r="H1253" i="1"/>
  <c r="H1241" i="1"/>
  <c r="H1213" i="1"/>
  <c r="H1178" i="1"/>
  <c r="H1081" i="1"/>
  <c r="H1063" i="1"/>
  <c r="H1043" i="1"/>
  <c r="H1026" i="1"/>
  <c r="H1014" i="1"/>
  <c r="H1000" i="1"/>
  <c r="H988" i="1"/>
  <c r="H975" i="1"/>
  <c r="H963" i="1"/>
  <c r="H951" i="1"/>
  <c r="H934" i="1"/>
  <c r="H922" i="1"/>
  <c r="H905" i="1"/>
  <c r="H883" i="1"/>
  <c r="H863" i="1"/>
  <c r="H840" i="1"/>
  <c r="H695" i="1"/>
  <c r="H659" i="1"/>
  <c r="H642" i="1"/>
  <c r="H625" i="1"/>
  <c r="H608" i="1"/>
  <c r="H596" i="1"/>
  <c r="H2030" i="1"/>
  <c r="H2015" i="1"/>
  <c r="H2029" i="1"/>
  <c r="H2014" i="1"/>
  <c r="H1999" i="1"/>
  <c r="H1981" i="1"/>
  <c r="H1966" i="1"/>
  <c r="H1951" i="1"/>
  <c r="H1933" i="1"/>
  <c r="H1918" i="1"/>
  <c r="H1902" i="1"/>
  <c r="H1883" i="1"/>
  <c r="H1863" i="1"/>
  <c r="H1848" i="1"/>
  <c r="H1822" i="1"/>
  <c r="H1807" i="1"/>
  <c r="H1792" i="1"/>
  <c r="H1774" i="1"/>
  <c r="H1759" i="1"/>
  <c r="H1744" i="1"/>
  <c r="H1726" i="1"/>
  <c r="H1711" i="1"/>
  <c r="H1696" i="1"/>
  <c r="H1678" i="1"/>
  <c r="H1663" i="1"/>
  <c r="H1648" i="1"/>
  <c r="H1630" i="1"/>
  <c r="H1615" i="1"/>
  <c r="H1600" i="1"/>
  <c r="H1582" i="1"/>
  <c r="H1567" i="1"/>
  <c r="H1552" i="1"/>
  <c r="H1534" i="1"/>
  <c r="H1515" i="1"/>
  <c r="H1500" i="1"/>
  <c r="H1482" i="1"/>
  <c r="H1465" i="1"/>
  <c r="H1430" i="1"/>
  <c r="H1400" i="1"/>
  <c r="H1382" i="1"/>
  <c r="H1365" i="1"/>
  <c r="H1346" i="1"/>
  <c r="H1324" i="1"/>
  <c r="H1310" i="1"/>
  <c r="H1295" i="1"/>
  <c r="H1279" i="1"/>
  <c r="H1264" i="1"/>
  <c r="H1249" i="1"/>
  <c r="H1226" i="1"/>
  <c r="H1193" i="1"/>
  <c r="H1082" i="1"/>
  <c r="H1058" i="1"/>
  <c r="H1034" i="1"/>
  <c r="H1020" i="1"/>
  <c r="H1006" i="1"/>
  <c r="H989" i="1"/>
  <c r="H973" i="1"/>
  <c r="H959" i="1"/>
  <c r="H940" i="1"/>
  <c r="H926" i="1"/>
  <c r="H906" i="1"/>
  <c r="H880" i="1"/>
  <c r="H857" i="1"/>
  <c r="H760" i="1"/>
  <c r="H685" i="1"/>
  <c r="H643" i="1"/>
  <c r="H623" i="1"/>
  <c r="H604" i="1"/>
  <c r="H590" i="1"/>
  <c r="H578" i="1"/>
  <c r="H565" i="1"/>
  <c r="H551" i="1"/>
  <c r="H536" i="1"/>
  <c r="H521" i="1"/>
  <c r="H507" i="1"/>
  <c r="H489" i="1"/>
  <c r="H474" i="1"/>
  <c r="H405" i="1"/>
  <c r="H308" i="1"/>
  <c r="H286" i="1"/>
  <c r="H274" i="1"/>
  <c r="H261" i="1"/>
  <c r="H246" i="1"/>
  <c r="H234" i="1"/>
  <c r="H222" i="1"/>
  <c r="H208" i="1"/>
  <c r="H194" i="1"/>
  <c r="H2028" i="1"/>
  <c r="H2011" i="1"/>
  <c r="H1992" i="1"/>
  <c r="H1976" i="1"/>
  <c r="H1957" i="1"/>
  <c r="H1941" i="1"/>
  <c r="H1922" i="1"/>
  <c r="H1906" i="1"/>
  <c r="H1888" i="1"/>
  <c r="H1864" i="1"/>
  <c r="H1847" i="1"/>
  <c r="H1820" i="1"/>
  <c r="H1804" i="1"/>
  <c r="H1785" i="1"/>
  <c r="H1769" i="1"/>
  <c r="H1750" i="1"/>
  <c r="H1734" i="1"/>
  <c r="H1715" i="1"/>
  <c r="H1699" i="1"/>
  <c r="H1683" i="1"/>
  <c r="H1664" i="1"/>
  <c r="H1647" i="1"/>
  <c r="H1628" i="1"/>
  <c r="H1612" i="1"/>
  <c r="H1593" i="1"/>
  <c r="H1577" i="1"/>
  <c r="H1558" i="1"/>
  <c r="H1542" i="1"/>
  <c r="H1519" i="1"/>
  <c r="H1503" i="1"/>
  <c r="H1487" i="1"/>
  <c r="H1466" i="1"/>
  <c r="H1429" i="1"/>
  <c r="H1396" i="1"/>
  <c r="H1379" i="1"/>
  <c r="H1357" i="1"/>
  <c r="H1341" i="1"/>
  <c r="H1317" i="1"/>
  <c r="H1300" i="1"/>
  <c r="H1285" i="1"/>
  <c r="H1269" i="1"/>
  <c r="H1251" i="1"/>
  <c r="H1227" i="1"/>
  <c r="H1181" i="1"/>
  <c r="H1079" i="1"/>
  <c r="H1054" i="1"/>
  <c r="H1030" i="1"/>
  <c r="H1013" i="1"/>
  <c r="H996" i="1"/>
  <c r="H980" i="1"/>
  <c r="H964" i="1"/>
  <c r="H948" i="1"/>
  <c r="H928" i="1"/>
  <c r="H908" i="1"/>
  <c r="H879" i="1"/>
  <c r="H851" i="1"/>
  <c r="H720" i="1"/>
  <c r="H657" i="1"/>
  <c r="H637" i="1"/>
  <c r="H612" i="1"/>
  <c r="H595" i="1"/>
  <c r="H582" i="1"/>
  <c r="H569" i="1"/>
  <c r="H555" i="1"/>
  <c r="H537" i="1"/>
  <c r="H520" i="1"/>
  <c r="H505" i="1"/>
  <c r="H486" i="1"/>
  <c r="H457" i="1"/>
  <c r="H335" i="1"/>
  <c r="H293" i="1"/>
  <c r="H279" i="1"/>
  <c r="H266" i="1"/>
  <c r="H249" i="1"/>
  <c r="H236" i="1"/>
  <c r="H223" i="1"/>
  <c r="H207" i="1"/>
  <c r="H190" i="1"/>
  <c r="H176" i="1"/>
  <c r="H163" i="1"/>
  <c r="H145" i="1"/>
  <c r="H131" i="1"/>
  <c r="H110" i="1"/>
  <c r="H67" i="1"/>
  <c r="H2027" i="1"/>
  <c r="H2010" i="1"/>
  <c r="H1991" i="1"/>
  <c r="H1975" i="1"/>
  <c r="H1956" i="1"/>
  <c r="H1940" i="1"/>
  <c r="H1921" i="1"/>
  <c r="H1905" i="1"/>
  <c r="H1884" i="1"/>
  <c r="H1862" i="1"/>
  <c r="H1835" i="1"/>
  <c r="H1819" i="1"/>
  <c r="H1803" i="1"/>
  <c r="H1784" i="1"/>
  <c r="H1768" i="1"/>
  <c r="H1749" i="1"/>
  <c r="H1733" i="1"/>
  <c r="H1714" i="1"/>
  <c r="H1698" i="1"/>
  <c r="H1679" i="1"/>
  <c r="H1662" i="1"/>
  <c r="H1643" i="1"/>
  <c r="H1627" i="1"/>
  <c r="H1611" i="1"/>
  <c r="H1592" i="1"/>
  <c r="H1576" i="1"/>
  <c r="H1557" i="1"/>
  <c r="H1541" i="1"/>
  <c r="H1518" i="1"/>
  <c r="H1502" i="1"/>
  <c r="H1483" i="1"/>
  <c r="H1464" i="1"/>
  <c r="H1419" i="1"/>
  <c r="H1395" i="1"/>
  <c r="H1376" i="1"/>
  <c r="H1356" i="1"/>
  <c r="H2026" i="1"/>
  <c r="H2006" i="1"/>
  <c r="H1990" i="1"/>
  <c r="H1974" i="1"/>
  <c r="H1955" i="1"/>
  <c r="H1939" i="1"/>
  <c r="H1920" i="1"/>
  <c r="H1903" i="1"/>
  <c r="H1882" i="1"/>
  <c r="H1861" i="1"/>
  <c r="H1834" i="1"/>
  <c r="H1818" i="1"/>
  <c r="H1799" i="1"/>
  <c r="H1783" i="1"/>
  <c r="H1767" i="1"/>
  <c r="H1748" i="1"/>
  <c r="H1732" i="1"/>
  <c r="H1713" i="1"/>
  <c r="H1697" i="1"/>
  <c r="H1677" i="1"/>
  <c r="H1661" i="1"/>
  <c r="H1642" i="1"/>
  <c r="H1626" i="1"/>
  <c r="H1607" i="1"/>
  <c r="H1591" i="1"/>
  <c r="H1575" i="1"/>
  <c r="H1556" i="1"/>
  <c r="H1540" i="1"/>
  <c r="H2025" i="1"/>
  <c r="H2002" i="1"/>
  <c r="H1979" i="1"/>
  <c r="H1954" i="1"/>
  <c r="H1931" i="1"/>
  <c r="H1909" i="1"/>
  <c r="H1881" i="1"/>
  <c r="H1854" i="1"/>
  <c r="H1827" i="1"/>
  <c r="H1798" i="1"/>
  <c r="H1779" i="1"/>
  <c r="H1756" i="1"/>
  <c r="H1731" i="1"/>
  <c r="H1708" i="1"/>
  <c r="H1686" i="1"/>
  <c r="H1660" i="1"/>
  <c r="H1638" i="1"/>
  <c r="H1616" i="1"/>
  <c r="H1590" i="1"/>
  <c r="H1568" i="1"/>
  <c r="H1545" i="1"/>
  <c r="H1517" i="1"/>
  <c r="H1495" i="1"/>
  <c r="H1477" i="1"/>
  <c r="H1436" i="1"/>
  <c r="H1402" i="1"/>
  <c r="H1372" i="1"/>
  <c r="H1353" i="1"/>
  <c r="H1327" i="1"/>
  <c r="H1309" i="1"/>
  <c r="H1290" i="1"/>
  <c r="H1273" i="1"/>
  <c r="H1256" i="1"/>
  <c r="H1235" i="1"/>
  <c r="H1194" i="1"/>
  <c r="H1074" i="1"/>
  <c r="H1051" i="1"/>
  <c r="H1025" i="1"/>
  <c r="H1009" i="1"/>
  <c r="H991" i="1"/>
  <c r="H971" i="1"/>
  <c r="H955" i="1"/>
  <c r="H932" i="1"/>
  <c r="H913" i="1"/>
  <c r="H884" i="1"/>
  <c r="H852" i="1"/>
  <c r="H705" i="1"/>
  <c r="H655" i="1"/>
  <c r="H634" i="1"/>
  <c r="H606" i="1"/>
  <c r="H589" i="1"/>
  <c r="H575" i="1"/>
  <c r="H560" i="1"/>
  <c r="H542" i="1"/>
  <c r="H524" i="1"/>
  <c r="H508" i="1"/>
  <c r="H487" i="1"/>
  <c r="H456" i="1"/>
  <c r="H314" i="1"/>
  <c r="H289" i="1"/>
  <c r="H275" i="1"/>
  <c r="H259" i="1"/>
  <c r="H242" i="1"/>
  <c r="H228" i="1"/>
  <c r="H213" i="1"/>
  <c r="H196" i="1"/>
  <c r="H178" i="1"/>
  <c r="H164" i="1"/>
  <c r="H144" i="1"/>
  <c r="H129" i="1"/>
  <c r="H99" i="1"/>
  <c r="H2024" i="1"/>
  <c r="H2001" i="1"/>
  <c r="H1978" i="1"/>
  <c r="H1953" i="1"/>
  <c r="H1930" i="1"/>
  <c r="H1908" i="1"/>
  <c r="H1880" i="1"/>
  <c r="H1853" i="1"/>
  <c r="H1823" i="1"/>
  <c r="H1797" i="1"/>
  <c r="H1775" i="1"/>
  <c r="H1755" i="1"/>
  <c r="H1727" i="1"/>
  <c r="H1707" i="1"/>
  <c r="H1685" i="1"/>
  <c r="H1659" i="1"/>
  <c r="H1637" i="1"/>
  <c r="H1614" i="1"/>
  <c r="H1589" i="1"/>
  <c r="H1566" i="1"/>
  <c r="H1544" i="1"/>
  <c r="H1516" i="1"/>
  <c r="H1494" i="1"/>
  <c r="H1476" i="1"/>
  <c r="H1435" i="1"/>
  <c r="H1397" i="1"/>
  <c r="H1371" i="1"/>
  <c r="H1352" i="1"/>
  <c r="H1326" i="1"/>
  <c r="H1308" i="1"/>
  <c r="H1289" i="1"/>
  <c r="H1272" i="1"/>
  <c r="H1254" i="1"/>
  <c r="H1232" i="1"/>
  <c r="H1179" i="1"/>
  <c r="H1073" i="1"/>
  <c r="H1050" i="1"/>
  <c r="H1024" i="1"/>
  <c r="H1008" i="1"/>
  <c r="H987" i="1"/>
  <c r="H970" i="1"/>
  <c r="H954" i="1"/>
  <c r="H931" i="1"/>
  <c r="H911" i="1"/>
  <c r="H881" i="1"/>
  <c r="H846" i="1"/>
  <c r="H694" i="1"/>
  <c r="H654" i="1"/>
  <c r="H633" i="1"/>
  <c r="H605" i="1"/>
  <c r="H588" i="1"/>
  <c r="H574" i="1"/>
  <c r="H559" i="1"/>
  <c r="H541" i="1"/>
  <c r="H523" i="1"/>
  <c r="H506" i="1"/>
  <c r="H484" i="1"/>
  <c r="H455" i="1"/>
  <c r="H313" i="1"/>
  <c r="H288" i="1"/>
  <c r="H273" i="1"/>
  <c r="H255" i="1"/>
  <c r="H241" i="1"/>
  <c r="H227" i="1"/>
  <c r="H212" i="1"/>
  <c r="H195" i="1"/>
  <c r="H177" i="1"/>
  <c r="H162" i="1"/>
  <c r="H143" i="1"/>
  <c r="H128" i="1"/>
  <c r="H98" i="1"/>
  <c r="H2023" i="1"/>
  <c r="H2000" i="1"/>
  <c r="H1977" i="1"/>
  <c r="H1952" i="1"/>
  <c r="H1929" i="1"/>
  <c r="H1907" i="1"/>
  <c r="H1879" i="1"/>
  <c r="H1852" i="1"/>
  <c r="H1821" i="1"/>
  <c r="H1796" i="1"/>
  <c r="H1773" i="1"/>
  <c r="H1751" i="1"/>
  <c r="H1725" i="1"/>
  <c r="H1703" i="1"/>
  <c r="H1684" i="1"/>
  <c r="H1655" i="1"/>
  <c r="H1636" i="1"/>
  <c r="H1613" i="1"/>
  <c r="H1588" i="1"/>
  <c r="H1565" i="1"/>
  <c r="H1543" i="1"/>
  <c r="H1514" i="1"/>
  <c r="H1493" i="1"/>
  <c r="H1475" i="1"/>
  <c r="H1434" i="1"/>
  <c r="H1394" i="1"/>
  <c r="H1370" i="1"/>
  <c r="H1351" i="1"/>
  <c r="H1323" i="1"/>
  <c r="H1307" i="1"/>
  <c r="H1288" i="1"/>
  <c r="H1271" i="1"/>
  <c r="H1252" i="1"/>
  <c r="H1218" i="1"/>
  <c r="H1177" i="1"/>
  <c r="H1070" i="1"/>
  <c r="H1046" i="1"/>
  <c r="H1023" i="1"/>
  <c r="H1007" i="1"/>
  <c r="H986" i="1"/>
  <c r="H969" i="1"/>
  <c r="H952" i="1"/>
  <c r="H930" i="1"/>
  <c r="H910" i="1"/>
  <c r="H878" i="1"/>
  <c r="H845" i="1"/>
  <c r="H693" i="1"/>
  <c r="H649" i="1"/>
  <c r="H630" i="1"/>
  <c r="H603" i="1"/>
  <c r="H587" i="1"/>
  <c r="H573" i="1"/>
  <c r="H558" i="1"/>
  <c r="H540" i="1"/>
  <c r="H522" i="1"/>
  <c r="H503" i="1"/>
  <c r="H483" i="1"/>
  <c r="H443" i="1"/>
  <c r="H312" i="1"/>
  <c r="H287" i="1"/>
  <c r="H272" i="1"/>
  <c r="H254" i="1"/>
  <c r="H240" i="1"/>
  <c r="H226" i="1"/>
  <c r="H211" i="1"/>
  <c r="H191" i="1"/>
  <c r="H175" i="1"/>
  <c r="H161" i="1"/>
  <c r="H142" i="1"/>
  <c r="H123" i="1"/>
  <c r="H97" i="1"/>
  <c r="H2022" i="1"/>
  <c r="H1989" i="1"/>
  <c r="H1963" i="1"/>
  <c r="H1928" i="1"/>
  <c r="H1895" i="1"/>
  <c r="H1860" i="1"/>
  <c r="H1817" i="1"/>
  <c r="H1791" i="1"/>
  <c r="H1760" i="1"/>
  <c r="H1724" i="1"/>
  <c r="H1695" i="1"/>
  <c r="H1667" i="1"/>
  <c r="H1635" i="1"/>
  <c r="H1603" i="1"/>
  <c r="H1571" i="1"/>
  <c r="H1539" i="1"/>
  <c r="H1507" i="1"/>
  <c r="H1480" i="1"/>
  <c r="H1431" i="1"/>
  <c r="H1386" i="1"/>
  <c r="H1358" i="1"/>
  <c r="H1322" i="1"/>
  <c r="H1299" i="1"/>
  <c r="H1276" i="1"/>
  <c r="H1250" i="1"/>
  <c r="H1212" i="1"/>
  <c r="H1102" i="1"/>
  <c r="H1044" i="1"/>
  <c r="H1018" i="1"/>
  <c r="H994" i="1"/>
  <c r="H968" i="1"/>
  <c r="H941" i="1"/>
  <c r="H919" i="1"/>
  <c r="H876" i="1"/>
  <c r="H832" i="1"/>
  <c r="H673" i="1"/>
  <c r="H624" i="1"/>
  <c r="H599" i="1"/>
  <c r="H579" i="1"/>
  <c r="H557" i="1"/>
  <c r="H532" i="1"/>
  <c r="H512" i="1"/>
  <c r="H482" i="1"/>
  <c r="H439" i="1"/>
  <c r="H301" i="1"/>
  <c r="H271" i="1"/>
  <c r="H250" i="1"/>
  <c r="H231" i="1"/>
  <c r="H210" i="1"/>
  <c r="H186" i="1"/>
  <c r="H167" i="1"/>
  <c r="H141" i="1"/>
  <c r="H117" i="1"/>
  <c r="H30" i="1"/>
  <c r="H2018" i="1"/>
  <c r="H1988" i="1"/>
  <c r="H1962" i="1"/>
  <c r="H1927" i="1"/>
  <c r="H1894" i="1"/>
  <c r="H1859" i="1"/>
  <c r="H1816" i="1"/>
  <c r="H1787" i="1"/>
  <c r="H1758" i="1"/>
  <c r="H1723" i="1"/>
  <c r="H1691" i="1"/>
  <c r="H1666" i="1"/>
  <c r="H1631" i="1"/>
  <c r="H1602" i="1"/>
  <c r="H1570" i="1"/>
  <c r="H1535" i="1"/>
  <c r="H1506" i="1"/>
  <c r="H1479" i="1"/>
  <c r="H1418" i="1"/>
  <c r="H1385" i="1"/>
  <c r="H1355" i="1"/>
  <c r="H1321" i="1"/>
  <c r="H1298" i="1"/>
  <c r="H1275" i="1"/>
  <c r="H1248" i="1"/>
  <c r="H1211" i="1"/>
  <c r="H1100" i="1"/>
  <c r="H1037" i="1"/>
  <c r="H1017" i="1"/>
  <c r="H993" i="1"/>
  <c r="H967" i="1"/>
  <c r="H939" i="1"/>
  <c r="H917" i="1"/>
  <c r="H875" i="1"/>
  <c r="H831" i="1"/>
  <c r="H658" i="1"/>
  <c r="H621" i="1"/>
  <c r="H597" i="1"/>
  <c r="H577" i="1"/>
  <c r="H556" i="1"/>
  <c r="H531" i="1"/>
  <c r="H511" i="1"/>
  <c r="H481" i="1"/>
  <c r="H348" i="1"/>
  <c r="H291" i="1"/>
  <c r="H270" i="1"/>
  <c r="H248" i="1"/>
  <c r="H230" i="1"/>
  <c r="H204" i="1"/>
  <c r="H184" i="1"/>
  <c r="H166" i="1"/>
  <c r="H140" i="1"/>
  <c r="H113" i="1"/>
  <c r="H29" i="1"/>
  <c r="H2017" i="1"/>
  <c r="H1987" i="1"/>
  <c r="H1958" i="1"/>
  <c r="H1926" i="1"/>
  <c r="H1893" i="1"/>
  <c r="H1855" i="1"/>
  <c r="H1815" i="1"/>
  <c r="H1786" i="1"/>
  <c r="H1757" i="1"/>
  <c r="H1722" i="1"/>
  <c r="H1690" i="1"/>
  <c r="H1665" i="1"/>
  <c r="H1629" i="1"/>
  <c r="H1601" i="1"/>
  <c r="H1569" i="1"/>
  <c r="H1533" i="1"/>
  <c r="H1505" i="1"/>
  <c r="H1478" i="1"/>
  <c r="H1417" i="1"/>
  <c r="H1384" i="1"/>
  <c r="H1354" i="1"/>
  <c r="H1320" i="1"/>
  <c r="H1297" i="1"/>
  <c r="H1274" i="1"/>
  <c r="H1247" i="1"/>
  <c r="H1198" i="1"/>
  <c r="H1080" i="1"/>
  <c r="H1036" i="1"/>
  <c r="H1015" i="1"/>
  <c r="H992" i="1"/>
  <c r="H966" i="1"/>
  <c r="H938" i="1"/>
  <c r="H915" i="1"/>
  <c r="H874" i="1"/>
  <c r="H830" i="1"/>
  <c r="H656" i="1"/>
  <c r="H620" i="1"/>
  <c r="H594" i="1"/>
  <c r="H576" i="1"/>
  <c r="H554" i="1"/>
  <c r="H528" i="1"/>
  <c r="H510" i="1"/>
  <c r="H480" i="1"/>
  <c r="H338" i="1"/>
  <c r="H290" i="1"/>
  <c r="H269" i="1"/>
  <c r="H247" i="1"/>
  <c r="H229" i="1"/>
  <c r="H203" i="1"/>
  <c r="H183" i="1"/>
  <c r="H165" i="1"/>
  <c r="H139" i="1"/>
  <c r="H112" i="1"/>
  <c r="H28" i="1"/>
  <c r="H2016" i="1"/>
  <c r="H1970" i="1"/>
  <c r="H1938" i="1"/>
  <c r="H1892" i="1"/>
  <c r="H1833" i="1"/>
  <c r="H1795" i="1"/>
  <c r="H1747" i="1"/>
  <c r="H1712" i="1"/>
  <c r="H1673" i="1"/>
  <c r="H1625" i="1"/>
  <c r="H1587" i="1"/>
  <c r="H1551" i="1"/>
  <c r="H1504" i="1"/>
  <c r="H1463" i="1"/>
  <c r="H1393" i="1"/>
  <c r="H1347" i="1"/>
  <c r="H1313" i="1"/>
  <c r="H1283" i="1"/>
  <c r="H1246" i="1"/>
  <c r="H1164" i="1"/>
  <c r="H1057" i="1"/>
  <c r="H1012" i="1"/>
  <c r="H981" i="1"/>
  <c r="H950" i="1"/>
  <c r="H904" i="1"/>
  <c r="H860" i="1"/>
  <c r="H687" i="1"/>
  <c r="H618" i="1"/>
  <c r="H586" i="1"/>
  <c r="H563" i="1"/>
  <c r="H527" i="1"/>
  <c r="H499" i="1"/>
  <c r="H442" i="1"/>
  <c r="H285" i="1"/>
  <c r="H263" i="1"/>
  <c r="H235" i="1"/>
  <c r="H202" i="1"/>
  <c r="H174" i="1"/>
  <c r="H148" i="1"/>
  <c r="H111" i="1"/>
  <c r="H2013" i="1"/>
  <c r="H1969" i="1"/>
  <c r="H1934" i="1"/>
  <c r="H1891" i="1"/>
  <c r="H1832" i="1"/>
  <c r="H1794" i="1"/>
  <c r="H1746" i="1"/>
  <c r="H1710" i="1"/>
  <c r="H1672" i="1"/>
  <c r="H1624" i="1"/>
  <c r="H1583" i="1"/>
  <c r="H1547" i="1"/>
  <c r="H1501" i="1"/>
  <c r="H1462" i="1"/>
  <c r="H1392" i="1"/>
  <c r="H1345" i="1"/>
  <c r="H1312" i="1"/>
  <c r="H1282" i="1"/>
  <c r="H1245" i="1"/>
  <c r="H1163" i="1"/>
  <c r="H1056" i="1"/>
  <c r="H1011" i="1"/>
  <c r="H979" i="1"/>
  <c r="H949" i="1"/>
  <c r="H903" i="1"/>
  <c r="H859" i="1"/>
  <c r="H686" i="1"/>
  <c r="H617" i="1"/>
  <c r="H585" i="1"/>
  <c r="H562" i="1"/>
  <c r="H526" i="1"/>
  <c r="H498" i="1"/>
  <c r="H441" i="1"/>
  <c r="H284" i="1"/>
  <c r="H262" i="1"/>
  <c r="H233" i="1"/>
  <c r="H201" i="1"/>
  <c r="H173" i="1"/>
  <c r="H147" i="1"/>
  <c r="H109" i="1"/>
  <c r="H27" i="1"/>
  <c r="H1967" i="1"/>
  <c r="H1702" i="1"/>
  <c r="H1619" i="1"/>
  <c r="H1532" i="1"/>
  <c r="H1439" i="1"/>
  <c r="H1343" i="1"/>
  <c r="H1242" i="1"/>
  <c r="H1035" i="1"/>
  <c r="H976" i="1"/>
  <c r="H901" i="1"/>
  <c r="H648" i="1"/>
  <c r="H583" i="1"/>
  <c r="H519" i="1"/>
  <c r="H337" i="1"/>
  <c r="H253" i="1"/>
  <c r="H199" i="1"/>
  <c r="H137" i="1"/>
  <c r="H2004" i="1"/>
  <c r="H1877" i="1"/>
  <c r="H1781" i="1"/>
  <c r="H1701" i="1"/>
  <c r="H1618" i="1"/>
  <c r="H1531" i="1"/>
  <c r="H1438" i="1"/>
  <c r="H1342" i="1"/>
  <c r="H1267" i="1"/>
  <c r="H1159" i="1"/>
  <c r="H1001" i="1"/>
  <c r="H935" i="1"/>
  <c r="H841" i="1"/>
  <c r="H609" i="1"/>
  <c r="H548" i="1"/>
  <c r="H490" i="1"/>
  <c r="H281" i="1"/>
  <c r="H224" i="1"/>
  <c r="H170" i="1"/>
  <c r="H75" i="1"/>
  <c r="H2012" i="1"/>
  <c r="H1968" i="1"/>
  <c r="H1932" i="1"/>
  <c r="H1890" i="1"/>
  <c r="H1831" i="1"/>
  <c r="H1793" i="1"/>
  <c r="H1745" i="1"/>
  <c r="H1709" i="1"/>
  <c r="H1671" i="1"/>
  <c r="H1623" i="1"/>
  <c r="H1581" i="1"/>
  <c r="H1546" i="1"/>
  <c r="H1499" i="1"/>
  <c r="H1448" i="1"/>
  <c r="H1391" i="1"/>
  <c r="H1344" i="1"/>
  <c r="H1311" i="1"/>
  <c r="H1277" i="1"/>
  <c r="H1244" i="1"/>
  <c r="H1161" i="1"/>
  <c r="H1052" i="1"/>
  <c r="H1010" i="1"/>
  <c r="H978" i="1"/>
  <c r="H942" i="1"/>
  <c r="H902" i="1"/>
  <c r="H858" i="1"/>
  <c r="H675" i="1"/>
  <c r="H616" i="1"/>
  <c r="H584" i="1"/>
  <c r="H561" i="1"/>
  <c r="H525" i="1"/>
  <c r="H495" i="1"/>
  <c r="H440" i="1"/>
  <c r="H283" i="1"/>
  <c r="H260" i="1"/>
  <c r="H232" i="1"/>
  <c r="H200" i="1"/>
  <c r="H172" i="1"/>
  <c r="H146" i="1"/>
  <c r="H108" i="1"/>
  <c r="H2005" i="1"/>
  <c r="H1919" i="1"/>
  <c r="H1878" i="1"/>
  <c r="H1830" i="1"/>
  <c r="H1782" i="1"/>
  <c r="H1743" i="1"/>
  <c r="H1654" i="1"/>
  <c r="H1580" i="1"/>
  <c r="H1492" i="1"/>
  <c r="H1383" i="1"/>
  <c r="H1305" i="1"/>
  <c r="H1270" i="1"/>
  <c r="H1160" i="1"/>
  <c r="H1003" i="1"/>
  <c r="H937" i="1"/>
  <c r="H844" i="1"/>
  <c r="H611" i="1"/>
  <c r="H549" i="1"/>
  <c r="H491" i="1"/>
  <c r="H282" i="1"/>
  <c r="H225" i="1"/>
  <c r="H171" i="1"/>
  <c r="H96" i="1"/>
  <c r="H1965" i="1"/>
  <c r="H1917" i="1"/>
  <c r="H1829" i="1"/>
  <c r="H1739" i="1"/>
  <c r="H1653" i="1"/>
  <c r="H1579" i="1"/>
  <c r="H1491" i="1"/>
  <c r="H1381" i="1"/>
  <c r="H1303" i="1"/>
  <c r="H1239" i="1"/>
  <c r="H1033" i="1"/>
  <c r="H974" i="1"/>
  <c r="H895" i="1"/>
  <c r="H646" i="1"/>
  <c r="H581" i="1"/>
  <c r="H518" i="1"/>
  <c r="H336" i="1"/>
  <c r="H252" i="1"/>
  <c r="H198" i="1"/>
  <c r="H136" i="1"/>
  <c r="H2003" i="1"/>
  <c r="H1943" i="1"/>
  <c r="H1865" i="1"/>
  <c r="H1772" i="1"/>
  <c r="H1719" i="1"/>
  <c r="H1641" i="1"/>
  <c r="H1563" i="1"/>
  <c r="H1490" i="1"/>
  <c r="H1409" i="1"/>
  <c r="H1328" i="1"/>
  <c r="H1263" i="1"/>
  <c r="H1195" i="1"/>
  <c r="H1022" i="1"/>
  <c r="H961" i="1"/>
  <c r="H890" i="1"/>
  <c r="H690" i="1"/>
  <c r="H600" i="1"/>
  <c r="H546" i="1"/>
  <c r="H500" i="1"/>
  <c r="H306" i="1"/>
  <c r="H244" i="1"/>
  <c r="H197" i="1"/>
  <c r="H150" i="1"/>
  <c r="H68" i="1"/>
  <c r="H1915" i="1"/>
  <c r="H1688" i="1"/>
  <c r="H1554" i="1"/>
  <c r="H1369" i="1"/>
  <c r="H1260" i="1"/>
  <c r="H999" i="1"/>
  <c r="H886" i="1"/>
  <c r="H591" i="1"/>
  <c r="H478" i="1"/>
  <c r="H238" i="1"/>
  <c r="H133" i="1"/>
  <c r="H1914" i="1"/>
  <c r="H1368" i="1"/>
  <c r="H956" i="1"/>
  <c r="H477" i="1"/>
  <c r="H181" i="1"/>
  <c r="H1982" i="1"/>
  <c r="H1530" i="1"/>
  <c r="H1296" i="1"/>
  <c r="H997" i="1"/>
  <c r="H933" i="1"/>
  <c r="H572" i="1"/>
  <c r="H533" i="1"/>
  <c r="H220" i="1"/>
  <c r="H130" i="1"/>
  <c r="H1901" i="1"/>
  <c r="H1810" i="1"/>
  <c r="H1675" i="1"/>
  <c r="H1529" i="1"/>
  <c r="H1366" i="1"/>
  <c r="H1236" i="1"/>
  <c r="H995" i="1"/>
  <c r="H864" i="1"/>
  <c r="H571" i="1"/>
  <c r="H460" i="1"/>
  <c r="H179" i="1"/>
  <c r="H1998" i="1"/>
  <c r="H1942" i="1"/>
  <c r="H1851" i="1"/>
  <c r="H1771" i="1"/>
  <c r="H1700" i="1"/>
  <c r="H1640" i="1"/>
  <c r="H1559" i="1"/>
  <c r="H1489" i="1"/>
  <c r="H1408" i="1"/>
  <c r="H1319" i="1"/>
  <c r="H1262" i="1"/>
  <c r="H1103" i="1"/>
  <c r="H1021" i="1"/>
  <c r="H960" i="1"/>
  <c r="H889" i="1"/>
  <c r="H688" i="1"/>
  <c r="H593" i="1"/>
  <c r="H545" i="1"/>
  <c r="H488" i="1"/>
  <c r="H305" i="1"/>
  <c r="H243" i="1"/>
  <c r="H189" i="1"/>
  <c r="H149" i="1"/>
  <c r="H1993" i="1"/>
  <c r="H1986" i="1"/>
  <c r="H1762" i="1"/>
  <c r="H1687" i="1"/>
  <c r="H1606" i="1"/>
  <c r="H1553" i="1"/>
  <c r="H1302" i="1"/>
  <c r="H1259" i="1"/>
  <c r="H998" i="1"/>
  <c r="H868" i="1"/>
  <c r="H640" i="1"/>
  <c r="H534" i="1"/>
  <c r="H278" i="1"/>
  <c r="H1910" i="1"/>
  <c r="H1761" i="1"/>
  <c r="H1468" i="1"/>
  <c r="H1257" i="1"/>
  <c r="H866" i="1"/>
  <c r="H473" i="1"/>
  <c r="H180" i="1"/>
  <c r="H1994" i="1"/>
  <c r="H1916" i="1"/>
  <c r="H1850" i="1"/>
  <c r="H1770" i="1"/>
  <c r="H1689" i="1"/>
  <c r="H1639" i="1"/>
  <c r="H1555" i="1"/>
  <c r="H1488" i="1"/>
  <c r="H1380" i="1"/>
  <c r="H1315" i="1"/>
  <c r="H1261" i="1"/>
  <c r="H1069" i="1"/>
  <c r="H1019" i="1"/>
  <c r="H958" i="1"/>
  <c r="H888" i="1"/>
  <c r="H645" i="1"/>
  <c r="H592" i="1"/>
  <c r="H543" i="1"/>
  <c r="H479" i="1"/>
  <c r="H302" i="1"/>
  <c r="H239" i="1"/>
  <c r="H188" i="1"/>
  <c r="H134" i="1"/>
  <c r="H1849" i="1"/>
  <c r="H1763" i="1"/>
  <c r="H1617" i="1"/>
  <c r="H1481" i="1"/>
  <c r="H1314" i="1"/>
  <c r="H1068" i="1"/>
  <c r="H957" i="1"/>
  <c r="H641" i="1"/>
  <c r="H539" i="1"/>
  <c r="H280" i="1"/>
  <c r="H187" i="1"/>
  <c r="H1828" i="1"/>
  <c r="H1469" i="1"/>
  <c r="H1067" i="1"/>
  <c r="H580" i="1"/>
  <c r="H237" i="1"/>
  <c r="H132" i="1"/>
  <c r="H1811" i="1"/>
  <c r="H1676" i="1"/>
  <c r="H1605" i="1"/>
  <c r="H1367" i="1"/>
  <c r="H1066" i="1"/>
  <c r="H639" i="1"/>
  <c r="H277" i="1"/>
  <c r="H1980" i="1"/>
  <c r="H1738" i="1"/>
  <c r="H1604" i="1"/>
  <c r="H1467" i="1"/>
  <c r="H1294" i="1"/>
  <c r="H1064" i="1"/>
  <c r="H929" i="1"/>
  <c r="H638" i="1"/>
  <c r="H517" i="1"/>
  <c r="H276" i="1"/>
  <c r="H219" i="1"/>
  <c r="H122" i="1"/>
  <c r="H1964" i="1"/>
  <c r="H1806" i="1"/>
  <c r="H1649" i="1"/>
  <c r="H1416" i="1"/>
  <c r="H1284" i="1"/>
  <c r="H984" i="1"/>
  <c r="H730" i="1"/>
  <c r="H547" i="1"/>
  <c r="H267" i="1"/>
  <c r="H158" i="1"/>
  <c r="H1808" i="1"/>
  <c r="H1650" i="1"/>
  <c r="H1437" i="1"/>
  <c r="H1286" i="1"/>
  <c r="H1027" i="1"/>
  <c r="H795" i="1"/>
  <c r="H564" i="1"/>
  <c r="H268" i="1"/>
  <c r="H159" i="1"/>
  <c r="H1950" i="1"/>
  <c r="H1805" i="1"/>
  <c r="H1599" i="1"/>
  <c r="H1415" i="1"/>
  <c r="H1265" i="1"/>
  <c r="H983" i="1"/>
  <c r="H729" i="1"/>
  <c r="H516" i="1"/>
  <c r="H264" i="1"/>
  <c r="H152" i="1"/>
  <c r="H1945" i="1"/>
  <c r="H636" i="1"/>
  <c r="H118" i="1"/>
  <c r="H1736" i="1"/>
  <c r="H1578" i="1"/>
  <c r="H1363" i="1"/>
  <c r="H1214" i="1"/>
  <c r="H962" i="1"/>
  <c r="H635" i="1"/>
  <c r="H502" i="1"/>
  <c r="H218" i="1"/>
  <c r="H74" i="1"/>
  <c r="H1897" i="1"/>
  <c r="H1197" i="1"/>
  <c r="H607" i="1"/>
  <c r="H217" i="1"/>
  <c r="H1721" i="1"/>
  <c r="H1528" i="1"/>
  <c r="H1340" i="1"/>
  <c r="H1196" i="1"/>
  <c r="H925" i="1"/>
  <c r="H602" i="1"/>
  <c r="H459" i="1"/>
  <c r="H216" i="1"/>
  <c r="H69" i="1"/>
  <c r="H1720" i="1"/>
  <c r="H1867" i="1"/>
  <c r="H1513" i="1"/>
  <c r="H1334" i="1"/>
  <c r="H1032" i="1"/>
  <c r="H570" i="1"/>
  <c r="H214" i="1"/>
  <c r="H1866" i="1"/>
  <c r="H1946" i="1"/>
  <c r="H1780" i="1"/>
  <c r="H1595" i="1"/>
  <c r="H1414" i="1"/>
  <c r="H1217" i="1"/>
  <c r="H982" i="1"/>
  <c r="H692" i="1"/>
  <c r="H514" i="1"/>
  <c r="H251" i="1"/>
  <c r="H121" i="1"/>
  <c r="H1737" i="1"/>
  <c r="H1594" i="1"/>
  <c r="H1410" i="1"/>
  <c r="H1216" i="1"/>
  <c r="H972" i="1"/>
  <c r="H513" i="1"/>
  <c r="H245" i="1"/>
  <c r="H1944" i="1"/>
  <c r="H1735" i="1"/>
  <c r="H1564" i="1"/>
  <c r="H1359" i="1"/>
  <c r="H927" i="1"/>
  <c r="H501" i="1"/>
  <c r="H71" i="1"/>
  <c r="H1896" i="1"/>
  <c r="H1876" i="1"/>
  <c r="H1523" i="1"/>
  <c r="H1337" i="1"/>
  <c r="H1062" i="1"/>
  <c r="H923" i="1"/>
  <c r="H601" i="1"/>
  <c r="H322" i="1"/>
  <c r="H215" i="1"/>
  <c r="H1674" i="1"/>
  <c r="H921" i="1"/>
  <c r="H311" i="1"/>
  <c r="H1652" i="1"/>
  <c r="H1512" i="1"/>
  <c r="H1292" i="1"/>
  <c r="H1031" i="1"/>
  <c r="H920" i="1"/>
  <c r="H568" i="1"/>
  <c r="H310" i="1"/>
  <c r="H169" i="1"/>
  <c r="H1809" i="1"/>
  <c r="H1651" i="1"/>
  <c r="H1511" i="1"/>
  <c r="H1287" i="1"/>
  <c r="H1029" i="1"/>
  <c r="H839" i="1"/>
  <c r="H567" i="1"/>
  <c r="H307" i="1"/>
  <c r="H160" i="1"/>
  <c r="H647" i="1"/>
  <c r="H869" i="1"/>
  <c r="H1837" i="1"/>
  <c r="H124" i="1"/>
  <c r="H1843" i="1"/>
  <c r="H1474" i="1"/>
  <c r="H1841" i="1"/>
  <c r="H120" i="1"/>
  <c r="H406" i="1"/>
  <c r="H1868" i="1"/>
  <c r="H870" i="1"/>
  <c r="N30" i="1"/>
  <c r="H1840" i="1"/>
  <c r="H761" i="1"/>
  <c r="H408" i="1"/>
  <c r="H1873" i="1"/>
  <c r="H1838" i="1"/>
  <c r="H1527" i="1"/>
  <c r="H407" i="1"/>
  <c r="H1869" i="1"/>
  <c r="H23" i="1"/>
  <c r="H1526" i="1"/>
  <c r="H1842" i="1"/>
  <c r="H1870" i="1"/>
  <c r="H1524" i="1"/>
  <c r="H1449" i="1"/>
  <c r="H550" i="1"/>
  <c r="H1839" i="1"/>
  <c r="H1872" i="1"/>
  <c r="G1839" i="1"/>
  <c r="G1527" i="1"/>
  <c r="G1838" i="1"/>
  <c r="G1526" i="1"/>
  <c r="G1873" i="1"/>
  <c r="G1837" i="1"/>
  <c r="G1525" i="1"/>
  <c r="G1524" i="1"/>
  <c r="G1449" i="1"/>
  <c r="G406" i="1"/>
  <c r="G1843" i="1"/>
  <c r="G1474" i="1"/>
  <c r="G1870" i="1"/>
  <c r="G1840" i="1"/>
  <c r="G124" i="1"/>
  <c r="G1904" i="1"/>
  <c r="G647" i="1"/>
  <c r="G550" i="1"/>
  <c r="G1473" i="1"/>
  <c r="G869" i="1"/>
  <c r="G1869" i="1"/>
  <c r="G761" i="1"/>
  <c r="G1841" i="1"/>
  <c r="G1836" i="1"/>
  <c r="G23" i="1"/>
  <c r="G870" i="1"/>
  <c r="G1872" i="1"/>
  <c r="G1868" i="1"/>
  <c r="G408" i="1"/>
  <c r="G1889" i="1"/>
  <c r="G407" i="1"/>
  <c r="G120" i="1"/>
  <c r="G1842" i="1"/>
  <c r="H1525" i="1"/>
  <c r="H1836" i="1"/>
  <c r="H1889" i="1"/>
  <c r="H1473" i="1"/>
  <c r="H1904" i="1"/>
  <c r="G2025" i="1" l="1"/>
  <c r="G1879" i="1"/>
  <c r="G1722" i="1"/>
  <c r="G1578" i="1"/>
  <c r="G1394" i="1"/>
  <c r="G1226" i="1"/>
  <c r="G940" i="1"/>
  <c r="G590" i="1"/>
  <c r="G1901" i="1"/>
  <c r="G1730" i="1"/>
  <c r="G1573" i="1"/>
  <c r="G1373" i="1"/>
  <c r="G1080" i="1"/>
  <c r="G880" i="1"/>
  <c r="G527" i="1"/>
  <c r="G215" i="1"/>
  <c r="G1980" i="1"/>
  <c r="G1808" i="1"/>
  <c r="G1651" i="1"/>
  <c r="G1489" i="1"/>
  <c r="G1283" i="1"/>
  <c r="G978" i="1"/>
  <c r="G610" i="1"/>
  <c r="G291" i="1"/>
  <c r="G2018" i="1"/>
  <c r="G1854" i="1"/>
  <c r="G1689" i="1"/>
  <c r="G1532" i="1"/>
  <c r="G1323" i="1"/>
  <c r="G1019" i="1"/>
  <c r="G685" i="1"/>
  <c r="G480" i="1"/>
  <c r="G170" i="1"/>
  <c r="G1828" i="1"/>
  <c r="G1619" i="1"/>
  <c r="G1366" i="1"/>
  <c r="G1000" i="1"/>
  <c r="G579" i="1"/>
  <c r="G208" i="1"/>
  <c r="G1931" i="1"/>
  <c r="G1706" i="1"/>
  <c r="G1493" i="1"/>
  <c r="G1216" i="1"/>
  <c r="G832" i="1"/>
  <c r="G302" i="1"/>
  <c r="G2015" i="1"/>
  <c r="G1790" i="1"/>
  <c r="G1581" i="1"/>
  <c r="G1319" i="1"/>
  <c r="G1978" i="1"/>
  <c r="G1684" i="1"/>
  <c r="G1362" i="1"/>
  <c r="G930" i="1"/>
  <c r="G338" i="1"/>
  <c r="G2003" i="1"/>
  <c r="G1709" i="1"/>
  <c r="G1391" i="1"/>
  <c r="G955" i="1"/>
  <c r="G483" i="1"/>
  <c r="G1974" i="1"/>
  <c r="G1356" i="1"/>
  <c r="G335" i="1"/>
  <c r="G1657" i="1"/>
  <c r="G949" i="1"/>
  <c r="G1751" i="1"/>
  <c r="G1467" i="1"/>
  <c r="G996" i="1"/>
  <c r="G528" i="1"/>
  <c r="G108" i="1"/>
  <c r="G1513" i="1"/>
  <c r="G573" i="1"/>
  <c r="G1817" i="1"/>
  <c r="G1014" i="1"/>
  <c r="G1579" i="1"/>
  <c r="G908" i="1"/>
  <c r="G164" i="1"/>
  <c r="G1647" i="1"/>
  <c r="G936" i="1"/>
  <c r="G148" i="1"/>
  <c r="G831" i="1"/>
  <c r="G1368" i="1"/>
  <c r="G1763" i="1"/>
  <c r="G312" i="1"/>
  <c r="G1696" i="1"/>
  <c r="G1026" i="1"/>
  <c r="G1989" i="1"/>
  <c r="G1830" i="1"/>
  <c r="G1686" i="1"/>
  <c r="G1542" i="1"/>
  <c r="G1354" i="1"/>
  <c r="G1069" i="1"/>
  <c r="G890" i="1"/>
  <c r="G2020" i="1"/>
  <c r="G1856" i="1"/>
  <c r="G1691" i="1"/>
  <c r="G1534" i="1"/>
  <c r="G1326" i="1"/>
  <c r="G1022" i="1"/>
  <c r="G688" i="1"/>
  <c r="G482" i="1"/>
  <c r="G172" i="1"/>
  <c r="G1940" i="1"/>
  <c r="G1768" i="1"/>
  <c r="G1611" i="1"/>
  <c r="G1428" i="1"/>
  <c r="G1242" i="1"/>
  <c r="G934" i="1"/>
  <c r="G571" i="1"/>
  <c r="G251" i="1"/>
  <c r="G1979" i="1"/>
  <c r="G1807" i="1"/>
  <c r="G1649" i="1"/>
  <c r="G1488" i="1"/>
  <c r="G1282" i="1"/>
  <c r="G977" i="1"/>
  <c r="G609" i="1"/>
  <c r="G290" i="1"/>
  <c r="G2000" i="1"/>
  <c r="G1776" i="1"/>
  <c r="G1567" i="1"/>
  <c r="G1305" i="1"/>
  <c r="G942" i="1"/>
  <c r="G521" i="1"/>
  <c r="G147" i="1"/>
  <c r="G1876" i="1"/>
  <c r="G1654" i="1"/>
  <c r="G1409" i="1"/>
  <c r="G1037" i="1"/>
  <c r="G616" i="1"/>
  <c r="G242" i="1"/>
  <c r="G1962" i="1"/>
  <c r="G1738" i="1"/>
  <c r="G1528" i="1"/>
  <c r="G1265" i="1"/>
  <c r="G1909" i="1"/>
  <c r="G1616" i="1"/>
  <c r="G1281" i="1"/>
  <c r="G720" i="1"/>
  <c r="G247" i="1"/>
  <c r="G1934" i="1"/>
  <c r="G1641" i="1"/>
  <c r="G1307" i="1"/>
  <c r="G863" i="1"/>
  <c r="G270" i="1"/>
  <c r="G1819" i="1"/>
  <c r="G1083" i="1"/>
  <c r="G177" i="1"/>
  <c r="G1512" i="1"/>
  <c r="G1975" i="1"/>
  <c r="G1682" i="1"/>
  <c r="G1360" i="1"/>
  <c r="G927" i="1"/>
  <c r="G336" i="1"/>
  <c r="G1951" i="1"/>
  <c r="G1333" i="1"/>
  <c r="G285" i="1"/>
  <c r="G1680" i="1"/>
  <c r="G1959" i="1"/>
  <c r="G1439" i="1"/>
  <c r="G607" i="1"/>
  <c r="G2028" i="1"/>
  <c r="G1535" i="1"/>
  <c r="G642" i="1"/>
  <c r="G1805" i="1"/>
  <c r="G282" i="1"/>
  <c r="G883" i="1"/>
  <c r="G1521" i="1"/>
  <c r="G97" i="1"/>
  <c r="G1577" i="1"/>
  <c r="G907" i="1"/>
  <c r="G1977" i="1"/>
  <c r="G1818" i="1"/>
  <c r="G1674" i="1"/>
  <c r="G1530" i="1"/>
  <c r="G1342" i="1"/>
  <c r="G1052" i="1"/>
  <c r="G875" i="1"/>
  <c r="G2007" i="1"/>
  <c r="G1835" i="1"/>
  <c r="G1678" i="1"/>
  <c r="G1517" i="1"/>
  <c r="G1312" i="1"/>
  <c r="G1009" i="1"/>
  <c r="G648" i="1"/>
  <c r="G455" i="1"/>
  <c r="G159" i="1"/>
  <c r="G1927" i="1"/>
  <c r="G1755" i="1"/>
  <c r="G1598" i="1"/>
  <c r="G1404" i="1"/>
  <c r="G1213" i="1"/>
  <c r="G921" i="1"/>
  <c r="G558" i="1"/>
  <c r="G239" i="1"/>
  <c r="G1966" i="1"/>
  <c r="G1793" i="1"/>
  <c r="G1636" i="1"/>
  <c r="G1475" i="1"/>
  <c r="G1268" i="1"/>
  <c r="G964" i="1"/>
  <c r="G596" i="1"/>
  <c r="G278" i="1"/>
  <c r="G1984" i="1"/>
  <c r="G1760" i="1"/>
  <c r="G1550" i="1"/>
  <c r="G1288" i="1"/>
  <c r="G925" i="1"/>
  <c r="G503" i="1"/>
  <c r="G132" i="1"/>
  <c r="G1852" i="1"/>
  <c r="G1634" i="1"/>
  <c r="G1384" i="1"/>
  <c r="G1017" i="1"/>
  <c r="G594" i="1"/>
  <c r="G224" i="1"/>
  <c r="G1946" i="1"/>
  <c r="F2033" i="1"/>
  <c r="F2021" i="1"/>
  <c r="F2009" i="1"/>
  <c r="F1997" i="1"/>
  <c r="F1985" i="1"/>
  <c r="F1973" i="1"/>
  <c r="F1961" i="1"/>
  <c r="F1949" i="1"/>
  <c r="F1937" i="1"/>
  <c r="F1925" i="1"/>
  <c r="F1913" i="1"/>
  <c r="F1900" i="1"/>
  <c r="F1887" i="1"/>
  <c r="F1875" i="1"/>
  <c r="F1858" i="1"/>
  <c r="F1846" i="1"/>
  <c r="F1826" i="1"/>
  <c r="F1814" i="1"/>
  <c r="F1802" i="1"/>
  <c r="F1790" i="1"/>
  <c r="F1778" i="1"/>
  <c r="F1766" i="1"/>
  <c r="F1754" i="1"/>
  <c r="F1742" i="1"/>
  <c r="F1730" i="1"/>
  <c r="F1718" i="1"/>
  <c r="F1706" i="1"/>
  <c r="F1694" i="1"/>
  <c r="F1682" i="1"/>
  <c r="F1670" i="1"/>
  <c r="F1658" i="1"/>
  <c r="F1646" i="1"/>
  <c r="F1634" i="1"/>
  <c r="F1622" i="1"/>
  <c r="F1610" i="1"/>
  <c r="F1598" i="1"/>
  <c r="F1586" i="1"/>
  <c r="F1574" i="1"/>
  <c r="F1562" i="1"/>
  <c r="F1550" i="1"/>
  <c r="F1538" i="1"/>
  <c r="F1522" i="1"/>
  <c r="F1510" i="1"/>
  <c r="F2023" i="1"/>
  <c r="F2010" i="1"/>
  <c r="F1996" i="1"/>
  <c r="F1983" i="1"/>
  <c r="F1970" i="1"/>
  <c r="F1957" i="1"/>
  <c r="F1944" i="1"/>
  <c r="F1931" i="1"/>
  <c r="F1918" i="1"/>
  <c r="F1905" i="1"/>
  <c r="F1891" i="1"/>
  <c r="F1877" i="1"/>
  <c r="F1859" i="1"/>
  <c r="F1845" i="1"/>
  <c r="F1824" i="1"/>
  <c r="F1811" i="1"/>
  <c r="F1798" i="1"/>
  <c r="F1785" i="1"/>
  <c r="F1772" i="1"/>
  <c r="F1759" i="1"/>
  <c r="F1746" i="1"/>
  <c r="F1733" i="1"/>
  <c r="F1720" i="1"/>
  <c r="F1707" i="1"/>
  <c r="F1693" i="1"/>
  <c r="F1680" i="1"/>
  <c r="F1667" i="1"/>
  <c r="F1654" i="1"/>
  <c r="F1641" i="1"/>
  <c r="F1628" i="1"/>
  <c r="F1615" i="1"/>
  <c r="F1602" i="1"/>
  <c r="F1589" i="1"/>
  <c r="F1576" i="1"/>
  <c r="F1563" i="1"/>
  <c r="F1549" i="1"/>
  <c r="F1536" i="1"/>
  <c r="F1519" i="1"/>
  <c r="F1506" i="1"/>
  <c r="F1494" i="1"/>
  <c r="F2022" i="1"/>
  <c r="F2008" i="1"/>
  <c r="F1995" i="1"/>
  <c r="F1982" i="1"/>
  <c r="F1969" i="1"/>
  <c r="F1956" i="1"/>
  <c r="F1943" i="1"/>
  <c r="F1930" i="1"/>
  <c r="F1917" i="1"/>
  <c r="F1903" i="1"/>
  <c r="F1890" i="1"/>
  <c r="F1876" i="1"/>
  <c r="F1857" i="1"/>
  <c r="F1844" i="1"/>
  <c r="F1823" i="1"/>
  <c r="F1810" i="1"/>
  <c r="F1797" i="1"/>
  <c r="F1784" i="1"/>
  <c r="F1771" i="1"/>
  <c r="F1758" i="1"/>
  <c r="F1745" i="1"/>
  <c r="F1732" i="1"/>
  <c r="F1719" i="1"/>
  <c r="F1705" i="1"/>
  <c r="F1692" i="1"/>
  <c r="F1679" i="1"/>
  <c r="F1666" i="1"/>
  <c r="F1653" i="1"/>
  <c r="F1640" i="1"/>
  <c r="F1627" i="1"/>
  <c r="F1614" i="1"/>
  <c r="F1601" i="1"/>
  <c r="F1588" i="1"/>
  <c r="F1575" i="1"/>
  <c r="F1561" i="1"/>
  <c r="F1548" i="1"/>
  <c r="F1535" i="1"/>
  <c r="F1518" i="1"/>
  <c r="F1505" i="1"/>
  <c r="F2018" i="1"/>
  <c r="F2003" i="1"/>
  <c r="F1988" i="1"/>
  <c r="F1972" i="1"/>
  <c r="F1955" i="1"/>
  <c r="F1940" i="1"/>
  <c r="F1924" i="1"/>
  <c r="F1909" i="1"/>
  <c r="F1893" i="1"/>
  <c r="F1874" i="1"/>
  <c r="F1854" i="1"/>
  <c r="F1831" i="1"/>
  <c r="F1816" i="1"/>
  <c r="F1800" i="1"/>
  <c r="F1783" i="1"/>
  <c r="F1768" i="1"/>
  <c r="F1752" i="1"/>
  <c r="F1737" i="1"/>
  <c r="F1722" i="1"/>
  <c r="F1704" i="1"/>
  <c r="F1689" i="1"/>
  <c r="F1674" i="1"/>
  <c r="F1659" i="1"/>
  <c r="F1643" i="1"/>
  <c r="F1626" i="1"/>
  <c r="F1611" i="1"/>
  <c r="F1595" i="1"/>
  <c r="F1580" i="1"/>
  <c r="F1565" i="1"/>
  <c r="F1547" i="1"/>
  <c r="F1532" i="1"/>
  <c r="F1513" i="1"/>
  <c r="F1498" i="1"/>
  <c r="F1485" i="1"/>
  <c r="F1471" i="1"/>
  <c r="F1441" i="1"/>
  <c r="F1427" i="1"/>
  <c r="F1404" i="1"/>
  <c r="F1389" i="1"/>
  <c r="F1374" i="1"/>
  <c r="F1361" i="1"/>
  <c r="F1349" i="1"/>
  <c r="F1334" i="1"/>
  <c r="F1317" i="1"/>
  <c r="F1305" i="1"/>
  <c r="F1292" i="1"/>
  <c r="F1279" i="1"/>
  <c r="F1267" i="1"/>
  <c r="F1254" i="1"/>
  <c r="F1242" i="1"/>
  <c r="F1214" i="1"/>
  <c r="F1179" i="1"/>
  <c r="F1082" i="1"/>
  <c r="F1064" i="1"/>
  <c r="F1044" i="1"/>
  <c r="F1027" i="1"/>
  <c r="F1015" i="1"/>
  <c r="F1001" i="1"/>
  <c r="F989" i="1"/>
  <c r="F976" i="1"/>
  <c r="F964" i="1"/>
  <c r="F952" i="1"/>
  <c r="F935" i="1"/>
  <c r="F923" i="1"/>
  <c r="F906" i="1"/>
  <c r="F884" i="1"/>
  <c r="F864" i="1"/>
  <c r="F841" i="1"/>
  <c r="F705" i="1"/>
  <c r="F673" i="1"/>
  <c r="F643" i="1"/>
  <c r="F630" i="1"/>
  <c r="F609" i="1"/>
  <c r="F597" i="1"/>
  <c r="F585" i="1"/>
  <c r="F573" i="1"/>
  <c r="F560" i="1"/>
  <c r="F545" i="1"/>
  <c r="F528" i="1"/>
  <c r="F516" i="1"/>
  <c r="F501" i="1"/>
  <c r="F483" i="1"/>
  <c r="F456" i="1"/>
  <c r="F335" i="1"/>
  <c r="F301" i="1"/>
  <c r="F281" i="1"/>
  <c r="F269" i="1"/>
  <c r="F253" i="1"/>
  <c r="F241" i="1"/>
  <c r="F229" i="1"/>
  <c r="F216" i="1"/>
  <c r="F201" i="1"/>
  <c r="F187" i="1"/>
  <c r="F173" i="1"/>
  <c r="F160" i="1"/>
  <c r="F142" i="1"/>
  <c r="F128" i="1"/>
  <c r="F99" i="1"/>
  <c r="F28" i="1"/>
  <c r="F2032" i="1"/>
  <c r="F2017" i="1"/>
  <c r="F2002" i="1"/>
  <c r="F1987" i="1"/>
  <c r="F1971" i="1"/>
  <c r="F1954" i="1"/>
  <c r="F1939" i="1"/>
  <c r="F1923" i="1"/>
  <c r="F1908" i="1"/>
  <c r="F1892" i="1"/>
  <c r="F1871" i="1"/>
  <c r="F1853" i="1"/>
  <c r="F1830" i="1"/>
  <c r="F1815" i="1"/>
  <c r="F1799" i="1"/>
  <c r="F1782" i="1"/>
  <c r="F1767" i="1"/>
  <c r="F1751" i="1"/>
  <c r="F1736" i="1"/>
  <c r="F1721" i="1"/>
  <c r="F1703" i="1"/>
  <c r="F1688" i="1"/>
  <c r="F1673" i="1"/>
  <c r="F1657" i="1"/>
  <c r="F1642" i="1"/>
  <c r="F1625" i="1"/>
  <c r="F1609" i="1"/>
  <c r="F1594" i="1"/>
  <c r="F1579" i="1"/>
  <c r="F1564" i="1"/>
  <c r="F1546" i="1"/>
  <c r="F1531" i="1"/>
  <c r="F1512" i="1"/>
  <c r="F1497" i="1"/>
  <c r="F1484" i="1"/>
  <c r="F1470" i="1"/>
  <c r="F1440" i="1"/>
  <c r="F1420" i="1"/>
  <c r="F1403" i="1"/>
  <c r="F1388" i="1"/>
  <c r="F1373" i="1"/>
  <c r="F1360" i="1"/>
  <c r="F1348" i="1"/>
  <c r="F1333" i="1"/>
  <c r="F1316" i="1"/>
  <c r="F1304" i="1"/>
  <c r="F1291" i="1"/>
  <c r="F1278" i="1"/>
  <c r="F1266" i="1"/>
  <c r="F1253" i="1"/>
  <c r="F1241" i="1"/>
  <c r="F1213" i="1"/>
  <c r="F1178" i="1"/>
  <c r="F1081" i="1"/>
  <c r="F1063" i="1"/>
  <c r="F1043" i="1"/>
  <c r="F1026" i="1"/>
  <c r="F1014" i="1"/>
  <c r="F1000" i="1"/>
  <c r="F988" i="1"/>
  <c r="F975" i="1"/>
  <c r="F963" i="1"/>
  <c r="F951" i="1"/>
  <c r="F934" i="1"/>
  <c r="F922" i="1"/>
  <c r="F905" i="1"/>
  <c r="F883" i="1"/>
  <c r="F863" i="1"/>
  <c r="F840" i="1"/>
  <c r="F695" i="1"/>
  <c r="F659" i="1"/>
  <c r="F642" i="1"/>
  <c r="F625" i="1"/>
  <c r="F608" i="1"/>
  <c r="F596" i="1"/>
  <c r="F584" i="1"/>
  <c r="F572" i="1"/>
  <c r="F559" i="1"/>
  <c r="F543" i="1"/>
  <c r="F527" i="1"/>
  <c r="F514" i="1"/>
  <c r="F500" i="1"/>
  <c r="F482" i="1"/>
  <c r="F455" i="1"/>
  <c r="F322" i="1"/>
  <c r="F293" i="1"/>
  <c r="F280" i="1"/>
  <c r="F268" i="1"/>
  <c r="F252" i="1"/>
  <c r="F240" i="1"/>
  <c r="F228" i="1"/>
  <c r="F215" i="1"/>
  <c r="F200" i="1"/>
  <c r="F186" i="1"/>
  <c r="F172" i="1"/>
  <c r="F159" i="1"/>
  <c r="F141" i="1"/>
  <c r="F123" i="1"/>
  <c r="F98" i="1"/>
  <c r="F2030" i="1"/>
  <c r="F2000" i="1"/>
  <c r="F1967" i="1"/>
  <c r="F1936" i="1"/>
  <c r="F1906" i="1"/>
  <c r="F1866" i="1"/>
  <c r="F1828" i="1"/>
  <c r="F1795" i="1"/>
  <c r="F1764" i="1"/>
  <c r="F1734" i="1"/>
  <c r="F1701" i="1"/>
  <c r="F1671" i="1"/>
  <c r="F1638" i="1"/>
  <c r="F1607" i="1"/>
  <c r="F1577" i="1"/>
  <c r="F1544" i="1"/>
  <c r="F1509" i="1"/>
  <c r="F1482" i="1"/>
  <c r="F1438" i="1"/>
  <c r="F1400" i="1"/>
  <c r="F1371" i="1"/>
  <c r="F1346" i="1"/>
  <c r="F1314" i="1"/>
  <c r="F1289" i="1"/>
  <c r="F1264" i="1"/>
  <c r="F1236" i="1"/>
  <c r="F1079" i="1"/>
  <c r="F1036" i="1"/>
  <c r="F1012" i="1"/>
  <c r="F986" i="1"/>
  <c r="F961" i="1"/>
  <c r="F932" i="1"/>
  <c r="F903" i="1"/>
  <c r="F859" i="1"/>
  <c r="F693" i="1"/>
  <c r="F640" i="1"/>
  <c r="F606" i="1"/>
  <c r="F582" i="1"/>
  <c r="F557" i="1"/>
  <c r="F525" i="1"/>
  <c r="F498" i="1"/>
  <c r="F442" i="1"/>
  <c r="F290" i="1"/>
  <c r="F266" i="1"/>
  <c r="F238" i="1"/>
  <c r="F213" i="1"/>
  <c r="F183" i="1"/>
  <c r="F152" i="1"/>
  <c r="F121" i="1"/>
  <c r="F27" i="1"/>
  <c r="F2031" i="1"/>
  <c r="F2016" i="1"/>
  <c r="F2001" i="1"/>
  <c r="F1986" i="1"/>
  <c r="F1968" i="1"/>
  <c r="F1953" i="1"/>
  <c r="F1938" i="1"/>
  <c r="F1922" i="1"/>
  <c r="F1907" i="1"/>
  <c r="F1888" i="1"/>
  <c r="F1867" i="1"/>
  <c r="F1852" i="1"/>
  <c r="F1829" i="1"/>
  <c r="F1813" i="1"/>
  <c r="F1796" i="1"/>
  <c r="F1781" i="1"/>
  <c r="F1765" i="1"/>
  <c r="F1750" i="1"/>
  <c r="F1735" i="1"/>
  <c r="F1717" i="1"/>
  <c r="F1702" i="1"/>
  <c r="F1687" i="1"/>
  <c r="F1672" i="1"/>
  <c r="F1656" i="1"/>
  <c r="F1639" i="1"/>
  <c r="F1624" i="1"/>
  <c r="F1608" i="1"/>
  <c r="F1593" i="1"/>
  <c r="F1578" i="1"/>
  <c r="F1560" i="1"/>
  <c r="F1545" i="1"/>
  <c r="F1530" i="1"/>
  <c r="F1511" i="1"/>
  <c r="F1496" i="1"/>
  <c r="F1483" i="1"/>
  <c r="F1469" i="1"/>
  <c r="F1439" i="1"/>
  <c r="F1419" i="1"/>
  <c r="F1402" i="1"/>
  <c r="F1386" i="1"/>
  <c r="F1372" i="1"/>
  <c r="F1359" i="1"/>
  <c r="F1347" i="1"/>
  <c r="F1328" i="1"/>
  <c r="F1315" i="1"/>
  <c r="F1303" i="1"/>
  <c r="F1290" i="1"/>
  <c r="F1277" i="1"/>
  <c r="F1265" i="1"/>
  <c r="F1252" i="1"/>
  <c r="F1239" i="1"/>
  <c r="F1212" i="1"/>
  <c r="F1177" i="1"/>
  <c r="F1080" i="1"/>
  <c r="F1062" i="1"/>
  <c r="F1037" i="1"/>
  <c r="F1025" i="1"/>
  <c r="F1013" i="1"/>
  <c r="F999" i="1"/>
  <c r="F987" i="1"/>
  <c r="F974" i="1"/>
  <c r="F962" i="1"/>
  <c r="F950" i="1"/>
  <c r="F933" i="1"/>
  <c r="F921" i="1"/>
  <c r="F904" i="1"/>
  <c r="F881" i="1"/>
  <c r="F860" i="1"/>
  <c r="F839" i="1"/>
  <c r="F694" i="1"/>
  <c r="F658" i="1"/>
  <c r="F641" i="1"/>
  <c r="F624" i="1"/>
  <c r="F607" i="1"/>
  <c r="F595" i="1"/>
  <c r="F583" i="1"/>
  <c r="F571" i="1"/>
  <c r="F558" i="1"/>
  <c r="F542" i="1"/>
  <c r="F526" i="1"/>
  <c r="F513" i="1"/>
  <c r="F499" i="1"/>
  <c r="F481" i="1"/>
  <c r="F443" i="1"/>
  <c r="F314" i="1"/>
  <c r="F291" i="1"/>
  <c r="F279" i="1"/>
  <c r="F267" i="1"/>
  <c r="F251" i="1"/>
  <c r="F239" i="1"/>
  <c r="F227" i="1"/>
  <c r="F214" i="1"/>
  <c r="F199" i="1"/>
  <c r="F184" i="1"/>
  <c r="F171" i="1"/>
  <c r="F158" i="1"/>
  <c r="F140" i="1"/>
  <c r="F122" i="1"/>
  <c r="F97" i="1"/>
  <c r="F2015" i="1"/>
  <c r="F1984" i="1"/>
  <c r="F1952" i="1"/>
  <c r="F1921" i="1"/>
  <c r="F1886" i="1"/>
  <c r="F1851" i="1"/>
  <c r="F1812" i="1"/>
  <c r="F1780" i="1"/>
  <c r="F1749" i="1"/>
  <c r="F1716" i="1"/>
  <c r="F1686" i="1"/>
  <c r="F1655" i="1"/>
  <c r="F1623" i="1"/>
  <c r="F1592" i="1"/>
  <c r="F1559" i="1"/>
  <c r="F1529" i="1"/>
  <c r="F1495" i="1"/>
  <c r="F1468" i="1"/>
  <c r="F1418" i="1"/>
  <c r="F1385" i="1"/>
  <c r="F1358" i="1"/>
  <c r="F1327" i="1"/>
  <c r="F1302" i="1"/>
  <c r="F1276" i="1"/>
  <c r="F1251" i="1"/>
  <c r="F1211" i="1"/>
  <c r="F1164" i="1"/>
  <c r="F1058" i="1"/>
  <c r="F1024" i="1"/>
  <c r="F998" i="1"/>
  <c r="F973" i="1"/>
  <c r="F949" i="1"/>
  <c r="F920" i="1"/>
  <c r="F880" i="1"/>
  <c r="F832" i="1"/>
  <c r="F657" i="1"/>
  <c r="F623" i="1"/>
  <c r="F594" i="1"/>
  <c r="F570" i="1"/>
  <c r="F541" i="1"/>
  <c r="F512" i="1"/>
  <c r="F480" i="1"/>
  <c r="F313" i="1"/>
  <c r="F278" i="1"/>
  <c r="F250" i="1"/>
  <c r="F226" i="1"/>
  <c r="F198" i="1"/>
  <c r="F170" i="1"/>
  <c r="F139" i="1"/>
  <c r="F96" i="1"/>
  <c r="F2012" i="1"/>
  <c r="F1990" i="1"/>
  <c r="F1964" i="1"/>
  <c r="F1942" i="1"/>
  <c r="F1916" i="1"/>
  <c r="F1895" i="1"/>
  <c r="F1863" i="1"/>
  <c r="F1833" i="1"/>
  <c r="F1807" i="1"/>
  <c r="F1787" i="1"/>
  <c r="F1761" i="1"/>
  <c r="F1739" i="1"/>
  <c r="F1713" i="1"/>
  <c r="F1691" i="1"/>
  <c r="F1665" i="1"/>
  <c r="F1645" i="1"/>
  <c r="F1619" i="1"/>
  <c r="F1597" i="1"/>
  <c r="F1571" i="1"/>
  <c r="F1552" i="1"/>
  <c r="F1521" i="1"/>
  <c r="F1500" i="1"/>
  <c r="F1479" i="1"/>
  <c r="F1448" i="1"/>
  <c r="F1415" i="1"/>
  <c r="F1391" i="1"/>
  <c r="F1368" i="1"/>
  <c r="F1351" i="1"/>
  <c r="F1323" i="1"/>
  <c r="F1307" i="1"/>
  <c r="F1286" i="1"/>
  <c r="F1269" i="1"/>
  <c r="F1248" i="1"/>
  <c r="F1216" i="1"/>
  <c r="F1160" i="1"/>
  <c r="F1066" i="1"/>
  <c r="F1033" i="1"/>
  <c r="F1017" i="1"/>
  <c r="F995" i="1"/>
  <c r="F978" i="1"/>
  <c r="F958" i="1"/>
  <c r="F937" i="1"/>
  <c r="F915" i="1"/>
  <c r="F886" i="1"/>
  <c r="F852" i="1"/>
  <c r="F720" i="1"/>
  <c r="F654" i="1"/>
  <c r="F633" i="1"/>
  <c r="F603" i="1"/>
  <c r="F587" i="1"/>
  <c r="F567" i="1"/>
  <c r="F547" i="1"/>
  <c r="F522" i="1"/>
  <c r="F503" i="1"/>
  <c r="F477" i="1"/>
  <c r="F337" i="1"/>
  <c r="F287" i="1"/>
  <c r="F271" i="1"/>
  <c r="F247" i="1"/>
  <c r="F231" i="1"/>
  <c r="F210" i="1"/>
  <c r="F189" i="1"/>
  <c r="F166" i="1"/>
  <c r="F144" i="1"/>
  <c r="F113" i="1"/>
  <c r="F30" i="1"/>
  <c r="F2028" i="1"/>
  <c r="F2006" i="1"/>
  <c r="F1960" i="1"/>
  <c r="F1934" i="1"/>
  <c r="F1912" i="1"/>
  <c r="F1884" i="1"/>
  <c r="F1860" i="1"/>
  <c r="F1825" i="1"/>
  <c r="F1777" i="1"/>
  <c r="F1756" i="1"/>
  <c r="F1710" i="1"/>
  <c r="F1636" i="1"/>
  <c r="F1590" i="1"/>
  <c r="F1542" i="1"/>
  <c r="F1492" i="1"/>
  <c r="F1409" i="1"/>
  <c r="F1344" i="1"/>
  <c r="F1299" i="1"/>
  <c r="F1262" i="1"/>
  <c r="F1197" i="1"/>
  <c r="F1056" i="1"/>
  <c r="F1010" i="1"/>
  <c r="F971" i="1"/>
  <c r="F955" i="1"/>
  <c r="F910" i="1"/>
  <c r="F845" i="1"/>
  <c r="F646" i="1"/>
  <c r="F620" i="1"/>
  <c r="F580" i="1"/>
  <c r="F539" i="1"/>
  <c r="F491" i="1"/>
  <c r="F460" i="1"/>
  <c r="F284" i="1"/>
  <c r="F263" i="1"/>
  <c r="F224" i="1"/>
  <c r="F180" i="1"/>
  <c r="F163" i="1"/>
  <c r="F110" i="1"/>
  <c r="F2005" i="1"/>
  <c r="F1979" i="1"/>
  <c r="F1911" i="1"/>
  <c r="F1856" i="1"/>
  <c r="F1776" i="1"/>
  <c r="F1683" i="1"/>
  <c r="F1613" i="1"/>
  <c r="F1541" i="1"/>
  <c r="F1475" i="1"/>
  <c r="F1343" i="1"/>
  <c r="F1261" i="1"/>
  <c r="F1100" i="1"/>
  <c r="F1009" i="1"/>
  <c r="F970" i="1"/>
  <c r="F908" i="1"/>
  <c r="F688" i="1"/>
  <c r="F618" i="1"/>
  <c r="F537" i="1"/>
  <c r="F490" i="1"/>
  <c r="F310" i="1"/>
  <c r="F243" i="1"/>
  <c r="F203" i="1"/>
  <c r="F162" i="1"/>
  <c r="F2026" i="1"/>
  <c r="F1978" i="1"/>
  <c r="F1910" i="1"/>
  <c r="F1855" i="1"/>
  <c r="F1775" i="1"/>
  <c r="F1708" i="1"/>
  <c r="F1612" i="1"/>
  <c r="F1540" i="1"/>
  <c r="F1472" i="1"/>
  <c r="F1381" i="1"/>
  <c r="F1297" i="1"/>
  <c r="F1243" i="1"/>
  <c r="F1028" i="1"/>
  <c r="F953" i="1"/>
  <c r="F875" i="1"/>
  <c r="F644" i="1"/>
  <c r="F598" i="1"/>
  <c r="F536" i="1"/>
  <c r="F489" i="1"/>
  <c r="F308" i="1"/>
  <c r="F242" i="1"/>
  <c r="F202" i="1"/>
  <c r="F133" i="1"/>
  <c r="F108" i="1"/>
  <c r="F1977" i="1"/>
  <c r="F1929" i="1"/>
  <c r="F1881" i="1"/>
  <c r="F1820" i="1"/>
  <c r="F1774" i="1"/>
  <c r="F1726" i="1"/>
  <c r="F1678" i="1"/>
  <c r="F1632" i="1"/>
  <c r="F2011" i="1"/>
  <c r="F1989" i="1"/>
  <c r="F1963" i="1"/>
  <c r="F1941" i="1"/>
  <c r="F1915" i="1"/>
  <c r="F1894" i="1"/>
  <c r="F1862" i="1"/>
  <c r="F1832" i="1"/>
  <c r="F1806" i="1"/>
  <c r="F1786" i="1"/>
  <c r="F1760" i="1"/>
  <c r="F1738" i="1"/>
  <c r="F1712" i="1"/>
  <c r="F1690" i="1"/>
  <c r="F1664" i="1"/>
  <c r="F1644" i="1"/>
  <c r="F1618" i="1"/>
  <c r="F1596" i="1"/>
  <c r="F1570" i="1"/>
  <c r="F1551" i="1"/>
  <c r="F1520" i="1"/>
  <c r="F1499" i="1"/>
  <c r="F1478" i="1"/>
  <c r="F1442" i="1"/>
  <c r="F1414" i="1"/>
  <c r="F1390" i="1"/>
  <c r="F1367" i="1"/>
  <c r="F1350" i="1"/>
  <c r="F1322" i="1"/>
  <c r="F1306" i="1"/>
  <c r="F1285" i="1"/>
  <c r="F1268" i="1"/>
  <c r="F1247" i="1"/>
  <c r="F1215" i="1"/>
  <c r="F1159" i="1"/>
  <c r="F1065" i="1"/>
  <c r="F1032" i="1"/>
  <c r="F1016" i="1"/>
  <c r="F994" i="1"/>
  <c r="F977" i="1"/>
  <c r="F957" i="1"/>
  <c r="F936" i="1"/>
  <c r="F913" i="1"/>
  <c r="F885" i="1"/>
  <c r="F851" i="1"/>
  <c r="F706" i="1"/>
  <c r="F649" i="1"/>
  <c r="F631" i="1"/>
  <c r="F602" i="1"/>
  <c r="F586" i="1"/>
  <c r="F565" i="1"/>
  <c r="F546" i="1"/>
  <c r="F521" i="1"/>
  <c r="F502" i="1"/>
  <c r="F474" i="1"/>
  <c r="F336" i="1"/>
  <c r="F286" i="1"/>
  <c r="F270" i="1"/>
  <c r="F246" i="1"/>
  <c r="F230" i="1"/>
  <c r="F208" i="1"/>
  <c r="F188" i="1"/>
  <c r="F165" i="1"/>
  <c r="F143" i="1"/>
  <c r="F112" i="1"/>
  <c r="F29" i="1"/>
  <c r="F1980" i="1"/>
  <c r="F1804" i="1"/>
  <c r="F1729" i="1"/>
  <c r="F1684" i="1"/>
  <c r="F1662" i="1"/>
  <c r="F1616" i="1"/>
  <c r="F1568" i="1"/>
  <c r="F1516" i="1"/>
  <c r="F1476" i="1"/>
  <c r="F1436" i="1"/>
  <c r="F1383" i="1"/>
  <c r="F1365" i="1"/>
  <c r="F1320" i="1"/>
  <c r="F1283" i="1"/>
  <c r="F1245" i="1"/>
  <c r="F1102" i="1"/>
  <c r="F1030" i="1"/>
  <c r="F992" i="1"/>
  <c r="F930" i="1"/>
  <c r="F878" i="1"/>
  <c r="F690" i="1"/>
  <c r="F600" i="1"/>
  <c r="F563" i="1"/>
  <c r="F519" i="1"/>
  <c r="F311" i="1"/>
  <c r="F244" i="1"/>
  <c r="F204" i="1"/>
  <c r="F136" i="1"/>
  <c r="F1933" i="1"/>
  <c r="F1803" i="1"/>
  <c r="F1709" i="1"/>
  <c r="F1635" i="1"/>
  <c r="F1567" i="1"/>
  <c r="F1491" i="1"/>
  <c r="F1382" i="1"/>
  <c r="F1298" i="1"/>
  <c r="F1244" i="1"/>
  <c r="F1054" i="1"/>
  <c r="F991" i="1"/>
  <c r="F929" i="1"/>
  <c r="F844" i="1"/>
  <c r="F579" i="1"/>
  <c r="F283" i="1"/>
  <c r="F134" i="1"/>
  <c r="F1958" i="1"/>
  <c r="F1801" i="1"/>
  <c r="F1727" i="1"/>
  <c r="F1660" i="1"/>
  <c r="F1585" i="1"/>
  <c r="F1514" i="1"/>
  <c r="F1434" i="1"/>
  <c r="F1362" i="1"/>
  <c r="F1342" i="1"/>
  <c r="F1281" i="1"/>
  <c r="F1195" i="1"/>
  <c r="F1052" i="1"/>
  <c r="F1008" i="1"/>
  <c r="F969" i="1"/>
  <c r="F907" i="1"/>
  <c r="F687" i="1"/>
  <c r="F561" i="1"/>
  <c r="F282" i="1"/>
  <c r="F178" i="1"/>
  <c r="F2029" i="1"/>
  <c r="F2007" i="1"/>
  <c r="F1981" i="1"/>
  <c r="F1962" i="1"/>
  <c r="F1935" i="1"/>
  <c r="F1914" i="1"/>
  <c r="F1885" i="1"/>
  <c r="F1861" i="1"/>
  <c r="F1827" i="1"/>
  <c r="F1805" i="1"/>
  <c r="F1779" i="1"/>
  <c r="F1757" i="1"/>
  <c r="F1731" i="1"/>
  <c r="F1711" i="1"/>
  <c r="F1685" i="1"/>
  <c r="F1663" i="1"/>
  <c r="F1637" i="1"/>
  <c r="F1617" i="1"/>
  <c r="F1591" i="1"/>
  <c r="F1569" i="1"/>
  <c r="F1543" i="1"/>
  <c r="F1517" i="1"/>
  <c r="F1493" i="1"/>
  <c r="F1477" i="1"/>
  <c r="F1437" i="1"/>
  <c r="F1410" i="1"/>
  <c r="F1384" i="1"/>
  <c r="F1366" i="1"/>
  <c r="F1345" i="1"/>
  <c r="F1321" i="1"/>
  <c r="F1300" i="1"/>
  <c r="F1284" i="1"/>
  <c r="F1263" i="1"/>
  <c r="F1246" i="1"/>
  <c r="F1198" i="1"/>
  <c r="F1103" i="1"/>
  <c r="F1057" i="1"/>
  <c r="F1031" i="1"/>
  <c r="F1011" i="1"/>
  <c r="F993" i="1"/>
  <c r="F972" i="1"/>
  <c r="F956" i="1"/>
  <c r="F931" i="1"/>
  <c r="F911" i="1"/>
  <c r="F879" i="1"/>
  <c r="F846" i="1"/>
  <c r="F692" i="1"/>
  <c r="F648" i="1"/>
  <c r="F621" i="1"/>
  <c r="F601" i="1"/>
  <c r="F581" i="1"/>
  <c r="F564" i="1"/>
  <c r="F540" i="1"/>
  <c r="F520" i="1"/>
  <c r="F495" i="1"/>
  <c r="F473" i="1"/>
  <c r="F312" i="1"/>
  <c r="F285" i="1"/>
  <c r="F264" i="1"/>
  <c r="F245" i="1"/>
  <c r="F225" i="1"/>
  <c r="F207" i="1"/>
  <c r="F181" i="1"/>
  <c r="F164" i="1"/>
  <c r="F137" i="1"/>
  <c r="F111" i="1"/>
  <c r="F2027" i="1"/>
  <c r="F1959" i="1"/>
  <c r="F1883" i="1"/>
  <c r="F1822" i="1"/>
  <c r="F1755" i="1"/>
  <c r="F1728" i="1"/>
  <c r="F1661" i="1"/>
  <c r="F1587" i="1"/>
  <c r="F1515" i="1"/>
  <c r="F1435" i="1"/>
  <c r="F1408" i="1"/>
  <c r="F1363" i="1"/>
  <c r="F1319" i="1"/>
  <c r="F1282" i="1"/>
  <c r="F1196" i="1"/>
  <c r="F1029" i="1"/>
  <c r="F954" i="1"/>
  <c r="F876" i="1"/>
  <c r="F645" i="1"/>
  <c r="F599" i="1"/>
  <c r="F562" i="1"/>
  <c r="F518" i="1"/>
  <c r="F459" i="1"/>
  <c r="F262" i="1"/>
  <c r="F223" i="1"/>
  <c r="F179" i="1"/>
  <c r="F109" i="1"/>
  <c r="F2004" i="1"/>
  <c r="F1932" i="1"/>
  <c r="F1882" i="1"/>
  <c r="F1821" i="1"/>
  <c r="F1753" i="1"/>
  <c r="F1681" i="1"/>
  <c r="F1633" i="1"/>
  <c r="F1566" i="1"/>
  <c r="F1490" i="1"/>
  <c r="F1407" i="1"/>
  <c r="F1318" i="1"/>
  <c r="F1260" i="1"/>
  <c r="F1083" i="1"/>
  <c r="F990" i="1"/>
  <c r="F928" i="1"/>
  <c r="F842" i="1"/>
  <c r="F617" i="1"/>
  <c r="F578" i="1"/>
  <c r="F517" i="1"/>
  <c r="F457" i="1"/>
  <c r="F261" i="1"/>
  <c r="F222" i="1"/>
  <c r="F161" i="1"/>
  <c r="F2025" i="1"/>
  <c r="F1999" i="1"/>
  <c r="F1951" i="1"/>
  <c r="F1902" i="1"/>
  <c r="F1850" i="1"/>
  <c r="F1794" i="1"/>
  <c r="F1748" i="1"/>
  <c r="F1700" i="1"/>
  <c r="F1652" i="1"/>
  <c r="F1606" i="1"/>
  <c r="F1558" i="1"/>
  <c r="F2024" i="1"/>
  <c r="F1974" i="1"/>
  <c r="F1919" i="1"/>
  <c r="F1848" i="1"/>
  <c r="F1789" i="1"/>
  <c r="F1725" i="1"/>
  <c r="F1675" i="1"/>
  <c r="F1620" i="1"/>
  <c r="F1557" i="1"/>
  <c r="F1507" i="1"/>
  <c r="F1466" i="1"/>
  <c r="F1396" i="1"/>
  <c r="F1356" i="1"/>
  <c r="F1312" i="1"/>
  <c r="F1274" i="1"/>
  <c r="F1232" i="1"/>
  <c r="F1073" i="1"/>
  <c r="F1022" i="1"/>
  <c r="F983" i="1"/>
  <c r="F942" i="1"/>
  <c r="F901" i="1"/>
  <c r="F830" i="1"/>
  <c r="F638" i="1"/>
  <c r="F592" i="1"/>
  <c r="F555" i="1"/>
  <c r="F510" i="1"/>
  <c r="F440" i="1"/>
  <c r="F276" i="1"/>
  <c r="F236" i="1"/>
  <c r="F196" i="1"/>
  <c r="F149" i="1"/>
  <c r="F74" i="1"/>
  <c r="F1975" i="1"/>
  <c r="F1920" i="1"/>
  <c r="F1849" i="1"/>
  <c r="F1791" i="1"/>
  <c r="F1740" i="1"/>
  <c r="F1676" i="1"/>
  <c r="F1621" i="1"/>
  <c r="F1572" i="1"/>
  <c r="F1508" i="1"/>
  <c r="F1467" i="1"/>
  <c r="F1397" i="1"/>
  <c r="F1357" i="1"/>
  <c r="F1313" i="1"/>
  <c r="F1275" i="1"/>
  <c r="F1235" i="1"/>
  <c r="F1074" i="1"/>
  <c r="F1023" i="1"/>
  <c r="F984" i="1"/>
  <c r="F948" i="1"/>
  <c r="F902" i="1"/>
  <c r="F831" i="1"/>
  <c r="F639" i="1"/>
  <c r="F593" i="1"/>
  <c r="F556" i="1"/>
  <c r="F511" i="1"/>
  <c r="F441" i="1"/>
  <c r="F277" i="1"/>
  <c r="F237" i="1"/>
  <c r="F197" i="1"/>
  <c r="F150" i="1"/>
  <c r="F75" i="1"/>
  <c r="F2020" i="1"/>
  <c r="F1966" i="1"/>
  <c r="F1901" i="1"/>
  <c r="F1847" i="1"/>
  <c r="F1788" i="1"/>
  <c r="F1724" i="1"/>
  <c r="F1669" i="1"/>
  <c r="F1605" i="1"/>
  <c r="F1556" i="1"/>
  <c r="F1504" i="1"/>
  <c r="F1465" i="1"/>
  <c r="F1395" i="1"/>
  <c r="F1355" i="1"/>
  <c r="F1311" i="1"/>
  <c r="F1273" i="1"/>
  <c r="F1227" i="1"/>
  <c r="F1070" i="1"/>
  <c r="F1021" i="1"/>
  <c r="F982" i="1"/>
  <c r="F941" i="1"/>
  <c r="F895" i="1"/>
  <c r="F795" i="1"/>
  <c r="F637" i="1"/>
  <c r="F591" i="1"/>
  <c r="F554" i="1"/>
  <c r="F508" i="1"/>
  <c r="F439" i="1"/>
  <c r="F275" i="1"/>
  <c r="F235" i="1"/>
  <c r="F195" i="1"/>
  <c r="F148" i="1"/>
  <c r="F71" i="1"/>
  <c r="F1394" i="1"/>
  <c r="F274" i="1"/>
  <c r="F69" i="1"/>
  <c r="F1950" i="1"/>
  <c r="F1770" i="1"/>
  <c r="F1603" i="1"/>
  <c r="F1463" i="1"/>
  <c r="F1309" i="1"/>
  <c r="F1218" i="1"/>
  <c r="F1019" i="1"/>
  <c r="F939" i="1"/>
  <c r="F730" i="1"/>
  <c r="F589" i="1"/>
  <c r="F506" i="1"/>
  <c r="F273" i="1"/>
  <c r="F146" i="1"/>
  <c r="F2013" i="1"/>
  <c r="F1819" i="1"/>
  <c r="F1714" i="1"/>
  <c r="F1553" i="1"/>
  <c r="F1462" i="1"/>
  <c r="F1352" i="1"/>
  <c r="F1270" i="1"/>
  <c r="F1067" i="1"/>
  <c r="F979" i="1"/>
  <c r="F888" i="1"/>
  <c r="F634" i="1"/>
  <c r="F548" i="1"/>
  <c r="F338" i="1"/>
  <c r="F190" i="1"/>
  <c r="F67" i="1"/>
  <c r="F1818" i="1"/>
  <c r="F1599" i="1"/>
  <c r="F1380" i="1"/>
  <c r="F1259" i="1"/>
  <c r="F1051" i="1"/>
  <c r="F968" i="1"/>
  <c r="F874" i="1"/>
  <c r="F577" i="1"/>
  <c r="F488" i="1"/>
  <c r="F260" i="1"/>
  <c r="F177" i="1"/>
  <c r="F1994" i="1"/>
  <c r="F1880" i="1"/>
  <c r="F1762" i="1"/>
  <c r="F1648" i="1"/>
  <c r="F1488" i="1"/>
  <c r="F1340" i="1"/>
  <c r="F1193" i="1"/>
  <c r="F1006" i="1"/>
  <c r="F926" i="1"/>
  <c r="F685" i="1"/>
  <c r="F576" i="1"/>
  <c r="F487" i="1"/>
  <c r="F259" i="1"/>
  <c r="F176" i="1"/>
  <c r="F1945" i="1"/>
  <c r="F1747" i="1"/>
  <c r="F1647" i="1"/>
  <c r="F1487" i="1"/>
  <c r="F1337" i="1"/>
  <c r="F1256" i="1"/>
  <c r="F1046" i="1"/>
  <c r="F966" i="1"/>
  <c r="F866" i="1"/>
  <c r="F611" i="1"/>
  <c r="F532" i="1"/>
  <c r="F305" i="1"/>
  <c r="F218" i="1"/>
  <c r="F130" i="1"/>
  <c r="F1992" i="1"/>
  <c r="F1878" i="1"/>
  <c r="F1808" i="1"/>
  <c r="F1696" i="1"/>
  <c r="F1582" i="1"/>
  <c r="F1486" i="1"/>
  <c r="F1375" i="1"/>
  <c r="F1293" i="1"/>
  <c r="F1180" i="1"/>
  <c r="F1002" i="1"/>
  <c r="F865" i="1"/>
  <c r="F610" i="1"/>
  <c r="F531" i="1"/>
  <c r="F302" i="1"/>
  <c r="F254" i="1"/>
  <c r="F174" i="1"/>
  <c r="F1927" i="1"/>
  <c r="F1793" i="1"/>
  <c r="F1695" i="1"/>
  <c r="F1581" i="1"/>
  <c r="F1481" i="1"/>
  <c r="F1370" i="1"/>
  <c r="F1288" i="1"/>
  <c r="F1163" i="1"/>
  <c r="F997" i="1"/>
  <c r="F919" i="1"/>
  <c r="F656" i="1"/>
  <c r="F605" i="1"/>
  <c r="F524" i="1"/>
  <c r="F289" i="1"/>
  <c r="F212" i="1"/>
  <c r="F118" i="1"/>
  <c r="F2019" i="1"/>
  <c r="F1965" i="1"/>
  <c r="F1899" i="1"/>
  <c r="F1835" i="1"/>
  <c r="F1773" i="1"/>
  <c r="F1723" i="1"/>
  <c r="F1668" i="1"/>
  <c r="F1604" i="1"/>
  <c r="F1555" i="1"/>
  <c r="F1503" i="1"/>
  <c r="F1464" i="1"/>
  <c r="F1354" i="1"/>
  <c r="F1310" i="1"/>
  <c r="F1272" i="1"/>
  <c r="F1226" i="1"/>
  <c r="F1069" i="1"/>
  <c r="F1020" i="1"/>
  <c r="F981" i="1"/>
  <c r="F940" i="1"/>
  <c r="F890" i="1"/>
  <c r="F760" i="1"/>
  <c r="F636" i="1"/>
  <c r="F590" i="1"/>
  <c r="F551" i="1"/>
  <c r="F507" i="1"/>
  <c r="F405" i="1"/>
  <c r="F234" i="1"/>
  <c r="F194" i="1"/>
  <c r="F147" i="1"/>
  <c r="F2014" i="1"/>
  <c r="F1898" i="1"/>
  <c r="F1834" i="1"/>
  <c r="F1715" i="1"/>
  <c r="F1651" i="1"/>
  <c r="F1554" i="1"/>
  <c r="F1502" i="1"/>
  <c r="F1393" i="1"/>
  <c r="F1353" i="1"/>
  <c r="F1271" i="1"/>
  <c r="F1068" i="1"/>
  <c r="F980" i="1"/>
  <c r="F889" i="1"/>
  <c r="F635" i="1"/>
  <c r="F549" i="1"/>
  <c r="F348" i="1"/>
  <c r="F233" i="1"/>
  <c r="F191" i="1"/>
  <c r="F68" i="1"/>
  <c r="F1948" i="1"/>
  <c r="F1897" i="1"/>
  <c r="F1769" i="1"/>
  <c r="F1650" i="1"/>
  <c r="F1600" i="1"/>
  <c r="F1501" i="1"/>
  <c r="F1392" i="1"/>
  <c r="F1308" i="1"/>
  <c r="F1217" i="1"/>
  <c r="F1018" i="1"/>
  <c r="F938" i="1"/>
  <c r="F729" i="1"/>
  <c r="F588" i="1"/>
  <c r="F505" i="1"/>
  <c r="F272" i="1"/>
  <c r="F232" i="1"/>
  <c r="F145" i="1"/>
  <c r="F1998" i="1"/>
  <c r="F1947" i="1"/>
  <c r="F1896" i="1"/>
  <c r="F1763" i="1"/>
  <c r="F1699" i="1"/>
  <c r="F1649" i="1"/>
  <c r="F1539" i="1"/>
  <c r="F1489" i="1"/>
  <c r="F1431" i="1"/>
  <c r="F1341" i="1"/>
  <c r="F1296" i="1"/>
  <c r="F1194" i="1"/>
  <c r="F1007" i="1"/>
  <c r="F927" i="1"/>
  <c r="F686" i="1"/>
  <c r="F616" i="1"/>
  <c r="F534" i="1"/>
  <c r="F307" i="1"/>
  <c r="F220" i="1"/>
  <c r="F132" i="1"/>
  <c r="F1946" i="1"/>
  <c r="F1817" i="1"/>
  <c r="F1698" i="1"/>
  <c r="F1584" i="1"/>
  <c r="F1537" i="1"/>
  <c r="F1430" i="1"/>
  <c r="F1379" i="1"/>
  <c r="F1295" i="1"/>
  <c r="F1257" i="1"/>
  <c r="F1050" i="1"/>
  <c r="F967" i="1"/>
  <c r="F868" i="1"/>
  <c r="F612" i="1"/>
  <c r="F533" i="1"/>
  <c r="F306" i="1"/>
  <c r="F219" i="1"/>
  <c r="F131" i="1"/>
  <c r="F1993" i="1"/>
  <c r="F1879" i="1"/>
  <c r="F1809" i="1"/>
  <c r="F1697" i="1"/>
  <c r="F1583" i="1"/>
  <c r="F1534" i="1"/>
  <c r="F1429" i="1"/>
  <c r="F1376" i="1"/>
  <c r="F1294" i="1"/>
  <c r="F1181" i="1"/>
  <c r="F1003" i="1"/>
  <c r="F925" i="1"/>
  <c r="F675" i="1"/>
  <c r="F575" i="1"/>
  <c r="F486" i="1"/>
  <c r="F255" i="1"/>
  <c r="F175" i="1"/>
  <c r="F1928" i="1"/>
  <c r="F1744" i="1"/>
  <c r="F1631" i="1"/>
  <c r="F1533" i="1"/>
  <c r="F1428" i="1"/>
  <c r="F1335" i="1"/>
  <c r="F1255" i="1"/>
  <c r="F1045" i="1"/>
  <c r="F965" i="1"/>
  <c r="F924" i="1"/>
  <c r="F674" i="1"/>
  <c r="F574" i="1"/>
  <c r="F484" i="1"/>
  <c r="F217" i="1"/>
  <c r="F129" i="1"/>
  <c r="F1991" i="1"/>
  <c r="F1865" i="1"/>
  <c r="F1743" i="1"/>
  <c r="F1630" i="1"/>
  <c r="F1528" i="1"/>
  <c r="F1417" i="1"/>
  <c r="F1326" i="1"/>
  <c r="F1250" i="1"/>
  <c r="F1035" i="1"/>
  <c r="F960" i="1"/>
  <c r="F858" i="1"/>
  <c r="F569" i="1"/>
  <c r="F479" i="1"/>
  <c r="F249" i="1"/>
  <c r="F169" i="1"/>
  <c r="F1976" i="1"/>
  <c r="F1926" i="1"/>
  <c r="F1864" i="1"/>
  <c r="F1792" i="1"/>
  <c r="F1741" i="1"/>
  <c r="F1677" i="1"/>
  <c r="F1629" i="1"/>
  <c r="F1573" i="1"/>
  <c r="F1523" i="1"/>
  <c r="F1480" i="1"/>
  <c r="F1416" i="1"/>
  <c r="F1369" i="1"/>
  <c r="F1324" i="1"/>
  <c r="F1287" i="1"/>
  <c r="F1249" i="1"/>
  <c r="F1161" i="1"/>
  <c r="F1034" i="1"/>
  <c r="F996" i="1"/>
  <c r="F959" i="1"/>
  <c r="F917" i="1"/>
  <c r="F857" i="1"/>
  <c r="F655" i="1"/>
  <c r="F604" i="1"/>
  <c r="F568" i="1"/>
  <c r="F523" i="1"/>
  <c r="F478" i="1"/>
  <c r="F288" i="1"/>
  <c r="F248" i="1"/>
  <c r="F211" i="1"/>
  <c r="F167" i="1"/>
  <c r="F117" i="1"/>
  <c r="F23" i="1"/>
  <c r="F1840" i="1"/>
  <c r="F1527" i="1"/>
  <c r="F1474" i="1"/>
  <c r="F408" i="1"/>
  <c r="F406" i="1"/>
  <c r="F1838" i="1"/>
  <c r="F1873" i="1"/>
  <c r="F1843" i="1"/>
  <c r="F1841" i="1"/>
  <c r="F1868" i="1"/>
  <c r="F124" i="1"/>
  <c r="F1836" i="1"/>
  <c r="F407" i="1"/>
  <c r="F120" i="1"/>
  <c r="F869" i="1"/>
  <c r="F550" i="1"/>
  <c r="F1870" i="1"/>
  <c r="F1904" i="1"/>
  <c r="F1526" i="1"/>
  <c r="F647" i="1"/>
  <c r="F1837" i="1"/>
  <c r="F870" i="1"/>
  <c r="F1872" i="1"/>
  <c r="F761" i="1"/>
  <c r="F1525" i="1"/>
  <c r="F1842" i="1"/>
  <c r="F1889" i="1"/>
  <c r="F1524" i="1"/>
  <c r="F1839" i="1"/>
  <c r="F1869" i="1"/>
  <c r="F1473" i="1"/>
  <c r="F1449" i="1"/>
</calcChain>
</file>

<file path=xl/sharedStrings.xml><?xml version="1.0" encoding="utf-8"?>
<sst xmlns="http://schemas.openxmlformats.org/spreadsheetml/2006/main" count="40" uniqueCount="30">
  <si>
    <t>time</t>
  </si>
  <si>
    <t>tavg</t>
  </si>
  <si>
    <t>tmin</t>
  </si>
  <si>
    <t>tmax</t>
  </si>
  <si>
    <t>prcp</t>
  </si>
  <si>
    <t>Q1</t>
  </si>
  <si>
    <t>Q3</t>
  </si>
  <si>
    <t>Q3-Q1</t>
  </si>
  <si>
    <t>IQR</t>
  </si>
  <si>
    <t>Q1 - 1.5 * IQR</t>
  </si>
  <si>
    <t>Q3 + 1.5 * IQR</t>
  </si>
  <si>
    <t>Lower Bound</t>
  </si>
  <si>
    <t>Upper Bound</t>
  </si>
  <si>
    <t>year</t>
  </si>
  <si>
    <t>Grand Total</t>
  </si>
  <si>
    <t>Sum of prcp</t>
  </si>
  <si>
    <t>Row Labels</t>
  </si>
  <si>
    <t>Sum of tavg</t>
  </si>
  <si>
    <t>sum of prcp</t>
  </si>
  <si>
    <t>sum of tavg</t>
  </si>
  <si>
    <t xml:space="preserve">            for per day</t>
  </si>
  <si>
    <t>value of R^2</t>
  </si>
  <si>
    <t>Predicted value</t>
  </si>
  <si>
    <t>Residual Value</t>
  </si>
  <si>
    <t xml:space="preserve">Temperature </t>
  </si>
  <si>
    <t>Slightly rising</t>
  </si>
  <si>
    <t xml:space="preserve">Rainfall </t>
  </si>
  <si>
    <t>Rising</t>
  </si>
  <si>
    <t>Increased rainfall in 2023 puts Bangalore at high risk of urban flooding, especially in low-lying areas like Bellandur, Koramangala, and Whitefield.</t>
  </si>
  <si>
    <t>The city must upgrade its stormwater drainage network by widening primary drains, increasing pumping stations, and restoring lake overflow channels to handle the higher predicted rainfall.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</si>
</sst>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[DataWarriors_Round2.xlsx]Sheet9!PivotTable21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Sum of prcp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59932195975503"/>
                  <c:y val="-8.45855205599300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Sheet9!$A$4:$A$10</c:f>
              <c:strCach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Sheet9!$B$4:$B$10</c:f>
              <c:numCache>
                <c:formatCode>General</c:formatCode>
                <c:ptCount val="6"/>
                <c:pt idx="0">
                  <c:v>1692.0999999999997</c:v>
                </c:pt>
                <c:pt idx="1">
                  <c:v>909.09999999999957</c:v>
                </c:pt>
                <c:pt idx="2">
                  <c:v>879.99999999999977</c:v>
                </c:pt>
                <c:pt idx="3">
                  <c:v>1175.1999999999996</c:v>
                </c:pt>
                <c:pt idx="4">
                  <c:v>1597.2999999999986</c:v>
                </c:pt>
                <c:pt idx="5">
                  <c:v>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54-47EE-8367-00BAAE75E2FF}"/>
            </c:ext>
          </c:extLst>
        </c:ser>
        <c:ser>
          <c:idx val="1"/>
          <c:order val="1"/>
          <c:tx>
            <c:strRef>
              <c:f>Sheet9!$C$3</c:f>
              <c:strCache>
                <c:ptCount val="1"/>
                <c:pt idx="0">
                  <c:v>Sum of tavg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320166229221348"/>
                  <c:y val="-9.348935549722952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Sheet9!$A$4:$A$10</c:f>
              <c:strCach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Sheet9!$C$4:$C$10</c:f>
              <c:numCache>
                <c:formatCode>General</c:formatCode>
                <c:ptCount val="6"/>
                <c:pt idx="0">
                  <c:v>4517.699999999998</c:v>
                </c:pt>
                <c:pt idx="1">
                  <c:v>4318.3000000000029</c:v>
                </c:pt>
                <c:pt idx="2">
                  <c:v>4548.3999999999987</c:v>
                </c:pt>
                <c:pt idx="3">
                  <c:v>4902.1999999999989</c:v>
                </c:pt>
                <c:pt idx="4">
                  <c:v>8460</c:v>
                </c:pt>
                <c:pt idx="5">
                  <c:v>4606.8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54-47EE-8367-00BAAE75E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9926543"/>
        <c:axId val="779919823"/>
      </c:lineChart>
      <c:catAx>
        <c:axId val="77992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919823"/>
        <c:crosses val="autoZero"/>
        <c:auto val="1"/>
        <c:lblAlgn val="ctr"/>
        <c:lblOffset val="100"/>
        <c:noMultiLvlLbl val="0"/>
      </c:catAx>
      <c:valAx>
        <c:axId val="77991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92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Sheet1!$R$28:$R$2033</c:f>
              <c:numCache>
                <c:formatCode>0.00</c:formatCode>
                <c:ptCount val="687"/>
                <c:pt idx="0">
                  <c:v>0.17884363636363432</c:v>
                </c:pt>
                <c:pt idx="1">
                  <c:v>-1.1045309090909079</c:v>
                </c:pt>
                <c:pt idx="2">
                  <c:v>-0.91672000000000153</c:v>
                </c:pt>
                <c:pt idx="3">
                  <c:v>-1.605360000000001</c:v>
                </c:pt>
                <c:pt idx="4">
                  <c:v>-1.8244727272727275</c:v>
                </c:pt>
                <c:pt idx="5">
                  <c:v>-0.94802181818181808</c:v>
                </c:pt>
                <c:pt idx="6">
                  <c:v>-1.8244727272727275</c:v>
                </c:pt>
                <c:pt idx="7">
                  <c:v>-1.2297381818181812</c:v>
                </c:pt>
                <c:pt idx="8">
                  <c:v>-1.2923418181818214</c:v>
                </c:pt>
                <c:pt idx="9">
                  <c:v>-1.8870763636363641</c:v>
                </c:pt>
                <c:pt idx="10">
                  <c:v>-1.7618690909090908</c:v>
                </c:pt>
                <c:pt idx="11">
                  <c:v>-1.2923418181818214</c:v>
                </c:pt>
                <c:pt idx="12">
                  <c:v>-1.3236436363636379</c:v>
                </c:pt>
                <c:pt idx="13">
                  <c:v>-1.5427563636363644</c:v>
                </c:pt>
                <c:pt idx="14">
                  <c:v>-1.3862472727272745</c:v>
                </c:pt>
                <c:pt idx="15">
                  <c:v>-1.0419272727272713</c:v>
                </c:pt>
                <c:pt idx="16">
                  <c:v>-1.1045309090909079</c:v>
                </c:pt>
                <c:pt idx="17">
                  <c:v>-1.0732290909090914</c:v>
                </c:pt>
                <c:pt idx="18">
                  <c:v>-1.2610400000000013</c:v>
                </c:pt>
                <c:pt idx="19">
                  <c:v>-1.1671345454545445</c:v>
                </c:pt>
                <c:pt idx="20">
                  <c:v>-0.13417454545454888</c:v>
                </c:pt>
                <c:pt idx="21">
                  <c:v>-0.66630545454545498</c:v>
                </c:pt>
                <c:pt idx="22">
                  <c:v>-0.72890909090909162</c:v>
                </c:pt>
                <c:pt idx="23">
                  <c:v>-0.38458909090909188</c:v>
                </c:pt>
                <c:pt idx="24">
                  <c:v>0.11624000000000123</c:v>
                </c:pt>
                <c:pt idx="25">
                  <c:v>-0.47849454545454506</c:v>
                </c:pt>
                <c:pt idx="26">
                  <c:v>-0.97932363636363817</c:v>
                </c:pt>
                <c:pt idx="27">
                  <c:v>-0.13417454545454888</c:v>
                </c:pt>
                <c:pt idx="28">
                  <c:v>-0.22808000000000206</c:v>
                </c:pt>
                <c:pt idx="29">
                  <c:v>-0.60370181818181834</c:v>
                </c:pt>
                <c:pt idx="30">
                  <c:v>-0.69760727272727507</c:v>
                </c:pt>
                <c:pt idx="31">
                  <c:v>-0.32198545454545524</c:v>
                </c:pt>
                <c:pt idx="32">
                  <c:v>-0.16547636363636542</c:v>
                </c:pt>
                <c:pt idx="33">
                  <c:v>-0.32198545454545524</c:v>
                </c:pt>
                <c:pt idx="34">
                  <c:v>-0.16547636363636542</c:v>
                </c:pt>
                <c:pt idx="35">
                  <c:v>-4.026909090908859E-2</c:v>
                </c:pt>
                <c:pt idx="36">
                  <c:v>-0.2906836363636387</c:v>
                </c:pt>
                <c:pt idx="37">
                  <c:v>-0.35328727272727178</c:v>
                </c:pt>
                <c:pt idx="38">
                  <c:v>-0.63500363636363488</c:v>
                </c:pt>
                <c:pt idx="39">
                  <c:v>-0.63500363636363488</c:v>
                </c:pt>
                <c:pt idx="40">
                  <c:v>-0.69760727272727507</c:v>
                </c:pt>
                <c:pt idx="41">
                  <c:v>-0.79151272727272826</c:v>
                </c:pt>
                <c:pt idx="42">
                  <c:v>-0.76021090909091171</c:v>
                </c:pt>
                <c:pt idx="43">
                  <c:v>-0.32198545454545524</c:v>
                </c:pt>
                <c:pt idx="44">
                  <c:v>-0.38458909090909188</c:v>
                </c:pt>
                <c:pt idx="45">
                  <c:v>-0.2593818181818186</c:v>
                </c:pt>
                <c:pt idx="46">
                  <c:v>-0.2906836363636387</c:v>
                </c:pt>
                <c:pt idx="47">
                  <c:v>2.2334545454544497E-2</c:v>
                </c:pt>
                <c:pt idx="48">
                  <c:v>-0.10287272727272878</c:v>
                </c:pt>
                <c:pt idx="49">
                  <c:v>-0.16547636363636542</c:v>
                </c:pt>
                <c:pt idx="50">
                  <c:v>-0.16547636363636542</c:v>
                </c:pt>
                <c:pt idx="51">
                  <c:v>2.2334545454544497E-2</c:v>
                </c:pt>
                <c:pt idx="52">
                  <c:v>0.11624000000000123</c:v>
                </c:pt>
                <c:pt idx="53">
                  <c:v>-0.2906836363636387</c:v>
                </c:pt>
                <c:pt idx="54">
                  <c:v>-0.41589090909090842</c:v>
                </c:pt>
                <c:pt idx="55">
                  <c:v>-0.10287272727272878</c:v>
                </c:pt>
                <c:pt idx="56">
                  <c:v>-4.026909090908859E-2</c:v>
                </c:pt>
                <c:pt idx="57">
                  <c:v>-0.35328727272727178</c:v>
                </c:pt>
                <c:pt idx="58">
                  <c:v>0.11624000000000123</c:v>
                </c:pt>
                <c:pt idx="59">
                  <c:v>-4.026909090908859E-2</c:v>
                </c:pt>
                <c:pt idx="60">
                  <c:v>-0.32198545454545524</c:v>
                </c:pt>
                <c:pt idx="61">
                  <c:v>5.3636363636364592E-2</c:v>
                </c:pt>
                <c:pt idx="62">
                  <c:v>-0.16547636363636542</c:v>
                </c:pt>
                <c:pt idx="63">
                  <c:v>-0.63500363636363488</c:v>
                </c:pt>
                <c:pt idx="64">
                  <c:v>-0.66630545454545498</c:v>
                </c:pt>
                <c:pt idx="65">
                  <c:v>-0.10287272727272878</c:v>
                </c:pt>
                <c:pt idx="66">
                  <c:v>-0.44719272727272852</c:v>
                </c:pt>
                <c:pt idx="67">
                  <c:v>-0.16547636363636542</c:v>
                </c:pt>
                <c:pt idx="68">
                  <c:v>-0.2906836363636387</c:v>
                </c:pt>
                <c:pt idx="69">
                  <c:v>-0.44719272727272852</c:v>
                </c:pt>
                <c:pt idx="70">
                  <c:v>-0.32198545454545524</c:v>
                </c:pt>
                <c:pt idx="71">
                  <c:v>0.42925818181818087</c:v>
                </c:pt>
                <c:pt idx="72">
                  <c:v>2.2334545454544497E-2</c:v>
                </c:pt>
                <c:pt idx="73">
                  <c:v>-4.026909090908859E-2</c:v>
                </c:pt>
                <c:pt idx="74">
                  <c:v>-0.35328727272727178</c:v>
                </c:pt>
                <c:pt idx="75">
                  <c:v>0.24144727272727096</c:v>
                </c:pt>
                <c:pt idx="76">
                  <c:v>5.3636363636364592E-2</c:v>
                </c:pt>
                <c:pt idx="77">
                  <c:v>-8.9672727272720465E-3</c:v>
                </c:pt>
                <c:pt idx="78">
                  <c:v>-8.9672727272720465E-3</c:v>
                </c:pt>
                <c:pt idx="79">
                  <c:v>-0.13417454545454888</c:v>
                </c:pt>
                <c:pt idx="80">
                  <c:v>-0.19677818181818196</c:v>
                </c:pt>
                <c:pt idx="81">
                  <c:v>0.21014545454545441</c:v>
                </c:pt>
                <c:pt idx="82">
                  <c:v>-0.13417454545454888</c:v>
                </c:pt>
                <c:pt idx="83">
                  <c:v>-0.32198545454545524</c:v>
                </c:pt>
                <c:pt idx="84">
                  <c:v>-0.60370181818181834</c:v>
                </c:pt>
                <c:pt idx="85">
                  <c:v>-0.66630545454545498</c:v>
                </c:pt>
                <c:pt idx="86">
                  <c:v>-0.57239999999999824</c:v>
                </c:pt>
                <c:pt idx="87">
                  <c:v>-0.35328727272727178</c:v>
                </c:pt>
                <c:pt idx="88">
                  <c:v>-0.16547636363636542</c:v>
                </c:pt>
                <c:pt idx="89">
                  <c:v>-7.1570909090908685E-2</c:v>
                </c:pt>
                <c:pt idx="90">
                  <c:v>0.17884363636363432</c:v>
                </c:pt>
                <c:pt idx="91">
                  <c:v>0.11624000000000123</c:v>
                </c:pt>
                <c:pt idx="92">
                  <c:v>-7.1570909090908685E-2</c:v>
                </c:pt>
                <c:pt idx="93">
                  <c:v>0.36665454545454423</c:v>
                </c:pt>
                <c:pt idx="94">
                  <c:v>0.3040509090909076</c:v>
                </c:pt>
                <c:pt idx="95">
                  <c:v>0.36665454545454423</c:v>
                </c:pt>
                <c:pt idx="96">
                  <c:v>0.21014545454545441</c:v>
                </c:pt>
                <c:pt idx="97">
                  <c:v>0.89878545454545389</c:v>
                </c:pt>
                <c:pt idx="98">
                  <c:v>0.89878545454545389</c:v>
                </c:pt>
                <c:pt idx="99">
                  <c:v>-0.19677818181818196</c:v>
                </c:pt>
                <c:pt idx="100">
                  <c:v>-0.44719272727272852</c:v>
                </c:pt>
                <c:pt idx="101">
                  <c:v>-1.0106254545454547</c:v>
                </c:pt>
                <c:pt idx="102">
                  <c:v>-1.0732290909090914</c:v>
                </c:pt>
                <c:pt idx="103">
                  <c:v>-1.7305672727272707</c:v>
                </c:pt>
                <c:pt idx="104">
                  <c:v>-1.7305672727272707</c:v>
                </c:pt>
                <c:pt idx="105">
                  <c:v>-1.4175490909090911</c:v>
                </c:pt>
                <c:pt idx="106">
                  <c:v>-1.2297381818181812</c:v>
                </c:pt>
                <c:pt idx="107">
                  <c:v>-1.4175490909090911</c:v>
                </c:pt>
                <c:pt idx="108">
                  <c:v>-1.7618690909090908</c:v>
                </c:pt>
                <c:pt idx="109">
                  <c:v>-1.354945454545458</c:v>
                </c:pt>
                <c:pt idx="110">
                  <c:v>-1.3236436363636379</c:v>
                </c:pt>
                <c:pt idx="111">
                  <c:v>-1.0106254545454547</c:v>
                </c:pt>
                <c:pt idx="112">
                  <c:v>-1.0732290909090914</c:v>
                </c:pt>
                <c:pt idx="113">
                  <c:v>-0.94802181818181808</c:v>
                </c:pt>
                <c:pt idx="114">
                  <c:v>-0.35328727272727178</c:v>
                </c:pt>
                <c:pt idx="115">
                  <c:v>-0.66630545454545498</c:v>
                </c:pt>
                <c:pt idx="116">
                  <c:v>-1.1045309090909079</c:v>
                </c:pt>
                <c:pt idx="117">
                  <c:v>-1.0106254545454547</c:v>
                </c:pt>
                <c:pt idx="118">
                  <c:v>-0.79151272727272826</c:v>
                </c:pt>
                <c:pt idx="119">
                  <c:v>-1.135832727272728</c:v>
                </c:pt>
                <c:pt idx="120">
                  <c:v>-1.135832727272728</c:v>
                </c:pt>
                <c:pt idx="121">
                  <c:v>-0.2593818181818186</c:v>
                </c:pt>
                <c:pt idx="122">
                  <c:v>-0.72890909090909162</c:v>
                </c:pt>
                <c:pt idx="123">
                  <c:v>-0.91672000000000153</c:v>
                </c:pt>
                <c:pt idx="124">
                  <c:v>-0.35328727272727178</c:v>
                </c:pt>
                <c:pt idx="125">
                  <c:v>-0.32198545454545524</c:v>
                </c:pt>
                <c:pt idx="126">
                  <c:v>-0.35328727272727178</c:v>
                </c:pt>
                <c:pt idx="127">
                  <c:v>0.21014545454545441</c:v>
                </c:pt>
                <c:pt idx="128">
                  <c:v>-8.9672727272720465E-3</c:v>
                </c:pt>
                <c:pt idx="129">
                  <c:v>-0.32198545454545524</c:v>
                </c:pt>
                <c:pt idx="130">
                  <c:v>-0.35328727272727178</c:v>
                </c:pt>
                <c:pt idx="131">
                  <c:v>-0.44719272727272852</c:v>
                </c:pt>
                <c:pt idx="132">
                  <c:v>-0.35328727272727178</c:v>
                </c:pt>
                <c:pt idx="133">
                  <c:v>5.3636363636364592E-2</c:v>
                </c:pt>
                <c:pt idx="134">
                  <c:v>-0.16547636363636542</c:v>
                </c:pt>
                <c:pt idx="135">
                  <c:v>8.4938181818181135E-2</c:v>
                </c:pt>
                <c:pt idx="136">
                  <c:v>-0.47849454545454506</c:v>
                </c:pt>
                <c:pt idx="137">
                  <c:v>-7.1570909090908685E-2</c:v>
                </c:pt>
                <c:pt idx="138">
                  <c:v>-4.026909090908859E-2</c:v>
                </c:pt>
                <c:pt idx="139">
                  <c:v>-8.9672727272720465E-3</c:v>
                </c:pt>
                <c:pt idx="140">
                  <c:v>5.3636363636364592E-2</c:v>
                </c:pt>
                <c:pt idx="141">
                  <c:v>-4.026909090908859E-2</c:v>
                </c:pt>
                <c:pt idx="142">
                  <c:v>8.4938181818181135E-2</c:v>
                </c:pt>
                <c:pt idx="143">
                  <c:v>-0.2906836363636387</c:v>
                </c:pt>
                <c:pt idx="144">
                  <c:v>5.3636363636364592E-2</c:v>
                </c:pt>
                <c:pt idx="145">
                  <c:v>-0.2906836363636387</c:v>
                </c:pt>
                <c:pt idx="146">
                  <c:v>-0.13417454545454888</c:v>
                </c:pt>
                <c:pt idx="147">
                  <c:v>-0.19677818181818196</c:v>
                </c:pt>
                <c:pt idx="148">
                  <c:v>-0.32198545454545524</c:v>
                </c:pt>
                <c:pt idx="149">
                  <c:v>-0.2593818181818186</c:v>
                </c:pt>
                <c:pt idx="150">
                  <c:v>-0.35328727272727178</c:v>
                </c:pt>
                <c:pt idx="151">
                  <c:v>-0.35328727272727178</c:v>
                </c:pt>
                <c:pt idx="152">
                  <c:v>-0.13417454545454888</c:v>
                </c:pt>
                <c:pt idx="153">
                  <c:v>0.24144727272727096</c:v>
                </c:pt>
                <c:pt idx="154">
                  <c:v>-0.2906836363636387</c:v>
                </c:pt>
                <c:pt idx="155">
                  <c:v>-4.026909090908859E-2</c:v>
                </c:pt>
                <c:pt idx="156">
                  <c:v>-8.9672727272720465E-3</c:v>
                </c:pt>
                <c:pt idx="157">
                  <c:v>0.24144727272727096</c:v>
                </c:pt>
                <c:pt idx="158">
                  <c:v>0.21014545454545441</c:v>
                </c:pt>
                <c:pt idx="159">
                  <c:v>-0.22808000000000206</c:v>
                </c:pt>
                <c:pt idx="160">
                  <c:v>0.24144727272727096</c:v>
                </c:pt>
                <c:pt idx="161">
                  <c:v>0.36665454545454423</c:v>
                </c:pt>
                <c:pt idx="162">
                  <c:v>0.3040509090909076</c:v>
                </c:pt>
                <c:pt idx="163">
                  <c:v>0.24144727272727096</c:v>
                </c:pt>
                <c:pt idx="164">
                  <c:v>0.14754181818181777</c:v>
                </c:pt>
                <c:pt idx="165">
                  <c:v>8.4938181818181135E-2</c:v>
                </c:pt>
                <c:pt idx="166">
                  <c:v>-0.16547636363636542</c:v>
                </c:pt>
                <c:pt idx="167">
                  <c:v>8.4938181818181135E-2</c:v>
                </c:pt>
                <c:pt idx="168">
                  <c:v>-0.32198545454545524</c:v>
                </c:pt>
                <c:pt idx="169">
                  <c:v>0.24144727272727096</c:v>
                </c:pt>
                <c:pt idx="170">
                  <c:v>2.2334545454544497E-2</c:v>
                </c:pt>
                <c:pt idx="171">
                  <c:v>-7.1570909090908685E-2</c:v>
                </c:pt>
                <c:pt idx="172">
                  <c:v>-0.19677818181818196</c:v>
                </c:pt>
                <c:pt idx="173">
                  <c:v>-0.19677818181818196</c:v>
                </c:pt>
                <c:pt idx="174">
                  <c:v>-0.32198545454545524</c:v>
                </c:pt>
                <c:pt idx="175">
                  <c:v>-0.66630545454545498</c:v>
                </c:pt>
                <c:pt idx="176">
                  <c:v>-0.16547636363636542</c:v>
                </c:pt>
                <c:pt idx="177">
                  <c:v>-0.19677818181818196</c:v>
                </c:pt>
                <c:pt idx="178">
                  <c:v>-0.2593818181818186</c:v>
                </c:pt>
                <c:pt idx="179">
                  <c:v>2.2334545454544497E-2</c:v>
                </c:pt>
                <c:pt idx="180">
                  <c:v>-0.2593818181818186</c:v>
                </c:pt>
                <c:pt idx="181">
                  <c:v>-0.5410981818181817</c:v>
                </c:pt>
                <c:pt idx="182">
                  <c:v>-0.32198545454545524</c:v>
                </c:pt>
                <c:pt idx="183">
                  <c:v>-0.76021090909091171</c:v>
                </c:pt>
                <c:pt idx="184">
                  <c:v>-0.82281454545454835</c:v>
                </c:pt>
                <c:pt idx="185">
                  <c:v>-0.88541818181818144</c:v>
                </c:pt>
                <c:pt idx="186">
                  <c:v>-0.44719272727272852</c:v>
                </c:pt>
                <c:pt idx="187">
                  <c:v>0.27274909090909105</c:v>
                </c:pt>
                <c:pt idx="188">
                  <c:v>-0.10287272727272878</c:v>
                </c:pt>
                <c:pt idx="189">
                  <c:v>5.3636363636364592E-2</c:v>
                </c:pt>
                <c:pt idx="190">
                  <c:v>-0.50979636363636516</c:v>
                </c:pt>
                <c:pt idx="191">
                  <c:v>-0.50979636363636516</c:v>
                </c:pt>
                <c:pt idx="192">
                  <c:v>-0.22808000000000206</c:v>
                </c:pt>
                <c:pt idx="193">
                  <c:v>-0.50979636363636516</c:v>
                </c:pt>
                <c:pt idx="194">
                  <c:v>-0.13417454545454888</c:v>
                </c:pt>
                <c:pt idx="195">
                  <c:v>-0.38458909090909188</c:v>
                </c:pt>
                <c:pt idx="196">
                  <c:v>-4.026909090908859E-2</c:v>
                </c:pt>
                <c:pt idx="197">
                  <c:v>-0.2593818181818186</c:v>
                </c:pt>
                <c:pt idx="198">
                  <c:v>-0.38458909090909188</c:v>
                </c:pt>
                <c:pt idx="199">
                  <c:v>0.55446545454545415</c:v>
                </c:pt>
                <c:pt idx="200">
                  <c:v>-7.1570909090908685E-2</c:v>
                </c:pt>
                <c:pt idx="201">
                  <c:v>-0.16547636363636542</c:v>
                </c:pt>
                <c:pt idx="202">
                  <c:v>0.27274909090909105</c:v>
                </c:pt>
                <c:pt idx="203">
                  <c:v>0.24144727272727096</c:v>
                </c:pt>
                <c:pt idx="204">
                  <c:v>-1.7305672727272707</c:v>
                </c:pt>
                <c:pt idx="205">
                  <c:v>-2.074887272727274</c:v>
                </c:pt>
                <c:pt idx="206">
                  <c:v>-1.4175490909090911</c:v>
                </c:pt>
                <c:pt idx="207">
                  <c:v>-1.5427563636363644</c:v>
                </c:pt>
                <c:pt idx="208">
                  <c:v>-1.2923418181818214</c:v>
                </c:pt>
                <c:pt idx="209">
                  <c:v>-1.9183781818181842</c:v>
                </c:pt>
                <c:pt idx="210">
                  <c:v>-0.47849454545454506</c:v>
                </c:pt>
                <c:pt idx="211">
                  <c:v>-1.2610400000000013</c:v>
                </c:pt>
                <c:pt idx="212">
                  <c:v>-1.605360000000001</c:v>
                </c:pt>
                <c:pt idx="213">
                  <c:v>-0.41589090909090842</c:v>
                </c:pt>
                <c:pt idx="214">
                  <c:v>-1.1984363636363611</c:v>
                </c:pt>
                <c:pt idx="215">
                  <c:v>-1.0732290909090914</c:v>
                </c:pt>
                <c:pt idx="216">
                  <c:v>-1.5740581818181809</c:v>
                </c:pt>
                <c:pt idx="217">
                  <c:v>-1.6366618181818176</c:v>
                </c:pt>
                <c:pt idx="218">
                  <c:v>-1.5114545454545478</c:v>
                </c:pt>
                <c:pt idx="219">
                  <c:v>-0.88541818181818144</c:v>
                </c:pt>
                <c:pt idx="220">
                  <c:v>-0.97932363636363817</c:v>
                </c:pt>
                <c:pt idx="221">
                  <c:v>-0.85411636363636489</c:v>
                </c:pt>
                <c:pt idx="222">
                  <c:v>-0.94802181818181808</c:v>
                </c:pt>
                <c:pt idx="223">
                  <c:v>-0.35328727272727178</c:v>
                </c:pt>
                <c:pt idx="224">
                  <c:v>-0.57239999999999824</c:v>
                </c:pt>
                <c:pt idx="225">
                  <c:v>-0.79151272727272826</c:v>
                </c:pt>
                <c:pt idx="226">
                  <c:v>-0.57239999999999824</c:v>
                </c:pt>
                <c:pt idx="227">
                  <c:v>-0.82281454545454835</c:v>
                </c:pt>
                <c:pt idx="228">
                  <c:v>-0.79151272727272826</c:v>
                </c:pt>
                <c:pt idx="229">
                  <c:v>-0.63500363636363488</c:v>
                </c:pt>
                <c:pt idx="230">
                  <c:v>-0.47849454545454506</c:v>
                </c:pt>
                <c:pt idx="231">
                  <c:v>-0.66630545454545498</c:v>
                </c:pt>
                <c:pt idx="232">
                  <c:v>-0.66630545454545498</c:v>
                </c:pt>
                <c:pt idx="233">
                  <c:v>-0.50979636363636516</c:v>
                </c:pt>
                <c:pt idx="234">
                  <c:v>-0.2906836363636387</c:v>
                </c:pt>
                <c:pt idx="235">
                  <c:v>-0.22808000000000206</c:v>
                </c:pt>
                <c:pt idx="236">
                  <c:v>0.14754181818181777</c:v>
                </c:pt>
                <c:pt idx="237">
                  <c:v>0.21014545454545441</c:v>
                </c:pt>
                <c:pt idx="238">
                  <c:v>-0.50979636363636516</c:v>
                </c:pt>
                <c:pt idx="239">
                  <c:v>-0.35328727272727178</c:v>
                </c:pt>
                <c:pt idx="240">
                  <c:v>2.2334545454544497E-2</c:v>
                </c:pt>
                <c:pt idx="241">
                  <c:v>8.4938181818181135E-2</c:v>
                </c:pt>
                <c:pt idx="242">
                  <c:v>0.27274909090909105</c:v>
                </c:pt>
                <c:pt idx="243">
                  <c:v>0.17884363636363432</c:v>
                </c:pt>
                <c:pt idx="244">
                  <c:v>0.21014545454545441</c:v>
                </c:pt>
                <c:pt idx="245">
                  <c:v>0.27274909090909105</c:v>
                </c:pt>
                <c:pt idx="246">
                  <c:v>-8.9672727272720465E-3</c:v>
                </c:pt>
                <c:pt idx="247">
                  <c:v>-0.16547636363636542</c:v>
                </c:pt>
                <c:pt idx="248">
                  <c:v>-0.13417454545454888</c:v>
                </c:pt>
                <c:pt idx="249">
                  <c:v>-4.026909090908859E-2</c:v>
                </c:pt>
                <c:pt idx="250">
                  <c:v>-0.16547636363636542</c:v>
                </c:pt>
                <c:pt idx="251">
                  <c:v>0.14754181818181777</c:v>
                </c:pt>
                <c:pt idx="252">
                  <c:v>0.3040509090909076</c:v>
                </c:pt>
                <c:pt idx="253">
                  <c:v>-0.2593818181818186</c:v>
                </c:pt>
                <c:pt idx="254">
                  <c:v>-4.026909090908859E-2</c:v>
                </c:pt>
                <c:pt idx="255">
                  <c:v>-0.16547636363636542</c:v>
                </c:pt>
                <c:pt idx="256">
                  <c:v>-8.9672727272720465E-3</c:v>
                </c:pt>
                <c:pt idx="257">
                  <c:v>-8.9672727272720465E-3</c:v>
                </c:pt>
                <c:pt idx="258">
                  <c:v>-0.38458909090909188</c:v>
                </c:pt>
                <c:pt idx="259">
                  <c:v>0.11624000000000123</c:v>
                </c:pt>
                <c:pt idx="260">
                  <c:v>0.14754181818181777</c:v>
                </c:pt>
                <c:pt idx="261">
                  <c:v>0.14754181818181777</c:v>
                </c:pt>
                <c:pt idx="262">
                  <c:v>-4.026909090908859E-2</c:v>
                </c:pt>
                <c:pt idx="263">
                  <c:v>-0.16547636363636542</c:v>
                </c:pt>
                <c:pt idx="264">
                  <c:v>-0.2906836363636387</c:v>
                </c:pt>
                <c:pt idx="265">
                  <c:v>-0.44719272727272852</c:v>
                </c:pt>
                <c:pt idx="266">
                  <c:v>-0.63500363636363488</c:v>
                </c:pt>
                <c:pt idx="267">
                  <c:v>-0.16547636363636542</c:v>
                </c:pt>
                <c:pt idx="268">
                  <c:v>-0.16547636363636542</c:v>
                </c:pt>
                <c:pt idx="269">
                  <c:v>-0.38458909090909188</c:v>
                </c:pt>
                <c:pt idx="270">
                  <c:v>-0.47849454545454506</c:v>
                </c:pt>
                <c:pt idx="271">
                  <c:v>-0.47849454545454506</c:v>
                </c:pt>
                <c:pt idx="272">
                  <c:v>-0.16547636363636542</c:v>
                </c:pt>
                <c:pt idx="273">
                  <c:v>-0.32198545454545524</c:v>
                </c:pt>
                <c:pt idx="274">
                  <c:v>-0.2593818181818186</c:v>
                </c:pt>
                <c:pt idx="275">
                  <c:v>-0.16547636363636542</c:v>
                </c:pt>
                <c:pt idx="276">
                  <c:v>-0.38458909090909188</c:v>
                </c:pt>
                <c:pt idx="277">
                  <c:v>-0.63500363636363488</c:v>
                </c:pt>
                <c:pt idx="278">
                  <c:v>-0.35328727272727178</c:v>
                </c:pt>
                <c:pt idx="279">
                  <c:v>-0.2593818181818186</c:v>
                </c:pt>
                <c:pt idx="280">
                  <c:v>-0.10287272727272878</c:v>
                </c:pt>
                <c:pt idx="281">
                  <c:v>-0.2593818181818186</c:v>
                </c:pt>
                <c:pt idx="282">
                  <c:v>-0.50979636363636516</c:v>
                </c:pt>
                <c:pt idx="283">
                  <c:v>-0.50979636363636516</c:v>
                </c:pt>
                <c:pt idx="284">
                  <c:v>-0.72890909090909162</c:v>
                </c:pt>
                <c:pt idx="285">
                  <c:v>-0.10287272727272878</c:v>
                </c:pt>
                <c:pt idx="286">
                  <c:v>-0.22808000000000206</c:v>
                </c:pt>
                <c:pt idx="287">
                  <c:v>0.14754181818181777</c:v>
                </c:pt>
                <c:pt idx="288">
                  <c:v>0.39795636363636078</c:v>
                </c:pt>
                <c:pt idx="289">
                  <c:v>-4.026909090908859E-2</c:v>
                </c:pt>
                <c:pt idx="290">
                  <c:v>8.4938181818181135E-2</c:v>
                </c:pt>
                <c:pt idx="291">
                  <c:v>0.11624000000000123</c:v>
                </c:pt>
                <c:pt idx="292">
                  <c:v>-0.13417454545454888</c:v>
                </c:pt>
                <c:pt idx="293">
                  <c:v>0.39795636363636078</c:v>
                </c:pt>
                <c:pt idx="294">
                  <c:v>5.3636363636364592E-2</c:v>
                </c:pt>
                <c:pt idx="295">
                  <c:v>-0.35328727272727178</c:v>
                </c:pt>
                <c:pt idx="296">
                  <c:v>-0.5410981818181817</c:v>
                </c:pt>
                <c:pt idx="297">
                  <c:v>-0.60370181818181834</c:v>
                </c:pt>
                <c:pt idx="298">
                  <c:v>-8.9672727272720465E-3</c:v>
                </c:pt>
                <c:pt idx="299">
                  <c:v>-0.2593818181818186</c:v>
                </c:pt>
                <c:pt idx="300">
                  <c:v>8.4938181818181135E-2</c:v>
                </c:pt>
                <c:pt idx="301">
                  <c:v>0.24144727272727096</c:v>
                </c:pt>
                <c:pt idx="302">
                  <c:v>0.39795636363636078</c:v>
                </c:pt>
                <c:pt idx="303">
                  <c:v>0.46055999999999742</c:v>
                </c:pt>
                <c:pt idx="304">
                  <c:v>0.42925818181818087</c:v>
                </c:pt>
                <c:pt idx="305">
                  <c:v>0.49186181818181396</c:v>
                </c:pt>
                <c:pt idx="306">
                  <c:v>0.77357818181818061</c:v>
                </c:pt>
                <c:pt idx="307">
                  <c:v>0.3040509090909076</c:v>
                </c:pt>
                <c:pt idx="308">
                  <c:v>0.17884363636363432</c:v>
                </c:pt>
                <c:pt idx="309">
                  <c:v>-1.1671345454545445</c:v>
                </c:pt>
                <c:pt idx="310">
                  <c:v>-1.0732290909090914</c:v>
                </c:pt>
                <c:pt idx="311">
                  <c:v>-1.4801527272727277</c:v>
                </c:pt>
                <c:pt idx="312">
                  <c:v>-1.4801527272727277</c:v>
                </c:pt>
                <c:pt idx="313">
                  <c:v>-0.72890909090909162</c:v>
                </c:pt>
                <c:pt idx="314">
                  <c:v>-0.63500363636363488</c:v>
                </c:pt>
                <c:pt idx="315">
                  <c:v>-0.94802181818181808</c:v>
                </c:pt>
                <c:pt idx="316">
                  <c:v>-1.4175490909090911</c:v>
                </c:pt>
                <c:pt idx="317">
                  <c:v>-0.16547636363636542</c:v>
                </c:pt>
                <c:pt idx="318">
                  <c:v>-1.1984363636363611</c:v>
                </c:pt>
                <c:pt idx="319">
                  <c:v>-0.82281454545454835</c:v>
                </c:pt>
                <c:pt idx="320">
                  <c:v>-1.2610400000000013</c:v>
                </c:pt>
                <c:pt idx="321">
                  <c:v>-0.44719272727272852</c:v>
                </c:pt>
                <c:pt idx="322">
                  <c:v>-0.44719272727272852</c:v>
                </c:pt>
                <c:pt idx="323">
                  <c:v>-0.60370181818181834</c:v>
                </c:pt>
                <c:pt idx="324">
                  <c:v>-1.135832727272728</c:v>
                </c:pt>
                <c:pt idx="325">
                  <c:v>-0.57239999999999824</c:v>
                </c:pt>
                <c:pt idx="326">
                  <c:v>-0.13417454545454888</c:v>
                </c:pt>
                <c:pt idx="327">
                  <c:v>-0.10287272727272878</c:v>
                </c:pt>
                <c:pt idx="328">
                  <c:v>-0.38458909090909188</c:v>
                </c:pt>
                <c:pt idx="329">
                  <c:v>-0.66630545454545498</c:v>
                </c:pt>
                <c:pt idx="330">
                  <c:v>-0.22808000000000206</c:v>
                </c:pt>
                <c:pt idx="331">
                  <c:v>-0.82281454545454835</c:v>
                </c:pt>
                <c:pt idx="332">
                  <c:v>-0.47849454545454506</c:v>
                </c:pt>
                <c:pt idx="333">
                  <c:v>-0.32198545454545524</c:v>
                </c:pt>
                <c:pt idx="334">
                  <c:v>-0.47849454545454506</c:v>
                </c:pt>
                <c:pt idx="335">
                  <c:v>-0.66630545454545498</c:v>
                </c:pt>
                <c:pt idx="336">
                  <c:v>-0.60370181818181834</c:v>
                </c:pt>
                <c:pt idx="337">
                  <c:v>2.2334545454544497E-2</c:v>
                </c:pt>
                <c:pt idx="338">
                  <c:v>-4.026909090908859E-2</c:v>
                </c:pt>
                <c:pt idx="339">
                  <c:v>-0.13417454545454888</c:v>
                </c:pt>
                <c:pt idx="340">
                  <c:v>-7.1570909090908685E-2</c:v>
                </c:pt>
                <c:pt idx="341">
                  <c:v>-0.32198545454545524</c:v>
                </c:pt>
                <c:pt idx="342">
                  <c:v>-0.13417454545454888</c:v>
                </c:pt>
                <c:pt idx="343">
                  <c:v>-0.60370181818181834</c:v>
                </c:pt>
                <c:pt idx="344">
                  <c:v>-0.76021090909091171</c:v>
                </c:pt>
                <c:pt idx="345">
                  <c:v>0.27274909090909105</c:v>
                </c:pt>
                <c:pt idx="346">
                  <c:v>0.14754181818181777</c:v>
                </c:pt>
                <c:pt idx="347">
                  <c:v>-0.5410981818181817</c:v>
                </c:pt>
                <c:pt idx="348">
                  <c:v>-0.22808000000000206</c:v>
                </c:pt>
                <c:pt idx="349">
                  <c:v>-0.57239999999999824</c:v>
                </c:pt>
                <c:pt idx="350">
                  <c:v>-0.35328727272727178</c:v>
                </c:pt>
                <c:pt idx="351">
                  <c:v>-0.2906836363636387</c:v>
                </c:pt>
                <c:pt idx="352">
                  <c:v>-0.63500363636363488</c:v>
                </c:pt>
                <c:pt idx="353">
                  <c:v>-7.1570909090908685E-2</c:v>
                </c:pt>
                <c:pt idx="354">
                  <c:v>-0.2593818181818186</c:v>
                </c:pt>
                <c:pt idx="355">
                  <c:v>-0.38458909090909188</c:v>
                </c:pt>
                <c:pt idx="356">
                  <c:v>-0.10287272727272878</c:v>
                </c:pt>
                <c:pt idx="357">
                  <c:v>-4.026909090908859E-2</c:v>
                </c:pt>
                <c:pt idx="358">
                  <c:v>-7.1570909090908685E-2</c:v>
                </c:pt>
                <c:pt idx="359">
                  <c:v>0.24144727272727096</c:v>
                </c:pt>
                <c:pt idx="360">
                  <c:v>0.17884363636363432</c:v>
                </c:pt>
                <c:pt idx="361">
                  <c:v>-0.22808000000000206</c:v>
                </c:pt>
                <c:pt idx="362">
                  <c:v>-0.22808000000000206</c:v>
                </c:pt>
                <c:pt idx="363">
                  <c:v>0.27274909090909105</c:v>
                </c:pt>
                <c:pt idx="364">
                  <c:v>0.24144727272727096</c:v>
                </c:pt>
                <c:pt idx="365">
                  <c:v>-0.22808000000000206</c:v>
                </c:pt>
                <c:pt idx="366">
                  <c:v>0.14754181818181777</c:v>
                </c:pt>
                <c:pt idx="367">
                  <c:v>-0.10287272727272878</c:v>
                </c:pt>
                <c:pt idx="368">
                  <c:v>-0.44719272727272852</c:v>
                </c:pt>
                <c:pt idx="369">
                  <c:v>-0.5410981818181817</c:v>
                </c:pt>
                <c:pt idx="370">
                  <c:v>-0.41589090909090842</c:v>
                </c:pt>
                <c:pt idx="371">
                  <c:v>-7.1570909090908685E-2</c:v>
                </c:pt>
                <c:pt idx="372">
                  <c:v>-0.35328727272727178</c:v>
                </c:pt>
                <c:pt idx="373">
                  <c:v>-0.69760727272727507</c:v>
                </c:pt>
                <c:pt idx="374">
                  <c:v>-0.5410981818181817</c:v>
                </c:pt>
                <c:pt idx="375">
                  <c:v>-0.38458909090909188</c:v>
                </c:pt>
                <c:pt idx="376">
                  <c:v>-8.9672727272720465E-3</c:v>
                </c:pt>
                <c:pt idx="377">
                  <c:v>0.36665454545454423</c:v>
                </c:pt>
                <c:pt idx="378">
                  <c:v>0.33535272727272414</c:v>
                </c:pt>
                <c:pt idx="379">
                  <c:v>5.3636363636364592E-2</c:v>
                </c:pt>
                <c:pt idx="380">
                  <c:v>-0.19677818181818196</c:v>
                </c:pt>
                <c:pt idx="381">
                  <c:v>-0.41589090909090842</c:v>
                </c:pt>
                <c:pt idx="382">
                  <c:v>0.71097454545454397</c:v>
                </c:pt>
                <c:pt idx="383">
                  <c:v>0.17884363636363432</c:v>
                </c:pt>
                <c:pt idx="384">
                  <c:v>-0.50979636363636516</c:v>
                </c:pt>
                <c:pt idx="385">
                  <c:v>-4.026909090908859E-2</c:v>
                </c:pt>
                <c:pt idx="386">
                  <c:v>0.11624000000000123</c:v>
                </c:pt>
                <c:pt idx="387">
                  <c:v>-0.2593818181818186</c:v>
                </c:pt>
                <c:pt idx="388">
                  <c:v>-0.2906836363636387</c:v>
                </c:pt>
                <c:pt idx="389">
                  <c:v>-0.13417454545454888</c:v>
                </c:pt>
                <c:pt idx="390">
                  <c:v>0.3040509090909076</c:v>
                </c:pt>
                <c:pt idx="391">
                  <c:v>0.27274909090909105</c:v>
                </c:pt>
                <c:pt idx="392">
                  <c:v>0.46055999999999742</c:v>
                </c:pt>
                <c:pt idx="393">
                  <c:v>0.36665454545454423</c:v>
                </c:pt>
                <c:pt idx="394">
                  <c:v>-0.35328727272727178</c:v>
                </c:pt>
                <c:pt idx="395">
                  <c:v>-0.19677818181818196</c:v>
                </c:pt>
                <c:pt idx="396">
                  <c:v>-7.1570909090908685E-2</c:v>
                </c:pt>
                <c:pt idx="397">
                  <c:v>-8.9672727272720465E-3</c:v>
                </c:pt>
                <c:pt idx="398">
                  <c:v>0.14754181818181777</c:v>
                </c:pt>
                <c:pt idx="399">
                  <c:v>0.52316363636363761</c:v>
                </c:pt>
                <c:pt idx="400">
                  <c:v>0.21014545454545441</c:v>
                </c:pt>
                <c:pt idx="401">
                  <c:v>-0.2906836363636387</c:v>
                </c:pt>
                <c:pt idx="402">
                  <c:v>-0.50979636363636516</c:v>
                </c:pt>
                <c:pt idx="403">
                  <c:v>-0.35328727272727178</c:v>
                </c:pt>
                <c:pt idx="404">
                  <c:v>-0.22808000000000206</c:v>
                </c:pt>
                <c:pt idx="405">
                  <c:v>-4.026909090908859E-2</c:v>
                </c:pt>
                <c:pt idx="406">
                  <c:v>0.33535272727272414</c:v>
                </c:pt>
                <c:pt idx="407">
                  <c:v>0.14754181818181777</c:v>
                </c:pt>
                <c:pt idx="408">
                  <c:v>1.0239927272727236</c:v>
                </c:pt>
                <c:pt idx="409">
                  <c:v>0.36665454545454423</c:v>
                </c:pt>
                <c:pt idx="410">
                  <c:v>0.86748363636363379</c:v>
                </c:pt>
                <c:pt idx="411">
                  <c:v>0.58576727272727425</c:v>
                </c:pt>
                <c:pt idx="412">
                  <c:v>0.52316363636363761</c:v>
                </c:pt>
                <c:pt idx="413">
                  <c:v>0.55446545454545415</c:v>
                </c:pt>
                <c:pt idx="414">
                  <c:v>0.3040509090909076</c:v>
                </c:pt>
                <c:pt idx="415">
                  <c:v>0.42925818181818087</c:v>
                </c:pt>
                <c:pt idx="416">
                  <c:v>0.3040509090909076</c:v>
                </c:pt>
                <c:pt idx="417">
                  <c:v>0.3040509090909076</c:v>
                </c:pt>
                <c:pt idx="418">
                  <c:v>0.64837090909090733</c:v>
                </c:pt>
                <c:pt idx="419">
                  <c:v>0.55446545454545415</c:v>
                </c:pt>
                <c:pt idx="420">
                  <c:v>0.46055999999999742</c:v>
                </c:pt>
                <c:pt idx="421">
                  <c:v>0.33535272727272414</c:v>
                </c:pt>
                <c:pt idx="422">
                  <c:v>0.11624000000000123</c:v>
                </c:pt>
                <c:pt idx="423">
                  <c:v>0.58576727272727425</c:v>
                </c:pt>
                <c:pt idx="424">
                  <c:v>-0.35328727272727178</c:v>
                </c:pt>
                <c:pt idx="425">
                  <c:v>-4.026909090908859E-2</c:v>
                </c:pt>
                <c:pt idx="426">
                  <c:v>-4.026909090908859E-2</c:v>
                </c:pt>
                <c:pt idx="427">
                  <c:v>0.89878545454545389</c:v>
                </c:pt>
                <c:pt idx="428">
                  <c:v>0.64837090909090733</c:v>
                </c:pt>
                <c:pt idx="429">
                  <c:v>-4.026909090908859E-2</c:v>
                </c:pt>
                <c:pt idx="430">
                  <c:v>-0.76021090909091171</c:v>
                </c:pt>
                <c:pt idx="431">
                  <c:v>-0.82281454545454835</c:v>
                </c:pt>
                <c:pt idx="432">
                  <c:v>-1.4175490909090911</c:v>
                </c:pt>
                <c:pt idx="433">
                  <c:v>-1.2923418181818214</c:v>
                </c:pt>
                <c:pt idx="434">
                  <c:v>-1.3862472727272745</c:v>
                </c:pt>
                <c:pt idx="435">
                  <c:v>-1.0419272727272713</c:v>
                </c:pt>
                <c:pt idx="436">
                  <c:v>-0.50979636363636516</c:v>
                </c:pt>
                <c:pt idx="437">
                  <c:v>-0.5410981818181817</c:v>
                </c:pt>
                <c:pt idx="438">
                  <c:v>-0.60370181818181834</c:v>
                </c:pt>
                <c:pt idx="439">
                  <c:v>-1.354945454545458</c:v>
                </c:pt>
                <c:pt idx="440">
                  <c:v>-1.1984363636363611</c:v>
                </c:pt>
                <c:pt idx="441">
                  <c:v>-1.1671345454545445</c:v>
                </c:pt>
                <c:pt idx="442">
                  <c:v>-0.76021090909091171</c:v>
                </c:pt>
                <c:pt idx="443">
                  <c:v>-1.1984363636363611</c:v>
                </c:pt>
                <c:pt idx="444">
                  <c:v>-1.2923418181818214</c:v>
                </c:pt>
                <c:pt idx="445">
                  <c:v>-1.4175490909090911</c:v>
                </c:pt>
                <c:pt idx="446">
                  <c:v>-1.2610400000000013</c:v>
                </c:pt>
                <c:pt idx="447">
                  <c:v>-1.0732290909090914</c:v>
                </c:pt>
                <c:pt idx="448">
                  <c:v>-0.85411636363636489</c:v>
                </c:pt>
                <c:pt idx="449">
                  <c:v>-1.2610400000000013</c:v>
                </c:pt>
                <c:pt idx="450">
                  <c:v>-0.76021090909091171</c:v>
                </c:pt>
                <c:pt idx="451">
                  <c:v>-0.47849454545454506</c:v>
                </c:pt>
                <c:pt idx="452">
                  <c:v>-0.19677818181818196</c:v>
                </c:pt>
                <c:pt idx="453">
                  <c:v>-0.35328727272727178</c:v>
                </c:pt>
                <c:pt idx="454">
                  <c:v>-0.97932363636363817</c:v>
                </c:pt>
                <c:pt idx="455">
                  <c:v>-0.50979636363636516</c:v>
                </c:pt>
                <c:pt idx="456">
                  <c:v>-0.69760727272727507</c:v>
                </c:pt>
                <c:pt idx="457">
                  <c:v>-0.66630545454545498</c:v>
                </c:pt>
                <c:pt idx="458">
                  <c:v>-0.79151272727272826</c:v>
                </c:pt>
                <c:pt idx="459">
                  <c:v>-0.82281454545454835</c:v>
                </c:pt>
                <c:pt idx="460">
                  <c:v>-0.88541818181818144</c:v>
                </c:pt>
                <c:pt idx="461">
                  <c:v>-1.0106254545454547</c:v>
                </c:pt>
                <c:pt idx="462">
                  <c:v>-0.60370181818181834</c:v>
                </c:pt>
                <c:pt idx="463">
                  <c:v>-0.35328727272727178</c:v>
                </c:pt>
                <c:pt idx="464">
                  <c:v>-0.2906836363636387</c:v>
                </c:pt>
                <c:pt idx="465">
                  <c:v>-0.66630545454545498</c:v>
                </c:pt>
                <c:pt idx="466">
                  <c:v>-0.85411636363636489</c:v>
                </c:pt>
                <c:pt idx="467">
                  <c:v>-0.22808000000000206</c:v>
                </c:pt>
                <c:pt idx="468">
                  <c:v>-0.2906836363636387</c:v>
                </c:pt>
                <c:pt idx="469">
                  <c:v>-0.16547636363636542</c:v>
                </c:pt>
                <c:pt idx="470">
                  <c:v>2.2334545454544497E-2</c:v>
                </c:pt>
                <c:pt idx="471">
                  <c:v>-8.9672727272720465E-3</c:v>
                </c:pt>
                <c:pt idx="472">
                  <c:v>-8.9672727272720465E-3</c:v>
                </c:pt>
                <c:pt idx="473">
                  <c:v>-0.22808000000000206</c:v>
                </c:pt>
                <c:pt idx="474">
                  <c:v>-0.22808000000000206</c:v>
                </c:pt>
                <c:pt idx="475">
                  <c:v>-0.38458909090909188</c:v>
                </c:pt>
                <c:pt idx="476">
                  <c:v>-0.44719272727272852</c:v>
                </c:pt>
                <c:pt idx="477">
                  <c:v>-0.57239999999999824</c:v>
                </c:pt>
                <c:pt idx="478">
                  <c:v>-0.60370181818181834</c:v>
                </c:pt>
                <c:pt idx="479">
                  <c:v>2.2334545454544497E-2</c:v>
                </c:pt>
                <c:pt idx="480">
                  <c:v>-0.32198545454545524</c:v>
                </c:pt>
                <c:pt idx="481">
                  <c:v>-1.0419272727272713</c:v>
                </c:pt>
                <c:pt idx="482">
                  <c:v>-0.94802181818181808</c:v>
                </c:pt>
                <c:pt idx="483">
                  <c:v>-0.5410981818181817</c:v>
                </c:pt>
                <c:pt idx="484">
                  <c:v>-0.2906836363636387</c:v>
                </c:pt>
                <c:pt idx="485">
                  <c:v>-0.19677818181818196</c:v>
                </c:pt>
                <c:pt idx="486">
                  <c:v>-0.69760727272727507</c:v>
                </c:pt>
                <c:pt idx="487">
                  <c:v>-4.026909090908859E-2</c:v>
                </c:pt>
                <c:pt idx="488">
                  <c:v>-4.026909090908859E-2</c:v>
                </c:pt>
                <c:pt idx="489">
                  <c:v>0.27274909090909105</c:v>
                </c:pt>
                <c:pt idx="490">
                  <c:v>0.49186181818181396</c:v>
                </c:pt>
                <c:pt idx="491">
                  <c:v>0.3040509090909076</c:v>
                </c:pt>
                <c:pt idx="492">
                  <c:v>-8.9672727272720465E-3</c:v>
                </c:pt>
                <c:pt idx="493">
                  <c:v>0.17884363636363432</c:v>
                </c:pt>
                <c:pt idx="494">
                  <c:v>0.33535272727272414</c:v>
                </c:pt>
                <c:pt idx="495">
                  <c:v>2.2334545454544497E-2</c:v>
                </c:pt>
                <c:pt idx="496">
                  <c:v>-0.13417454545454888</c:v>
                </c:pt>
                <c:pt idx="497">
                  <c:v>0.46055999999999742</c:v>
                </c:pt>
                <c:pt idx="498">
                  <c:v>0.39795636363636078</c:v>
                </c:pt>
                <c:pt idx="499">
                  <c:v>2.2334545454544497E-2</c:v>
                </c:pt>
                <c:pt idx="500">
                  <c:v>-0.16547636363636542</c:v>
                </c:pt>
                <c:pt idx="501">
                  <c:v>-0.22808000000000206</c:v>
                </c:pt>
                <c:pt idx="502">
                  <c:v>-0.13417454545454888</c:v>
                </c:pt>
                <c:pt idx="503">
                  <c:v>-8.9672727272720465E-3</c:v>
                </c:pt>
                <c:pt idx="504">
                  <c:v>-0.13417454545454888</c:v>
                </c:pt>
                <c:pt idx="505">
                  <c:v>-0.16547636363636542</c:v>
                </c:pt>
                <c:pt idx="506">
                  <c:v>-0.19677818181818196</c:v>
                </c:pt>
                <c:pt idx="507">
                  <c:v>-8.9672727272720465E-3</c:v>
                </c:pt>
                <c:pt idx="508">
                  <c:v>-0.2593818181818186</c:v>
                </c:pt>
                <c:pt idx="509">
                  <c:v>-0.50979636363636516</c:v>
                </c:pt>
                <c:pt idx="510">
                  <c:v>-0.69760727272727507</c:v>
                </c:pt>
                <c:pt idx="511">
                  <c:v>-0.88541818181818144</c:v>
                </c:pt>
                <c:pt idx="512">
                  <c:v>-4.026909090908859E-2</c:v>
                </c:pt>
                <c:pt idx="513">
                  <c:v>-0.16547636363636542</c:v>
                </c:pt>
                <c:pt idx="514">
                  <c:v>-8.9672727272720465E-3</c:v>
                </c:pt>
                <c:pt idx="515">
                  <c:v>-7.1570909090908685E-2</c:v>
                </c:pt>
                <c:pt idx="516">
                  <c:v>-0.2906836363636387</c:v>
                </c:pt>
                <c:pt idx="517">
                  <c:v>-0.44719272727272852</c:v>
                </c:pt>
                <c:pt idx="518">
                  <c:v>8.4938181818181135E-2</c:v>
                </c:pt>
                <c:pt idx="519">
                  <c:v>-4.026909090908859E-2</c:v>
                </c:pt>
                <c:pt idx="520">
                  <c:v>-0.2906836363636387</c:v>
                </c:pt>
                <c:pt idx="521">
                  <c:v>-0.57239999999999824</c:v>
                </c:pt>
                <c:pt idx="522">
                  <c:v>-0.44719272727272852</c:v>
                </c:pt>
                <c:pt idx="523">
                  <c:v>-8.9672727272720465E-3</c:v>
                </c:pt>
                <c:pt idx="524">
                  <c:v>8.4938181818181135E-2</c:v>
                </c:pt>
                <c:pt idx="525">
                  <c:v>0.3040509090909076</c:v>
                </c:pt>
                <c:pt idx="526">
                  <c:v>8.4938181818181135E-2</c:v>
                </c:pt>
                <c:pt idx="527">
                  <c:v>-0.38458909090909188</c:v>
                </c:pt>
                <c:pt idx="528">
                  <c:v>2.2334545454544497E-2</c:v>
                </c:pt>
                <c:pt idx="529">
                  <c:v>5.3636363636364592E-2</c:v>
                </c:pt>
                <c:pt idx="530">
                  <c:v>0.17884363636363432</c:v>
                </c:pt>
                <c:pt idx="531">
                  <c:v>2.2334545454544497E-2</c:v>
                </c:pt>
                <c:pt idx="532">
                  <c:v>0.14754181818181777</c:v>
                </c:pt>
                <c:pt idx="533">
                  <c:v>-0.13417454545454888</c:v>
                </c:pt>
                <c:pt idx="534">
                  <c:v>-0.41589090909090842</c:v>
                </c:pt>
                <c:pt idx="535">
                  <c:v>-4.026909090908859E-2</c:v>
                </c:pt>
                <c:pt idx="536">
                  <c:v>-0.16547636363636542</c:v>
                </c:pt>
                <c:pt idx="537">
                  <c:v>-0.32198545454545524</c:v>
                </c:pt>
                <c:pt idx="538">
                  <c:v>-0.41589090909090842</c:v>
                </c:pt>
                <c:pt idx="539">
                  <c:v>-0.50979636363636516</c:v>
                </c:pt>
                <c:pt idx="540">
                  <c:v>-0.5410981818181817</c:v>
                </c:pt>
                <c:pt idx="541">
                  <c:v>8.4938181818181135E-2</c:v>
                </c:pt>
                <c:pt idx="542">
                  <c:v>-0.2593818181818186</c:v>
                </c:pt>
                <c:pt idx="543">
                  <c:v>-0.38458909090909188</c:v>
                </c:pt>
                <c:pt idx="544">
                  <c:v>-0.41589090909090842</c:v>
                </c:pt>
                <c:pt idx="545">
                  <c:v>-0.47849454545454506</c:v>
                </c:pt>
                <c:pt idx="546">
                  <c:v>-0.13417454545454888</c:v>
                </c:pt>
                <c:pt idx="547">
                  <c:v>-8.9672727272720465E-3</c:v>
                </c:pt>
                <c:pt idx="548">
                  <c:v>0.11624000000000123</c:v>
                </c:pt>
                <c:pt idx="549">
                  <c:v>-0.22808000000000206</c:v>
                </c:pt>
                <c:pt idx="550">
                  <c:v>-0.10287272727272878</c:v>
                </c:pt>
                <c:pt idx="551">
                  <c:v>-0.13417454545454888</c:v>
                </c:pt>
                <c:pt idx="552">
                  <c:v>-0.66630545454545498</c:v>
                </c:pt>
                <c:pt idx="553">
                  <c:v>2.2334545454544497E-2</c:v>
                </c:pt>
                <c:pt idx="554">
                  <c:v>-0.69760727272727507</c:v>
                </c:pt>
                <c:pt idx="555">
                  <c:v>-4.026909090908859E-2</c:v>
                </c:pt>
                <c:pt idx="556">
                  <c:v>0.17884363636363432</c:v>
                </c:pt>
                <c:pt idx="557">
                  <c:v>5.3636363636364592E-2</c:v>
                </c:pt>
                <c:pt idx="558">
                  <c:v>-4.026909090908859E-2</c:v>
                </c:pt>
                <c:pt idx="559">
                  <c:v>0.21014545454545441</c:v>
                </c:pt>
                <c:pt idx="560">
                  <c:v>-4.026909090908859E-2</c:v>
                </c:pt>
                <c:pt idx="561">
                  <c:v>-0.47849454545454506</c:v>
                </c:pt>
                <c:pt idx="562">
                  <c:v>-0.2906836363636387</c:v>
                </c:pt>
                <c:pt idx="563">
                  <c:v>-0.35328727272727178</c:v>
                </c:pt>
                <c:pt idx="564">
                  <c:v>-8.9672727272720465E-3</c:v>
                </c:pt>
                <c:pt idx="565">
                  <c:v>-7.1570909090908685E-2</c:v>
                </c:pt>
                <c:pt idx="566">
                  <c:v>-0.35328727272727178</c:v>
                </c:pt>
                <c:pt idx="567">
                  <c:v>-0.88541818181818144</c:v>
                </c:pt>
                <c:pt idx="568">
                  <c:v>-0.76021090909091171</c:v>
                </c:pt>
                <c:pt idx="569">
                  <c:v>-0.44719272727272852</c:v>
                </c:pt>
                <c:pt idx="570">
                  <c:v>-0.50979636363636516</c:v>
                </c:pt>
                <c:pt idx="571">
                  <c:v>5.3636363636364592E-2</c:v>
                </c:pt>
                <c:pt idx="572">
                  <c:v>0.21014545454545441</c:v>
                </c:pt>
                <c:pt idx="573">
                  <c:v>0.33535272727272414</c:v>
                </c:pt>
                <c:pt idx="574">
                  <c:v>5.3636363636364592E-2</c:v>
                </c:pt>
                <c:pt idx="575">
                  <c:v>0.11624000000000123</c:v>
                </c:pt>
                <c:pt idx="576">
                  <c:v>0.3040509090909076</c:v>
                </c:pt>
                <c:pt idx="577">
                  <c:v>0.24144727272727096</c:v>
                </c:pt>
                <c:pt idx="578">
                  <c:v>0.17884363636363432</c:v>
                </c:pt>
                <c:pt idx="579">
                  <c:v>0.3040509090909076</c:v>
                </c:pt>
                <c:pt idx="580">
                  <c:v>0.52316363636363761</c:v>
                </c:pt>
                <c:pt idx="581">
                  <c:v>0.67967272727272743</c:v>
                </c:pt>
                <c:pt idx="582">
                  <c:v>0.39795636363636078</c:v>
                </c:pt>
                <c:pt idx="583">
                  <c:v>1.3370109090909104</c:v>
                </c:pt>
                <c:pt idx="584">
                  <c:v>0.71097454545454397</c:v>
                </c:pt>
                <c:pt idx="585">
                  <c:v>0.27274909090909105</c:v>
                </c:pt>
                <c:pt idx="586">
                  <c:v>-4.026909090908859E-2</c:v>
                </c:pt>
                <c:pt idx="587">
                  <c:v>-4.026909090908859E-2</c:v>
                </c:pt>
                <c:pt idx="588">
                  <c:v>5.3636363636364592E-2</c:v>
                </c:pt>
                <c:pt idx="589">
                  <c:v>0.64837090909090733</c:v>
                </c:pt>
                <c:pt idx="590">
                  <c:v>0.49186181818181396</c:v>
                </c:pt>
                <c:pt idx="591">
                  <c:v>0.49186181818181396</c:v>
                </c:pt>
                <c:pt idx="592">
                  <c:v>5.3636363636364592E-2</c:v>
                </c:pt>
                <c:pt idx="593">
                  <c:v>-4.026909090908859E-2</c:v>
                </c:pt>
                <c:pt idx="594">
                  <c:v>-0.10287272727272878</c:v>
                </c:pt>
                <c:pt idx="595">
                  <c:v>0.71097454545454397</c:v>
                </c:pt>
                <c:pt idx="596">
                  <c:v>8.4938181818181135E-2</c:v>
                </c:pt>
                <c:pt idx="597">
                  <c:v>0.33535272727272414</c:v>
                </c:pt>
                <c:pt idx="598">
                  <c:v>0.24144727272727096</c:v>
                </c:pt>
                <c:pt idx="599">
                  <c:v>-0.16547636363636542</c:v>
                </c:pt>
                <c:pt idx="600">
                  <c:v>0.17884363636363432</c:v>
                </c:pt>
                <c:pt idx="601">
                  <c:v>-8.9672727272720465E-3</c:v>
                </c:pt>
                <c:pt idx="602">
                  <c:v>0.55446545454545415</c:v>
                </c:pt>
                <c:pt idx="603">
                  <c:v>0.64837090909090733</c:v>
                </c:pt>
                <c:pt idx="604">
                  <c:v>0.46055999999999742</c:v>
                </c:pt>
                <c:pt idx="605">
                  <c:v>0.64837090909090733</c:v>
                </c:pt>
                <c:pt idx="606">
                  <c:v>0.77357818181818061</c:v>
                </c:pt>
                <c:pt idx="607">
                  <c:v>0.39795636363636078</c:v>
                </c:pt>
                <c:pt idx="608">
                  <c:v>0.14754181818181777</c:v>
                </c:pt>
                <c:pt idx="609">
                  <c:v>0.36665454545454423</c:v>
                </c:pt>
                <c:pt idx="610">
                  <c:v>0.24144727272727096</c:v>
                </c:pt>
                <c:pt idx="611">
                  <c:v>-1.1045309090909079</c:v>
                </c:pt>
                <c:pt idx="612">
                  <c:v>-0.63500363636363488</c:v>
                </c:pt>
                <c:pt idx="613">
                  <c:v>-0.91672000000000153</c:v>
                </c:pt>
                <c:pt idx="614">
                  <c:v>-1.354945454545458</c:v>
                </c:pt>
                <c:pt idx="615">
                  <c:v>-1.1671345454545445</c:v>
                </c:pt>
                <c:pt idx="616">
                  <c:v>-1.5114545454545478</c:v>
                </c:pt>
                <c:pt idx="617">
                  <c:v>-1.5427563636363644</c:v>
                </c:pt>
                <c:pt idx="618">
                  <c:v>-0.72890909090909162</c:v>
                </c:pt>
                <c:pt idx="619">
                  <c:v>-0.66630545454545498</c:v>
                </c:pt>
                <c:pt idx="620">
                  <c:v>-0.85411636363636489</c:v>
                </c:pt>
                <c:pt idx="621">
                  <c:v>-0.91672000000000153</c:v>
                </c:pt>
                <c:pt idx="622">
                  <c:v>-0.35328727272727178</c:v>
                </c:pt>
                <c:pt idx="623">
                  <c:v>-1.0419272727272713</c:v>
                </c:pt>
                <c:pt idx="624">
                  <c:v>-1.135832727272728</c:v>
                </c:pt>
                <c:pt idx="625">
                  <c:v>-0.88541818181818144</c:v>
                </c:pt>
                <c:pt idx="626">
                  <c:v>-0.38458909090909188</c:v>
                </c:pt>
                <c:pt idx="627">
                  <c:v>-0.79151272727272826</c:v>
                </c:pt>
                <c:pt idx="628">
                  <c:v>-1.0419272727272713</c:v>
                </c:pt>
                <c:pt idx="629">
                  <c:v>-0.82281454545454835</c:v>
                </c:pt>
                <c:pt idx="630">
                  <c:v>2.2334545454544497E-2</c:v>
                </c:pt>
                <c:pt idx="631">
                  <c:v>0.17884363636363432</c:v>
                </c:pt>
                <c:pt idx="632">
                  <c:v>0.42925818181818087</c:v>
                </c:pt>
                <c:pt idx="633">
                  <c:v>-7.1570909090908685E-2</c:v>
                </c:pt>
                <c:pt idx="634">
                  <c:v>-0.79151272727272826</c:v>
                </c:pt>
                <c:pt idx="635">
                  <c:v>-0.38458909090909188</c:v>
                </c:pt>
                <c:pt idx="636">
                  <c:v>-0.35328727272727178</c:v>
                </c:pt>
                <c:pt idx="637">
                  <c:v>-0.50979636363636516</c:v>
                </c:pt>
                <c:pt idx="638">
                  <c:v>0.64837090909090733</c:v>
                </c:pt>
                <c:pt idx="639">
                  <c:v>0.27274909090909105</c:v>
                </c:pt>
                <c:pt idx="640">
                  <c:v>-4.026909090908859E-2</c:v>
                </c:pt>
                <c:pt idx="641">
                  <c:v>-0.69760727272727507</c:v>
                </c:pt>
                <c:pt idx="642">
                  <c:v>-0.57239999999999824</c:v>
                </c:pt>
                <c:pt idx="643">
                  <c:v>-0.38458909090909188</c:v>
                </c:pt>
                <c:pt idx="644">
                  <c:v>-0.44719272727272852</c:v>
                </c:pt>
                <c:pt idx="645">
                  <c:v>-0.79151272727272826</c:v>
                </c:pt>
                <c:pt idx="646">
                  <c:v>-0.44719272727272852</c:v>
                </c:pt>
                <c:pt idx="647">
                  <c:v>-0.47849454545454506</c:v>
                </c:pt>
                <c:pt idx="648">
                  <c:v>-0.5410981818181817</c:v>
                </c:pt>
                <c:pt idx="649">
                  <c:v>-0.66630545454545498</c:v>
                </c:pt>
                <c:pt idx="650">
                  <c:v>-0.69760727272727507</c:v>
                </c:pt>
                <c:pt idx="651">
                  <c:v>-0.50979636363636516</c:v>
                </c:pt>
                <c:pt idx="652">
                  <c:v>-0.41589090909090842</c:v>
                </c:pt>
                <c:pt idx="653">
                  <c:v>-0.2906836363636387</c:v>
                </c:pt>
                <c:pt idx="654">
                  <c:v>-0.10287272727272878</c:v>
                </c:pt>
                <c:pt idx="655">
                  <c:v>-0.2906836363636387</c:v>
                </c:pt>
                <c:pt idx="656">
                  <c:v>-0.2906836363636387</c:v>
                </c:pt>
                <c:pt idx="657">
                  <c:v>-0.32198545454545524</c:v>
                </c:pt>
                <c:pt idx="658">
                  <c:v>-0.60370181818181834</c:v>
                </c:pt>
                <c:pt idx="659">
                  <c:v>-0.35328727272727178</c:v>
                </c:pt>
                <c:pt idx="660">
                  <c:v>-0.47849454545454506</c:v>
                </c:pt>
                <c:pt idx="661">
                  <c:v>-0.44719272727272852</c:v>
                </c:pt>
                <c:pt idx="662">
                  <c:v>-0.16547636363636542</c:v>
                </c:pt>
                <c:pt idx="663">
                  <c:v>-8.9672727272720465E-3</c:v>
                </c:pt>
                <c:pt idx="664">
                  <c:v>-4.026909090908859E-2</c:v>
                </c:pt>
                <c:pt idx="665">
                  <c:v>8.4938181818181135E-2</c:v>
                </c:pt>
                <c:pt idx="666">
                  <c:v>-0.16547636363636542</c:v>
                </c:pt>
                <c:pt idx="667">
                  <c:v>5.3636363636364592E-2</c:v>
                </c:pt>
                <c:pt idx="668">
                  <c:v>-0.16547636363636542</c:v>
                </c:pt>
                <c:pt idx="669">
                  <c:v>-0.2906836363636387</c:v>
                </c:pt>
                <c:pt idx="670">
                  <c:v>-7.1570909090908685E-2</c:v>
                </c:pt>
                <c:pt idx="671">
                  <c:v>0.17884363636363432</c:v>
                </c:pt>
                <c:pt idx="672">
                  <c:v>0.39795636363636078</c:v>
                </c:pt>
                <c:pt idx="673">
                  <c:v>0.39795636363636078</c:v>
                </c:pt>
                <c:pt idx="674">
                  <c:v>0.3040509090909076</c:v>
                </c:pt>
                <c:pt idx="675">
                  <c:v>8.4938181818181135E-2</c:v>
                </c:pt>
                <c:pt idx="676">
                  <c:v>0.3040509090909076</c:v>
                </c:pt>
                <c:pt idx="677">
                  <c:v>-0.16547636363636542</c:v>
                </c:pt>
                <c:pt idx="678">
                  <c:v>0.33535272727272414</c:v>
                </c:pt>
                <c:pt idx="679">
                  <c:v>0.46055999999999742</c:v>
                </c:pt>
                <c:pt idx="680">
                  <c:v>0.11624000000000123</c:v>
                </c:pt>
                <c:pt idx="681">
                  <c:v>0.21014545454545441</c:v>
                </c:pt>
                <c:pt idx="682">
                  <c:v>2.2334545454544497E-2</c:v>
                </c:pt>
                <c:pt idx="683">
                  <c:v>-0.63500363636363488</c:v>
                </c:pt>
                <c:pt idx="684">
                  <c:v>-0.32198545454545524</c:v>
                </c:pt>
                <c:pt idx="685">
                  <c:v>-4.026909090908859E-2</c:v>
                </c:pt>
                <c:pt idx="686">
                  <c:v>-0.44719272727272852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08-4457-835E-E20A0495C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334895"/>
        <c:axId val="764342575"/>
      </c:scatterChart>
      <c:valAx>
        <c:axId val="76433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342575"/>
        <c:crosses val="autoZero"/>
        <c:crossBetween val="midCat"/>
      </c:valAx>
      <c:valAx>
        <c:axId val="76434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334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565150</xdr:colOff>
      <xdr:row>2</xdr:row>
      <xdr:rowOff>88900</xdr:rowOff>
    </xdr:from>
    <xdr:to>
      <xdr:col>11</xdr:col>
      <xdr:colOff>114300</xdr:colOff>
      <xdr:row>17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093652-5156-FC94-7680-BF7FBEC49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390767</xdr:colOff>
      <xdr:row>107</xdr:row>
      <xdr:rowOff>6978</xdr:rowOff>
    </xdr:from>
    <xdr:to>
      <xdr:col>16</xdr:col>
      <xdr:colOff>322383</xdr:colOff>
      <xdr:row>141</xdr:row>
      <xdr:rowOff>105507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540E85-0692-4420-B475-93B212A8A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sh Bali" refreshedDate="46066.621245023147" createdVersion="8" refreshedVersion="8" minRefreshableVersion="3" recordCount="2032" xr:uid="{A452E32B-5F92-4221-8E48-10489AD984AB}">
  <cacheSource type="worksheet">
    <worksheetSource ref="A1:I2033" sheet="Sheet1"/>
  </cacheSource>
  <cacheFields count="9">
    <cacheField name="time" numFmtId="14">
      <sharedItems containsSemiMixedTypes="0" containsNonDate="0" containsDate="1" containsString="0" minDate="2017-01-01T00:00:00" maxDate="2022-07-26T00:00:00"/>
    </cacheField>
    <cacheField name="tavg" numFmtId="0">
      <sharedItems containsSemiMixedTypes="0" containsString="0" containsNumber="1" minValue="18.399999999999999" maxValue="30.4" count="109">
        <n v="21"/>
        <n v="21.6"/>
        <n v="22.3"/>
        <n v="21.8"/>
        <n v="21.9"/>
        <n v="20.9"/>
        <n v="22.1"/>
        <n v="22"/>
        <n v="21.2"/>
        <n v="20.7"/>
        <n v="21.3"/>
        <n v="20.399999999999999"/>
        <n v="21.7"/>
        <n v="23.3"/>
        <n v="22.4"/>
        <n v="22.6"/>
        <n v="22.7"/>
        <n v="23.7"/>
        <n v="24.2"/>
        <n v="23.9"/>
        <n v="23.1"/>
        <n v="23.5"/>
        <n v="22.9"/>
        <n v="23.8"/>
        <n v="23.4"/>
        <n v="21.5"/>
        <n v="22.2"/>
        <n v="24.6"/>
        <n v="26"/>
        <n v="26.7"/>
        <n v="26.8"/>
        <n v="27.2"/>
        <n v="25.8"/>
        <n v="24.4"/>
        <n v="24.8"/>
        <n v="26.3"/>
        <n v="26.1"/>
        <n v="26.2"/>
        <n v="25.6"/>
        <n v="27"/>
        <n v="27.3"/>
        <n v="26.6"/>
        <n v="25.1"/>
        <n v="25.3"/>
        <n v="25.9"/>
        <n v="27.9"/>
        <n v="28"/>
        <n v="27.4"/>
        <n v="27.7"/>
        <n v="28.1"/>
        <n v="28.6"/>
        <n v="28.3"/>
        <n v="28.8"/>
        <n v="29.2"/>
        <n v="28.9"/>
        <n v="29.4"/>
        <n v="27.8"/>
        <n v="28.5"/>
        <n v="30.1"/>
        <n v="28.7"/>
        <n v="29.3"/>
        <n v="29.8"/>
        <n v="26.9"/>
        <n v="25.7"/>
        <n v="29.6"/>
        <n v="29.1"/>
        <n v="27.6"/>
        <n v="29.7"/>
        <n v="27.1"/>
        <n v="26.4"/>
        <n v="25.5"/>
        <n v="25.2"/>
        <n v="24.9"/>
        <n v="25"/>
        <n v="24.1"/>
        <n v="24"/>
        <n v="23.6"/>
        <n v="24.3"/>
        <n v="23.2"/>
        <n v="24.5"/>
        <n v="22.8"/>
        <n v="25.4"/>
        <n v="24.7"/>
        <n v="23"/>
        <n v="22.5"/>
        <n v="19.8"/>
        <n v="20.8"/>
        <n v="21.4"/>
        <n v="20.5"/>
        <n v="21.1"/>
        <n v="20.6"/>
        <n v="19.7"/>
        <n v="20.2"/>
        <n v="20.100000000000001"/>
        <n v="26.5"/>
        <n v="28.2"/>
        <n v="27.5"/>
        <n v="29"/>
        <n v="20.3"/>
        <n v="19.899999999999999"/>
        <n v="28.4"/>
        <n v="29.5"/>
        <n v="30"/>
        <n v="30.4"/>
        <n v="19.399999999999999"/>
        <n v="18.399999999999999"/>
        <n v="18.7"/>
        <n v="19"/>
        <n v="20"/>
      </sharedItems>
    </cacheField>
    <cacheField name="tmin" numFmtId="0">
      <sharedItems containsString="0" containsBlank="1" containsNumber="1" minValue="12.2" maxValue="24.9"/>
    </cacheField>
    <cacheField name="tmax" numFmtId="0">
      <sharedItems containsString="0" containsBlank="1" containsNumber="1" minValue="21.8" maxValue="37.200000000000003"/>
    </cacheField>
    <cacheField name="prcp" numFmtId="0">
      <sharedItems containsString="0" containsBlank="1" containsNumber="1" minValue="0" maxValue="128.80000000000001"/>
    </cacheField>
    <cacheField name="tavg2" numFmtId="0">
      <sharedItems containsBlank="1" count="3">
        <m/>
        <s v="OK"/>
        <s v="Outlier"/>
      </sharedItems>
    </cacheField>
    <cacheField name="tmin2" numFmtId="0">
      <sharedItems containsBlank="1"/>
    </cacheField>
    <cacheField name="tmax2" numFmtId="0">
      <sharedItems containsBlank="1"/>
    </cacheField>
    <cacheField name="year" numFmtId="0">
      <sharedItems containsString="0" containsBlank="1" containsNumber="1" containsInteger="1" minValue="2017" maxValue="2022" count="7">
        <m/>
        <n v="2017"/>
        <n v="2018"/>
        <n v="2019"/>
        <n v="2020"/>
        <n v="2021"/>
        <n v="20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2">
  <r>
    <d v="2017-01-01T00:00:00"/>
    <x v="0"/>
    <n v="14.6"/>
    <n v="27.6"/>
    <m/>
    <x v="0"/>
    <m/>
    <m/>
    <x v="0"/>
  </r>
  <r>
    <d v="2017-01-02T00:00:00"/>
    <x v="1"/>
    <n v="17"/>
    <n v="27.7"/>
    <m/>
    <x v="0"/>
    <m/>
    <m/>
    <x v="0"/>
  </r>
  <r>
    <d v="2017-01-03T00:00:00"/>
    <x v="2"/>
    <n v="16.100000000000001"/>
    <n v="28"/>
    <m/>
    <x v="0"/>
    <m/>
    <m/>
    <x v="0"/>
  </r>
  <r>
    <d v="2017-01-04T00:00:00"/>
    <x v="3"/>
    <n v="15.8"/>
    <n v="29.5"/>
    <m/>
    <x v="0"/>
    <m/>
    <m/>
    <x v="0"/>
  </r>
  <r>
    <d v="2017-01-05T00:00:00"/>
    <x v="4"/>
    <n v="15.5"/>
    <n v="29"/>
    <m/>
    <x v="0"/>
    <m/>
    <m/>
    <x v="0"/>
  </r>
  <r>
    <d v="2017-01-06T00:00:00"/>
    <x v="0"/>
    <n v="16"/>
    <n v="28.6"/>
    <m/>
    <x v="0"/>
    <m/>
    <m/>
    <x v="0"/>
  </r>
  <r>
    <d v="2017-01-07T00:00:00"/>
    <x v="5"/>
    <n v="16"/>
    <n v="29"/>
    <m/>
    <x v="0"/>
    <m/>
    <m/>
    <x v="0"/>
  </r>
  <r>
    <d v="2017-01-08T00:00:00"/>
    <x v="5"/>
    <n v="16"/>
    <n v="27.8"/>
    <m/>
    <x v="0"/>
    <m/>
    <m/>
    <x v="0"/>
  </r>
  <r>
    <d v="2017-01-09T00:00:00"/>
    <x v="0"/>
    <n v="15"/>
    <n v="28.5"/>
    <m/>
    <x v="0"/>
    <m/>
    <m/>
    <x v="0"/>
  </r>
  <r>
    <d v="2017-01-10T00:00:00"/>
    <x v="6"/>
    <n v="16"/>
    <n v="28.1"/>
    <m/>
    <x v="0"/>
    <m/>
    <m/>
    <x v="0"/>
  </r>
  <r>
    <d v="2017-01-11T00:00:00"/>
    <x v="7"/>
    <n v="16.600000000000001"/>
    <n v="29.4"/>
    <m/>
    <x v="0"/>
    <m/>
    <m/>
    <x v="0"/>
  </r>
  <r>
    <d v="2017-01-12T00:00:00"/>
    <x v="3"/>
    <n v="16.399999999999999"/>
    <n v="29.2"/>
    <m/>
    <x v="0"/>
    <m/>
    <m/>
    <x v="0"/>
  </r>
  <r>
    <d v="2017-01-13T00:00:00"/>
    <x v="8"/>
    <n v="16.899999999999999"/>
    <n v="28"/>
    <m/>
    <x v="0"/>
    <m/>
    <m/>
    <x v="0"/>
  </r>
  <r>
    <d v="2017-01-14T00:00:00"/>
    <x v="9"/>
    <n v="17.2"/>
    <n v="28.3"/>
    <m/>
    <x v="0"/>
    <m/>
    <m/>
    <x v="0"/>
  </r>
  <r>
    <d v="2017-01-15T00:00:00"/>
    <x v="9"/>
    <n v="15.5"/>
    <n v="27.2"/>
    <m/>
    <x v="0"/>
    <m/>
    <m/>
    <x v="0"/>
  </r>
  <r>
    <d v="2017-01-16T00:00:00"/>
    <x v="5"/>
    <n v="15.7"/>
    <n v="27.6"/>
    <m/>
    <x v="0"/>
    <m/>
    <m/>
    <x v="0"/>
  </r>
  <r>
    <d v="2017-01-17T00:00:00"/>
    <x v="10"/>
    <n v="15.4"/>
    <n v="28"/>
    <m/>
    <x v="0"/>
    <m/>
    <m/>
    <x v="0"/>
  </r>
  <r>
    <d v="2017-01-18T00:00:00"/>
    <x v="11"/>
    <n v="14.4"/>
    <n v="28.9"/>
    <m/>
    <x v="0"/>
    <m/>
    <m/>
    <x v="0"/>
  </r>
  <r>
    <d v="2017-01-19T00:00:00"/>
    <x v="11"/>
    <n v="15.8"/>
    <n v="28.2"/>
    <m/>
    <x v="0"/>
    <m/>
    <m/>
    <x v="0"/>
  </r>
  <r>
    <d v="2017-01-20T00:00:00"/>
    <x v="12"/>
    <n v="15.3"/>
    <n v="27.6"/>
    <m/>
    <x v="0"/>
    <m/>
    <m/>
    <x v="0"/>
  </r>
  <r>
    <d v="2017-01-21T00:00:00"/>
    <x v="1"/>
    <n v="18.600000000000001"/>
    <n v="28.9"/>
    <m/>
    <x v="0"/>
    <m/>
    <m/>
    <x v="0"/>
  </r>
  <r>
    <d v="2017-01-22T00:00:00"/>
    <x v="13"/>
    <n v="16.8"/>
    <n v="29.1"/>
    <n v="0"/>
    <x v="1"/>
    <s v="Outlier"/>
    <s v="OK"/>
    <x v="0"/>
  </r>
  <r>
    <d v="2017-01-23T00:00:00"/>
    <x v="2"/>
    <n v="15.9"/>
    <n v="30.3"/>
    <m/>
    <x v="0"/>
    <m/>
    <m/>
    <x v="0"/>
  </r>
  <r>
    <d v="2017-01-24T00:00:00"/>
    <x v="14"/>
    <n v="16"/>
    <n v="29.5"/>
    <m/>
    <x v="0"/>
    <m/>
    <m/>
    <x v="0"/>
  </r>
  <r>
    <d v="2017-01-25T00:00:00"/>
    <x v="15"/>
    <n v="16.7"/>
    <n v="30.3"/>
    <m/>
    <x v="0"/>
    <m/>
    <m/>
    <x v="0"/>
  </r>
  <r>
    <d v="2017-01-26T00:00:00"/>
    <x v="4"/>
    <n v="18.3"/>
    <n v="29.2"/>
    <n v="0"/>
    <x v="1"/>
    <s v="OK"/>
    <s v="OK"/>
    <x v="1"/>
  </r>
  <r>
    <d v="2017-01-27T00:00:00"/>
    <x v="6"/>
    <n v="19.7"/>
    <n v="26"/>
    <n v="0.3"/>
    <x v="1"/>
    <s v="OK"/>
    <s v="OK"/>
    <x v="1"/>
  </r>
  <r>
    <d v="2017-01-28T00:00:00"/>
    <x v="16"/>
    <n v="20"/>
    <n v="26.7"/>
    <n v="0"/>
    <x v="1"/>
    <s v="OK"/>
    <s v="OK"/>
    <x v="1"/>
  </r>
  <r>
    <d v="2017-01-29T00:00:00"/>
    <x v="17"/>
    <n v="19.2"/>
    <n v="29"/>
    <n v="0"/>
    <x v="1"/>
    <s v="OK"/>
    <s v="OK"/>
    <x v="1"/>
  </r>
  <r>
    <d v="2017-01-30T00:00:00"/>
    <x v="18"/>
    <n v="17.899999999999999"/>
    <n v="30"/>
    <m/>
    <x v="0"/>
    <m/>
    <m/>
    <x v="0"/>
  </r>
  <r>
    <d v="2017-01-31T00:00:00"/>
    <x v="19"/>
    <n v="18.2"/>
    <n v="31.7"/>
    <m/>
    <x v="0"/>
    <m/>
    <m/>
    <x v="0"/>
  </r>
  <r>
    <d v="2017-02-01T00:00:00"/>
    <x v="20"/>
    <n v="16"/>
    <n v="32"/>
    <m/>
    <x v="0"/>
    <m/>
    <m/>
    <x v="0"/>
  </r>
  <r>
    <d v="2017-02-02T00:00:00"/>
    <x v="21"/>
    <n v="16.399999999999999"/>
    <n v="31.5"/>
    <m/>
    <x v="0"/>
    <m/>
    <m/>
    <x v="0"/>
  </r>
  <r>
    <d v="2017-02-03T00:00:00"/>
    <x v="16"/>
    <n v="16.7"/>
    <n v="31.7"/>
    <m/>
    <x v="0"/>
    <m/>
    <m/>
    <x v="0"/>
  </r>
  <r>
    <d v="2017-02-04T00:00:00"/>
    <x v="4"/>
    <n v="16.600000000000001"/>
    <n v="30"/>
    <m/>
    <x v="0"/>
    <m/>
    <m/>
    <x v="0"/>
  </r>
  <r>
    <d v="2017-02-05T00:00:00"/>
    <x v="2"/>
    <n v="15.9"/>
    <n v="29.3"/>
    <m/>
    <x v="0"/>
    <m/>
    <m/>
    <x v="0"/>
  </r>
  <r>
    <d v="2017-02-06T00:00:00"/>
    <x v="22"/>
    <n v="16"/>
    <n v="30.7"/>
    <m/>
    <x v="0"/>
    <m/>
    <m/>
    <x v="0"/>
  </r>
  <r>
    <d v="2017-02-07T00:00:00"/>
    <x v="23"/>
    <n v="16.100000000000001"/>
    <n v="30.9"/>
    <m/>
    <x v="0"/>
    <m/>
    <m/>
    <x v="0"/>
  </r>
  <r>
    <d v="2017-02-08T00:00:00"/>
    <x v="17"/>
    <n v="16.600000000000001"/>
    <n v="32.200000000000003"/>
    <m/>
    <x v="0"/>
    <m/>
    <m/>
    <x v="0"/>
  </r>
  <r>
    <d v="2017-02-09T00:00:00"/>
    <x v="24"/>
    <n v="15.8"/>
    <n v="32"/>
    <m/>
    <x v="0"/>
    <m/>
    <m/>
    <x v="0"/>
  </r>
  <r>
    <d v="2017-02-10T00:00:00"/>
    <x v="24"/>
    <n v="15.5"/>
    <n v="32.1"/>
    <m/>
    <x v="0"/>
    <m/>
    <m/>
    <x v="0"/>
  </r>
  <r>
    <d v="2017-02-11T00:00:00"/>
    <x v="16"/>
    <n v="16.100000000000001"/>
    <n v="32.6"/>
    <m/>
    <x v="0"/>
    <m/>
    <m/>
    <x v="0"/>
  </r>
  <r>
    <d v="2017-02-12T00:00:00"/>
    <x v="25"/>
    <n v="15.2"/>
    <n v="31"/>
    <m/>
    <x v="0"/>
    <m/>
    <m/>
    <x v="0"/>
  </r>
  <r>
    <d v="2017-02-13T00:00:00"/>
    <x v="6"/>
    <n v="15.8"/>
    <n v="29.6"/>
    <m/>
    <x v="0"/>
    <m/>
    <m/>
    <x v="0"/>
  </r>
  <r>
    <d v="2017-02-14T00:00:00"/>
    <x v="16"/>
    <n v="17.399999999999999"/>
    <n v="28.8"/>
    <m/>
    <x v="0"/>
    <m/>
    <m/>
    <x v="0"/>
  </r>
  <r>
    <d v="2017-02-15T00:00:00"/>
    <x v="20"/>
    <n v="17.3"/>
    <n v="29.8"/>
    <m/>
    <x v="0"/>
    <m/>
    <m/>
    <x v="0"/>
  </r>
  <r>
    <d v="2017-02-16T00:00:00"/>
    <x v="26"/>
    <n v="16.100000000000001"/>
    <n v="29.8"/>
    <m/>
    <x v="0"/>
    <m/>
    <m/>
    <x v="0"/>
  </r>
  <r>
    <d v="2017-02-17T00:00:00"/>
    <x v="26"/>
    <n v="15.9"/>
    <n v="29.5"/>
    <m/>
    <x v="0"/>
    <m/>
    <m/>
    <x v="0"/>
  </r>
  <r>
    <d v="2017-02-18T00:00:00"/>
    <x v="23"/>
    <n v="16.399999999999999"/>
    <n v="30.5"/>
    <m/>
    <x v="0"/>
    <m/>
    <m/>
    <x v="0"/>
  </r>
  <r>
    <d v="2017-02-19T00:00:00"/>
    <x v="17"/>
    <n v="16.8"/>
    <n v="31.2"/>
    <m/>
    <x v="0"/>
    <m/>
    <m/>
    <x v="0"/>
  </r>
  <r>
    <d v="2017-02-20T00:00:00"/>
    <x v="27"/>
    <n v="17.7"/>
    <n v="31.8"/>
    <m/>
    <x v="0"/>
    <m/>
    <m/>
    <x v="0"/>
  </r>
  <r>
    <d v="2017-02-21T00:00:00"/>
    <x v="28"/>
    <n v="19.3"/>
    <n v="33.4"/>
    <m/>
    <x v="0"/>
    <m/>
    <m/>
    <x v="0"/>
  </r>
  <r>
    <d v="2017-02-22T00:00:00"/>
    <x v="29"/>
    <n v="19.2"/>
    <n v="34.5"/>
    <m/>
    <x v="0"/>
    <m/>
    <m/>
    <x v="0"/>
  </r>
  <r>
    <d v="2017-02-23T00:00:00"/>
    <x v="30"/>
    <n v="19.2"/>
    <n v="35.200000000000003"/>
    <m/>
    <x v="0"/>
    <m/>
    <m/>
    <x v="0"/>
  </r>
  <r>
    <d v="2017-02-24T00:00:00"/>
    <x v="31"/>
    <n v="19.7"/>
    <n v="35"/>
    <m/>
    <x v="0"/>
    <m/>
    <m/>
    <x v="0"/>
  </r>
  <r>
    <d v="2017-02-25T00:00:00"/>
    <x v="29"/>
    <n v="19"/>
    <n v="35.5"/>
    <m/>
    <x v="0"/>
    <m/>
    <m/>
    <x v="0"/>
  </r>
  <r>
    <d v="2017-02-26T00:00:00"/>
    <x v="32"/>
    <n v="20"/>
    <n v="34.9"/>
    <m/>
    <x v="0"/>
    <m/>
    <m/>
    <x v="0"/>
  </r>
  <r>
    <d v="2017-02-27T00:00:00"/>
    <x v="33"/>
    <n v="19.100000000000001"/>
    <n v="33.299999999999997"/>
    <m/>
    <x v="0"/>
    <m/>
    <m/>
    <x v="0"/>
  </r>
  <r>
    <d v="2017-02-28T00:00:00"/>
    <x v="34"/>
    <n v="17.399999999999999"/>
    <n v="31.5"/>
    <m/>
    <x v="0"/>
    <m/>
    <m/>
    <x v="0"/>
  </r>
  <r>
    <d v="2017-03-01T00:00:00"/>
    <x v="18"/>
    <n v="16.899999999999999"/>
    <n v="32.5"/>
    <m/>
    <x v="0"/>
    <m/>
    <m/>
    <x v="0"/>
  </r>
  <r>
    <d v="2017-03-02T00:00:00"/>
    <x v="33"/>
    <n v="15.7"/>
    <n v="32"/>
    <m/>
    <x v="0"/>
    <m/>
    <m/>
    <x v="0"/>
  </r>
  <r>
    <d v="2017-03-03T00:00:00"/>
    <x v="32"/>
    <n v="18.2"/>
    <n v="32"/>
    <m/>
    <x v="0"/>
    <m/>
    <m/>
    <x v="0"/>
  </r>
  <r>
    <d v="2017-03-04T00:00:00"/>
    <x v="35"/>
    <n v="20.7"/>
    <n v="33.200000000000003"/>
    <m/>
    <x v="0"/>
    <m/>
    <m/>
    <x v="0"/>
  </r>
  <r>
    <d v="2017-03-05T00:00:00"/>
    <x v="31"/>
    <n v="21.5"/>
    <n v="32.799999999999997"/>
    <m/>
    <x v="0"/>
    <m/>
    <m/>
    <x v="0"/>
  </r>
  <r>
    <d v="2017-03-06T00:00:00"/>
    <x v="36"/>
    <m/>
    <n v="34.5"/>
    <n v="0"/>
    <x v="0"/>
    <m/>
    <m/>
    <x v="0"/>
  </r>
  <r>
    <d v="2017-03-07T00:00:00"/>
    <x v="37"/>
    <n v="21.5"/>
    <n v="33.1"/>
    <n v="8.4"/>
    <x v="1"/>
    <s v="OK"/>
    <s v="OK"/>
    <x v="1"/>
  </r>
  <r>
    <d v="2017-03-08T00:00:00"/>
    <x v="38"/>
    <n v="21.1"/>
    <n v="33.799999999999997"/>
    <n v="36.799999999999997"/>
    <x v="1"/>
    <s v="OK"/>
    <s v="OK"/>
    <x v="1"/>
  </r>
  <r>
    <d v="2017-03-09T00:00:00"/>
    <x v="29"/>
    <n v="21.2"/>
    <n v="32.1"/>
    <n v="0"/>
    <x v="1"/>
    <s v="OK"/>
    <s v="OK"/>
    <x v="1"/>
  </r>
  <r>
    <d v="2017-03-10T00:00:00"/>
    <x v="39"/>
    <n v="21.9"/>
    <n v="33.6"/>
    <m/>
    <x v="0"/>
    <m/>
    <m/>
    <x v="0"/>
  </r>
  <r>
    <d v="2017-03-11T00:00:00"/>
    <x v="31"/>
    <n v="21"/>
    <n v="33.5"/>
    <n v="0"/>
    <x v="1"/>
    <s v="OK"/>
    <s v="OK"/>
    <x v="1"/>
  </r>
  <r>
    <d v="2017-03-12T00:00:00"/>
    <x v="40"/>
    <n v="21"/>
    <n v="33.700000000000003"/>
    <m/>
    <x v="0"/>
    <m/>
    <m/>
    <x v="0"/>
  </r>
  <r>
    <d v="2017-03-13T00:00:00"/>
    <x v="41"/>
    <n v="22.2"/>
    <n v="34.299999999999997"/>
    <m/>
    <x v="0"/>
    <m/>
    <m/>
    <x v="0"/>
  </r>
  <r>
    <d v="2017-03-14T00:00:00"/>
    <x v="42"/>
    <n v="22"/>
    <n v="34"/>
    <n v="0"/>
    <x v="1"/>
    <s v="OK"/>
    <s v="OK"/>
    <x v="1"/>
  </r>
  <r>
    <d v="2017-03-15T00:00:00"/>
    <x v="43"/>
    <n v="20.8"/>
    <n v="30.4"/>
    <n v="0"/>
    <x v="1"/>
    <s v="OK"/>
    <s v="OK"/>
    <x v="1"/>
  </r>
  <r>
    <d v="2017-03-16T00:00:00"/>
    <x v="44"/>
    <n v="20.3"/>
    <n v="31.2"/>
    <m/>
    <x v="0"/>
    <m/>
    <m/>
    <x v="0"/>
  </r>
  <r>
    <d v="2017-03-17T00:00:00"/>
    <x v="31"/>
    <n v="21"/>
    <n v="32.1"/>
    <m/>
    <x v="0"/>
    <m/>
    <m/>
    <x v="0"/>
  </r>
  <r>
    <d v="2017-03-18T00:00:00"/>
    <x v="45"/>
    <n v="21.9"/>
    <n v="33.799999999999997"/>
    <m/>
    <x v="0"/>
    <m/>
    <m/>
    <x v="0"/>
  </r>
  <r>
    <d v="2017-03-19T00:00:00"/>
    <x v="46"/>
    <n v="22.4"/>
    <n v="35"/>
    <m/>
    <x v="0"/>
    <m/>
    <m/>
    <x v="0"/>
  </r>
  <r>
    <d v="2017-03-20T00:00:00"/>
    <x v="46"/>
    <n v="23.2"/>
    <n v="36"/>
    <m/>
    <x v="0"/>
    <m/>
    <m/>
    <x v="0"/>
  </r>
  <r>
    <d v="2017-03-21T00:00:00"/>
    <x v="47"/>
    <n v="22.4"/>
    <n v="34.799999999999997"/>
    <m/>
    <x v="0"/>
    <m/>
    <m/>
    <x v="0"/>
  </r>
  <r>
    <d v="2017-03-22T00:00:00"/>
    <x v="47"/>
    <n v="22"/>
    <n v="33.6"/>
    <m/>
    <x v="0"/>
    <m/>
    <m/>
    <x v="0"/>
  </r>
  <r>
    <d v="2017-03-23T00:00:00"/>
    <x v="47"/>
    <n v="20.6"/>
    <n v="34"/>
    <m/>
    <x v="0"/>
    <m/>
    <m/>
    <x v="0"/>
  </r>
  <r>
    <d v="2017-03-24T00:00:00"/>
    <x v="48"/>
    <n v="20.6"/>
    <n v="34.700000000000003"/>
    <m/>
    <x v="0"/>
    <m/>
    <m/>
    <x v="0"/>
  </r>
  <r>
    <d v="2017-03-25T00:00:00"/>
    <x v="49"/>
    <n v="20.6"/>
    <n v="35.6"/>
    <m/>
    <x v="0"/>
    <m/>
    <m/>
    <x v="0"/>
  </r>
  <r>
    <d v="2017-03-26T00:00:00"/>
    <x v="50"/>
    <n v="21.6"/>
    <n v="37.200000000000003"/>
    <m/>
    <x v="0"/>
    <m/>
    <m/>
    <x v="0"/>
  </r>
  <r>
    <d v="2017-03-27T00:00:00"/>
    <x v="51"/>
    <n v="21.2"/>
    <n v="36.1"/>
    <m/>
    <x v="0"/>
    <m/>
    <m/>
    <x v="0"/>
  </r>
  <r>
    <d v="2017-03-28T00:00:00"/>
    <x v="52"/>
    <n v="22"/>
    <n v="35.299999999999997"/>
    <m/>
    <x v="0"/>
    <m/>
    <m/>
    <x v="0"/>
  </r>
  <r>
    <d v="2017-03-29T00:00:00"/>
    <x v="52"/>
    <n v="22.4"/>
    <n v="36"/>
    <m/>
    <x v="0"/>
    <m/>
    <m/>
    <x v="0"/>
  </r>
  <r>
    <d v="2017-03-30T00:00:00"/>
    <x v="51"/>
    <n v="23"/>
    <n v="35.9"/>
    <m/>
    <x v="0"/>
    <m/>
    <m/>
    <x v="0"/>
  </r>
  <r>
    <d v="2017-03-31T00:00:00"/>
    <x v="53"/>
    <n v="22.1"/>
    <n v="35.4"/>
    <m/>
    <x v="0"/>
    <m/>
    <m/>
    <x v="0"/>
  </r>
  <r>
    <d v="2017-04-01T00:00:00"/>
    <x v="50"/>
    <n v="22.5"/>
    <n v="35.799999999999997"/>
    <m/>
    <x v="0"/>
    <m/>
    <m/>
    <x v="0"/>
  </r>
  <r>
    <d v="2017-04-02T00:00:00"/>
    <x v="54"/>
    <n v="23.2"/>
    <n v="36.299999999999997"/>
    <m/>
    <x v="0"/>
    <m/>
    <m/>
    <x v="0"/>
  </r>
  <r>
    <d v="2017-04-03T00:00:00"/>
    <x v="55"/>
    <n v="23.5"/>
    <n v="35.6"/>
    <m/>
    <x v="0"/>
    <m/>
    <m/>
    <x v="0"/>
  </r>
  <r>
    <d v="2017-04-04T00:00:00"/>
    <x v="53"/>
    <n v="24"/>
    <n v="35.5"/>
    <m/>
    <x v="0"/>
    <m/>
    <m/>
    <x v="0"/>
  </r>
  <r>
    <d v="2017-04-05T00:00:00"/>
    <x v="40"/>
    <n v="21.2"/>
    <n v="36.1"/>
    <n v="0"/>
    <x v="1"/>
    <s v="OK"/>
    <s v="OK"/>
    <x v="1"/>
  </r>
  <r>
    <d v="2017-04-06T00:00:00"/>
    <x v="56"/>
    <n v="22.4"/>
    <n v="35.5"/>
    <n v="3.6"/>
    <x v="1"/>
    <s v="OK"/>
    <s v="OK"/>
    <x v="1"/>
  </r>
  <r>
    <d v="2017-04-07T00:00:00"/>
    <x v="57"/>
    <n v="22.5"/>
    <n v="35.5"/>
    <n v="0.5"/>
    <x v="1"/>
    <s v="OK"/>
    <s v="OK"/>
    <x v="1"/>
  </r>
  <r>
    <d v="2017-04-08T00:00:00"/>
    <x v="58"/>
    <n v="24.5"/>
    <n v="35.6"/>
    <n v="0"/>
    <x v="2"/>
    <s v="OK"/>
    <s v="OK"/>
    <x v="1"/>
  </r>
  <r>
    <d v="2017-04-09T00:00:00"/>
    <x v="55"/>
    <n v="24.4"/>
    <n v="36.5"/>
    <m/>
    <x v="0"/>
    <m/>
    <m/>
    <x v="0"/>
  </r>
  <r>
    <d v="2017-04-10T00:00:00"/>
    <x v="59"/>
    <n v="23.4"/>
    <n v="36"/>
    <m/>
    <x v="0"/>
    <m/>
    <m/>
    <x v="0"/>
  </r>
  <r>
    <d v="2017-04-11T00:00:00"/>
    <x v="60"/>
    <n v="23.5"/>
    <n v="35.6"/>
    <m/>
    <x v="0"/>
    <m/>
    <m/>
    <x v="0"/>
  </r>
  <r>
    <d v="2017-04-12T00:00:00"/>
    <x v="61"/>
    <n v="24"/>
    <n v="36"/>
    <m/>
    <x v="0"/>
    <m/>
    <m/>
    <x v="0"/>
  </r>
  <r>
    <d v="2017-04-13T00:00:00"/>
    <x v="60"/>
    <n v="24"/>
    <n v="37"/>
    <m/>
    <x v="0"/>
    <m/>
    <m/>
    <x v="0"/>
  </r>
  <r>
    <d v="2017-04-14T00:00:00"/>
    <x v="52"/>
    <n v="23.2"/>
    <n v="36.5"/>
    <m/>
    <x v="0"/>
    <m/>
    <m/>
    <x v="0"/>
  </r>
  <r>
    <d v="2017-04-15T00:00:00"/>
    <x v="54"/>
    <n v="22.6"/>
    <n v="35.6"/>
    <m/>
    <x v="0"/>
    <m/>
    <m/>
    <x v="0"/>
  </r>
  <r>
    <d v="2017-04-16T00:00:00"/>
    <x v="62"/>
    <n v="23.2"/>
    <n v="36.799999999999997"/>
    <m/>
    <x v="0"/>
    <m/>
    <m/>
    <x v="0"/>
  </r>
  <r>
    <d v="2017-04-17T00:00:00"/>
    <x v="63"/>
    <n v="22.2"/>
    <n v="36.200000000000003"/>
    <n v="0.5"/>
    <x v="1"/>
    <s v="OK"/>
    <s v="OK"/>
    <x v="1"/>
  </r>
  <r>
    <d v="2017-04-18T00:00:00"/>
    <x v="57"/>
    <n v="20.6"/>
    <n v="35"/>
    <n v="15"/>
    <x v="1"/>
    <s v="OK"/>
    <s v="OK"/>
    <x v="1"/>
  </r>
  <r>
    <d v="2017-04-19T00:00:00"/>
    <x v="54"/>
    <n v="23.5"/>
    <n v="35.6"/>
    <n v="0"/>
    <x v="1"/>
    <s v="OK"/>
    <s v="OK"/>
    <x v="1"/>
  </r>
  <r>
    <d v="2017-04-20T00:00:00"/>
    <x v="41"/>
    <n v="22.8"/>
    <n v="35.700000000000003"/>
    <n v="0.3"/>
    <x v="1"/>
    <s v="OK"/>
    <s v="OK"/>
    <x v="1"/>
  </r>
  <r>
    <d v="2017-04-21T00:00:00"/>
    <x v="30"/>
    <n v="21.7"/>
    <n v="35.200000000000003"/>
    <n v="1"/>
    <x v="1"/>
    <s v="OK"/>
    <s v="OK"/>
    <x v="1"/>
  </r>
  <r>
    <d v="2017-04-22T00:00:00"/>
    <x v="50"/>
    <n v="22.8"/>
    <n v="34.799999999999997"/>
    <n v="0"/>
    <x v="1"/>
    <s v="OK"/>
    <s v="OK"/>
    <x v="1"/>
  </r>
  <r>
    <d v="2017-04-23T00:00:00"/>
    <x v="53"/>
    <n v="23.6"/>
    <n v="35.6"/>
    <m/>
    <x v="0"/>
    <m/>
    <m/>
    <x v="0"/>
  </r>
  <r>
    <d v="2017-04-24T00:00:00"/>
    <x v="64"/>
    <n v="22.9"/>
    <n v="36.4"/>
    <m/>
    <x v="0"/>
    <m/>
    <m/>
    <x v="0"/>
  </r>
  <r>
    <d v="2017-04-25T00:00:00"/>
    <x v="47"/>
    <n v="22.7"/>
    <n v="37"/>
    <m/>
    <x v="0"/>
    <m/>
    <m/>
    <x v="0"/>
  </r>
  <r>
    <d v="2017-04-26T00:00:00"/>
    <x v="59"/>
    <n v="22.5"/>
    <n v="37"/>
    <n v="1"/>
    <x v="1"/>
    <s v="OK"/>
    <s v="OK"/>
    <x v="1"/>
  </r>
  <r>
    <d v="2017-04-27T00:00:00"/>
    <x v="65"/>
    <n v="24"/>
    <n v="35.6"/>
    <n v="0"/>
    <x v="1"/>
    <s v="OK"/>
    <s v="OK"/>
    <x v="1"/>
  </r>
  <r>
    <d v="2017-04-28T00:00:00"/>
    <x v="50"/>
    <n v="22.3"/>
    <n v="35.9"/>
    <m/>
    <x v="0"/>
    <m/>
    <m/>
    <x v="0"/>
  </r>
  <r>
    <d v="2017-04-29T00:00:00"/>
    <x v="38"/>
    <n v="21.8"/>
    <n v="35.299999999999997"/>
    <n v="1.3"/>
    <x v="2"/>
    <s v="OK"/>
    <s v="OK"/>
    <x v="0"/>
  </r>
  <r>
    <d v="2017-04-30T00:00:00"/>
    <x v="51"/>
    <n v="20.100000000000001"/>
    <n v="35.6"/>
    <n v="6.1"/>
    <x v="1"/>
    <s v="OK"/>
    <s v="OK"/>
    <x v="1"/>
  </r>
  <r>
    <d v="2017-05-01T00:00:00"/>
    <x v="30"/>
    <n v="20.5"/>
    <n v="35.6"/>
    <n v="1"/>
    <x v="1"/>
    <s v="OK"/>
    <s v="OK"/>
    <x v="1"/>
  </r>
  <r>
    <d v="2017-05-02T00:00:00"/>
    <x v="66"/>
    <n v="22.3"/>
    <n v="35.1"/>
    <n v="0"/>
    <x v="1"/>
    <s v="OK"/>
    <s v="OK"/>
    <x v="1"/>
  </r>
  <r>
    <d v="2017-05-03T00:00:00"/>
    <x v="49"/>
    <n v="23.3"/>
    <n v="34.200000000000003"/>
    <n v="0"/>
    <x v="2"/>
    <s v="OK"/>
    <s v="OK"/>
    <x v="0"/>
  </r>
  <r>
    <d v="2017-05-04T00:00:00"/>
    <x v="59"/>
    <n v="23.4"/>
    <n v="34.299999999999997"/>
    <m/>
    <x v="0"/>
    <m/>
    <m/>
    <x v="0"/>
  </r>
  <r>
    <d v="2017-05-05T00:00:00"/>
    <x v="67"/>
    <n v="24.4"/>
    <n v="35.9"/>
    <m/>
    <x v="0"/>
    <m/>
    <m/>
    <x v="0"/>
  </r>
  <r>
    <d v="2017-05-06T00:00:00"/>
    <x v="54"/>
    <n v="24.2"/>
    <n v="36"/>
    <m/>
    <x v="0"/>
    <m/>
    <m/>
    <x v="0"/>
  </r>
  <r>
    <d v="2017-05-07T00:00:00"/>
    <x v="40"/>
    <n v="20.9"/>
    <n v="35.799999999999997"/>
    <n v="0"/>
    <x v="1"/>
    <s v="OK"/>
    <s v="OK"/>
    <x v="1"/>
  </r>
  <r>
    <d v="2017-05-08T00:00:00"/>
    <x v="62"/>
    <n v="20.8"/>
    <n v="37"/>
    <n v="1"/>
    <x v="1"/>
    <s v="OK"/>
    <s v="OK"/>
    <x v="1"/>
  </r>
  <r>
    <d v="2017-05-09T00:00:00"/>
    <x v="28"/>
    <n v="21.9"/>
    <n v="33.200000000000003"/>
    <n v="0"/>
    <x v="1"/>
    <s v="OK"/>
    <s v="OK"/>
    <x v="1"/>
  </r>
  <r>
    <d v="2017-05-10T00:00:00"/>
    <x v="39"/>
    <n v="21.5"/>
    <n v="33.200000000000003"/>
    <n v="0"/>
    <x v="1"/>
    <s v="OK"/>
    <s v="OK"/>
    <x v="1"/>
  </r>
  <r>
    <d v="2017-05-11T00:00:00"/>
    <x v="62"/>
    <n v="22"/>
    <n v="34.4"/>
    <n v="0"/>
    <x v="1"/>
    <s v="OK"/>
    <s v="OK"/>
    <x v="1"/>
  </r>
  <r>
    <d v="2017-05-12T00:00:00"/>
    <x v="66"/>
    <n v="23"/>
    <n v="32.5"/>
    <n v="1.8"/>
    <x v="1"/>
    <s v="OK"/>
    <s v="OK"/>
    <x v="1"/>
  </r>
  <r>
    <d v="2017-05-13T00:00:00"/>
    <x v="49"/>
    <n v="23.8"/>
    <n v="33"/>
    <n v="0"/>
    <x v="1"/>
    <s v="OK"/>
    <s v="OK"/>
    <x v="1"/>
  </r>
  <r>
    <d v="2017-05-14T00:00:00"/>
    <x v="39"/>
    <n v="22.8"/>
    <n v="33.799999999999997"/>
    <m/>
    <x v="0"/>
    <m/>
    <m/>
    <x v="0"/>
  </r>
  <r>
    <d v="2017-05-15T00:00:00"/>
    <x v="68"/>
    <n v="21.8"/>
    <n v="35"/>
    <n v="2.5"/>
    <x v="1"/>
    <s v="OK"/>
    <s v="OK"/>
    <x v="1"/>
  </r>
  <r>
    <d v="2017-05-16T00:00:00"/>
    <x v="53"/>
    <n v="23.5"/>
    <n v="34.799999999999997"/>
    <n v="0"/>
    <x v="1"/>
    <s v="OK"/>
    <s v="OK"/>
    <x v="1"/>
  </r>
  <r>
    <d v="2017-05-17T00:00:00"/>
    <x v="66"/>
    <n v="22.6"/>
    <n v="36.4"/>
    <m/>
    <x v="0"/>
    <m/>
    <m/>
    <x v="0"/>
  </r>
  <r>
    <d v="2017-05-18T00:00:00"/>
    <x v="28"/>
    <n v="19.8"/>
    <n v="34.5"/>
    <n v="9.9"/>
    <x v="1"/>
    <s v="OK"/>
    <s v="OK"/>
    <x v="1"/>
  </r>
  <r>
    <d v="2017-05-19T00:00:00"/>
    <x v="37"/>
    <n v="19.399999999999999"/>
    <n v="35.5"/>
    <n v="20.100000000000001"/>
    <x v="1"/>
    <s v="OK"/>
    <s v="OK"/>
    <x v="1"/>
  </r>
  <r>
    <d v="2017-05-20T00:00:00"/>
    <x v="30"/>
    <n v="20.9"/>
    <n v="34.4"/>
    <n v="0"/>
    <x v="1"/>
    <s v="OK"/>
    <s v="OK"/>
    <x v="1"/>
  </r>
  <r>
    <d v="2017-05-21T00:00:00"/>
    <x v="36"/>
    <n v="19.899999999999999"/>
    <n v="35.1"/>
    <n v="40.9"/>
    <x v="1"/>
    <s v="OK"/>
    <s v="OK"/>
    <x v="1"/>
  </r>
  <r>
    <d v="2017-05-22T00:00:00"/>
    <x v="63"/>
    <n v="23.2"/>
    <n v="32"/>
    <n v="0"/>
    <x v="1"/>
    <s v="OK"/>
    <s v="OK"/>
    <x v="1"/>
  </r>
  <r>
    <d v="2017-05-23T00:00:00"/>
    <x v="29"/>
    <n v="19.399999999999999"/>
    <n v="32.9"/>
    <n v="28.7"/>
    <x v="1"/>
    <s v="OK"/>
    <s v="OK"/>
    <x v="1"/>
  </r>
  <r>
    <d v="2017-05-24T00:00:00"/>
    <x v="69"/>
    <n v="20.5"/>
    <n v="33.5"/>
    <n v="13"/>
    <x v="1"/>
    <s v="OK"/>
    <s v="OK"/>
    <x v="1"/>
  </r>
  <r>
    <d v="2017-05-25T00:00:00"/>
    <x v="66"/>
    <n v="21.9"/>
    <n v="34"/>
    <n v="0"/>
    <x v="1"/>
    <s v="OK"/>
    <s v="OK"/>
    <x v="1"/>
  </r>
  <r>
    <d v="2017-05-26T00:00:00"/>
    <x v="37"/>
    <n v="20.9"/>
    <n v="33.299999999999997"/>
    <n v="0"/>
    <x v="1"/>
    <s v="OK"/>
    <s v="OK"/>
    <x v="1"/>
  </r>
  <r>
    <d v="2017-05-27T00:00:00"/>
    <x v="20"/>
    <n v="20"/>
    <n v="33.1"/>
    <n v="83.3"/>
    <x v="1"/>
    <s v="OK"/>
    <s v="OK"/>
    <x v="1"/>
  </r>
  <r>
    <d v="2017-05-28T00:00:00"/>
    <x v="34"/>
    <n v="20"/>
    <n v="30"/>
    <n v="39.9"/>
    <x v="1"/>
    <s v="OK"/>
    <s v="OK"/>
    <x v="1"/>
  </r>
  <r>
    <d v="2017-05-29T00:00:00"/>
    <x v="70"/>
    <n v="21.3"/>
    <n v="29.7"/>
    <n v="0"/>
    <x v="1"/>
    <s v="OK"/>
    <s v="OK"/>
    <x v="1"/>
  </r>
  <r>
    <d v="2017-05-30T00:00:00"/>
    <x v="71"/>
    <n v="21.4"/>
    <n v="30.4"/>
    <m/>
    <x v="0"/>
    <m/>
    <m/>
    <x v="0"/>
  </r>
  <r>
    <d v="2017-05-31T00:00:00"/>
    <x v="72"/>
    <n v="20.8"/>
    <n v="31.2"/>
    <n v="0"/>
    <x v="1"/>
    <s v="OK"/>
    <s v="OK"/>
    <x v="1"/>
  </r>
  <r>
    <d v="2017-06-01T00:00:00"/>
    <x v="36"/>
    <n v="20.8"/>
    <n v="30.8"/>
    <m/>
    <x v="0"/>
    <m/>
    <m/>
    <x v="0"/>
  </r>
  <r>
    <d v="2017-06-02T00:00:00"/>
    <x v="35"/>
    <n v="21.8"/>
    <n v="32.1"/>
    <m/>
    <x v="0"/>
    <m/>
    <m/>
    <x v="0"/>
  </r>
  <r>
    <d v="2017-06-03T00:00:00"/>
    <x v="63"/>
    <n v="20.9"/>
    <n v="32.4"/>
    <m/>
    <x v="0"/>
    <m/>
    <m/>
    <x v="0"/>
  </r>
  <r>
    <d v="2017-06-04T00:00:00"/>
    <x v="37"/>
    <n v="20.7"/>
    <n v="32.200000000000003"/>
    <m/>
    <x v="0"/>
    <m/>
    <m/>
    <x v="0"/>
  </r>
  <r>
    <d v="2017-06-05T00:00:00"/>
    <x v="36"/>
    <n v="21.7"/>
    <n v="32"/>
    <m/>
    <x v="0"/>
    <m/>
    <m/>
    <x v="0"/>
  </r>
  <r>
    <d v="2017-06-06T00:00:00"/>
    <x v="32"/>
    <n v="21.8"/>
    <n v="32"/>
    <n v="0"/>
    <x v="1"/>
    <s v="OK"/>
    <s v="OK"/>
    <x v="1"/>
  </r>
  <r>
    <d v="2017-06-07T00:00:00"/>
    <x v="19"/>
    <n v="21.7"/>
    <n v="31.2"/>
    <n v="0"/>
    <x v="1"/>
    <s v="OK"/>
    <s v="OK"/>
    <x v="1"/>
  </r>
  <r>
    <d v="2017-06-08T00:00:00"/>
    <x v="73"/>
    <n v="21.5"/>
    <n v="28.9"/>
    <n v="0.8"/>
    <x v="1"/>
    <s v="OK"/>
    <s v="OK"/>
    <x v="1"/>
  </r>
  <r>
    <d v="2017-06-09T00:00:00"/>
    <x v="13"/>
    <n v="21.1"/>
    <n v="29.6"/>
    <n v="0"/>
    <x v="1"/>
    <s v="OK"/>
    <s v="OK"/>
    <x v="1"/>
  </r>
  <r>
    <d v="2017-06-10T00:00:00"/>
    <x v="19"/>
    <n v="20.7"/>
    <n v="28.1"/>
    <n v="8.6"/>
    <x v="1"/>
    <s v="OK"/>
    <s v="OK"/>
    <x v="1"/>
  </r>
  <r>
    <d v="2017-06-11T00:00:00"/>
    <x v="24"/>
    <n v="20.8"/>
    <n v="27.9"/>
    <n v="0"/>
    <x v="1"/>
    <s v="OK"/>
    <s v="OK"/>
    <x v="1"/>
  </r>
  <r>
    <d v="2017-06-12T00:00:00"/>
    <x v="2"/>
    <n v="20.2"/>
    <n v="28.3"/>
    <n v="1.8"/>
    <x v="1"/>
    <s v="OK"/>
    <s v="OK"/>
    <x v="1"/>
  </r>
  <r>
    <d v="2017-06-13T00:00:00"/>
    <x v="18"/>
    <n v="20.7"/>
    <n v="29.2"/>
    <n v="1"/>
    <x v="1"/>
    <s v="OK"/>
    <s v="OK"/>
    <x v="1"/>
  </r>
  <r>
    <d v="2017-06-14T00:00:00"/>
    <x v="32"/>
    <n v="22"/>
    <n v="30.9"/>
    <n v="1"/>
    <x v="1"/>
    <s v="OK"/>
    <s v="OK"/>
    <x v="1"/>
  </r>
  <r>
    <d v="2017-06-15T00:00:00"/>
    <x v="42"/>
    <n v="21.5"/>
    <n v="31.2"/>
    <n v="0"/>
    <x v="1"/>
    <s v="OK"/>
    <s v="OK"/>
    <x v="1"/>
  </r>
  <r>
    <d v="2017-06-16T00:00:00"/>
    <x v="22"/>
    <n v="20"/>
    <n v="29.5"/>
    <m/>
    <x v="0"/>
    <m/>
    <m/>
    <x v="0"/>
  </r>
  <r>
    <d v="2017-06-17T00:00:00"/>
    <x v="20"/>
    <n v="19.399999999999999"/>
    <n v="28.4"/>
    <n v="23.1"/>
    <x v="1"/>
    <s v="OK"/>
    <s v="OK"/>
    <x v="1"/>
  </r>
  <r>
    <d v="2017-06-18T00:00:00"/>
    <x v="23"/>
    <n v="20.2"/>
    <n v="29.3"/>
    <n v="0"/>
    <x v="1"/>
    <s v="OK"/>
    <s v="OK"/>
    <x v="1"/>
  </r>
  <r>
    <d v="2017-06-19T00:00:00"/>
    <x v="24"/>
    <n v="20"/>
    <n v="29"/>
    <n v="3.6"/>
    <x v="1"/>
    <s v="OK"/>
    <s v="OK"/>
    <x v="1"/>
  </r>
  <r>
    <d v="2017-06-20T00:00:00"/>
    <x v="74"/>
    <n v="21"/>
    <n v="28"/>
    <n v="0"/>
    <x v="1"/>
    <s v="OK"/>
    <s v="OK"/>
    <x v="1"/>
  </r>
  <r>
    <d v="2017-06-21T00:00:00"/>
    <x v="27"/>
    <n v="20.8"/>
    <n v="29.8"/>
    <n v="0.3"/>
    <x v="1"/>
    <s v="OK"/>
    <s v="OK"/>
    <x v="1"/>
  </r>
  <r>
    <d v="2017-06-22T00:00:00"/>
    <x v="33"/>
    <n v="20.5"/>
    <n v="29.5"/>
    <n v="0"/>
    <x v="1"/>
    <s v="OK"/>
    <s v="OK"/>
    <x v="1"/>
  </r>
  <r>
    <d v="2017-06-23T00:00:00"/>
    <x v="72"/>
    <n v="19.399999999999999"/>
    <n v="30.6"/>
    <n v="0.8"/>
    <x v="1"/>
    <s v="OK"/>
    <s v="OK"/>
    <x v="1"/>
  </r>
  <r>
    <d v="2017-06-24T00:00:00"/>
    <x v="33"/>
    <n v="21"/>
    <n v="30.5"/>
    <n v="0"/>
    <x v="1"/>
    <s v="OK"/>
    <s v="OK"/>
    <x v="1"/>
  </r>
  <r>
    <d v="2017-06-25T00:00:00"/>
    <x v="23"/>
    <n v="20.6"/>
    <n v="29.4"/>
    <n v="0"/>
    <x v="1"/>
    <s v="OK"/>
    <s v="OK"/>
    <x v="1"/>
  </r>
  <r>
    <d v="2017-06-26T00:00:00"/>
    <x v="75"/>
    <n v="20.399999999999999"/>
    <n v="29"/>
    <n v="0"/>
    <x v="1"/>
    <s v="OK"/>
    <s v="OK"/>
    <x v="1"/>
  </r>
  <r>
    <d v="2017-06-27T00:00:00"/>
    <x v="76"/>
    <n v="20.399999999999999"/>
    <n v="30.6"/>
    <n v="0"/>
    <x v="1"/>
    <s v="OK"/>
    <s v="OK"/>
    <x v="1"/>
  </r>
  <r>
    <d v="2017-06-28T00:00:00"/>
    <x v="77"/>
    <n v="20.3"/>
    <n v="29.8"/>
    <n v="0"/>
    <x v="1"/>
    <s v="OK"/>
    <s v="OK"/>
    <x v="1"/>
  </r>
  <r>
    <d v="2017-06-29T00:00:00"/>
    <x v="77"/>
    <n v="20.399999999999999"/>
    <n v="29.1"/>
    <n v="0"/>
    <x v="1"/>
    <s v="OK"/>
    <s v="OK"/>
    <x v="1"/>
  </r>
  <r>
    <d v="2017-06-30T00:00:00"/>
    <x v="18"/>
    <n v="20.8"/>
    <n v="29"/>
    <m/>
    <x v="0"/>
    <m/>
    <m/>
    <x v="0"/>
  </r>
  <r>
    <d v="2017-07-01T00:00:00"/>
    <x v="27"/>
    <n v="19.3"/>
    <n v="29.2"/>
    <n v="0"/>
    <x v="1"/>
    <s v="OK"/>
    <s v="OK"/>
    <x v="1"/>
  </r>
  <r>
    <d v="2017-07-02T00:00:00"/>
    <x v="71"/>
    <n v="20.5"/>
    <n v="30.3"/>
    <n v="0"/>
    <x v="1"/>
    <s v="OK"/>
    <s v="OK"/>
    <x v="1"/>
  </r>
  <r>
    <d v="2017-07-03T00:00:00"/>
    <x v="17"/>
    <n v="20.9"/>
    <n v="29.9"/>
    <m/>
    <x v="0"/>
    <m/>
    <m/>
    <x v="0"/>
  </r>
  <r>
    <d v="2017-07-04T00:00:00"/>
    <x v="17"/>
    <n v="20.399999999999999"/>
    <n v="28.7"/>
    <n v="3.8"/>
    <x v="1"/>
    <s v="OK"/>
    <s v="OK"/>
    <x v="1"/>
  </r>
  <r>
    <d v="2017-07-05T00:00:00"/>
    <x v="78"/>
    <n v="20"/>
    <n v="29.6"/>
    <n v="2.2999999999999998"/>
    <x v="1"/>
    <s v="OK"/>
    <s v="OK"/>
    <x v="1"/>
  </r>
  <r>
    <d v="2017-07-06T00:00:00"/>
    <x v="17"/>
    <n v="20.2"/>
    <n v="29.2"/>
    <n v="10.199999999999999"/>
    <x v="1"/>
    <s v="OK"/>
    <s v="OK"/>
    <x v="1"/>
  </r>
  <r>
    <d v="2017-07-07T00:00:00"/>
    <x v="78"/>
    <n v="20.5"/>
    <n v="29.3"/>
    <n v="5.0999999999999996"/>
    <x v="1"/>
    <s v="OK"/>
    <s v="OK"/>
    <x v="1"/>
  </r>
  <r>
    <d v="2017-07-08T00:00:00"/>
    <x v="13"/>
    <n v="20.399999999999999"/>
    <n v="27.4"/>
    <n v="0"/>
    <x v="1"/>
    <s v="OK"/>
    <s v="OK"/>
    <x v="1"/>
  </r>
  <r>
    <d v="2017-07-09T00:00:00"/>
    <x v="79"/>
    <n v="20.2"/>
    <n v="30.3"/>
    <n v="0"/>
    <x v="1"/>
    <s v="OK"/>
    <s v="OK"/>
    <x v="1"/>
  </r>
  <r>
    <d v="2017-07-10T00:00:00"/>
    <x v="34"/>
    <n v="20.5"/>
    <n v="30.3"/>
    <m/>
    <x v="0"/>
    <m/>
    <m/>
    <x v="0"/>
  </r>
  <r>
    <d v="2017-07-11T00:00:00"/>
    <x v="74"/>
    <n v="20.8"/>
    <n v="30"/>
    <m/>
    <x v="0"/>
    <m/>
    <m/>
    <x v="0"/>
  </r>
  <r>
    <d v="2017-07-12T00:00:00"/>
    <x v="17"/>
    <n v="21"/>
    <n v="29.5"/>
    <n v="0"/>
    <x v="1"/>
    <s v="OK"/>
    <s v="OK"/>
    <x v="1"/>
  </r>
  <r>
    <d v="2017-07-13T00:00:00"/>
    <x v="80"/>
    <n v="20"/>
    <n v="28.5"/>
    <n v="1.5"/>
    <x v="1"/>
    <s v="OK"/>
    <s v="OK"/>
    <x v="1"/>
  </r>
  <r>
    <d v="2017-07-14T00:00:00"/>
    <x v="22"/>
    <n v="20"/>
    <n v="25.9"/>
    <n v="0"/>
    <x v="1"/>
    <s v="OK"/>
    <s v="OK"/>
    <x v="1"/>
  </r>
  <r>
    <d v="2017-07-15T00:00:00"/>
    <x v="26"/>
    <n v="20.2"/>
    <n v="27.2"/>
    <n v="0"/>
    <x v="1"/>
    <s v="OK"/>
    <s v="OK"/>
    <x v="1"/>
  </r>
  <r>
    <d v="2017-07-16T00:00:00"/>
    <x v="78"/>
    <n v="19.7"/>
    <n v="28.4"/>
    <n v="0"/>
    <x v="1"/>
    <s v="OK"/>
    <s v="OK"/>
    <x v="1"/>
  </r>
  <r>
    <d v="2017-07-17T00:00:00"/>
    <x v="23"/>
    <n v="20"/>
    <n v="28.8"/>
    <n v="0"/>
    <x v="1"/>
    <s v="OK"/>
    <s v="OK"/>
    <x v="1"/>
  </r>
  <r>
    <d v="2017-07-18T00:00:00"/>
    <x v="80"/>
    <n v="20.7"/>
    <n v="28.3"/>
    <n v="0"/>
    <x v="1"/>
    <s v="OK"/>
    <s v="OK"/>
    <x v="1"/>
  </r>
  <r>
    <d v="2017-07-19T00:00:00"/>
    <x v="26"/>
    <n v="20.6"/>
    <n v="26.6"/>
    <n v="0"/>
    <x v="1"/>
    <s v="OK"/>
    <s v="OK"/>
    <x v="1"/>
  </r>
  <r>
    <d v="2017-07-20T00:00:00"/>
    <x v="76"/>
    <n v="20.6"/>
    <n v="29.1"/>
    <n v="9.4"/>
    <x v="1"/>
    <s v="OK"/>
    <s v="OK"/>
    <x v="1"/>
  </r>
  <r>
    <d v="2017-07-21T00:00:00"/>
    <x v="23"/>
    <n v="19.7"/>
    <n v="28.7"/>
    <n v="0.8"/>
    <x v="1"/>
    <s v="OK"/>
    <s v="OK"/>
    <x v="1"/>
  </r>
  <r>
    <d v="2017-07-22T00:00:00"/>
    <x v="34"/>
    <n v="20"/>
    <n v="30.8"/>
    <n v="0"/>
    <x v="1"/>
    <s v="OK"/>
    <s v="OK"/>
    <x v="1"/>
  </r>
  <r>
    <d v="2017-07-23T00:00:00"/>
    <x v="77"/>
    <n v="20.5"/>
    <n v="30.5"/>
    <m/>
    <x v="0"/>
    <m/>
    <m/>
    <x v="0"/>
  </r>
  <r>
    <d v="2017-07-24T00:00:00"/>
    <x v="34"/>
    <n v="20.2"/>
    <n v="30.3"/>
    <m/>
    <x v="0"/>
    <m/>
    <m/>
    <x v="0"/>
  </r>
  <r>
    <d v="2017-07-25T00:00:00"/>
    <x v="71"/>
    <n v="20.5"/>
    <n v="30.3"/>
    <n v="0"/>
    <x v="1"/>
    <s v="OK"/>
    <s v="OK"/>
    <x v="1"/>
  </r>
  <r>
    <d v="2017-07-26T00:00:00"/>
    <x v="81"/>
    <n v="20.5"/>
    <n v="30.5"/>
    <n v="0"/>
    <x v="1"/>
    <s v="OK"/>
    <s v="OK"/>
    <x v="1"/>
  </r>
  <r>
    <d v="2017-07-27T00:00:00"/>
    <x v="79"/>
    <n v="20.5"/>
    <n v="31.6"/>
    <m/>
    <x v="0"/>
    <m/>
    <m/>
    <x v="0"/>
  </r>
  <r>
    <d v="2017-07-28T00:00:00"/>
    <x v="82"/>
    <n v="21"/>
    <n v="31.1"/>
    <n v="11.9"/>
    <x v="1"/>
    <s v="OK"/>
    <s v="OK"/>
    <x v="1"/>
  </r>
  <r>
    <d v="2017-07-29T00:00:00"/>
    <x v="82"/>
    <n v="20.6"/>
    <n v="31.3"/>
    <n v="10.7"/>
    <x v="1"/>
    <s v="OK"/>
    <s v="OK"/>
    <x v="1"/>
  </r>
  <r>
    <d v="2017-07-30T00:00:00"/>
    <x v="71"/>
    <n v="21.3"/>
    <n v="30.7"/>
    <n v="0"/>
    <x v="1"/>
    <s v="OK"/>
    <s v="OK"/>
    <x v="1"/>
  </r>
  <r>
    <d v="2017-07-31T00:00:00"/>
    <x v="72"/>
    <n v="22"/>
    <n v="30.7"/>
    <n v="1.3"/>
    <x v="1"/>
    <s v="OK"/>
    <s v="OK"/>
    <x v="1"/>
  </r>
  <r>
    <d v="2017-08-01T00:00:00"/>
    <x v="71"/>
    <n v="21.4"/>
    <n v="30.5"/>
    <n v="8.4"/>
    <x v="1"/>
    <s v="OK"/>
    <s v="OK"/>
    <x v="1"/>
  </r>
  <r>
    <d v="2017-08-02T00:00:00"/>
    <x v="42"/>
    <n v="21.6"/>
    <n v="31.5"/>
    <n v="1.8"/>
    <x v="1"/>
    <s v="OK"/>
    <s v="OK"/>
    <x v="1"/>
  </r>
  <r>
    <d v="2017-08-03T00:00:00"/>
    <x v="77"/>
    <n v="20.3"/>
    <n v="31.2"/>
    <n v="0"/>
    <x v="1"/>
    <s v="OK"/>
    <s v="OK"/>
    <x v="1"/>
  </r>
  <r>
    <d v="2017-08-04T00:00:00"/>
    <x v="23"/>
    <n v="20.3"/>
    <n v="29.5"/>
    <n v="0"/>
    <x v="1"/>
    <s v="OK"/>
    <s v="OK"/>
    <x v="1"/>
  </r>
  <r>
    <d v="2017-08-05T00:00:00"/>
    <x v="33"/>
    <n v="21.3"/>
    <n v="29.5"/>
    <n v="0"/>
    <x v="1"/>
    <s v="OK"/>
    <s v="OK"/>
    <x v="1"/>
  </r>
  <r>
    <d v="2017-08-06T00:00:00"/>
    <x v="34"/>
    <n v="21.3"/>
    <n v="29.5"/>
    <n v="0"/>
    <x v="1"/>
    <s v="OK"/>
    <s v="OK"/>
    <x v="1"/>
  </r>
  <r>
    <d v="2017-08-07T00:00:00"/>
    <x v="63"/>
    <n v="21.2"/>
    <n v="30.2"/>
    <n v="0"/>
    <x v="1"/>
    <s v="OK"/>
    <s v="OK"/>
    <x v="1"/>
  </r>
  <r>
    <d v="2017-08-08T00:00:00"/>
    <x v="32"/>
    <n v="22"/>
    <n v="31.2"/>
    <m/>
    <x v="0"/>
    <m/>
    <m/>
    <x v="0"/>
  </r>
  <r>
    <d v="2017-08-09T00:00:00"/>
    <x v="17"/>
    <n v="21.9"/>
    <n v="31.3"/>
    <n v="1"/>
    <x v="1"/>
    <s v="OK"/>
    <s v="OK"/>
    <x v="1"/>
  </r>
  <r>
    <d v="2017-08-10T00:00:00"/>
    <x v="19"/>
    <n v="20.7"/>
    <n v="27.5"/>
    <n v="13"/>
    <x v="1"/>
    <s v="OK"/>
    <s v="OK"/>
    <x v="1"/>
  </r>
  <r>
    <d v="2017-08-11T00:00:00"/>
    <x v="21"/>
    <n v="19.8"/>
    <n v="28"/>
    <n v="4.0999999999999996"/>
    <x v="1"/>
    <s v="OK"/>
    <s v="OK"/>
    <x v="1"/>
  </r>
  <r>
    <d v="2017-08-12T00:00:00"/>
    <x v="76"/>
    <n v="20.5"/>
    <n v="28.2"/>
    <n v="16.5"/>
    <x v="1"/>
    <s v="OK"/>
    <s v="OK"/>
    <x v="1"/>
  </r>
  <r>
    <d v="2017-08-13T00:00:00"/>
    <x v="13"/>
    <n v="21.2"/>
    <n v="27.6"/>
    <n v="0"/>
    <x v="1"/>
    <s v="OK"/>
    <s v="OK"/>
    <x v="1"/>
  </r>
  <r>
    <d v="2017-08-14T00:00:00"/>
    <x v="82"/>
    <n v="21.6"/>
    <n v="28.8"/>
    <n v="0"/>
    <x v="1"/>
    <s v="OK"/>
    <s v="OK"/>
    <x v="1"/>
  </r>
  <r>
    <d v="2017-08-15T00:00:00"/>
    <x v="15"/>
    <n v="19.2"/>
    <n v="28.3"/>
    <n v="128.80000000000001"/>
    <x v="1"/>
    <s v="OK"/>
    <s v="OK"/>
    <x v="1"/>
  </r>
  <r>
    <d v="2017-08-16T00:00:00"/>
    <x v="83"/>
    <n v="20"/>
    <n v="27.4"/>
    <n v="30.5"/>
    <x v="1"/>
    <s v="OK"/>
    <s v="OK"/>
    <x v="1"/>
  </r>
  <r>
    <d v="2017-08-17T00:00:00"/>
    <x v="78"/>
    <n v="19.8"/>
    <n v="28.5"/>
    <n v="26.4"/>
    <x v="1"/>
    <s v="OK"/>
    <s v="OK"/>
    <x v="1"/>
  </r>
  <r>
    <d v="2017-08-18T00:00:00"/>
    <x v="78"/>
    <n v="20.399999999999999"/>
    <n v="29.2"/>
    <n v="7.9"/>
    <x v="1"/>
    <s v="OK"/>
    <s v="OK"/>
    <x v="1"/>
  </r>
  <r>
    <d v="2017-08-19T00:00:00"/>
    <x v="15"/>
    <n v="20.3"/>
    <n v="28.9"/>
    <n v="5.3"/>
    <x v="1"/>
    <s v="OK"/>
    <s v="OK"/>
    <x v="1"/>
  </r>
  <r>
    <d v="2017-08-20T00:00:00"/>
    <x v="2"/>
    <n v="20.3"/>
    <n v="28.6"/>
    <n v="13.2"/>
    <x v="1"/>
    <s v="OK"/>
    <s v="OK"/>
    <x v="1"/>
  </r>
  <r>
    <d v="2017-08-21T00:00:00"/>
    <x v="76"/>
    <n v="20.3"/>
    <n v="28.8"/>
    <n v="3.3"/>
    <x v="1"/>
    <s v="OK"/>
    <s v="OK"/>
    <x v="1"/>
  </r>
  <r>
    <d v="2017-08-22T00:00:00"/>
    <x v="24"/>
    <n v="20.2"/>
    <n v="28"/>
    <n v="0"/>
    <x v="1"/>
    <s v="OK"/>
    <s v="OK"/>
    <x v="1"/>
  </r>
  <r>
    <d v="2017-08-23T00:00:00"/>
    <x v="75"/>
    <n v="20.6"/>
    <n v="28"/>
    <n v="10.9"/>
    <x v="1"/>
    <s v="OK"/>
    <s v="OK"/>
    <x v="1"/>
  </r>
  <r>
    <d v="2017-08-24T00:00:00"/>
    <x v="83"/>
    <n v="20.6"/>
    <n v="28.6"/>
    <n v="42.4"/>
    <x v="1"/>
    <s v="OK"/>
    <s v="OK"/>
    <x v="1"/>
  </r>
  <r>
    <d v="2017-08-25T00:00:00"/>
    <x v="80"/>
    <n v="20.5"/>
    <n v="26.8"/>
    <n v="31.8"/>
    <x v="1"/>
    <s v="OK"/>
    <s v="OK"/>
    <x v="1"/>
  </r>
  <r>
    <d v="2017-08-26T00:00:00"/>
    <x v="23"/>
    <n v="20.8"/>
    <n v="29.8"/>
    <n v="0.3"/>
    <x v="1"/>
    <s v="OK"/>
    <s v="OK"/>
    <x v="1"/>
  </r>
  <r>
    <d v="2017-08-27T00:00:00"/>
    <x v="2"/>
    <n v="21"/>
    <n v="28.5"/>
    <n v="0.3"/>
    <x v="1"/>
    <s v="OK"/>
    <s v="OK"/>
    <x v="1"/>
  </r>
  <r>
    <d v="2017-08-28T00:00:00"/>
    <x v="80"/>
    <n v="20.5"/>
    <n v="26.5"/>
    <n v="6.1"/>
    <x v="1"/>
    <s v="OK"/>
    <s v="OK"/>
    <x v="1"/>
  </r>
  <r>
    <d v="2017-08-29T00:00:00"/>
    <x v="14"/>
    <n v="20.5"/>
    <n v="26.2"/>
    <n v="0"/>
    <x v="1"/>
    <s v="OK"/>
    <s v="OK"/>
    <x v="1"/>
  </r>
  <r>
    <d v="2017-08-30T00:00:00"/>
    <x v="79"/>
    <n v="21.1"/>
    <n v="29.7"/>
    <n v="0"/>
    <x v="1"/>
    <s v="OK"/>
    <s v="OK"/>
    <x v="1"/>
  </r>
  <r>
    <d v="2017-08-31T00:00:00"/>
    <x v="34"/>
    <n v="21"/>
    <n v="29.9"/>
    <n v="0"/>
    <x v="1"/>
    <s v="OK"/>
    <s v="OK"/>
    <x v="1"/>
  </r>
  <r>
    <d v="2017-09-01T00:00:00"/>
    <x v="17"/>
    <n v="19.8"/>
    <n v="30.6"/>
    <n v="71.900000000000006"/>
    <x v="1"/>
    <s v="OK"/>
    <s v="OK"/>
    <x v="1"/>
  </r>
  <r>
    <d v="2017-09-02T00:00:00"/>
    <x v="84"/>
    <n v="20.8"/>
    <n v="27.8"/>
    <n v="33"/>
    <x v="1"/>
    <s v="OK"/>
    <s v="OK"/>
    <x v="1"/>
  </r>
  <r>
    <d v="2017-09-03T00:00:00"/>
    <x v="78"/>
    <n v="19.899999999999999"/>
    <n v="27.3"/>
    <n v="21.8"/>
    <x v="1"/>
    <s v="OK"/>
    <s v="OK"/>
    <x v="1"/>
  </r>
  <r>
    <d v="2017-09-04T00:00:00"/>
    <x v="82"/>
    <n v="18.7"/>
    <n v="29.8"/>
    <n v="56.9"/>
    <x v="1"/>
    <s v="OK"/>
    <s v="OK"/>
    <x v="1"/>
  </r>
  <r>
    <d v="2017-09-05T00:00:00"/>
    <x v="34"/>
    <n v="19.899999999999999"/>
    <n v="30.2"/>
    <n v="2.5"/>
    <x v="1"/>
    <s v="OK"/>
    <s v="OK"/>
    <x v="1"/>
  </r>
  <r>
    <d v="2017-09-06T00:00:00"/>
    <x v="83"/>
    <n v="19.8"/>
    <n v="29.8"/>
    <n v="15.5"/>
    <x v="1"/>
    <s v="OK"/>
    <s v="OK"/>
    <x v="1"/>
  </r>
  <r>
    <d v="2017-09-07T00:00:00"/>
    <x v="74"/>
    <n v="21.3"/>
    <n v="28.5"/>
    <n v="6.6"/>
    <x v="1"/>
    <s v="OK"/>
    <s v="OK"/>
    <x v="1"/>
  </r>
  <r>
    <d v="2017-09-08T00:00:00"/>
    <x v="78"/>
    <n v="19.8"/>
    <n v="29.3"/>
    <n v="1.3"/>
    <x v="1"/>
    <s v="OK"/>
    <s v="OK"/>
    <x v="1"/>
  </r>
  <r>
    <d v="2017-09-09T00:00:00"/>
    <x v="76"/>
    <n v="20"/>
    <n v="28.2"/>
    <n v="68.3"/>
    <x v="1"/>
    <s v="OK"/>
    <s v="OK"/>
    <x v="1"/>
  </r>
  <r>
    <d v="2017-09-10T00:00:00"/>
    <x v="74"/>
    <n v="20.3"/>
    <n v="28"/>
    <n v="66"/>
    <x v="1"/>
    <s v="OK"/>
    <s v="OK"/>
    <x v="1"/>
  </r>
  <r>
    <d v="2017-09-11T00:00:00"/>
    <x v="34"/>
    <n v="21.9"/>
    <n v="27.8"/>
    <n v="0"/>
    <x v="1"/>
    <s v="OK"/>
    <s v="OK"/>
    <x v="1"/>
  </r>
  <r>
    <d v="2017-09-12T00:00:00"/>
    <x v="28"/>
    <n v="22.1"/>
    <n v="29.8"/>
    <m/>
    <x v="0"/>
    <m/>
    <m/>
    <x v="0"/>
  </r>
  <r>
    <d v="2017-09-13T00:00:00"/>
    <x v="43"/>
    <n v="22.2"/>
    <n v="31"/>
    <m/>
    <x v="0"/>
    <m/>
    <m/>
    <x v="0"/>
  </r>
  <r>
    <d v="2017-09-14T00:00:00"/>
    <x v="34"/>
    <n v="20.2"/>
    <n v="30.6"/>
    <m/>
    <x v="0"/>
    <m/>
    <m/>
    <x v="0"/>
  </r>
  <r>
    <d v="2017-09-15T00:00:00"/>
    <x v="17"/>
    <n v="21"/>
    <n v="31.1"/>
    <n v="2.2999999999999998"/>
    <x v="1"/>
    <s v="OK"/>
    <s v="OK"/>
    <x v="1"/>
  </r>
  <r>
    <d v="2017-09-16T00:00:00"/>
    <x v="17"/>
    <n v="20.8"/>
    <n v="29.4"/>
    <n v="0"/>
    <x v="1"/>
    <s v="OK"/>
    <s v="OK"/>
    <x v="1"/>
  </r>
  <r>
    <d v="2017-09-17T00:00:00"/>
    <x v="10"/>
    <n v="19.8"/>
    <n v="29.4"/>
    <n v="17.3"/>
    <x v="1"/>
    <s v="OK"/>
    <s v="OK"/>
    <x v="1"/>
  </r>
  <r>
    <d v="2017-09-18T00:00:00"/>
    <x v="15"/>
    <n v="19.3"/>
    <n v="27.3"/>
    <n v="0.5"/>
    <x v="1"/>
    <s v="OK"/>
    <s v="OK"/>
    <x v="1"/>
  </r>
  <r>
    <d v="2017-09-19T00:00:00"/>
    <x v="20"/>
    <n v="20.399999999999999"/>
    <n v="28.3"/>
    <n v="0"/>
    <x v="1"/>
    <s v="OK"/>
    <s v="OK"/>
    <x v="1"/>
  </r>
  <r>
    <d v="2017-09-20T00:00:00"/>
    <x v="78"/>
    <n v="19.399999999999999"/>
    <n v="28.8"/>
    <n v="0"/>
    <x v="1"/>
    <s v="OK"/>
    <s v="OK"/>
    <x v="1"/>
  </r>
  <r>
    <d v="2017-09-21T00:00:00"/>
    <x v="80"/>
    <n v="19.3"/>
    <n v="28.5"/>
    <m/>
    <x v="0"/>
    <m/>
    <m/>
    <x v="0"/>
  </r>
  <r>
    <d v="2017-09-22T00:00:00"/>
    <x v="77"/>
    <n v="20.5"/>
    <n v="28.4"/>
    <n v="0"/>
    <x v="1"/>
    <s v="OK"/>
    <s v="OK"/>
    <x v="1"/>
  </r>
  <r>
    <d v="2017-09-23T00:00:00"/>
    <x v="38"/>
    <n v="20.6"/>
    <n v="29.4"/>
    <n v="0"/>
    <x v="1"/>
    <s v="OK"/>
    <s v="OK"/>
    <x v="1"/>
  </r>
  <r>
    <d v="2017-09-24T00:00:00"/>
    <x v="18"/>
    <n v="20.9"/>
    <n v="30.5"/>
    <n v="0"/>
    <x v="1"/>
    <s v="OK"/>
    <s v="OK"/>
    <x v="1"/>
  </r>
  <r>
    <d v="2017-09-25T00:00:00"/>
    <x v="80"/>
    <n v="19.399999999999999"/>
    <n v="29"/>
    <n v="54.4"/>
    <x v="1"/>
    <s v="OK"/>
    <s v="OK"/>
    <x v="1"/>
  </r>
  <r>
    <d v="2017-09-26T00:00:00"/>
    <x v="23"/>
    <n v="19.8"/>
    <n v="27.6"/>
    <n v="9.1"/>
    <x v="1"/>
    <s v="OK"/>
    <s v="OK"/>
    <x v="1"/>
  </r>
  <r>
    <d v="2017-09-27T00:00:00"/>
    <x v="4"/>
    <n v="20"/>
    <n v="28.1"/>
    <n v="55.9"/>
    <x v="1"/>
    <s v="OK"/>
    <s v="OK"/>
    <x v="1"/>
  </r>
  <r>
    <d v="2017-09-28T00:00:00"/>
    <x v="84"/>
    <n v="19.399999999999999"/>
    <n v="26.8"/>
    <n v="1.8"/>
    <x v="1"/>
    <s v="OK"/>
    <s v="OK"/>
    <x v="1"/>
  </r>
  <r>
    <d v="2017-09-29T00:00:00"/>
    <x v="16"/>
    <n v="20.3"/>
    <n v="26.2"/>
    <n v="0.5"/>
    <x v="1"/>
    <s v="OK"/>
    <s v="OK"/>
    <x v="1"/>
  </r>
  <r>
    <d v="2017-09-30T00:00:00"/>
    <x v="16"/>
    <n v="20.399999999999999"/>
    <n v="27"/>
    <n v="15.2"/>
    <x v="1"/>
    <s v="OK"/>
    <s v="OK"/>
    <x v="1"/>
  </r>
  <r>
    <d v="2017-10-01T00:00:00"/>
    <x v="20"/>
    <n v="20.3"/>
    <n v="28.6"/>
    <n v="0.5"/>
    <x v="1"/>
    <s v="OK"/>
    <s v="OK"/>
    <x v="1"/>
  </r>
  <r>
    <d v="2017-10-02T00:00:00"/>
    <x v="13"/>
    <n v="19.399999999999999"/>
    <n v="28.4"/>
    <n v="46"/>
    <x v="1"/>
    <s v="OK"/>
    <s v="OK"/>
    <x v="1"/>
  </r>
  <r>
    <d v="2017-10-03T00:00:00"/>
    <x v="72"/>
    <n v="20.6"/>
    <n v="28.8"/>
    <n v="0"/>
    <x v="1"/>
    <s v="OK"/>
    <s v="OK"/>
    <x v="1"/>
  </r>
  <r>
    <d v="2017-10-04T00:00:00"/>
    <x v="77"/>
    <n v="20.5"/>
    <n v="29.3"/>
    <n v="0"/>
    <x v="1"/>
    <s v="OK"/>
    <s v="OK"/>
    <x v="1"/>
  </r>
  <r>
    <d v="2017-10-05T00:00:00"/>
    <x v="7"/>
    <n v="20.100000000000001"/>
    <n v="29.6"/>
    <n v="18.5"/>
    <x v="1"/>
    <s v="OK"/>
    <s v="OK"/>
    <x v="1"/>
  </r>
  <r>
    <d v="2017-10-06T00:00:00"/>
    <x v="20"/>
    <n v="20.7"/>
    <n v="28.8"/>
    <n v="76.7"/>
    <x v="1"/>
    <s v="OK"/>
    <s v="OK"/>
    <x v="1"/>
  </r>
  <r>
    <d v="2017-10-07T00:00:00"/>
    <x v="17"/>
    <n v="21.2"/>
    <n v="29"/>
    <n v="14.5"/>
    <x v="1"/>
    <s v="OK"/>
    <s v="OK"/>
    <x v="1"/>
  </r>
  <r>
    <d v="2017-10-08T00:00:00"/>
    <x v="27"/>
    <n v="21.3"/>
    <n v="28.8"/>
    <n v="48"/>
    <x v="1"/>
    <s v="OK"/>
    <s v="OK"/>
    <x v="1"/>
  </r>
  <r>
    <d v="2017-10-09T00:00:00"/>
    <x v="34"/>
    <n v="21.5"/>
    <n v="29"/>
    <n v="2"/>
    <x v="1"/>
    <s v="OK"/>
    <s v="OK"/>
    <x v="1"/>
  </r>
  <r>
    <d v="2017-10-10T00:00:00"/>
    <x v="79"/>
    <n v="19.600000000000001"/>
    <n v="29.3"/>
    <n v="9.1"/>
    <x v="1"/>
    <s v="OK"/>
    <s v="OK"/>
    <x v="1"/>
  </r>
  <r>
    <d v="2017-10-11T00:00:00"/>
    <x v="23"/>
    <n v="20.2"/>
    <n v="29.9"/>
    <n v="5.3"/>
    <x v="1"/>
    <s v="OK"/>
    <s v="OK"/>
    <x v="1"/>
  </r>
  <r>
    <d v="2017-10-12T00:00:00"/>
    <x v="78"/>
    <n v="20.5"/>
    <n v="30.7"/>
    <n v="22.4"/>
    <x v="1"/>
    <s v="OK"/>
    <s v="OK"/>
    <x v="1"/>
  </r>
  <r>
    <d v="2017-10-13T00:00:00"/>
    <x v="22"/>
    <n v="20.5"/>
    <n v="27.5"/>
    <n v="68.099999999999994"/>
    <x v="1"/>
    <s v="OK"/>
    <s v="OK"/>
    <x v="1"/>
  </r>
  <r>
    <d v="2017-10-14T00:00:00"/>
    <x v="6"/>
    <n v="20.399999999999999"/>
    <n v="27.6"/>
    <n v="34"/>
    <x v="1"/>
    <s v="OK"/>
    <s v="OK"/>
    <x v="1"/>
  </r>
  <r>
    <d v="2017-10-15T00:00:00"/>
    <x v="2"/>
    <n v="19.600000000000001"/>
    <n v="26.8"/>
    <n v="40.4"/>
    <x v="1"/>
    <s v="OK"/>
    <s v="OK"/>
    <x v="1"/>
  </r>
  <r>
    <d v="2017-10-16T00:00:00"/>
    <x v="14"/>
    <n v="19.8"/>
    <n v="26"/>
    <n v="0"/>
    <x v="1"/>
    <s v="OK"/>
    <s v="OK"/>
    <x v="1"/>
  </r>
  <r>
    <d v="2017-10-17T00:00:00"/>
    <x v="20"/>
    <n v="20.9"/>
    <n v="26.8"/>
    <n v="0"/>
    <x v="1"/>
    <s v="OK"/>
    <s v="OK"/>
    <x v="1"/>
  </r>
  <r>
    <d v="2017-10-18T00:00:00"/>
    <x v="13"/>
    <n v="21"/>
    <n v="27"/>
    <m/>
    <x v="0"/>
    <m/>
    <m/>
    <x v="0"/>
  </r>
  <r>
    <d v="2017-10-19T00:00:00"/>
    <x v="17"/>
    <n v="20.100000000000001"/>
    <n v="29.8"/>
    <n v="0"/>
    <x v="1"/>
    <s v="OK"/>
    <s v="OK"/>
    <x v="1"/>
  </r>
  <r>
    <d v="2017-10-20T00:00:00"/>
    <x v="33"/>
    <n v="20.399999999999999"/>
    <n v="29.8"/>
    <m/>
    <x v="0"/>
    <m/>
    <m/>
    <x v="0"/>
  </r>
  <r>
    <d v="2017-10-21T00:00:00"/>
    <x v="34"/>
    <n v="20.399999999999999"/>
    <n v="30.6"/>
    <m/>
    <x v="0"/>
    <m/>
    <m/>
    <x v="0"/>
  </r>
  <r>
    <d v="2017-10-22T00:00:00"/>
    <x v="19"/>
    <n v="20.399999999999999"/>
    <n v="30.5"/>
    <m/>
    <x v="0"/>
    <m/>
    <m/>
    <x v="0"/>
  </r>
  <r>
    <d v="2017-10-23T00:00:00"/>
    <x v="74"/>
    <n v="19.2"/>
    <n v="30.5"/>
    <m/>
    <x v="0"/>
    <m/>
    <m/>
    <x v="0"/>
  </r>
  <r>
    <d v="2017-10-24T00:00:00"/>
    <x v="73"/>
    <n v="18.399999999999999"/>
    <n v="31"/>
    <m/>
    <x v="0"/>
    <m/>
    <m/>
    <x v="0"/>
  </r>
  <r>
    <d v="2017-10-25T00:00:00"/>
    <x v="71"/>
    <n v="20.8"/>
    <n v="31.3"/>
    <m/>
    <x v="0"/>
    <m/>
    <m/>
    <x v="0"/>
  </r>
  <r>
    <d v="2017-10-26T00:00:00"/>
    <x v="17"/>
    <n v="20.2"/>
    <n v="29.6"/>
    <m/>
    <x v="0"/>
    <m/>
    <m/>
    <x v="0"/>
  </r>
  <r>
    <d v="2017-10-27T00:00:00"/>
    <x v="19"/>
    <n v="20.2"/>
    <n v="28.1"/>
    <n v="0"/>
    <x v="1"/>
    <s v="OK"/>
    <s v="OK"/>
    <x v="1"/>
  </r>
  <r>
    <d v="2017-10-28T00:00:00"/>
    <x v="19"/>
    <n v="19.8"/>
    <n v="30"/>
    <n v="0"/>
    <x v="1"/>
    <s v="OK"/>
    <s v="OK"/>
    <x v="1"/>
  </r>
  <r>
    <d v="2017-10-29T00:00:00"/>
    <x v="18"/>
    <n v="20.3"/>
    <n v="28.8"/>
    <m/>
    <x v="0"/>
    <m/>
    <m/>
    <x v="0"/>
  </r>
  <r>
    <d v="2017-10-30T00:00:00"/>
    <x v="1"/>
    <n v="19.3"/>
    <n v="29.6"/>
    <m/>
    <x v="0"/>
    <m/>
    <m/>
    <x v="0"/>
  </r>
  <r>
    <d v="2017-10-31T00:00:00"/>
    <x v="26"/>
    <n v="19.399999999999999"/>
    <n v="26.7"/>
    <n v="0"/>
    <x v="1"/>
    <s v="OK"/>
    <s v="OK"/>
    <x v="1"/>
  </r>
  <r>
    <d v="2017-11-01T00:00:00"/>
    <x v="12"/>
    <n v="19.899999999999999"/>
    <n v="25"/>
    <n v="0"/>
    <x v="1"/>
    <s v="OK"/>
    <s v="OK"/>
    <x v="1"/>
  </r>
  <r>
    <d v="2017-11-02T00:00:00"/>
    <x v="22"/>
    <n v="18.8"/>
    <n v="26.8"/>
    <n v="0.3"/>
    <x v="1"/>
    <s v="OK"/>
    <s v="OK"/>
    <x v="1"/>
  </r>
  <r>
    <d v="2017-11-03T00:00:00"/>
    <x v="78"/>
    <n v="19.3"/>
    <n v="27.8"/>
    <n v="0"/>
    <x v="1"/>
    <s v="OK"/>
    <s v="OK"/>
    <x v="1"/>
  </r>
  <r>
    <d v="2017-11-04T00:00:00"/>
    <x v="6"/>
    <n v="19"/>
    <n v="28"/>
    <m/>
    <x v="0"/>
    <m/>
    <m/>
    <x v="0"/>
  </r>
  <r>
    <d v="2017-11-05T00:00:00"/>
    <x v="25"/>
    <n v="19.3"/>
    <n v="25.6"/>
    <n v="2"/>
    <x v="1"/>
    <s v="OK"/>
    <s v="OK"/>
    <x v="1"/>
  </r>
  <r>
    <d v="2017-11-06T00:00:00"/>
    <x v="12"/>
    <n v="19.7"/>
    <n v="25.4"/>
    <n v="3.3"/>
    <x v="1"/>
    <s v="OK"/>
    <s v="OK"/>
    <x v="1"/>
  </r>
  <r>
    <d v="2017-11-07T00:00:00"/>
    <x v="25"/>
    <n v="18.899999999999999"/>
    <n v="25.6"/>
    <n v="1.5"/>
    <x v="1"/>
    <s v="OK"/>
    <s v="OK"/>
    <x v="1"/>
  </r>
  <r>
    <d v="2017-11-08T00:00:00"/>
    <x v="7"/>
    <n v="18.3"/>
    <n v="26"/>
    <n v="13.5"/>
    <x v="1"/>
    <s v="OK"/>
    <s v="OK"/>
    <x v="1"/>
  </r>
  <r>
    <d v="2017-11-09T00:00:00"/>
    <x v="84"/>
    <n v="18.600000000000001"/>
    <n v="27"/>
    <n v="0"/>
    <x v="1"/>
    <s v="OK"/>
    <s v="OK"/>
    <x v="1"/>
  </r>
  <r>
    <d v="2017-11-10T00:00:00"/>
    <x v="84"/>
    <n v="17.899999999999999"/>
    <n v="27.8"/>
    <m/>
    <x v="0"/>
    <m/>
    <m/>
    <x v="0"/>
  </r>
  <r>
    <d v="2017-11-11T00:00:00"/>
    <x v="9"/>
    <n v="17.8"/>
    <n v="28.6"/>
    <m/>
    <x v="0"/>
    <m/>
    <m/>
    <x v="0"/>
  </r>
  <r>
    <d v="2017-11-12T00:00:00"/>
    <x v="4"/>
    <n v="15.8"/>
    <n v="26.9"/>
    <m/>
    <x v="0"/>
    <m/>
    <m/>
    <x v="0"/>
  </r>
  <r>
    <d v="2017-11-13T00:00:00"/>
    <x v="76"/>
    <n v="19.3"/>
    <n v="28.2"/>
    <m/>
    <x v="0"/>
    <m/>
    <m/>
    <x v="0"/>
  </r>
  <r>
    <d v="2017-11-14T00:00:00"/>
    <x v="21"/>
    <n v="19.399999999999999"/>
    <n v="29.1"/>
    <m/>
    <x v="0"/>
    <m/>
    <m/>
    <x v="0"/>
  </r>
  <r>
    <d v="2017-11-15T00:00:00"/>
    <x v="33"/>
    <n v="21"/>
    <n v="29.3"/>
    <m/>
    <x v="0"/>
    <m/>
    <m/>
    <x v="0"/>
  </r>
  <r>
    <d v="2017-11-16T00:00:00"/>
    <x v="18"/>
    <n v="19.600000000000001"/>
    <n v="29.2"/>
    <m/>
    <x v="0"/>
    <m/>
    <m/>
    <x v="0"/>
  </r>
  <r>
    <d v="2017-11-17T00:00:00"/>
    <x v="23"/>
    <n v="21.3"/>
    <n v="29.2"/>
    <n v="0"/>
    <x v="1"/>
    <s v="OK"/>
    <s v="OK"/>
    <x v="1"/>
  </r>
  <r>
    <d v="2017-11-18T00:00:00"/>
    <x v="75"/>
    <n v="20.9"/>
    <n v="29.6"/>
    <m/>
    <x v="0"/>
    <m/>
    <m/>
    <x v="0"/>
  </r>
  <r>
    <d v="2017-11-19T00:00:00"/>
    <x v="74"/>
    <n v="20.5"/>
    <n v="30"/>
    <m/>
    <x v="0"/>
    <m/>
    <m/>
    <x v="0"/>
  </r>
  <r>
    <d v="2017-11-20T00:00:00"/>
    <x v="18"/>
    <n v="20.7"/>
    <n v="29"/>
    <m/>
    <x v="0"/>
    <m/>
    <m/>
    <x v="0"/>
  </r>
  <r>
    <d v="2017-11-21T00:00:00"/>
    <x v="23"/>
    <n v="20.2"/>
    <n v="29.6"/>
    <m/>
    <x v="0"/>
    <m/>
    <m/>
    <x v="0"/>
  </r>
  <r>
    <d v="2017-11-22T00:00:00"/>
    <x v="20"/>
    <n v="19.5"/>
    <n v="29.1"/>
    <m/>
    <x v="0"/>
    <m/>
    <m/>
    <x v="0"/>
  </r>
  <r>
    <d v="2017-11-23T00:00:00"/>
    <x v="17"/>
    <n v="18.100000000000001"/>
    <n v="29.3"/>
    <m/>
    <x v="0"/>
    <m/>
    <m/>
    <x v="0"/>
  </r>
  <r>
    <d v="2017-11-24T00:00:00"/>
    <x v="18"/>
    <n v="18.7"/>
    <n v="29.7"/>
    <m/>
    <x v="0"/>
    <m/>
    <m/>
    <x v="0"/>
  </r>
  <r>
    <d v="2017-11-25T00:00:00"/>
    <x v="16"/>
    <n v="16.899999999999999"/>
    <n v="30"/>
    <m/>
    <x v="0"/>
    <m/>
    <m/>
    <x v="0"/>
  </r>
  <r>
    <d v="2017-11-26T00:00:00"/>
    <x v="26"/>
    <n v="17.399999999999999"/>
    <n v="28"/>
    <m/>
    <x v="0"/>
    <m/>
    <m/>
    <x v="0"/>
  </r>
  <r>
    <d v="2017-11-27T00:00:00"/>
    <x v="14"/>
    <n v="19.2"/>
    <n v="26.8"/>
    <m/>
    <x v="0"/>
    <m/>
    <m/>
    <x v="0"/>
  </r>
  <r>
    <d v="2017-11-28T00:00:00"/>
    <x v="83"/>
    <n v="18.2"/>
    <n v="28"/>
    <m/>
    <x v="0"/>
    <m/>
    <m/>
    <x v="0"/>
  </r>
  <r>
    <d v="2017-11-29T00:00:00"/>
    <x v="80"/>
    <n v="18.3"/>
    <n v="29.6"/>
    <m/>
    <x v="0"/>
    <m/>
    <m/>
    <x v="0"/>
  </r>
  <r>
    <d v="2017-11-30T00:00:00"/>
    <x v="10"/>
    <n v="19.3"/>
    <n v="27.6"/>
    <n v="0"/>
    <x v="1"/>
    <s v="OK"/>
    <s v="OK"/>
    <x v="1"/>
  </r>
  <r>
    <d v="2017-12-01T00:00:00"/>
    <x v="85"/>
    <n v="18.399999999999999"/>
    <n v="24.7"/>
    <n v="10.7"/>
    <x v="1"/>
    <s v="OK"/>
    <s v="OK"/>
    <x v="1"/>
  </r>
  <r>
    <d v="2017-12-02T00:00:00"/>
    <x v="85"/>
    <n v="18.2"/>
    <n v="22.2"/>
    <n v="8.9"/>
    <x v="1"/>
    <s v="OK"/>
    <s v="OK"/>
    <x v="1"/>
  </r>
  <r>
    <d v="2017-12-03T00:00:00"/>
    <x v="86"/>
    <n v="18.3"/>
    <n v="24.2"/>
    <n v="0"/>
    <x v="1"/>
    <s v="OK"/>
    <s v="OK"/>
    <x v="1"/>
  </r>
  <r>
    <d v="2017-12-04T00:00:00"/>
    <x v="8"/>
    <n v="18.399999999999999"/>
    <n v="25.7"/>
    <m/>
    <x v="0"/>
    <m/>
    <m/>
    <x v="0"/>
  </r>
  <r>
    <d v="2017-12-05T00:00:00"/>
    <x v="87"/>
    <n v="19"/>
    <n v="25.8"/>
    <m/>
    <x v="0"/>
    <m/>
    <m/>
    <x v="0"/>
  </r>
  <r>
    <d v="2017-12-06T00:00:00"/>
    <x v="22"/>
    <n v="19"/>
    <n v="27.4"/>
    <m/>
    <x v="0"/>
    <m/>
    <m/>
    <x v="0"/>
  </r>
  <r>
    <d v="2017-12-07T00:00:00"/>
    <x v="16"/>
    <n v="18.100000000000001"/>
    <n v="29.2"/>
    <m/>
    <x v="0"/>
    <m/>
    <m/>
    <x v="0"/>
  </r>
  <r>
    <d v="2017-12-08T00:00:00"/>
    <x v="15"/>
    <n v="15.9"/>
    <n v="29.5"/>
    <m/>
    <x v="0"/>
    <m/>
    <m/>
    <x v="0"/>
  </r>
  <r>
    <d v="2017-12-09T00:00:00"/>
    <x v="15"/>
    <n v="16.8"/>
    <n v="30.8"/>
    <m/>
    <x v="0"/>
    <m/>
    <m/>
    <x v="0"/>
  </r>
  <r>
    <d v="2017-12-10T00:00:00"/>
    <x v="14"/>
    <n v="17.7"/>
    <n v="29.8"/>
    <m/>
    <x v="0"/>
    <m/>
    <m/>
    <x v="0"/>
  </r>
  <r>
    <d v="2017-12-11T00:00:00"/>
    <x v="13"/>
    <n v="17.100000000000001"/>
    <n v="29.5"/>
    <m/>
    <x v="0"/>
    <m/>
    <m/>
    <x v="0"/>
  </r>
  <r>
    <d v="2017-12-12T00:00:00"/>
    <x v="20"/>
    <n v="18.5"/>
    <n v="30"/>
    <m/>
    <x v="0"/>
    <m/>
    <m/>
    <x v="0"/>
  </r>
  <r>
    <d v="2017-12-13T00:00:00"/>
    <x v="16"/>
    <n v="18.100000000000001"/>
    <n v="28.1"/>
    <n v="0"/>
    <x v="1"/>
    <s v="OK"/>
    <s v="OK"/>
    <x v="1"/>
  </r>
  <r>
    <d v="2017-12-14T00:00:00"/>
    <x v="15"/>
    <n v="18.399999999999999"/>
    <n v="28.4"/>
    <m/>
    <x v="0"/>
    <m/>
    <m/>
    <x v="0"/>
  </r>
  <r>
    <d v="2017-12-15T00:00:00"/>
    <x v="2"/>
    <n v="17.100000000000001"/>
    <n v="29.3"/>
    <m/>
    <x v="0"/>
    <m/>
    <m/>
    <x v="0"/>
  </r>
  <r>
    <d v="2017-12-16T00:00:00"/>
    <x v="10"/>
    <n v="17.5"/>
    <n v="28.4"/>
    <m/>
    <x v="0"/>
    <m/>
    <m/>
    <x v="0"/>
  </r>
  <r>
    <d v="2017-12-17T00:00:00"/>
    <x v="5"/>
    <n v="17"/>
    <n v="26.7"/>
    <m/>
    <x v="0"/>
    <m/>
    <m/>
    <x v="0"/>
  </r>
  <r>
    <d v="2017-12-18T00:00:00"/>
    <x v="88"/>
    <n v="16"/>
    <n v="26.7"/>
    <m/>
    <x v="0"/>
    <m/>
    <m/>
    <x v="0"/>
  </r>
  <r>
    <d v="2017-12-19T00:00:00"/>
    <x v="0"/>
    <n v="15.3"/>
    <n v="26.6"/>
    <m/>
    <x v="0"/>
    <m/>
    <m/>
    <x v="0"/>
  </r>
  <r>
    <d v="2017-12-20T00:00:00"/>
    <x v="6"/>
    <n v="16.2"/>
    <n v="27.5"/>
    <m/>
    <x v="0"/>
    <m/>
    <m/>
    <x v="0"/>
  </r>
  <r>
    <d v="2017-12-21T00:00:00"/>
    <x v="7"/>
    <n v="16"/>
    <n v="28.8"/>
    <m/>
    <x v="0"/>
    <m/>
    <m/>
    <x v="0"/>
  </r>
  <r>
    <d v="2017-12-22T00:00:00"/>
    <x v="3"/>
    <n v="16.8"/>
    <n v="28.3"/>
    <m/>
    <x v="0"/>
    <m/>
    <m/>
    <x v="0"/>
  </r>
  <r>
    <d v="2017-12-23T00:00:00"/>
    <x v="89"/>
    <n v="17.399999999999999"/>
    <n v="28.2"/>
    <m/>
    <x v="0"/>
    <m/>
    <m/>
    <x v="0"/>
  </r>
  <r>
    <d v="2017-12-24T00:00:00"/>
    <x v="87"/>
    <n v="15"/>
    <n v="27.1"/>
    <m/>
    <x v="0"/>
    <m/>
    <m/>
    <x v="0"/>
  </r>
  <r>
    <d v="2017-12-25T00:00:00"/>
    <x v="11"/>
    <n v="16.600000000000001"/>
    <n v="28.5"/>
    <m/>
    <x v="0"/>
    <m/>
    <m/>
    <x v="0"/>
  </r>
  <r>
    <d v="2017-12-26T00:00:00"/>
    <x v="1"/>
    <n v="16.2"/>
    <n v="27.9"/>
    <m/>
    <x v="0"/>
    <m/>
    <m/>
    <x v="0"/>
  </r>
  <r>
    <d v="2017-12-27T00:00:00"/>
    <x v="90"/>
    <n v="15.5"/>
    <n v="29.2"/>
    <m/>
    <x v="0"/>
    <m/>
    <m/>
    <x v="0"/>
  </r>
  <r>
    <d v="2017-12-28T00:00:00"/>
    <x v="91"/>
    <n v="15.2"/>
    <n v="28.1"/>
    <m/>
    <x v="0"/>
    <m/>
    <m/>
    <x v="0"/>
  </r>
  <r>
    <d v="2017-12-29T00:00:00"/>
    <x v="88"/>
    <n v="14.2"/>
    <n v="25.8"/>
    <m/>
    <x v="0"/>
    <m/>
    <m/>
    <x v="0"/>
  </r>
  <r>
    <d v="2017-12-30T00:00:00"/>
    <x v="9"/>
    <n v="15.3"/>
    <n v="27.3"/>
    <m/>
    <x v="0"/>
    <m/>
    <m/>
    <x v="0"/>
  </r>
  <r>
    <d v="2017-12-31T00:00:00"/>
    <x v="1"/>
    <n v="16.100000000000001"/>
    <n v="26.9"/>
    <m/>
    <x v="0"/>
    <m/>
    <m/>
    <x v="0"/>
  </r>
  <r>
    <d v="2018-01-01T00:00:00"/>
    <x v="26"/>
    <n v="16.600000000000001"/>
    <n v="28.4"/>
    <m/>
    <x v="0"/>
    <m/>
    <m/>
    <x v="0"/>
  </r>
  <r>
    <d v="2018-01-02T00:00:00"/>
    <x v="6"/>
    <n v="17.8"/>
    <n v="28.9"/>
    <m/>
    <x v="0"/>
    <m/>
    <m/>
    <x v="0"/>
  </r>
  <r>
    <d v="2018-01-03T00:00:00"/>
    <x v="26"/>
    <n v="18.399999999999999"/>
    <n v="29"/>
    <m/>
    <x v="0"/>
    <m/>
    <m/>
    <x v="0"/>
  </r>
  <r>
    <d v="2018-01-04T00:00:00"/>
    <x v="1"/>
    <n v="17"/>
    <n v="27.6"/>
    <m/>
    <x v="0"/>
    <m/>
    <m/>
    <x v="0"/>
  </r>
  <r>
    <d v="2018-01-05T00:00:00"/>
    <x v="9"/>
    <n v="15.5"/>
    <n v="28.3"/>
    <m/>
    <x v="0"/>
    <m/>
    <m/>
    <x v="0"/>
  </r>
  <r>
    <d v="2018-01-06T00:00:00"/>
    <x v="92"/>
    <n v="14.7"/>
    <n v="27.2"/>
    <m/>
    <x v="0"/>
    <m/>
    <m/>
    <x v="0"/>
  </r>
  <r>
    <d v="2018-01-07T00:00:00"/>
    <x v="11"/>
    <n v="15.2"/>
    <n v="27.2"/>
    <m/>
    <x v="0"/>
    <m/>
    <m/>
    <x v="0"/>
  </r>
  <r>
    <d v="2018-01-08T00:00:00"/>
    <x v="93"/>
    <n v="14.8"/>
    <n v="27.2"/>
    <m/>
    <x v="0"/>
    <m/>
    <m/>
    <x v="0"/>
  </r>
  <r>
    <d v="2018-01-09T00:00:00"/>
    <x v="8"/>
    <n v="15.5"/>
    <n v="26.6"/>
    <m/>
    <x v="0"/>
    <m/>
    <m/>
    <x v="0"/>
  </r>
  <r>
    <d v="2018-01-10T00:00:00"/>
    <x v="3"/>
    <n v="18.2"/>
    <n v="27.1"/>
    <m/>
    <x v="0"/>
    <m/>
    <m/>
    <x v="0"/>
  </r>
  <r>
    <d v="2018-01-11T00:00:00"/>
    <x v="80"/>
    <n v="17.3"/>
    <n v="28.3"/>
    <m/>
    <x v="0"/>
    <m/>
    <m/>
    <x v="0"/>
  </r>
  <r>
    <d v="2018-01-12T00:00:00"/>
    <x v="83"/>
    <n v="18.7"/>
    <n v="29.4"/>
    <m/>
    <x v="0"/>
    <m/>
    <m/>
    <x v="0"/>
  </r>
  <r>
    <d v="2018-01-13T00:00:00"/>
    <x v="24"/>
    <n v="17.600000000000001"/>
    <n v="29.8"/>
    <m/>
    <x v="0"/>
    <m/>
    <m/>
    <x v="0"/>
  </r>
  <r>
    <d v="2018-01-14T00:00:00"/>
    <x v="13"/>
    <n v="16.3"/>
    <n v="31"/>
    <m/>
    <x v="0"/>
    <m/>
    <m/>
    <x v="0"/>
  </r>
  <r>
    <d v="2018-01-15T00:00:00"/>
    <x v="2"/>
    <n v="16.3"/>
    <n v="30.7"/>
    <m/>
    <x v="0"/>
    <m/>
    <m/>
    <x v="0"/>
  </r>
  <r>
    <d v="2018-01-16T00:00:00"/>
    <x v="80"/>
    <n v="17.100000000000001"/>
    <n v="30.5"/>
    <m/>
    <x v="0"/>
    <m/>
    <m/>
    <x v="0"/>
  </r>
  <r>
    <d v="2018-01-17T00:00:00"/>
    <x v="3"/>
    <n v="16.8"/>
    <n v="29.9"/>
    <m/>
    <x v="0"/>
    <m/>
    <m/>
    <x v="0"/>
  </r>
  <r>
    <d v="2018-01-18T00:00:00"/>
    <x v="8"/>
    <n v="15.3"/>
    <n v="28.6"/>
    <m/>
    <x v="0"/>
    <m/>
    <m/>
    <x v="0"/>
  </r>
  <r>
    <d v="2018-01-19T00:00:00"/>
    <x v="86"/>
    <n v="14.3"/>
    <n v="28.7"/>
    <m/>
    <x v="0"/>
    <m/>
    <m/>
    <x v="0"/>
  </r>
  <r>
    <d v="2018-01-20T00:00:00"/>
    <x v="11"/>
    <n v="14.2"/>
    <n v="28"/>
    <m/>
    <x v="0"/>
    <m/>
    <m/>
    <x v="0"/>
  </r>
  <r>
    <d v="2018-01-21T00:00:00"/>
    <x v="5"/>
    <n v="14.3"/>
    <n v="28.5"/>
    <m/>
    <x v="0"/>
    <m/>
    <m/>
    <x v="0"/>
  </r>
  <r>
    <d v="2018-01-22T00:00:00"/>
    <x v="11"/>
    <n v="14.4"/>
    <n v="29"/>
    <m/>
    <x v="0"/>
    <m/>
    <m/>
    <x v="0"/>
  </r>
  <r>
    <d v="2018-01-23T00:00:00"/>
    <x v="6"/>
    <n v="15.3"/>
    <n v="28.8"/>
    <m/>
    <x v="0"/>
    <m/>
    <m/>
    <x v="0"/>
  </r>
  <r>
    <d v="2018-01-24T00:00:00"/>
    <x v="84"/>
    <n v="17.2"/>
    <n v="29.7"/>
    <m/>
    <x v="0"/>
    <m/>
    <m/>
    <x v="0"/>
  </r>
  <r>
    <d v="2018-01-25T00:00:00"/>
    <x v="16"/>
    <n v="17.100000000000001"/>
    <n v="29.1"/>
    <m/>
    <x v="0"/>
    <m/>
    <m/>
    <x v="0"/>
  </r>
  <r>
    <d v="2018-01-26T00:00:00"/>
    <x v="4"/>
    <n v="16.2"/>
    <n v="29.8"/>
    <m/>
    <x v="0"/>
    <m/>
    <m/>
    <x v="0"/>
  </r>
  <r>
    <d v="2018-01-27T00:00:00"/>
    <x v="87"/>
    <n v="16"/>
    <n v="29"/>
    <m/>
    <x v="0"/>
    <m/>
    <m/>
    <x v="0"/>
  </r>
  <r>
    <d v="2018-01-28T00:00:00"/>
    <x v="4"/>
    <n v="14"/>
    <n v="28.2"/>
    <m/>
    <x v="0"/>
    <m/>
    <m/>
    <x v="0"/>
  </r>
  <r>
    <d v="2018-01-29T00:00:00"/>
    <x v="7"/>
    <n v="16"/>
    <n v="29.2"/>
    <m/>
    <x v="0"/>
    <m/>
    <m/>
    <x v="0"/>
  </r>
  <r>
    <d v="2018-01-30T00:00:00"/>
    <x v="25"/>
    <n v="15.7"/>
    <n v="29.5"/>
    <m/>
    <x v="0"/>
    <m/>
    <m/>
    <x v="0"/>
  </r>
  <r>
    <d v="2018-01-31T00:00:00"/>
    <x v="87"/>
    <n v="15"/>
    <n v="29.2"/>
    <m/>
    <x v="0"/>
    <m/>
    <m/>
    <x v="0"/>
  </r>
  <r>
    <d v="2018-02-01T00:00:00"/>
    <x v="4"/>
    <n v="13.2"/>
    <n v="29.6"/>
    <m/>
    <x v="0"/>
    <m/>
    <m/>
    <x v="0"/>
  </r>
  <r>
    <d v="2018-02-02T00:00:00"/>
    <x v="15"/>
    <n v="15.9"/>
    <n v="30.4"/>
    <m/>
    <x v="0"/>
    <m/>
    <m/>
    <x v="0"/>
  </r>
  <r>
    <d v="2018-02-03T00:00:00"/>
    <x v="12"/>
    <n v="15.8"/>
    <n v="30.1"/>
    <m/>
    <x v="0"/>
    <m/>
    <m/>
    <x v="0"/>
  </r>
  <r>
    <d v="2018-02-04T00:00:00"/>
    <x v="8"/>
    <n v="13.4"/>
    <n v="29.4"/>
    <m/>
    <x v="0"/>
    <m/>
    <m/>
    <x v="0"/>
  </r>
  <r>
    <d v="2018-02-05T00:00:00"/>
    <x v="4"/>
    <n v="13.7"/>
    <n v="30"/>
    <m/>
    <x v="0"/>
    <m/>
    <m/>
    <x v="0"/>
  </r>
  <r>
    <d v="2018-02-06T00:00:00"/>
    <x v="33"/>
    <n v="18"/>
    <n v="30.4"/>
    <m/>
    <x v="0"/>
    <m/>
    <m/>
    <x v="0"/>
  </r>
  <r>
    <d v="2018-02-07T00:00:00"/>
    <x v="13"/>
    <n v="20.2"/>
    <n v="32.299999999999997"/>
    <m/>
    <x v="0"/>
    <m/>
    <m/>
    <x v="0"/>
  </r>
  <r>
    <d v="2018-02-08T00:00:00"/>
    <x v="13"/>
    <n v="19.2"/>
    <n v="30"/>
    <n v="1.5"/>
    <x v="1"/>
    <s v="OK"/>
    <s v="OK"/>
    <x v="2"/>
  </r>
  <r>
    <d v="2018-02-09T00:00:00"/>
    <x v="33"/>
    <n v="19.7"/>
    <n v="30.6"/>
    <n v="0"/>
    <x v="1"/>
    <s v="Outlier"/>
    <s v="OK"/>
    <x v="0"/>
  </r>
  <r>
    <d v="2018-02-10T00:00:00"/>
    <x v="18"/>
    <n v="19.7"/>
    <n v="31.6"/>
    <n v="1.5"/>
    <x v="1"/>
    <s v="Outlier"/>
    <s v="OK"/>
    <x v="0"/>
  </r>
  <r>
    <d v="2018-02-11T00:00:00"/>
    <x v="75"/>
    <n v="17.7"/>
    <n v="30.7"/>
    <n v="0"/>
    <x v="1"/>
    <s v="Outlier"/>
    <s v="OK"/>
    <x v="0"/>
  </r>
  <r>
    <d v="2018-02-12T00:00:00"/>
    <x v="13"/>
    <n v="18"/>
    <n v="30.8"/>
    <m/>
    <x v="0"/>
    <m/>
    <m/>
    <x v="0"/>
  </r>
  <r>
    <d v="2018-02-13T00:00:00"/>
    <x v="21"/>
    <n v="18.5"/>
    <n v="30.2"/>
    <m/>
    <x v="0"/>
    <m/>
    <m/>
    <x v="0"/>
  </r>
  <r>
    <d v="2018-02-14T00:00:00"/>
    <x v="13"/>
    <n v="17.899999999999999"/>
    <n v="29.9"/>
    <m/>
    <x v="0"/>
    <m/>
    <m/>
    <x v="0"/>
  </r>
  <r>
    <d v="2018-02-15T00:00:00"/>
    <x v="24"/>
    <n v="17.399999999999999"/>
    <n v="30.7"/>
    <m/>
    <x v="0"/>
    <m/>
    <m/>
    <x v="0"/>
  </r>
  <r>
    <d v="2018-02-16T00:00:00"/>
    <x v="17"/>
    <n v="17.600000000000001"/>
    <n v="31"/>
    <m/>
    <x v="0"/>
    <m/>
    <m/>
    <x v="0"/>
  </r>
  <r>
    <d v="2018-02-17T00:00:00"/>
    <x v="23"/>
    <n v="17.5"/>
    <n v="31.3"/>
    <m/>
    <x v="0"/>
    <m/>
    <m/>
    <x v="0"/>
  </r>
  <r>
    <d v="2018-02-18T00:00:00"/>
    <x v="75"/>
    <n v="17.7"/>
    <n v="31.9"/>
    <m/>
    <x v="0"/>
    <m/>
    <m/>
    <x v="0"/>
  </r>
  <r>
    <d v="2018-02-19T00:00:00"/>
    <x v="77"/>
    <n v="16.8"/>
    <n v="32.1"/>
    <m/>
    <x v="0"/>
    <m/>
    <m/>
    <x v="0"/>
  </r>
  <r>
    <d v="2018-02-20T00:00:00"/>
    <x v="80"/>
    <n v="17.399999999999999"/>
    <n v="32.200000000000003"/>
    <m/>
    <x v="0"/>
    <m/>
    <m/>
    <x v="0"/>
  </r>
  <r>
    <d v="2018-02-21T00:00:00"/>
    <x v="18"/>
    <n v="17.5"/>
    <n v="31.5"/>
    <m/>
    <x v="0"/>
    <m/>
    <m/>
    <x v="0"/>
  </r>
  <r>
    <d v="2018-02-22T00:00:00"/>
    <x v="72"/>
    <n v="17.8"/>
    <n v="31.5"/>
    <m/>
    <x v="0"/>
    <m/>
    <m/>
    <x v="0"/>
  </r>
  <r>
    <d v="2018-02-23T00:00:00"/>
    <x v="77"/>
    <n v="18.399999999999999"/>
    <n v="32.4"/>
    <m/>
    <x v="0"/>
    <m/>
    <m/>
    <x v="0"/>
  </r>
  <r>
    <d v="2018-02-24T00:00:00"/>
    <x v="78"/>
    <n v="15.6"/>
    <n v="31.2"/>
    <m/>
    <x v="0"/>
    <m/>
    <m/>
    <x v="0"/>
  </r>
  <r>
    <d v="2018-02-25T00:00:00"/>
    <x v="82"/>
    <n v="17.3"/>
    <n v="31.2"/>
    <m/>
    <x v="0"/>
    <m/>
    <m/>
    <x v="0"/>
  </r>
  <r>
    <d v="2018-02-26T00:00:00"/>
    <x v="73"/>
    <n v="17.8"/>
    <n v="32"/>
    <m/>
    <x v="0"/>
    <m/>
    <m/>
    <x v="0"/>
  </r>
  <r>
    <d v="2018-02-27T00:00:00"/>
    <x v="71"/>
    <n v="18.2"/>
    <n v="32.700000000000003"/>
    <m/>
    <x v="0"/>
    <m/>
    <m/>
    <x v="0"/>
  </r>
  <r>
    <d v="2018-02-28T00:00:00"/>
    <x v="73"/>
    <n v="16.7"/>
    <n v="33"/>
    <m/>
    <x v="0"/>
    <m/>
    <m/>
    <x v="0"/>
  </r>
  <r>
    <d v="2018-03-01T00:00:00"/>
    <x v="71"/>
    <n v="18.2"/>
    <n v="33.200000000000003"/>
    <m/>
    <x v="0"/>
    <m/>
    <m/>
    <x v="0"/>
  </r>
  <r>
    <d v="2018-03-02T00:00:00"/>
    <x v="70"/>
    <n v="18.3"/>
    <n v="32.5"/>
    <m/>
    <x v="0"/>
    <m/>
    <m/>
    <x v="0"/>
  </r>
  <r>
    <d v="2018-03-03T00:00:00"/>
    <x v="63"/>
    <n v="17.5"/>
    <n v="33.200000000000003"/>
    <m/>
    <x v="0"/>
    <m/>
    <m/>
    <x v="0"/>
  </r>
  <r>
    <d v="2018-03-04T00:00:00"/>
    <x v="36"/>
    <n v="18.3"/>
    <n v="34.4"/>
    <m/>
    <x v="0"/>
    <m/>
    <m/>
    <x v="0"/>
  </r>
  <r>
    <d v="2018-03-05T00:00:00"/>
    <x v="35"/>
    <n v="18.3"/>
    <n v="34"/>
    <m/>
    <x v="0"/>
    <m/>
    <m/>
    <x v="0"/>
  </r>
  <r>
    <d v="2018-03-06T00:00:00"/>
    <x v="44"/>
    <n v="17.5"/>
    <n v="34.4"/>
    <m/>
    <x v="0"/>
    <m/>
    <m/>
    <x v="0"/>
  </r>
  <r>
    <d v="2018-03-07T00:00:00"/>
    <x v="70"/>
    <n v="16.5"/>
    <n v="34.6"/>
    <m/>
    <x v="0"/>
    <m/>
    <m/>
    <x v="0"/>
  </r>
  <r>
    <d v="2018-03-08T00:00:00"/>
    <x v="81"/>
    <n v="18.5"/>
    <n v="33.5"/>
    <m/>
    <x v="0"/>
    <m/>
    <m/>
    <x v="0"/>
  </r>
  <r>
    <d v="2018-03-09T00:00:00"/>
    <x v="37"/>
    <n v="17.8"/>
    <n v="33.299999999999997"/>
    <m/>
    <x v="0"/>
    <m/>
    <m/>
    <x v="0"/>
  </r>
  <r>
    <d v="2018-03-10T00:00:00"/>
    <x v="63"/>
    <n v="18.5"/>
    <n v="33.5"/>
    <m/>
    <x v="0"/>
    <m/>
    <m/>
    <x v="0"/>
  </r>
  <r>
    <d v="2018-03-11T00:00:00"/>
    <x v="37"/>
    <n v="19.7"/>
    <n v="33.1"/>
    <m/>
    <x v="0"/>
    <m/>
    <m/>
    <x v="0"/>
  </r>
  <r>
    <d v="2018-03-12T00:00:00"/>
    <x v="81"/>
    <n v="19.5"/>
    <n v="33.799999999999997"/>
    <m/>
    <x v="0"/>
    <m/>
    <m/>
    <x v="0"/>
  </r>
  <r>
    <d v="2018-03-13T00:00:00"/>
    <x v="32"/>
    <n v="20.100000000000001"/>
    <n v="32.5"/>
    <m/>
    <x v="0"/>
    <m/>
    <m/>
    <x v="0"/>
  </r>
  <r>
    <d v="2018-03-14T00:00:00"/>
    <x v="94"/>
    <n v="22.4"/>
    <n v="31.6"/>
    <n v="0"/>
    <x v="1"/>
    <s v="OK"/>
    <s v="OK"/>
    <x v="2"/>
  </r>
  <r>
    <d v="2018-03-15T00:00:00"/>
    <x v="32"/>
    <n v="21.9"/>
    <n v="32.1"/>
    <n v="0"/>
    <x v="1"/>
    <s v="OK"/>
    <s v="OK"/>
    <x v="2"/>
  </r>
  <r>
    <d v="2018-03-16T00:00:00"/>
    <x v="74"/>
    <n v="19.8"/>
    <n v="32.5"/>
    <n v="31"/>
    <x v="1"/>
    <s v="OK"/>
    <s v="OK"/>
    <x v="2"/>
  </r>
  <r>
    <d v="2018-03-17T00:00:00"/>
    <x v="17"/>
    <n v="18.899999999999999"/>
    <n v="32"/>
    <n v="0"/>
    <x v="1"/>
    <s v="OK"/>
    <s v="OK"/>
    <x v="2"/>
  </r>
  <r>
    <d v="2018-03-18T00:00:00"/>
    <x v="82"/>
    <n v="20.3"/>
    <n v="29.1"/>
    <n v="0"/>
    <x v="1"/>
    <s v="OK"/>
    <s v="OK"/>
    <x v="2"/>
  </r>
  <r>
    <d v="2018-03-19T00:00:00"/>
    <x v="38"/>
    <n v="17.399999999999999"/>
    <n v="31.1"/>
    <m/>
    <x v="0"/>
    <m/>
    <m/>
    <x v="0"/>
  </r>
  <r>
    <d v="2018-03-20T00:00:00"/>
    <x v="29"/>
    <n v="19.5"/>
    <n v="32.4"/>
    <m/>
    <x v="0"/>
    <m/>
    <m/>
    <x v="0"/>
  </r>
  <r>
    <d v="2018-03-21T00:00:00"/>
    <x v="47"/>
    <n v="21.4"/>
    <n v="33.700000000000003"/>
    <m/>
    <x v="0"/>
    <m/>
    <m/>
    <x v="0"/>
  </r>
  <r>
    <d v="2018-03-22T00:00:00"/>
    <x v="47"/>
    <n v="22.6"/>
    <n v="34.1"/>
    <m/>
    <x v="0"/>
    <m/>
    <m/>
    <x v="0"/>
  </r>
  <r>
    <d v="2018-03-23T00:00:00"/>
    <x v="95"/>
    <n v="22.3"/>
    <n v="34"/>
    <m/>
    <x v="0"/>
    <m/>
    <m/>
    <x v="0"/>
  </r>
  <r>
    <d v="2018-03-24T00:00:00"/>
    <x v="66"/>
    <n v="21.4"/>
    <n v="35.1"/>
    <m/>
    <x v="0"/>
    <m/>
    <m/>
    <x v="0"/>
  </r>
  <r>
    <d v="2018-03-25T00:00:00"/>
    <x v="40"/>
    <n v="21.7"/>
    <n v="33.200000000000003"/>
    <m/>
    <x v="0"/>
    <m/>
    <m/>
    <x v="0"/>
  </r>
  <r>
    <d v="2018-03-26T00:00:00"/>
    <x v="68"/>
    <n v="20.8"/>
    <n v="34.1"/>
    <m/>
    <x v="0"/>
    <m/>
    <m/>
    <x v="0"/>
  </r>
  <r>
    <d v="2018-03-27T00:00:00"/>
    <x v="47"/>
    <n v="21.5"/>
    <n v="34.4"/>
    <m/>
    <x v="0"/>
    <m/>
    <m/>
    <x v="0"/>
  </r>
  <r>
    <d v="2018-03-28T00:00:00"/>
    <x v="96"/>
    <n v="22.3"/>
    <n v="34.4"/>
    <m/>
    <x v="0"/>
    <m/>
    <m/>
    <x v="0"/>
  </r>
  <r>
    <d v="2018-03-29T00:00:00"/>
    <x v="96"/>
    <n v="22.7"/>
    <n v="33.9"/>
    <m/>
    <x v="0"/>
    <m/>
    <m/>
    <x v="0"/>
  </r>
  <r>
    <d v="2018-03-30T00:00:00"/>
    <x v="63"/>
    <n v="21.4"/>
    <n v="34"/>
    <n v="0"/>
    <x v="1"/>
    <s v="OK"/>
    <s v="OK"/>
    <x v="2"/>
  </r>
  <r>
    <d v="2018-03-31T00:00:00"/>
    <x v="44"/>
    <n v="21.1"/>
    <n v="34.799999999999997"/>
    <n v="3.3"/>
    <x v="1"/>
    <s v="OK"/>
    <s v="OK"/>
    <x v="2"/>
  </r>
  <r>
    <d v="2018-04-01T00:00:00"/>
    <x v="66"/>
    <n v="21.2"/>
    <n v="33.200000000000003"/>
    <n v="0"/>
    <x v="1"/>
    <s v="OK"/>
    <s v="OK"/>
    <x v="2"/>
  </r>
  <r>
    <d v="2018-04-02T00:00:00"/>
    <x v="82"/>
    <n v="19.899999999999999"/>
    <n v="33.5"/>
    <m/>
    <x v="0"/>
    <m/>
    <m/>
    <x v="0"/>
  </r>
  <r>
    <d v="2018-04-03T00:00:00"/>
    <x v="36"/>
    <n v="19.8"/>
    <n v="33.1"/>
    <n v="13.7"/>
    <x v="1"/>
    <s v="OK"/>
    <s v="OK"/>
    <x v="2"/>
  </r>
  <r>
    <d v="2018-04-04T00:00:00"/>
    <x v="37"/>
    <n v="21.4"/>
    <n v="31.5"/>
    <n v="0"/>
    <x v="1"/>
    <s v="OK"/>
    <s v="OK"/>
    <x v="2"/>
  </r>
  <r>
    <d v="2018-04-05T00:00:00"/>
    <x v="69"/>
    <n v="21"/>
    <n v="32.700000000000003"/>
    <m/>
    <x v="0"/>
    <m/>
    <m/>
    <x v="0"/>
  </r>
  <r>
    <d v="2018-04-06T00:00:00"/>
    <x v="47"/>
    <n v="21.3"/>
    <n v="33.200000000000003"/>
    <m/>
    <x v="0"/>
    <m/>
    <m/>
    <x v="0"/>
  </r>
  <r>
    <d v="2018-04-07T00:00:00"/>
    <x v="29"/>
    <n v="21.6"/>
    <n v="33.5"/>
    <m/>
    <x v="0"/>
    <m/>
    <m/>
    <x v="0"/>
  </r>
  <r>
    <d v="2018-04-08T00:00:00"/>
    <x v="69"/>
    <n v="21"/>
    <n v="32.6"/>
    <m/>
    <x v="0"/>
    <m/>
    <m/>
    <x v="0"/>
  </r>
  <r>
    <d v="2018-04-09T00:00:00"/>
    <x v="37"/>
    <n v="21"/>
    <n v="32.700000000000003"/>
    <m/>
    <x v="0"/>
    <m/>
    <m/>
    <x v="0"/>
  </r>
  <r>
    <d v="2018-04-10T00:00:00"/>
    <x v="94"/>
    <n v="20.7"/>
    <n v="32.4"/>
    <m/>
    <x v="0"/>
    <m/>
    <m/>
    <x v="0"/>
  </r>
  <r>
    <d v="2018-04-11T00:00:00"/>
    <x v="37"/>
    <n v="21.8"/>
    <n v="32.200000000000003"/>
    <m/>
    <x v="0"/>
    <m/>
    <m/>
    <x v="0"/>
  </r>
  <r>
    <d v="2018-04-12T00:00:00"/>
    <x v="96"/>
    <n v="21.9"/>
    <n v="33.200000000000003"/>
    <m/>
    <x v="0"/>
    <m/>
    <m/>
    <x v="0"/>
  </r>
  <r>
    <d v="2018-04-13T00:00:00"/>
    <x v="66"/>
    <n v="21.7"/>
    <n v="33.5"/>
    <m/>
    <x v="0"/>
    <m/>
    <m/>
    <x v="0"/>
  </r>
  <r>
    <d v="2018-04-14T00:00:00"/>
    <x v="51"/>
    <n v="23.1"/>
    <n v="34.200000000000003"/>
    <m/>
    <x v="0"/>
    <m/>
    <m/>
    <x v="0"/>
  </r>
  <r>
    <d v="2018-04-15T00:00:00"/>
    <x v="95"/>
    <n v="23.9"/>
    <n v="34.6"/>
    <m/>
    <x v="0"/>
    <m/>
    <m/>
    <x v="0"/>
  </r>
  <r>
    <d v="2018-04-16T00:00:00"/>
    <x v="31"/>
    <n v="22.6"/>
    <n v="33.700000000000003"/>
    <m/>
    <x v="0"/>
    <m/>
    <m/>
    <x v="0"/>
  </r>
  <r>
    <d v="2018-04-17T00:00:00"/>
    <x v="95"/>
    <n v="22.3"/>
    <n v="34.6"/>
    <n v="11.7"/>
    <x v="1"/>
    <s v="OK"/>
    <s v="OK"/>
    <x v="2"/>
  </r>
  <r>
    <d v="2018-04-18T00:00:00"/>
    <x v="97"/>
    <n v="23.5"/>
    <n v="34.9"/>
    <n v="0"/>
    <x v="1"/>
    <s v="OK"/>
    <s v="OK"/>
    <x v="2"/>
  </r>
  <r>
    <d v="2018-04-19T00:00:00"/>
    <x v="45"/>
    <n v="23.9"/>
    <n v="34.799999999999997"/>
    <m/>
    <x v="0"/>
    <m/>
    <m/>
    <x v="0"/>
  </r>
  <r>
    <d v="2018-04-20T00:00:00"/>
    <x v="70"/>
    <n v="22.9"/>
    <n v="34"/>
    <m/>
    <x v="0"/>
    <m/>
    <m/>
    <x v="0"/>
  </r>
  <r>
    <d v="2018-04-21T00:00:00"/>
    <x v="95"/>
    <n v="22.2"/>
    <n v="34.799999999999997"/>
    <n v="19.100000000000001"/>
    <x v="1"/>
    <s v="OK"/>
    <s v="OK"/>
    <x v="2"/>
  </r>
  <r>
    <d v="2018-04-22T00:00:00"/>
    <x v="36"/>
    <n v="23.4"/>
    <n v="34.799999999999997"/>
    <n v="0"/>
    <x v="1"/>
    <s v="OK"/>
    <s v="OK"/>
    <x v="2"/>
  </r>
  <r>
    <d v="2018-04-23T00:00:00"/>
    <x v="31"/>
    <n v="22"/>
    <n v="33.799999999999997"/>
    <n v="4.8"/>
    <x v="1"/>
    <s v="OK"/>
    <s v="OK"/>
    <x v="2"/>
  </r>
  <r>
    <d v="2018-04-24T00:00:00"/>
    <x v="42"/>
    <n v="22.4"/>
    <n v="34.200000000000003"/>
    <n v="0"/>
    <x v="1"/>
    <s v="OK"/>
    <s v="OK"/>
    <x v="2"/>
  </r>
  <r>
    <d v="2018-04-25T00:00:00"/>
    <x v="41"/>
    <n v="22.2"/>
    <n v="34"/>
    <n v="3.8"/>
    <x v="1"/>
    <s v="OK"/>
    <s v="OK"/>
    <x v="2"/>
  </r>
  <r>
    <d v="2018-04-26T00:00:00"/>
    <x v="31"/>
    <n v="22.8"/>
    <n v="34.4"/>
    <n v="0.5"/>
    <x v="1"/>
    <s v="OK"/>
    <s v="OK"/>
    <x v="2"/>
  </r>
  <r>
    <d v="2018-04-27T00:00:00"/>
    <x v="51"/>
    <n v="22"/>
    <n v="34.700000000000003"/>
    <n v="0.5"/>
    <x v="1"/>
    <s v="OK"/>
    <s v="OK"/>
    <x v="2"/>
  </r>
  <r>
    <d v="2018-04-28T00:00:00"/>
    <x v="48"/>
    <n v="22.5"/>
    <n v="34.200000000000003"/>
    <n v="0"/>
    <x v="1"/>
    <s v="OK"/>
    <s v="OK"/>
    <x v="2"/>
  </r>
  <r>
    <d v="2018-04-29T00:00:00"/>
    <x v="51"/>
    <n v="23.8"/>
    <n v="34"/>
    <m/>
    <x v="0"/>
    <m/>
    <m/>
    <x v="0"/>
  </r>
  <r>
    <d v="2018-04-30T00:00:00"/>
    <x v="39"/>
    <n v="23.2"/>
    <n v="34.9"/>
    <n v="0.3"/>
    <x v="1"/>
    <s v="OK"/>
    <s v="OK"/>
    <x v="2"/>
  </r>
  <r>
    <d v="2018-05-01T00:00:00"/>
    <x v="62"/>
    <n v="21.4"/>
    <n v="35.200000000000003"/>
    <n v="5.6"/>
    <x v="1"/>
    <s v="OK"/>
    <s v="OK"/>
    <x v="2"/>
  </r>
  <r>
    <d v="2018-05-02T00:00:00"/>
    <x v="94"/>
    <n v="23.3"/>
    <n v="33"/>
    <n v="0"/>
    <x v="1"/>
    <s v="OK"/>
    <s v="OK"/>
    <x v="2"/>
  </r>
  <r>
    <d v="2018-05-03T00:00:00"/>
    <x v="44"/>
    <n v="18.899999999999999"/>
    <n v="34"/>
    <n v="0.8"/>
    <x v="1"/>
    <s v="OK"/>
    <s v="OK"/>
    <x v="2"/>
  </r>
  <r>
    <d v="2018-05-04T00:00:00"/>
    <x v="36"/>
    <n v="19.2"/>
    <n v="33.200000000000003"/>
    <n v="39.4"/>
    <x v="1"/>
    <s v="OK"/>
    <s v="OK"/>
    <x v="2"/>
  </r>
  <r>
    <d v="2018-05-05T00:00:00"/>
    <x v="39"/>
    <n v="23.1"/>
    <n v="32"/>
    <n v="0"/>
    <x v="1"/>
    <s v="OK"/>
    <s v="OK"/>
    <x v="2"/>
  </r>
  <r>
    <d v="2018-05-06T00:00:00"/>
    <x v="45"/>
    <n v="22.7"/>
    <n v="32.4"/>
    <m/>
    <x v="0"/>
    <m/>
    <m/>
    <x v="0"/>
  </r>
  <r>
    <d v="2018-05-07T00:00:00"/>
    <x v="56"/>
    <n v="23.4"/>
    <n v="33.5"/>
    <m/>
    <x v="0"/>
    <m/>
    <m/>
    <x v="0"/>
  </r>
  <r>
    <d v="2018-05-08T00:00:00"/>
    <x v="44"/>
    <n v="22.9"/>
    <n v="33.5"/>
    <m/>
    <x v="0"/>
    <m/>
    <m/>
    <x v="0"/>
  </r>
  <r>
    <d v="2018-05-09T00:00:00"/>
    <x v="31"/>
    <n v="21.8"/>
    <n v="32.799999999999997"/>
    <n v="0"/>
    <x v="1"/>
    <s v="OK"/>
    <s v="OK"/>
    <x v="2"/>
  </r>
  <r>
    <d v="2018-05-10T00:00:00"/>
    <x v="63"/>
    <n v="20.9"/>
    <n v="32.6"/>
    <m/>
    <x v="0"/>
    <m/>
    <m/>
    <x v="0"/>
  </r>
  <r>
    <d v="2018-05-11T00:00:00"/>
    <x v="33"/>
    <n v="19.399999999999999"/>
    <n v="34"/>
    <m/>
    <x v="0"/>
    <m/>
    <m/>
    <x v="0"/>
  </r>
  <r>
    <d v="2018-05-12T00:00:00"/>
    <x v="63"/>
    <n v="19.8"/>
    <n v="32.200000000000003"/>
    <n v="34.299999999999997"/>
    <x v="1"/>
    <s v="OK"/>
    <s v="OK"/>
    <x v="2"/>
  </r>
  <r>
    <d v="2018-05-13T00:00:00"/>
    <x v="72"/>
    <n v="20.8"/>
    <n v="32"/>
    <n v="0"/>
    <x v="1"/>
    <s v="OK"/>
    <s v="OK"/>
    <x v="2"/>
  </r>
  <r>
    <d v="2018-05-14T00:00:00"/>
    <x v="23"/>
    <n v="21"/>
    <n v="32"/>
    <n v="17.8"/>
    <x v="1"/>
    <s v="OK"/>
    <s v="OK"/>
    <x v="2"/>
  </r>
  <r>
    <d v="2018-05-15T00:00:00"/>
    <x v="34"/>
    <n v="20.6"/>
    <n v="31.4"/>
    <n v="16.5"/>
    <x v="1"/>
    <s v="OK"/>
    <s v="OK"/>
    <x v="2"/>
  </r>
  <r>
    <d v="2018-05-16T00:00:00"/>
    <x v="37"/>
    <n v="20.7"/>
    <n v="32.4"/>
    <n v="4.3"/>
    <x v="1"/>
    <s v="OK"/>
    <s v="OK"/>
    <x v="2"/>
  </r>
  <r>
    <d v="2018-05-17T00:00:00"/>
    <x v="29"/>
    <n v="21.9"/>
    <n v="31"/>
    <n v="0"/>
    <x v="1"/>
    <s v="OK"/>
    <s v="OK"/>
    <x v="2"/>
  </r>
  <r>
    <d v="2018-05-18T00:00:00"/>
    <x v="18"/>
    <n v="21.9"/>
    <n v="31.7"/>
    <m/>
    <x v="0"/>
    <m/>
    <m/>
    <x v="0"/>
  </r>
  <r>
    <d v="2018-05-19T00:00:00"/>
    <x v="44"/>
    <n v="21.4"/>
    <n v="32.799999999999997"/>
    <n v="19.100000000000001"/>
    <x v="1"/>
    <s v="OK"/>
    <s v="OK"/>
    <x v="2"/>
  </r>
  <r>
    <d v="2018-05-20T00:00:00"/>
    <x v="71"/>
    <n v="20.5"/>
    <n v="32.4"/>
    <n v="8.6"/>
    <x v="1"/>
    <s v="OK"/>
    <s v="OK"/>
    <x v="2"/>
  </r>
  <r>
    <d v="2018-05-21T00:00:00"/>
    <x v="75"/>
    <n v="21.6"/>
    <n v="32.4"/>
    <n v="0"/>
    <x v="1"/>
    <s v="OK"/>
    <s v="OK"/>
    <x v="2"/>
  </r>
  <r>
    <d v="2018-05-22T00:00:00"/>
    <x v="35"/>
    <n v="20.5"/>
    <n v="31.8"/>
    <n v="9.4"/>
    <x v="1"/>
    <s v="OK"/>
    <s v="OK"/>
    <x v="2"/>
  </r>
  <r>
    <d v="2018-05-23T00:00:00"/>
    <x v="17"/>
    <m/>
    <n v="31.6"/>
    <n v="24.9"/>
    <x v="0"/>
    <m/>
    <m/>
    <x v="0"/>
  </r>
  <r>
    <d v="2018-05-24T00:00:00"/>
    <x v="35"/>
    <n v="20.399999999999999"/>
    <n v="31.9"/>
    <n v="24.9"/>
    <x v="1"/>
    <s v="OK"/>
    <s v="OK"/>
    <x v="2"/>
  </r>
  <r>
    <d v="2018-05-25T00:00:00"/>
    <x v="21"/>
    <n v="21.9"/>
    <n v="32"/>
    <n v="33"/>
    <x v="1"/>
    <s v="OK"/>
    <s v="OK"/>
    <x v="2"/>
  </r>
  <r>
    <d v="2018-05-26T00:00:00"/>
    <x v="73"/>
    <n v="21.1"/>
    <n v="29.8"/>
    <n v="14"/>
    <x v="1"/>
    <s v="OK"/>
    <s v="OK"/>
    <x v="2"/>
  </r>
  <r>
    <d v="2018-05-27T00:00:00"/>
    <x v="28"/>
    <n v="22.2"/>
    <n v="30.8"/>
    <n v="0"/>
    <x v="1"/>
    <s v="OK"/>
    <s v="OK"/>
    <x v="2"/>
  </r>
  <r>
    <d v="2018-05-28T00:00:00"/>
    <x v="35"/>
    <n v="22.3"/>
    <n v="32"/>
    <n v="0"/>
    <x v="1"/>
    <s v="OK"/>
    <s v="OK"/>
    <x v="2"/>
  </r>
  <r>
    <d v="2018-05-29T00:00:00"/>
    <x v="38"/>
    <n v="22.4"/>
    <n v="32.200000000000003"/>
    <m/>
    <x v="0"/>
    <m/>
    <m/>
    <x v="0"/>
  </r>
  <r>
    <d v="2018-05-30T00:00:00"/>
    <x v="79"/>
    <n v="20.9"/>
    <n v="30.5"/>
    <n v="0"/>
    <x v="1"/>
    <s v="OK"/>
    <s v="OK"/>
    <x v="2"/>
  </r>
  <r>
    <d v="2018-05-31T00:00:00"/>
    <x v="38"/>
    <n v="20.9"/>
    <n v="29.7"/>
    <n v="10.4"/>
    <x v="1"/>
    <s v="OK"/>
    <s v="OK"/>
    <x v="2"/>
  </r>
  <r>
    <d v="2018-06-01T00:00:00"/>
    <x v="33"/>
    <n v="21.9"/>
    <n v="30.3"/>
    <n v="0"/>
    <x v="1"/>
    <s v="OK"/>
    <s v="OK"/>
    <x v="2"/>
  </r>
  <r>
    <d v="2018-06-02T00:00:00"/>
    <x v="23"/>
    <n v="20.9"/>
    <n v="31"/>
    <n v="1.5"/>
    <x v="1"/>
    <s v="OK"/>
    <s v="OK"/>
    <x v="2"/>
  </r>
  <r>
    <d v="2018-06-03T00:00:00"/>
    <x v="17"/>
    <n v="20.8"/>
    <n v="30.3"/>
    <n v="1.8"/>
    <x v="1"/>
    <s v="OK"/>
    <s v="OK"/>
    <x v="2"/>
  </r>
  <r>
    <d v="2018-06-04T00:00:00"/>
    <x v="23"/>
    <n v="21"/>
    <n v="30.4"/>
    <n v="6.1"/>
    <x v="1"/>
    <s v="OK"/>
    <s v="OK"/>
    <x v="2"/>
  </r>
  <r>
    <d v="2018-06-05T00:00:00"/>
    <x v="34"/>
    <n v="21.2"/>
    <n v="30"/>
    <n v="0"/>
    <x v="1"/>
    <s v="OK"/>
    <s v="OK"/>
    <x v="2"/>
  </r>
  <r>
    <d v="2018-06-06T00:00:00"/>
    <x v="38"/>
    <n v="21.9"/>
    <n v="29.7"/>
    <n v="0"/>
    <x v="1"/>
    <s v="OK"/>
    <s v="OK"/>
    <x v="2"/>
  </r>
  <r>
    <d v="2018-06-07T00:00:00"/>
    <x v="19"/>
    <n v="21.7"/>
    <n v="30.1"/>
    <n v="0"/>
    <x v="1"/>
    <s v="OK"/>
    <s v="OK"/>
    <x v="2"/>
  </r>
  <r>
    <d v="2018-06-08T00:00:00"/>
    <x v="13"/>
    <n v="21"/>
    <n v="29"/>
    <n v="0"/>
    <x v="1"/>
    <s v="OK"/>
    <s v="OK"/>
    <x v="2"/>
  </r>
  <r>
    <d v="2018-06-09T00:00:00"/>
    <x v="7"/>
    <n v="20.7"/>
    <n v="25.8"/>
    <n v="3.8"/>
    <x v="1"/>
    <s v="OK"/>
    <s v="OK"/>
    <x v="2"/>
  </r>
  <r>
    <d v="2018-06-10T00:00:00"/>
    <x v="16"/>
    <n v="20.5"/>
    <n v="27"/>
    <n v="1.3"/>
    <x v="1"/>
    <s v="OK"/>
    <s v="OK"/>
    <x v="2"/>
  </r>
  <r>
    <d v="2018-06-11T00:00:00"/>
    <x v="17"/>
    <n v="21"/>
    <n v="26.9"/>
    <n v="2"/>
    <x v="1"/>
    <s v="OK"/>
    <s v="OK"/>
    <x v="2"/>
  </r>
  <r>
    <d v="2018-06-12T00:00:00"/>
    <x v="18"/>
    <n v="21"/>
    <m/>
    <n v="0"/>
    <x v="0"/>
    <m/>
    <m/>
    <x v="0"/>
  </r>
  <r>
    <d v="2018-06-13T00:00:00"/>
    <x v="74"/>
    <n v="20.8"/>
    <n v="28.3"/>
    <m/>
    <x v="0"/>
    <m/>
    <m/>
    <x v="0"/>
  </r>
  <r>
    <d v="2018-06-14T00:00:00"/>
    <x v="78"/>
    <n v="21"/>
    <n v="27.9"/>
    <n v="0"/>
    <x v="1"/>
    <s v="OK"/>
    <s v="OK"/>
    <x v="2"/>
  </r>
  <r>
    <d v="2018-06-15T00:00:00"/>
    <x v="23"/>
    <n v="20.5"/>
    <n v="31.2"/>
    <n v="3"/>
    <x v="1"/>
    <s v="OK"/>
    <s v="OK"/>
    <x v="2"/>
  </r>
  <r>
    <d v="2018-06-16T00:00:00"/>
    <x v="74"/>
    <n v="20.100000000000001"/>
    <n v="31"/>
    <n v="5.6"/>
    <x v="1"/>
    <s v="OK"/>
    <s v="OK"/>
    <x v="2"/>
  </r>
  <r>
    <d v="2018-06-17T00:00:00"/>
    <x v="76"/>
    <n v="20.9"/>
    <n v="30"/>
    <n v="0"/>
    <x v="1"/>
    <s v="OK"/>
    <s v="OK"/>
    <x v="2"/>
  </r>
  <r>
    <d v="2018-06-18T00:00:00"/>
    <x v="21"/>
    <n v="20.3"/>
    <n v="28.7"/>
    <m/>
    <x v="0"/>
    <m/>
    <m/>
    <x v="0"/>
  </r>
  <r>
    <d v="2018-06-19T00:00:00"/>
    <x v="23"/>
    <n v="20.100000000000001"/>
    <n v="28.9"/>
    <n v="7.1"/>
    <x v="1"/>
    <s v="OK"/>
    <s v="OK"/>
    <x v="2"/>
  </r>
  <r>
    <d v="2018-06-20T00:00:00"/>
    <x v="24"/>
    <n v="20.7"/>
    <n v="29.1"/>
    <n v="0"/>
    <x v="1"/>
    <s v="OK"/>
    <s v="OK"/>
    <x v="2"/>
  </r>
  <r>
    <d v="2018-06-21T00:00:00"/>
    <x v="21"/>
    <n v="20.9"/>
    <n v="28"/>
    <m/>
    <x v="0"/>
    <m/>
    <m/>
    <x v="0"/>
  </r>
  <r>
    <d v="2018-06-22T00:00:00"/>
    <x v="78"/>
    <n v="19.7"/>
    <n v="28"/>
    <n v="0"/>
    <x v="1"/>
    <s v="OK"/>
    <s v="OK"/>
    <x v="2"/>
  </r>
  <r>
    <d v="2018-06-23T00:00:00"/>
    <x v="84"/>
    <n v="20.3"/>
    <n v="28"/>
    <n v="1"/>
    <x v="1"/>
    <s v="OK"/>
    <s v="OK"/>
    <x v="2"/>
  </r>
  <r>
    <d v="2018-06-24T00:00:00"/>
    <x v="78"/>
    <n v="19.7"/>
    <n v="27.8"/>
    <n v="12.2"/>
    <x v="1"/>
    <s v="OK"/>
    <s v="OK"/>
    <x v="2"/>
  </r>
  <r>
    <d v="2018-06-25T00:00:00"/>
    <x v="21"/>
    <n v="20.100000000000001"/>
    <n v="27.8"/>
    <n v="0"/>
    <x v="1"/>
    <s v="OK"/>
    <s v="OK"/>
    <x v="2"/>
  </r>
  <r>
    <d v="2018-06-26T00:00:00"/>
    <x v="20"/>
    <n v="20.2"/>
    <n v="28.1"/>
    <n v="0"/>
    <x v="1"/>
    <s v="OK"/>
    <s v="OK"/>
    <x v="2"/>
  </r>
  <r>
    <d v="2018-06-27T00:00:00"/>
    <x v="4"/>
    <n v="20.100000000000001"/>
    <n v="28"/>
    <m/>
    <x v="0"/>
    <m/>
    <m/>
    <x v="0"/>
  </r>
  <r>
    <d v="2018-06-28T00:00:00"/>
    <x v="14"/>
    <n v="20"/>
    <n v="26.2"/>
    <n v="4.5999999999999996"/>
    <x v="1"/>
    <s v="OK"/>
    <s v="OK"/>
    <x v="2"/>
  </r>
  <r>
    <d v="2018-06-29T00:00:00"/>
    <x v="20"/>
    <n v="20.100000000000001"/>
    <n v="28.2"/>
    <n v="0"/>
    <x v="1"/>
    <s v="OK"/>
    <s v="OK"/>
    <x v="2"/>
  </r>
  <r>
    <d v="2018-06-30T00:00:00"/>
    <x v="23"/>
    <n v="19.5"/>
    <n v="29.3"/>
    <n v="0"/>
    <x v="1"/>
    <s v="OK"/>
    <s v="OK"/>
    <x v="2"/>
  </r>
  <r>
    <d v="2018-07-01T00:00:00"/>
    <x v="18"/>
    <n v="20.6"/>
    <n v="29.5"/>
    <n v="0.5"/>
    <x v="1"/>
    <s v="OK"/>
    <s v="OK"/>
    <x v="2"/>
  </r>
  <r>
    <d v="2018-07-02T00:00:00"/>
    <x v="34"/>
    <n v="20.9"/>
    <n v="30.7"/>
    <n v="0"/>
    <x v="1"/>
    <s v="OK"/>
    <s v="OK"/>
    <x v="2"/>
  </r>
  <r>
    <d v="2018-07-03T00:00:00"/>
    <x v="33"/>
    <n v="20.7"/>
    <n v="30.2"/>
    <n v="0.5"/>
    <x v="1"/>
    <s v="OK"/>
    <s v="Outlier"/>
    <x v="0"/>
  </r>
  <r>
    <d v="2018-07-04T00:00:00"/>
    <x v="74"/>
    <n v="20.5"/>
    <n v="29"/>
    <n v="0"/>
    <x v="1"/>
    <s v="OK"/>
    <s v="OK"/>
    <x v="2"/>
  </r>
  <r>
    <d v="2018-07-05T00:00:00"/>
    <x v="79"/>
    <n v="19.7"/>
    <n v="29.6"/>
    <m/>
    <x v="0"/>
    <m/>
    <m/>
    <x v="0"/>
  </r>
  <r>
    <d v="2018-07-06T00:00:00"/>
    <x v="80"/>
    <n v="20"/>
    <n v="29.6"/>
    <m/>
    <x v="0"/>
    <m/>
    <m/>
    <x v="0"/>
  </r>
  <r>
    <d v="2018-07-07T00:00:00"/>
    <x v="22"/>
    <n v="20.5"/>
    <n v="26.3"/>
    <n v="0.3"/>
    <x v="1"/>
    <s v="OK"/>
    <s v="OK"/>
    <x v="2"/>
  </r>
  <r>
    <d v="2018-07-08T00:00:00"/>
    <x v="14"/>
    <n v="20.3"/>
    <n v="26.4"/>
    <n v="0"/>
    <x v="1"/>
    <s v="OK"/>
    <s v="OK"/>
    <x v="2"/>
  </r>
  <r>
    <d v="2018-07-09T00:00:00"/>
    <x v="80"/>
    <n v="20.7"/>
    <n v="26.4"/>
    <n v="1"/>
    <x v="1"/>
    <s v="OK"/>
    <s v="OK"/>
    <x v="2"/>
  </r>
  <r>
    <d v="2018-07-10T00:00:00"/>
    <x v="16"/>
    <n v="20.6"/>
    <n v="26.9"/>
    <n v="2"/>
    <x v="1"/>
    <s v="OK"/>
    <s v="OK"/>
    <x v="2"/>
  </r>
  <r>
    <d v="2018-07-11T00:00:00"/>
    <x v="84"/>
    <n v="20.3"/>
    <n v="27"/>
    <n v="32.299999999999997"/>
    <x v="1"/>
    <s v="OK"/>
    <s v="OK"/>
    <x v="2"/>
  </r>
  <r>
    <d v="2018-07-12T00:00:00"/>
    <x v="80"/>
    <n v="20.100000000000001"/>
    <n v="27.3"/>
    <n v="4.3"/>
    <x v="1"/>
    <s v="OK"/>
    <s v="OK"/>
    <x v="2"/>
  </r>
  <r>
    <d v="2018-07-13T00:00:00"/>
    <x v="26"/>
    <n v="20.5"/>
    <n v="27.4"/>
    <n v="0"/>
    <x v="1"/>
    <s v="OK"/>
    <s v="OK"/>
    <x v="2"/>
  </r>
  <r>
    <d v="2018-07-14T00:00:00"/>
    <x v="14"/>
    <n v="20.3"/>
    <n v="26.5"/>
    <n v="4.5999999999999996"/>
    <x v="1"/>
    <s v="OK"/>
    <s v="OK"/>
    <x v="2"/>
  </r>
  <r>
    <d v="2018-07-15T00:00:00"/>
    <x v="76"/>
    <n v="20.399999999999999"/>
    <n v="28.2"/>
    <n v="1.8"/>
    <x v="1"/>
    <s v="OK"/>
    <s v="OK"/>
    <x v="2"/>
  </r>
  <r>
    <d v="2018-07-16T00:00:00"/>
    <x v="26"/>
    <n v="20.2"/>
    <n v="28.4"/>
    <n v="0"/>
    <x v="1"/>
    <s v="OK"/>
    <s v="OK"/>
    <x v="2"/>
  </r>
  <r>
    <d v="2018-07-17T00:00:00"/>
    <x v="84"/>
    <n v="19.2"/>
    <n v="26.2"/>
    <n v="1.5"/>
    <x v="1"/>
    <s v="OK"/>
    <s v="OK"/>
    <x v="2"/>
  </r>
  <r>
    <d v="2018-07-18T00:00:00"/>
    <x v="23"/>
    <n v="19.7"/>
    <n v="29.2"/>
    <n v="0"/>
    <x v="1"/>
    <s v="OK"/>
    <s v="OK"/>
    <x v="2"/>
  </r>
  <r>
    <d v="2018-07-19T00:00:00"/>
    <x v="83"/>
    <n v="20.6"/>
    <n v="28.6"/>
    <m/>
    <x v="0"/>
    <m/>
    <m/>
    <x v="0"/>
  </r>
  <r>
    <d v="2018-07-20T00:00:00"/>
    <x v="83"/>
    <n v="20.399999999999999"/>
    <n v="27"/>
    <n v="0"/>
    <x v="1"/>
    <s v="OK"/>
    <s v="OK"/>
    <x v="2"/>
  </r>
  <r>
    <d v="2018-07-21T00:00:00"/>
    <x v="16"/>
    <n v="20.3"/>
    <n v="26.9"/>
    <n v="0"/>
    <x v="1"/>
    <s v="OK"/>
    <s v="OK"/>
    <x v="2"/>
  </r>
  <r>
    <d v="2018-07-22T00:00:00"/>
    <x v="76"/>
    <n v="20.3"/>
    <n v="28.9"/>
    <n v="0.3"/>
    <x v="1"/>
    <s v="OK"/>
    <s v="OK"/>
    <x v="2"/>
  </r>
  <r>
    <d v="2018-07-23T00:00:00"/>
    <x v="16"/>
    <n v="20.2"/>
    <n v="28.3"/>
    <n v="0"/>
    <x v="1"/>
    <s v="OK"/>
    <s v="OK"/>
    <x v="2"/>
  </r>
  <r>
    <d v="2018-07-24T00:00:00"/>
    <x v="20"/>
    <n v="20.3"/>
    <n v="28.6"/>
    <n v="14.2"/>
    <x v="1"/>
    <s v="OK"/>
    <s v="OK"/>
    <x v="2"/>
  </r>
  <r>
    <d v="2018-07-25T00:00:00"/>
    <x v="13"/>
    <n v="20.2"/>
    <n v="28.2"/>
    <n v="2"/>
    <x v="1"/>
    <s v="OK"/>
    <s v="OK"/>
    <x v="2"/>
  </r>
  <r>
    <d v="2018-07-26T00:00:00"/>
    <x v="17"/>
    <n v="20.6"/>
    <n v="28.8"/>
    <n v="0.8"/>
    <x v="1"/>
    <s v="OK"/>
    <s v="OK"/>
    <x v="2"/>
  </r>
  <r>
    <d v="2018-07-27T00:00:00"/>
    <x v="13"/>
    <n v="20.5"/>
    <n v="27.3"/>
    <n v="0"/>
    <x v="1"/>
    <s v="OK"/>
    <s v="OK"/>
    <x v="2"/>
  </r>
  <r>
    <d v="2018-07-28T00:00:00"/>
    <x v="21"/>
    <n v="20"/>
    <n v="27.3"/>
    <n v="0.3"/>
    <x v="1"/>
    <s v="OK"/>
    <s v="OK"/>
    <x v="2"/>
  </r>
  <r>
    <d v="2018-07-29T00:00:00"/>
    <x v="23"/>
    <n v="20.7"/>
    <n v="27.4"/>
    <n v="11.9"/>
    <x v="1"/>
    <s v="OK"/>
    <s v="OK"/>
    <x v="2"/>
  </r>
  <r>
    <d v="2018-07-30T00:00:00"/>
    <x v="23"/>
    <n v="20.5"/>
    <n v="27.8"/>
    <n v="0.5"/>
    <x v="1"/>
    <s v="OK"/>
    <s v="OK"/>
    <x v="2"/>
  </r>
  <r>
    <d v="2018-07-31T00:00:00"/>
    <x v="20"/>
    <n v="20.3"/>
    <n v="28.3"/>
    <n v="4.8"/>
    <x v="1"/>
    <s v="OK"/>
    <s v="OK"/>
    <x v="2"/>
  </r>
  <r>
    <d v="2018-08-01T00:00:00"/>
    <x v="4"/>
    <n v="19.399999999999999"/>
    <n v="27.2"/>
    <n v="5.3"/>
    <x v="1"/>
    <s v="OK"/>
    <s v="OK"/>
    <x v="2"/>
  </r>
  <r>
    <d v="2018-08-02T00:00:00"/>
    <x v="76"/>
    <n v="18.7"/>
    <n v="29.4"/>
    <n v="15"/>
    <x v="1"/>
    <s v="OK"/>
    <s v="OK"/>
    <x v="2"/>
  </r>
  <r>
    <d v="2018-08-03T00:00:00"/>
    <x v="13"/>
    <n v="20.8"/>
    <n v="28.6"/>
    <n v="0"/>
    <x v="1"/>
    <s v="OK"/>
    <s v="OK"/>
    <x v="2"/>
  </r>
  <r>
    <d v="2018-08-04T00:00:00"/>
    <x v="80"/>
    <n v="20.100000000000001"/>
    <n v="28.8"/>
    <n v="2.5"/>
    <x v="1"/>
    <s v="OK"/>
    <s v="OK"/>
    <x v="2"/>
  </r>
  <r>
    <d v="2018-08-05T00:00:00"/>
    <x v="23"/>
    <n v="20.3"/>
    <n v="27.8"/>
    <n v="0"/>
    <x v="1"/>
    <s v="OK"/>
    <s v="OK"/>
    <x v="2"/>
  </r>
  <r>
    <d v="2018-08-06T00:00:00"/>
    <x v="16"/>
    <n v="20.2"/>
    <n v="28.1"/>
    <n v="0.5"/>
    <x v="1"/>
    <s v="OK"/>
    <s v="OK"/>
    <x v="2"/>
  </r>
  <r>
    <d v="2018-08-07T00:00:00"/>
    <x v="4"/>
    <n v="19.7"/>
    <n v="27.7"/>
    <n v="11.4"/>
    <x v="1"/>
    <s v="OK"/>
    <s v="OK"/>
    <x v="2"/>
  </r>
  <r>
    <d v="2018-08-08T00:00:00"/>
    <x v="7"/>
    <n v="20"/>
    <n v="25.4"/>
    <n v="3.6"/>
    <x v="1"/>
    <s v="OK"/>
    <s v="OK"/>
    <x v="2"/>
  </r>
  <r>
    <d v="2018-08-09T00:00:00"/>
    <x v="24"/>
    <n v="20.2"/>
    <n v="28.7"/>
    <n v="8.9"/>
    <x v="1"/>
    <s v="OK"/>
    <s v="OK"/>
    <x v="2"/>
  </r>
  <r>
    <d v="2018-08-10T00:00:00"/>
    <x v="16"/>
    <n v="20.5"/>
    <n v="28.2"/>
    <n v="0"/>
    <x v="1"/>
    <s v="OK"/>
    <s v="OK"/>
    <x v="2"/>
  </r>
  <r>
    <d v="2018-08-11T00:00:00"/>
    <x v="4"/>
    <n v="20"/>
    <n v="26.5"/>
    <n v="1.8"/>
    <x v="1"/>
    <s v="OK"/>
    <s v="OK"/>
    <x v="2"/>
  </r>
  <r>
    <d v="2018-08-12T00:00:00"/>
    <x v="25"/>
    <n v="19.899999999999999"/>
    <n v="25.6"/>
    <n v="2.2999999999999998"/>
    <x v="1"/>
    <s v="OK"/>
    <s v="OK"/>
    <x v="2"/>
  </r>
  <r>
    <d v="2018-08-13T00:00:00"/>
    <x v="12"/>
    <n v="19.399999999999999"/>
    <n v="24.6"/>
    <n v="3.3"/>
    <x v="1"/>
    <s v="OK"/>
    <s v="OK"/>
    <x v="2"/>
  </r>
  <r>
    <d v="2018-08-14T00:00:00"/>
    <x v="4"/>
    <n v="19.600000000000001"/>
    <n v="26.9"/>
    <n v="1"/>
    <x v="1"/>
    <s v="OK"/>
    <s v="OK"/>
    <x v="2"/>
  </r>
  <r>
    <d v="2018-08-15T00:00:00"/>
    <x v="26"/>
    <n v="20.100000000000001"/>
    <n v="25.7"/>
    <n v="6.4"/>
    <x v="1"/>
    <s v="OK"/>
    <s v="OK"/>
    <x v="2"/>
  </r>
  <r>
    <d v="2018-08-16T00:00:00"/>
    <x v="14"/>
    <n v="20.2"/>
    <n v="25.7"/>
    <n v="10.7"/>
    <x v="1"/>
    <s v="OK"/>
    <s v="OK"/>
    <x v="2"/>
  </r>
  <r>
    <d v="2018-08-17T00:00:00"/>
    <x v="78"/>
    <n v="20.3"/>
    <n v="28.3"/>
    <n v="0.5"/>
    <x v="1"/>
    <s v="OK"/>
    <s v="OK"/>
    <x v="2"/>
  </r>
  <r>
    <d v="2018-08-18T00:00:00"/>
    <x v="24"/>
    <n v="20"/>
    <n v="27.5"/>
    <n v="0"/>
    <x v="1"/>
    <s v="OK"/>
    <s v="OK"/>
    <x v="2"/>
  </r>
  <r>
    <d v="2018-08-19T00:00:00"/>
    <x v="13"/>
    <n v="20.7"/>
    <n v="27.4"/>
    <n v="0"/>
    <x v="1"/>
    <s v="OK"/>
    <s v="OK"/>
    <x v="2"/>
  </r>
  <r>
    <d v="2018-08-20T00:00:00"/>
    <x v="80"/>
    <n v="20.2"/>
    <n v="27.3"/>
    <n v="0"/>
    <x v="1"/>
    <s v="OK"/>
    <s v="OK"/>
    <x v="2"/>
  </r>
  <r>
    <d v="2018-08-21T00:00:00"/>
    <x v="13"/>
    <n v="19.7"/>
    <n v="28.9"/>
    <n v="0"/>
    <x v="1"/>
    <s v="OK"/>
    <s v="OK"/>
    <x v="2"/>
  </r>
  <r>
    <d v="2018-08-22T00:00:00"/>
    <x v="17"/>
    <n v="19.7"/>
    <n v="28.2"/>
    <n v="0"/>
    <x v="1"/>
    <s v="OK"/>
    <s v="OK"/>
    <x v="2"/>
  </r>
  <r>
    <d v="2018-08-23T00:00:00"/>
    <x v="13"/>
    <n v="20.5"/>
    <n v="28"/>
    <n v="0"/>
    <x v="1"/>
    <s v="OK"/>
    <s v="OK"/>
    <x v="2"/>
  </r>
  <r>
    <d v="2018-08-24T00:00:00"/>
    <x v="14"/>
    <n v="19.899999999999999"/>
    <n v="28.8"/>
    <n v="3.3"/>
    <x v="1"/>
    <s v="OK"/>
    <s v="OK"/>
    <x v="2"/>
  </r>
  <r>
    <d v="2018-08-25T00:00:00"/>
    <x v="17"/>
    <n v="19.8"/>
    <n v="29.5"/>
    <n v="41.7"/>
    <x v="1"/>
    <s v="OK"/>
    <s v="OK"/>
    <x v="2"/>
  </r>
  <r>
    <d v="2018-08-26T00:00:00"/>
    <x v="14"/>
    <n v="19.899999999999999"/>
    <n v="28.5"/>
    <n v="0"/>
    <x v="1"/>
    <s v="OK"/>
    <s v="OK"/>
    <x v="2"/>
  </r>
  <r>
    <d v="2018-08-27T00:00:00"/>
    <x v="4"/>
    <n v="19.5"/>
    <n v="28.3"/>
    <n v="8.4"/>
    <x v="1"/>
    <s v="OK"/>
    <s v="OK"/>
    <x v="2"/>
  </r>
  <r>
    <d v="2018-08-28T00:00:00"/>
    <x v="15"/>
    <n v="19.600000000000001"/>
    <n v="27.6"/>
    <n v="0.5"/>
    <x v="1"/>
    <s v="OK"/>
    <s v="OK"/>
    <x v="2"/>
  </r>
  <r>
    <d v="2018-08-29T00:00:00"/>
    <x v="22"/>
    <n v="20"/>
    <n v="28"/>
    <n v="8.4"/>
    <x v="1"/>
    <s v="OK"/>
    <s v="OK"/>
    <x v="2"/>
  </r>
  <r>
    <d v="2018-08-30T00:00:00"/>
    <x v="13"/>
    <n v="20.3"/>
    <n v="28.2"/>
    <n v="3"/>
    <x v="1"/>
    <s v="OK"/>
    <s v="OK"/>
    <x v="2"/>
  </r>
  <r>
    <d v="2018-08-31T00:00:00"/>
    <x v="13"/>
    <n v="20.3"/>
    <n v="28.8"/>
    <n v="19.8"/>
    <x v="1"/>
    <s v="OK"/>
    <s v="OK"/>
    <x v="2"/>
  </r>
  <r>
    <d v="2018-09-01T00:00:00"/>
    <x v="17"/>
    <n v="20"/>
    <n v="28.3"/>
    <n v="0"/>
    <x v="1"/>
    <s v="OK"/>
    <s v="OK"/>
    <x v="2"/>
  </r>
  <r>
    <d v="2018-09-02T00:00:00"/>
    <x v="17"/>
    <n v="20.3"/>
    <n v="28.2"/>
    <n v="0.3"/>
    <x v="1"/>
    <s v="OK"/>
    <s v="OK"/>
    <x v="2"/>
  </r>
  <r>
    <d v="2018-09-03T00:00:00"/>
    <x v="82"/>
    <n v="19.7"/>
    <n v="29.3"/>
    <n v="0"/>
    <x v="1"/>
    <s v="OK"/>
    <s v="OK"/>
    <x v="2"/>
  </r>
  <r>
    <d v="2018-09-04T00:00:00"/>
    <x v="33"/>
    <n v="19.7"/>
    <n v="29.8"/>
    <m/>
    <x v="0"/>
    <m/>
    <m/>
    <x v="0"/>
  </r>
  <r>
    <d v="2018-09-05T00:00:00"/>
    <x v="77"/>
    <n v="20.399999999999999"/>
    <n v="29.9"/>
    <m/>
    <x v="0"/>
    <m/>
    <m/>
    <x v="0"/>
  </r>
  <r>
    <d v="2018-09-06T00:00:00"/>
    <x v="33"/>
    <n v="19.899999999999999"/>
    <n v="29.2"/>
    <m/>
    <x v="0"/>
    <m/>
    <m/>
    <x v="0"/>
  </r>
  <r>
    <d v="2018-09-07T00:00:00"/>
    <x v="33"/>
    <n v="20.3"/>
    <n v="29.2"/>
    <n v="0"/>
    <x v="1"/>
    <s v="OK"/>
    <s v="OK"/>
    <x v="2"/>
  </r>
  <r>
    <d v="2018-09-08T00:00:00"/>
    <x v="77"/>
    <n v="20.100000000000001"/>
    <n v="29.1"/>
    <n v="0"/>
    <x v="1"/>
    <s v="OK"/>
    <s v="OK"/>
    <x v="2"/>
  </r>
  <r>
    <d v="2018-09-09T00:00:00"/>
    <x v="63"/>
    <n v="20.5"/>
    <n v="30.3"/>
    <n v="0"/>
    <x v="1"/>
    <s v="OK"/>
    <s v="OK"/>
    <x v="2"/>
  </r>
  <r>
    <d v="2018-09-10T00:00:00"/>
    <x v="74"/>
    <n v="21.6"/>
    <n v="31.1"/>
    <m/>
    <x v="0"/>
    <m/>
    <m/>
    <x v="0"/>
  </r>
  <r>
    <d v="2018-09-11T00:00:00"/>
    <x v="43"/>
    <n v="21.7"/>
    <n v="30.8"/>
    <n v="0"/>
    <x v="1"/>
    <s v="OK"/>
    <s v="OK"/>
    <x v="2"/>
  </r>
  <r>
    <d v="2018-09-12T00:00:00"/>
    <x v="44"/>
    <n v="20.9"/>
    <n v="31.1"/>
    <n v="0"/>
    <x v="1"/>
    <s v="OK"/>
    <s v="OK"/>
    <x v="2"/>
  </r>
  <r>
    <d v="2018-09-13T00:00:00"/>
    <x v="73"/>
    <n v="22.3"/>
    <n v="31.6"/>
    <m/>
    <x v="0"/>
    <m/>
    <m/>
    <x v="0"/>
  </r>
  <r>
    <d v="2018-09-14T00:00:00"/>
    <x v="34"/>
    <n v="20.399999999999999"/>
    <n v="30.3"/>
    <n v="2"/>
    <x v="1"/>
    <s v="OK"/>
    <s v="OK"/>
    <x v="2"/>
  </r>
  <r>
    <d v="2018-09-15T00:00:00"/>
    <x v="78"/>
    <n v="20.100000000000001"/>
    <n v="31.7"/>
    <n v="9.9"/>
    <x v="1"/>
    <s v="OK"/>
    <s v="OK"/>
    <x v="2"/>
  </r>
  <r>
    <d v="2018-09-16T00:00:00"/>
    <x v="13"/>
    <n v="20.5"/>
    <n v="30.3"/>
    <n v="6.4"/>
    <x v="1"/>
    <s v="OK"/>
    <s v="OK"/>
    <x v="2"/>
  </r>
  <r>
    <d v="2018-09-17T00:00:00"/>
    <x v="76"/>
    <m/>
    <n v="28.3"/>
    <m/>
    <x v="0"/>
    <m/>
    <m/>
    <x v="0"/>
  </r>
  <r>
    <d v="2018-09-18T00:00:00"/>
    <x v="74"/>
    <n v="20.3"/>
    <n v="28.3"/>
    <m/>
    <x v="0"/>
    <m/>
    <m/>
    <x v="0"/>
  </r>
  <r>
    <d v="2018-09-19T00:00:00"/>
    <x v="74"/>
    <n v="20.3"/>
    <n v="28.2"/>
    <m/>
    <x v="0"/>
    <m/>
    <m/>
    <x v="0"/>
  </r>
  <r>
    <d v="2018-09-20T00:00:00"/>
    <x v="16"/>
    <n v="19.5"/>
    <n v="29.1"/>
    <m/>
    <x v="0"/>
    <m/>
    <m/>
    <x v="0"/>
  </r>
  <r>
    <d v="2018-09-21T00:00:00"/>
    <x v="21"/>
    <n v="20"/>
    <n v="28.4"/>
    <n v="7.6"/>
    <x v="1"/>
    <s v="OK"/>
    <s v="OK"/>
    <x v="2"/>
  </r>
  <r>
    <d v="2018-09-22T00:00:00"/>
    <x v="19"/>
    <n v="18.399999999999999"/>
    <n v="28.2"/>
    <n v="0"/>
    <x v="1"/>
    <s v="OK"/>
    <s v="OK"/>
    <x v="2"/>
  </r>
  <r>
    <d v="2018-09-23T00:00:00"/>
    <x v="77"/>
    <n v="21.4"/>
    <n v="29"/>
    <m/>
    <x v="0"/>
    <m/>
    <m/>
    <x v="0"/>
  </r>
  <r>
    <d v="2018-09-24T00:00:00"/>
    <x v="15"/>
    <n v="18.899999999999999"/>
    <n v="28.9"/>
    <n v="53.1"/>
    <x v="1"/>
    <s v="OK"/>
    <s v="OK"/>
    <x v="2"/>
  </r>
  <r>
    <d v="2018-09-25T00:00:00"/>
    <x v="21"/>
    <n v="19.3"/>
    <n v="29.3"/>
    <n v="25.4"/>
    <x v="1"/>
    <s v="OK"/>
    <s v="OK"/>
    <x v="2"/>
  </r>
  <r>
    <d v="2018-09-26T00:00:00"/>
    <x v="33"/>
    <n v="20.399999999999999"/>
    <n v="29.7"/>
    <n v="0.3"/>
    <x v="1"/>
    <s v="OK"/>
    <s v="OK"/>
    <x v="2"/>
  </r>
  <r>
    <d v="2018-09-27T00:00:00"/>
    <x v="17"/>
    <n v="19.899999999999999"/>
    <n v="30.3"/>
    <n v="32.299999999999997"/>
    <x v="1"/>
    <s v="OK"/>
    <s v="OK"/>
    <x v="2"/>
  </r>
  <r>
    <d v="2018-09-28T00:00:00"/>
    <x v="42"/>
    <n v="21.3"/>
    <n v="29.5"/>
    <n v="1.3"/>
    <x v="1"/>
    <s v="OK"/>
    <s v="OK"/>
    <x v="2"/>
  </r>
  <r>
    <d v="2018-09-29T00:00:00"/>
    <x v="43"/>
    <n v="21.4"/>
    <n v="29.9"/>
    <n v="4.3"/>
    <x v="1"/>
    <s v="OK"/>
    <s v="OK"/>
    <x v="2"/>
  </r>
  <r>
    <d v="2018-09-30T00:00:00"/>
    <x v="81"/>
    <n v="21.8"/>
    <n v="30.2"/>
    <n v="0"/>
    <x v="1"/>
    <s v="OK"/>
    <s v="OK"/>
    <x v="2"/>
  </r>
  <r>
    <d v="2018-10-01T00:00:00"/>
    <x v="70"/>
    <n v="21.6"/>
    <n v="30.9"/>
    <n v="0.3"/>
    <x v="1"/>
    <s v="OK"/>
    <s v="OK"/>
    <x v="2"/>
  </r>
  <r>
    <d v="2018-10-02T00:00:00"/>
    <x v="72"/>
    <n v="21.3"/>
    <n v="30.3"/>
    <n v="0"/>
    <x v="1"/>
    <s v="OK"/>
    <s v="OK"/>
    <x v="2"/>
  </r>
  <r>
    <d v="2018-10-03T00:00:00"/>
    <x v="74"/>
    <n v="21.6"/>
    <n v="30.4"/>
    <n v="0.3"/>
    <x v="1"/>
    <s v="OK"/>
    <s v="OK"/>
    <x v="2"/>
  </r>
  <r>
    <d v="2018-10-04T00:00:00"/>
    <x v="3"/>
    <n v="20.9"/>
    <n v="30.6"/>
    <n v="27.7"/>
    <x v="1"/>
    <s v="OK"/>
    <s v="OK"/>
    <x v="2"/>
  </r>
  <r>
    <d v="2018-10-05T00:00:00"/>
    <x v="83"/>
    <n v="20.6"/>
    <n v="25.9"/>
    <n v="10.199999999999999"/>
    <x v="1"/>
    <s v="OK"/>
    <s v="OK"/>
    <x v="2"/>
  </r>
  <r>
    <d v="2018-10-06T00:00:00"/>
    <x v="84"/>
    <n v="20.399999999999999"/>
    <n v="26.4"/>
    <n v="2.5"/>
    <x v="1"/>
    <s v="OK"/>
    <s v="OK"/>
    <x v="2"/>
  </r>
  <r>
    <d v="2018-10-07T00:00:00"/>
    <x v="77"/>
    <n v="20.2"/>
    <n v="28.4"/>
    <n v="7.9"/>
    <x v="1"/>
    <s v="OK"/>
    <s v="OK"/>
    <x v="2"/>
  </r>
  <r>
    <d v="2018-10-08T00:00:00"/>
    <x v="74"/>
    <n v="20.8"/>
    <n v="29.5"/>
    <n v="0"/>
    <x v="1"/>
    <s v="Outlier"/>
    <s v="OK"/>
    <x v="0"/>
  </r>
  <r>
    <d v="2018-10-09T00:00:00"/>
    <x v="77"/>
    <n v="20.6"/>
    <n v="29.5"/>
    <n v="4.3"/>
    <x v="1"/>
    <s v="OK"/>
    <s v="OK"/>
    <x v="2"/>
  </r>
  <r>
    <d v="2018-10-10T00:00:00"/>
    <x v="75"/>
    <n v="19.100000000000001"/>
    <n v="30"/>
    <n v="0"/>
    <x v="1"/>
    <s v="OK"/>
    <s v="OK"/>
    <x v="2"/>
  </r>
  <r>
    <d v="2018-10-11T00:00:00"/>
    <x v="73"/>
    <n v="19.2"/>
    <n v="30"/>
    <m/>
    <x v="0"/>
    <m/>
    <m/>
    <x v="0"/>
  </r>
  <r>
    <d v="2018-10-12T00:00:00"/>
    <x v="42"/>
    <n v="20.8"/>
    <n v="31"/>
    <m/>
    <x v="0"/>
    <m/>
    <m/>
    <x v="0"/>
  </r>
  <r>
    <d v="2018-10-13T00:00:00"/>
    <x v="73"/>
    <n v="20.399999999999999"/>
    <n v="31.5"/>
    <m/>
    <x v="0"/>
    <m/>
    <m/>
    <x v="0"/>
  </r>
  <r>
    <d v="2018-10-14T00:00:00"/>
    <x v="75"/>
    <n v="20.2"/>
    <n v="30.3"/>
    <m/>
    <x v="0"/>
    <m/>
    <m/>
    <x v="0"/>
  </r>
  <r>
    <d v="2018-10-15T00:00:00"/>
    <x v="24"/>
    <n v="20.100000000000001"/>
    <n v="29.8"/>
    <n v="3.8"/>
    <x v="1"/>
    <s v="OK"/>
    <s v="OK"/>
    <x v="2"/>
  </r>
  <r>
    <d v="2018-10-16T00:00:00"/>
    <x v="77"/>
    <n v="20.7"/>
    <n v="29"/>
    <n v="5.0999999999999996"/>
    <x v="1"/>
    <s v="OK"/>
    <s v="OK"/>
    <x v="2"/>
  </r>
  <r>
    <d v="2018-10-17T00:00:00"/>
    <x v="14"/>
    <n v="19.399999999999999"/>
    <n v="29.3"/>
    <n v="0"/>
    <x v="1"/>
    <s v="OK"/>
    <s v="OK"/>
    <x v="2"/>
  </r>
  <r>
    <d v="2018-10-18T00:00:00"/>
    <x v="20"/>
    <n v="18.899999999999999"/>
    <n v="28.5"/>
    <n v="48.8"/>
    <x v="1"/>
    <s v="OK"/>
    <s v="OK"/>
    <x v="2"/>
  </r>
  <r>
    <d v="2018-10-19T00:00:00"/>
    <x v="19"/>
    <n v="20.2"/>
    <n v="28.7"/>
    <n v="1"/>
    <x v="1"/>
    <s v="OK"/>
    <s v="OK"/>
    <x v="2"/>
  </r>
  <r>
    <d v="2018-10-20T00:00:00"/>
    <x v="23"/>
    <n v="19.7"/>
    <n v="29.3"/>
    <n v="0"/>
    <x v="1"/>
    <s v="OK"/>
    <s v="OK"/>
    <x v="2"/>
  </r>
  <r>
    <d v="2018-10-21T00:00:00"/>
    <x v="17"/>
    <n v="19.7"/>
    <n v="29"/>
    <m/>
    <x v="0"/>
    <m/>
    <m/>
    <x v="0"/>
  </r>
  <r>
    <d v="2018-10-22T00:00:00"/>
    <x v="21"/>
    <n v="17.399999999999999"/>
    <n v="28.8"/>
    <m/>
    <x v="0"/>
    <m/>
    <m/>
    <x v="0"/>
  </r>
  <r>
    <d v="2018-10-23T00:00:00"/>
    <x v="4"/>
    <n v="17.399999999999999"/>
    <n v="29.4"/>
    <m/>
    <x v="0"/>
    <m/>
    <m/>
    <x v="0"/>
  </r>
  <r>
    <d v="2018-10-24T00:00:00"/>
    <x v="82"/>
    <n v="17.7"/>
    <n v="30.2"/>
    <m/>
    <x v="0"/>
    <m/>
    <m/>
    <x v="0"/>
  </r>
  <r>
    <d v="2018-10-25T00:00:00"/>
    <x v="19"/>
    <n v="18.2"/>
    <n v="30.2"/>
    <m/>
    <x v="0"/>
    <m/>
    <m/>
    <x v="0"/>
  </r>
  <r>
    <d v="2018-10-26T00:00:00"/>
    <x v="17"/>
    <n v="18.5"/>
    <n v="29.7"/>
    <m/>
    <x v="0"/>
    <m/>
    <m/>
    <x v="0"/>
  </r>
  <r>
    <d v="2018-10-27T00:00:00"/>
    <x v="24"/>
    <n v="18.2"/>
    <n v="29.3"/>
    <m/>
    <x v="0"/>
    <m/>
    <m/>
    <x v="0"/>
  </r>
  <r>
    <d v="2018-10-28T00:00:00"/>
    <x v="21"/>
    <n v="16.7"/>
    <n v="29.5"/>
    <m/>
    <x v="0"/>
    <m/>
    <m/>
    <x v="0"/>
  </r>
  <r>
    <d v="2018-10-29T00:00:00"/>
    <x v="83"/>
    <n v="16.8"/>
    <n v="29.6"/>
    <m/>
    <x v="0"/>
    <m/>
    <m/>
    <x v="0"/>
  </r>
  <r>
    <d v="2018-10-30T00:00:00"/>
    <x v="74"/>
    <n v="16.600000000000001"/>
    <n v="29.8"/>
    <m/>
    <x v="0"/>
    <m/>
    <m/>
    <x v="0"/>
  </r>
  <r>
    <d v="2018-10-31T00:00:00"/>
    <x v="34"/>
    <n v="19.7"/>
    <n v="30.1"/>
    <m/>
    <x v="0"/>
    <m/>
    <m/>
    <x v="0"/>
  </r>
  <r>
    <d v="2018-11-01T00:00:00"/>
    <x v="77"/>
    <n v="20"/>
    <n v="30.4"/>
    <m/>
    <x v="0"/>
    <m/>
    <m/>
    <x v="0"/>
  </r>
  <r>
    <d v="2018-11-02T00:00:00"/>
    <x v="22"/>
    <n v="19.8"/>
    <n v="30.3"/>
    <m/>
    <x v="0"/>
    <m/>
    <m/>
    <x v="0"/>
  </r>
  <r>
    <d v="2018-11-03T00:00:00"/>
    <x v="80"/>
    <n v="19.600000000000001"/>
    <n v="27.7"/>
    <n v="0.5"/>
    <x v="1"/>
    <s v="OK"/>
    <s v="OK"/>
    <x v="2"/>
  </r>
  <r>
    <d v="2018-11-04T00:00:00"/>
    <x v="21"/>
    <n v="18.8"/>
    <n v="28.1"/>
    <n v="4.5999999999999996"/>
    <x v="1"/>
    <s v="OK"/>
    <s v="OK"/>
    <x v="2"/>
  </r>
  <r>
    <d v="2018-11-05T00:00:00"/>
    <x v="76"/>
    <n v="19.7"/>
    <n v="29.2"/>
    <n v="0"/>
    <x v="1"/>
    <s v="OK"/>
    <s v="OK"/>
    <x v="2"/>
  </r>
  <r>
    <d v="2018-11-06T00:00:00"/>
    <x v="74"/>
    <n v="19.8"/>
    <n v="29.6"/>
    <m/>
    <x v="0"/>
    <m/>
    <m/>
    <x v="0"/>
  </r>
  <r>
    <d v="2018-11-07T00:00:00"/>
    <x v="13"/>
    <n v="17.899999999999999"/>
    <n v="30"/>
    <m/>
    <x v="0"/>
    <m/>
    <m/>
    <x v="0"/>
  </r>
  <r>
    <d v="2018-11-08T00:00:00"/>
    <x v="26"/>
    <n v="16"/>
    <n v="29.6"/>
    <m/>
    <x v="0"/>
    <m/>
    <m/>
    <x v="0"/>
  </r>
  <r>
    <d v="2018-11-09T00:00:00"/>
    <x v="24"/>
    <n v="17.5"/>
    <n v="29.6"/>
    <m/>
    <x v="0"/>
    <m/>
    <m/>
    <x v="0"/>
  </r>
  <r>
    <d v="2018-11-10T00:00:00"/>
    <x v="24"/>
    <n v="17.899999999999999"/>
    <n v="30.1"/>
    <m/>
    <x v="0"/>
    <m/>
    <m/>
    <x v="0"/>
  </r>
  <r>
    <d v="2018-11-11T00:00:00"/>
    <x v="78"/>
    <n v="18.2"/>
    <n v="30.4"/>
    <m/>
    <x v="0"/>
    <m/>
    <m/>
    <x v="0"/>
  </r>
  <r>
    <d v="2018-11-12T00:00:00"/>
    <x v="2"/>
    <n v="17.3"/>
    <n v="30.3"/>
    <m/>
    <x v="0"/>
    <m/>
    <m/>
    <x v="0"/>
  </r>
  <r>
    <d v="2018-11-13T00:00:00"/>
    <x v="14"/>
    <n v="16.2"/>
    <n v="30"/>
    <m/>
    <x v="0"/>
    <m/>
    <m/>
    <x v="0"/>
  </r>
  <r>
    <d v="2018-11-14T00:00:00"/>
    <x v="83"/>
    <n v="14.8"/>
    <n v="30.5"/>
    <m/>
    <x v="0"/>
    <m/>
    <m/>
    <x v="0"/>
  </r>
  <r>
    <d v="2018-11-15T00:00:00"/>
    <x v="13"/>
    <n v="16.5"/>
    <n v="31"/>
    <n v="0"/>
    <x v="1"/>
    <s v="OK"/>
    <s v="OK"/>
    <x v="2"/>
  </r>
  <r>
    <d v="2018-11-16T00:00:00"/>
    <x v="4"/>
    <n v="19.7"/>
    <n v="28.6"/>
    <n v="0"/>
    <x v="1"/>
    <s v="OK"/>
    <s v="OK"/>
    <x v="2"/>
  </r>
  <r>
    <d v="2018-11-17T00:00:00"/>
    <x v="19"/>
    <n v="19.2"/>
    <n v="29.3"/>
    <n v="0.3"/>
    <x v="1"/>
    <s v="OK"/>
    <s v="OK"/>
    <x v="2"/>
  </r>
  <r>
    <d v="2018-11-18T00:00:00"/>
    <x v="77"/>
    <n v="20.6"/>
    <n v="30.2"/>
    <n v="0"/>
    <x v="1"/>
    <s v="OK"/>
    <s v="OK"/>
    <x v="2"/>
  </r>
  <r>
    <d v="2018-11-19T00:00:00"/>
    <x v="19"/>
    <n v="20.3"/>
    <n v="29.5"/>
    <m/>
    <x v="0"/>
    <m/>
    <m/>
    <x v="0"/>
  </r>
  <r>
    <d v="2018-11-20T00:00:00"/>
    <x v="33"/>
    <n v="19.7"/>
    <n v="29.8"/>
    <n v="0"/>
    <x v="1"/>
    <s v="OK"/>
    <s v="OK"/>
    <x v="2"/>
  </r>
  <r>
    <d v="2018-11-21T00:00:00"/>
    <x v="4"/>
    <n v="19.7"/>
    <n v="30.8"/>
    <m/>
    <x v="0"/>
    <m/>
    <m/>
    <x v="0"/>
  </r>
  <r>
    <d v="2018-11-22T00:00:00"/>
    <x v="1"/>
    <n v="19.600000000000001"/>
    <n v="26.6"/>
    <n v="0"/>
    <x v="1"/>
    <s v="OK"/>
    <s v="OK"/>
    <x v="2"/>
  </r>
  <r>
    <d v="2018-11-23T00:00:00"/>
    <x v="5"/>
    <n v="19.600000000000001"/>
    <n v="24.8"/>
    <n v="0.5"/>
    <x v="1"/>
    <s v="OK"/>
    <s v="OK"/>
    <x v="2"/>
  </r>
  <r>
    <d v="2018-11-24T00:00:00"/>
    <x v="22"/>
    <n v="19"/>
    <n v="27.6"/>
    <n v="13"/>
    <x v="1"/>
    <s v="OK"/>
    <s v="OK"/>
    <x v="2"/>
  </r>
  <r>
    <d v="2018-11-25T00:00:00"/>
    <x v="15"/>
    <n v="19.2"/>
    <n v="28.5"/>
    <n v="0"/>
    <x v="1"/>
    <s v="OK"/>
    <s v="OK"/>
    <x v="2"/>
  </r>
  <r>
    <d v="2018-11-26T00:00:00"/>
    <x v="26"/>
    <n v="17.399999999999999"/>
    <n v="28.8"/>
    <m/>
    <x v="0"/>
    <m/>
    <m/>
    <x v="0"/>
  </r>
  <r>
    <d v="2018-11-27T00:00:00"/>
    <x v="86"/>
    <n v="16.3"/>
    <n v="29"/>
    <m/>
    <x v="0"/>
    <m/>
    <m/>
    <x v="0"/>
  </r>
  <r>
    <d v="2018-11-28T00:00:00"/>
    <x v="1"/>
    <n v="15.5"/>
    <n v="27.8"/>
    <m/>
    <x v="0"/>
    <m/>
    <m/>
    <x v="0"/>
  </r>
  <r>
    <d v="2018-11-29T00:00:00"/>
    <x v="14"/>
    <n v="18.3"/>
    <n v="28.8"/>
    <m/>
    <x v="0"/>
    <m/>
    <m/>
    <x v="0"/>
  </r>
  <r>
    <d v="2018-11-30T00:00:00"/>
    <x v="78"/>
    <n v="18.600000000000001"/>
    <n v="28.4"/>
    <m/>
    <x v="0"/>
    <m/>
    <m/>
    <x v="0"/>
  </r>
  <r>
    <d v="2018-12-01T00:00:00"/>
    <x v="3"/>
    <n v="17.600000000000001"/>
    <n v="29.5"/>
    <m/>
    <x v="0"/>
    <m/>
    <m/>
    <x v="0"/>
  </r>
  <r>
    <d v="2018-12-02T00:00:00"/>
    <x v="3"/>
    <n v="15.6"/>
    <n v="28.3"/>
    <m/>
    <x v="0"/>
    <m/>
    <m/>
    <x v="0"/>
  </r>
  <r>
    <d v="2018-12-03T00:00:00"/>
    <x v="12"/>
    <n v="18.2"/>
    <n v="28.8"/>
    <m/>
    <x v="0"/>
    <m/>
    <m/>
    <x v="0"/>
  </r>
  <r>
    <d v="2018-12-04T00:00:00"/>
    <x v="14"/>
    <n v="19.100000000000001"/>
    <n v="27.2"/>
    <m/>
    <x v="0"/>
    <m/>
    <m/>
    <x v="0"/>
  </r>
  <r>
    <d v="2018-12-05T00:00:00"/>
    <x v="78"/>
    <n v="19.5"/>
    <n v="28.1"/>
    <n v="4.8"/>
    <x v="1"/>
    <s v="OK"/>
    <s v="OK"/>
    <x v="2"/>
  </r>
  <r>
    <d v="2018-12-06T00:00:00"/>
    <x v="21"/>
    <n v="20"/>
    <n v="28.3"/>
    <n v="0"/>
    <x v="1"/>
    <s v="OK"/>
    <s v="OK"/>
    <x v="2"/>
  </r>
  <r>
    <d v="2018-12-07T00:00:00"/>
    <x v="2"/>
    <n v="18.3"/>
    <n v="29.3"/>
    <m/>
    <x v="0"/>
    <m/>
    <m/>
    <x v="0"/>
  </r>
  <r>
    <d v="2018-12-08T00:00:00"/>
    <x v="84"/>
    <n v="17.7"/>
    <n v="28.2"/>
    <m/>
    <x v="0"/>
    <m/>
    <m/>
    <x v="0"/>
  </r>
  <r>
    <d v="2018-12-09T00:00:00"/>
    <x v="20"/>
    <n v="17.600000000000001"/>
    <n v="29.9"/>
    <m/>
    <x v="0"/>
    <m/>
    <m/>
    <x v="0"/>
  </r>
  <r>
    <d v="2018-12-10T00:00:00"/>
    <x v="15"/>
    <n v="18.3"/>
    <n v="30.2"/>
    <m/>
    <x v="0"/>
    <m/>
    <m/>
    <x v="0"/>
  </r>
  <r>
    <d v="2018-12-11T00:00:00"/>
    <x v="16"/>
    <n v="17.7"/>
    <n v="29.3"/>
    <m/>
    <x v="0"/>
    <m/>
    <m/>
    <x v="0"/>
  </r>
  <r>
    <d v="2018-12-12T00:00:00"/>
    <x v="20"/>
    <n v="18.5"/>
    <n v="29.7"/>
    <m/>
    <x v="0"/>
    <m/>
    <m/>
    <x v="0"/>
  </r>
  <r>
    <d v="2018-12-13T00:00:00"/>
    <x v="2"/>
    <n v="18.7"/>
    <n v="29.9"/>
    <m/>
    <x v="0"/>
    <m/>
    <m/>
    <x v="0"/>
  </r>
  <r>
    <d v="2018-12-14T00:00:00"/>
    <x v="80"/>
    <n v="17.7"/>
    <n v="28.9"/>
    <m/>
    <x v="0"/>
    <m/>
    <m/>
    <x v="0"/>
  </r>
  <r>
    <d v="2018-12-15T00:00:00"/>
    <x v="3"/>
    <n v="17.7"/>
    <n v="28.9"/>
    <m/>
    <x v="0"/>
    <m/>
    <m/>
    <x v="0"/>
  </r>
  <r>
    <d v="2018-12-16T00:00:00"/>
    <x v="88"/>
    <n v="16.600000000000001"/>
    <n v="28"/>
    <m/>
    <x v="0"/>
    <m/>
    <m/>
    <x v="0"/>
  </r>
  <r>
    <d v="2018-12-17T00:00:00"/>
    <x v="85"/>
    <n v="15.3"/>
    <n v="25"/>
    <m/>
    <x v="0"/>
    <m/>
    <m/>
    <x v="0"/>
  </r>
  <r>
    <d v="2018-12-18T00:00:00"/>
    <x v="92"/>
    <n v="14.4"/>
    <n v="26.3"/>
    <m/>
    <x v="0"/>
    <m/>
    <m/>
    <x v="0"/>
  </r>
  <r>
    <d v="2018-12-19T00:00:00"/>
    <x v="1"/>
    <n v="16"/>
    <n v="28.5"/>
    <m/>
    <x v="0"/>
    <m/>
    <m/>
    <x v="0"/>
  </r>
  <r>
    <d v="2018-12-20T00:00:00"/>
    <x v="26"/>
    <n v="17.7"/>
    <n v="27.7"/>
    <n v="0"/>
    <x v="1"/>
    <s v="OK"/>
    <s v="OK"/>
    <x v="2"/>
  </r>
  <r>
    <d v="2018-12-21T00:00:00"/>
    <x v="16"/>
    <n v="18.100000000000001"/>
    <n v="28.4"/>
    <m/>
    <x v="0"/>
    <m/>
    <m/>
    <x v="0"/>
  </r>
  <r>
    <d v="2018-12-22T00:00:00"/>
    <x v="83"/>
    <n v="18.2"/>
    <n v="28.8"/>
    <m/>
    <x v="0"/>
    <m/>
    <m/>
    <x v="0"/>
  </r>
  <r>
    <d v="2018-12-23T00:00:00"/>
    <x v="78"/>
    <n v="19.2"/>
    <n v="29.6"/>
    <m/>
    <x v="0"/>
    <m/>
    <m/>
    <x v="0"/>
  </r>
  <r>
    <d v="2018-12-24T00:00:00"/>
    <x v="13"/>
    <n v="18.3"/>
    <n v="29"/>
    <m/>
    <x v="0"/>
    <m/>
    <m/>
    <x v="0"/>
  </r>
  <r>
    <d v="2018-12-25T00:00:00"/>
    <x v="24"/>
    <n v="18.399999999999999"/>
    <n v="29.1"/>
    <m/>
    <x v="0"/>
    <m/>
    <m/>
    <x v="0"/>
  </r>
  <r>
    <d v="2018-12-26T00:00:00"/>
    <x v="23"/>
    <n v="17.7"/>
    <n v="30.2"/>
    <m/>
    <x v="0"/>
    <m/>
    <m/>
    <x v="0"/>
  </r>
  <r>
    <d v="2018-12-27T00:00:00"/>
    <x v="75"/>
    <n v="19"/>
    <n v="31.4"/>
    <m/>
    <x v="0"/>
    <m/>
    <m/>
    <x v="0"/>
  </r>
  <r>
    <d v="2018-12-28T00:00:00"/>
    <x v="80"/>
    <n v="18.7"/>
    <n v="29.6"/>
    <m/>
    <x v="0"/>
    <m/>
    <m/>
    <x v="0"/>
  </r>
  <r>
    <d v="2018-12-29T00:00:00"/>
    <x v="3"/>
    <n v="18.600000000000001"/>
    <n v="27.8"/>
    <n v="10.9"/>
    <x v="1"/>
    <s v="OK"/>
    <s v="OK"/>
    <x v="2"/>
  </r>
  <r>
    <d v="2018-12-30T00:00:00"/>
    <x v="90"/>
    <n v="17.2"/>
    <n v="26.6"/>
    <n v="0"/>
    <x v="1"/>
    <s v="OK"/>
    <s v="OK"/>
    <x v="2"/>
  </r>
  <r>
    <d v="2018-12-31T00:00:00"/>
    <x v="5"/>
    <n v="14.4"/>
    <n v="26.4"/>
    <m/>
    <x v="0"/>
    <m/>
    <m/>
    <x v="0"/>
  </r>
  <r>
    <d v="2019-01-01T00:00:00"/>
    <x v="98"/>
    <n v="14"/>
    <n v="27.6"/>
    <m/>
    <x v="0"/>
    <m/>
    <m/>
    <x v="0"/>
  </r>
  <r>
    <d v="2019-01-02T00:00:00"/>
    <x v="99"/>
    <n v="12.4"/>
    <n v="28.1"/>
    <m/>
    <x v="0"/>
    <m/>
    <m/>
    <x v="0"/>
  </r>
  <r>
    <d v="2019-01-03T00:00:00"/>
    <x v="92"/>
    <n v="13.1"/>
    <n v="27.9"/>
    <m/>
    <x v="0"/>
    <m/>
    <m/>
    <x v="0"/>
  </r>
  <r>
    <d v="2019-01-04T00:00:00"/>
    <x v="86"/>
    <n v="13.3"/>
    <n v="28.5"/>
    <m/>
    <x v="0"/>
    <m/>
    <m/>
    <x v="0"/>
  </r>
  <r>
    <d v="2019-01-05T00:00:00"/>
    <x v="11"/>
    <n v="13.6"/>
    <n v="28.6"/>
    <m/>
    <x v="0"/>
    <m/>
    <m/>
    <x v="0"/>
  </r>
  <r>
    <d v="2019-01-06T00:00:00"/>
    <x v="90"/>
    <n v="14.7"/>
    <n v="28.4"/>
    <m/>
    <x v="0"/>
    <m/>
    <m/>
    <x v="0"/>
  </r>
  <r>
    <d v="2019-01-07T00:00:00"/>
    <x v="9"/>
    <n v="14.7"/>
    <n v="28.6"/>
    <m/>
    <x v="0"/>
    <m/>
    <m/>
    <x v="0"/>
  </r>
  <r>
    <d v="2019-01-08T00:00:00"/>
    <x v="10"/>
    <n v="15.2"/>
    <n v="29.3"/>
    <m/>
    <x v="0"/>
    <m/>
    <m/>
    <x v="0"/>
  </r>
  <r>
    <d v="2019-01-09T00:00:00"/>
    <x v="10"/>
    <n v="13.2"/>
    <n v="29.6"/>
    <m/>
    <x v="0"/>
    <m/>
    <m/>
    <x v="0"/>
  </r>
  <r>
    <d v="2019-01-10T00:00:00"/>
    <x v="89"/>
    <n v="14.5"/>
    <n v="30.4"/>
    <m/>
    <x v="0"/>
    <m/>
    <m/>
    <x v="0"/>
  </r>
  <r>
    <d v="2019-01-11T00:00:00"/>
    <x v="87"/>
    <n v="14.5"/>
    <n v="29.7"/>
    <m/>
    <x v="0"/>
    <m/>
    <m/>
    <x v="0"/>
  </r>
  <r>
    <d v="2019-01-12T00:00:00"/>
    <x v="87"/>
    <n v="15.3"/>
    <n v="29.7"/>
    <m/>
    <x v="0"/>
    <m/>
    <m/>
    <x v="0"/>
  </r>
  <r>
    <d v="2019-01-13T00:00:00"/>
    <x v="25"/>
    <n v="14.3"/>
    <n v="28.8"/>
    <m/>
    <x v="0"/>
    <m/>
    <m/>
    <x v="0"/>
  </r>
  <r>
    <d v="2019-01-14T00:00:00"/>
    <x v="9"/>
    <n v="14.5"/>
    <n v="30.3"/>
    <m/>
    <x v="0"/>
    <m/>
    <m/>
    <x v="0"/>
  </r>
  <r>
    <d v="2019-01-15T00:00:00"/>
    <x v="8"/>
    <n v="12.3"/>
    <n v="29.3"/>
    <m/>
    <x v="0"/>
    <m/>
    <m/>
    <x v="0"/>
  </r>
  <r>
    <d v="2019-01-16T00:00:00"/>
    <x v="87"/>
    <n v="14.5"/>
    <n v="29.5"/>
    <m/>
    <x v="0"/>
    <m/>
    <m/>
    <x v="0"/>
  </r>
  <r>
    <d v="2019-01-17T00:00:00"/>
    <x v="12"/>
    <n v="15.5"/>
    <n v="29.5"/>
    <m/>
    <x v="0"/>
    <m/>
    <m/>
    <x v="0"/>
  </r>
  <r>
    <d v="2019-01-18T00:00:00"/>
    <x v="12"/>
    <n v="15.8"/>
    <n v="29.7"/>
    <m/>
    <x v="0"/>
    <m/>
    <m/>
    <x v="0"/>
  </r>
  <r>
    <d v="2019-01-19T00:00:00"/>
    <x v="3"/>
    <n v="14.3"/>
    <n v="29"/>
    <m/>
    <x v="0"/>
    <m/>
    <m/>
    <x v="0"/>
  </r>
  <r>
    <d v="2019-01-20T00:00:00"/>
    <x v="10"/>
    <n v="13.7"/>
    <n v="30.3"/>
    <m/>
    <x v="0"/>
    <m/>
    <m/>
    <x v="0"/>
  </r>
  <r>
    <d v="2019-01-21T00:00:00"/>
    <x v="10"/>
    <n v="14.8"/>
    <n v="28.6"/>
    <m/>
    <x v="0"/>
    <m/>
    <m/>
    <x v="0"/>
  </r>
  <r>
    <d v="2019-01-22T00:00:00"/>
    <x v="11"/>
    <n v="14"/>
    <n v="29.2"/>
    <m/>
    <x v="0"/>
    <m/>
    <m/>
    <x v="0"/>
  </r>
  <r>
    <d v="2019-01-23T00:00:00"/>
    <x v="2"/>
    <n v="16.2"/>
    <n v="29.1"/>
    <m/>
    <x v="0"/>
    <m/>
    <m/>
    <x v="0"/>
  </r>
  <r>
    <d v="2019-01-24T00:00:00"/>
    <x v="20"/>
    <n v="17.7"/>
    <n v="29.6"/>
    <m/>
    <x v="0"/>
    <m/>
    <m/>
    <x v="0"/>
  </r>
  <r>
    <d v="2019-01-25T00:00:00"/>
    <x v="13"/>
    <n v="17.2"/>
    <n v="30.2"/>
    <m/>
    <x v="0"/>
    <m/>
    <m/>
    <x v="0"/>
  </r>
  <r>
    <d v="2019-01-26T00:00:00"/>
    <x v="13"/>
    <n v="18.8"/>
    <n v="30"/>
    <m/>
    <x v="0"/>
    <m/>
    <m/>
    <x v="0"/>
  </r>
  <r>
    <d v="2019-01-27T00:00:00"/>
    <x v="78"/>
    <n v="19"/>
    <n v="30.2"/>
    <m/>
    <x v="0"/>
    <m/>
    <m/>
    <x v="0"/>
  </r>
  <r>
    <d v="2019-01-28T00:00:00"/>
    <x v="80"/>
    <n v="18.399999999999999"/>
    <n v="30"/>
    <m/>
    <x v="0"/>
    <m/>
    <m/>
    <x v="0"/>
  </r>
  <r>
    <d v="2019-01-29T00:00:00"/>
    <x v="4"/>
    <n v="17.7"/>
    <n v="29.6"/>
    <n v="0.8"/>
    <x v="1"/>
    <s v="OK"/>
    <s v="OK"/>
    <x v="3"/>
  </r>
  <r>
    <d v="2019-01-30T00:00:00"/>
    <x v="6"/>
    <n v="17.2"/>
    <n v="27.4"/>
    <n v="0"/>
    <x v="1"/>
    <s v="Outlier"/>
    <s v="OK"/>
    <x v="0"/>
  </r>
  <r>
    <d v="2019-01-31T00:00:00"/>
    <x v="12"/>
    <n v="16.399999999999999"/>
    <n v="29.4"/>
    <m/>
    <x v="0"/>
    <m/>
    <m/>
    <x v="0"/>
  </r>
  <r>
    <d v="2019-02-01T00:00:00"/>
    <x v="87"/>
    <n v="15.7"/>
    <n v="28.2"/>
    <m/>
    <x v="0"/>
    <m/>
    <m/>
    <x v="0"/>
  </r>
  <r>
    <d v="2019-02-02T00:00:00"/>
    <x v="14"/>
    <n v="16.3"/>
    <n v="27.8"/>
    <m/>
    <x v="0"/>
    <m/>
    <m/>
    <x v="0"/>
  </r>
  <r>
    <d v="2019-02-03T00:00:00"/>
    <x v="22"/>
    <n v="16.600000000000001"/>
    <n v="29.6"/>
    <m/>
    <x v="0"/>
    <m/>
    <m/>
    <x v="0"/>
  </r>
  <r>
    <d v="2019-02-04T00:00:00"/>
    <x v="76"/>
    <n v="16.8"/>
    <n v="30"/>
    <m/>
    <x v="0"/>
    <m/>
    <m/>
    <x v="0"/>
  </r>
  <r>
    <d v="2019-02-05T00:00:00"/>
    <x v="17"/>
    <n v="18.7"/>
    <n v="30.7"/>
    <m/>
    <x v="0"/>
    <m/>
    <m/>
    <x v="0"/>
  </r>
  <r>
    <d v="2019-02-06T00:00:00"/>
    <x v="77"/>
    <n v="17.8"/>
    <n v="30"/>
    <m/>
    <x v="0"/>
    <m/>
    <m/>
    <x v="0"/>
  </r>
  <r>
    <d v="2019-02-07T00:00:00"/>
    <x v="77"/>
    <n v="18.3"/>
    <n v="31.1"/>
    <m/>
    <x v="0"/>
    <m/>
    <m/>
    <x v="0"/>
  </r>
  <r>
    <d v="2019-02-08T00:00:00"/>
    <x v="69"/>
    <n v="20.399999999999999"/>
    <n v="31.8"/>
    <m/>
    <x v="0"/>
    <m/>
    <m/>
    <x v="0"/>
  </r>
  <r>
    <d v="2019-02-09T00:00:00"/>
    <x v="17"/>
    <n v="19.600000000000001"/>
    <n v="32.6"/>
    <m/>
    <x v="0"/>
    <m/>
    <m/>
    <x v="0"/>
  </r>
  <r>
    <d v="2019-02-10T00:00:00"/>
    <x v="74"/>
    <n v="19.100000000000001"/>
    <n v="31.3"/>
    <m/>
    <x v="0"/>
    <m/>
    <m/>
    <x v="0"/>
  </r>
  <r>
    <d v="2019-02-11T00:00:00"/>
    <x v="20"/>
    <n v="18.5"/>
    <n v="29.7"/>
    <m/>
    <x v="0"/>
    <m/>
    <m/>
    <x v="0"/>
  </r>
  <r>
    <d v="2019-02-12T00:00:00"/>
    <x v="80"/>
    <n v="17.2"/>
    <n v="28.1"/>
    <m/>
    <x v="0"/>
    <m/>
    <m/>
    <x v="0"/>
  </r>
  <r>
    <d v="2019-02-13T00:00:00"/>
    <x v="20"/>
    <n v="17.3"/>
    <n v="29"/>
    <m/>
    <x v="0"/>
    <m/>
    <m/>
    <x v="0"/>
  </r>
  <r>
    <d v="2019-02-14T00:00:00"/>
    <x v="27"/>
    <n v="17.2"/>
    <n v="30"/>
    <m/>
    <x v="0"/>
    <m/>
    <m/>
    <x v="0"/>
  </r>
  <r>
    <d v="2019-02-15T00:00:00"/>
    <x v="71"/>
    <n v="19"/>
    <n v="31.6"/>
    <m/>
    <x v="0"/>
    <m/>
    <m/>
    <x v="0"/>
  </r>
  <r>
    <d v="2019-02-16T00:00:00"/>
    <x v="81"/>
    <n v="20.7"/>
    <n v="31.6"/>
    <m/>
    <x v="0"/>
    <m/>
    <m/>
    <x v="0"/>
  </r>
  <r>
    <d v="2019-02-17T00:00:00"/>
    <x v="35"/>
    <n v="21.3"/>
    <n v="32.700000000000003"/>
    <m/>
    <x v="0"/>
    <m/>
    <m/>
    <x v="0"/>
  </r>
  <r>
    <d v="2019-02-18T00:00:00"/>
    <x v="63"/>
    <n v="19.2"/>
    <n v="32.6"/>
    <m/>
    <x v="0"/>
    <m/>
    <m/>
    <x v="0"/>
  </r>
  <r>
    <d v="2019-02-19T00:00:00"/>
    <x v="30"/>
    <n v="22"/>
    <n v="34"/>
    <m/>
    <x v="0"/>
    <m/>
    <m/>
    <x v="0"/>
  </r>
  <r>
    <d v="2019-02-20T00:00:00"/>
    <x v="81"/>
    <n v="20.5"/>
    <n v="32.799999999999997"/>
    <m/>
    <x v="0"/>
    <m/>
    <m/>
    <x v="0"/>
  </r>
  <r>
    <d v="2019-02-21T00:00:00"/>
    <x v="42"/>
    <n v="18.2"/>
    <n v="32.1"/>
    <m/>
    <x v="0"/>
    <m/>
    <m/>
    <x v="0"/>
  </r>
  <r>
    <d v="2019-02-22T00:00:00"/>
    <x v="72"/>
    <n v="17.600000000000001"/>
    <n v="31.9"/>
    <m/>
    <x v="0"/>
    <m/>
    <m/>
    <x v="0"/>
  </r>
  <r>
    <d v="2019-02-23T00:00:00"/>
    <x v="42"/>
    <n v="15.5"/>
    <n v="33.1"/>
    <m/>
    <x v="0"/>
    <m/>
    <m/>
    <x v="0"/>
  </r>
  <r>
    <d v="2019-02-24T00:00:00"/>
    <x v="32"/>
    <n v="16.5"/>
    <n v="34"/>
    <m/>
    <x v="0"/>
    <m/>
    <m/>
    <x v="0"/>
  </r>
  <r>
    <d v="2019-02-25T00:00:00"/>
    <x v="41"/>
    <n v="17.2"/>
    <n v="34.299999999999997"/>
    <m/>
    <x v="0"/>
    <m/>
    <m/>
    <x v="0"/>
  </r>
  <r>
    <d v="2019-02-26T00:00:00"/>
    <x v="37"/>
    <n v="20.8"/>
    <n v="35.5"/>
    <m/>
    <x v="0"/>
    <m/>
    <m/>
    <x v="0"/>
  </r>
  <r>
    <d v="2019-02-27T00:00:00"/>
    <x v="35"/>
    <n v="21.3"/>
    <n v="34.5"/>
    <m/>
    <x v="0"/>
    <m/>
    <m/>
    <x v="0"/>
  </r>
  <r>
    <d v="2019-02-28T00:00:00"/>
    <x v="69"/>
    <n v="20.5"/>
    <n v="33"/>
    <m/>
    <x v="0"/>
    <m/>
    <m/>
    <x v="0"/>
  </r>
  <r>
    <d v="2019-03-01T00:00:00"/>
    <x v="35"/>
    <n v="21.3"/>
    <n v="33.799999999999997"/>
    <m/>
    <x v="0"/>
    <m/>
    <m/>
    <x v="0"/>
  </r>
  <r>
    <d v="2019-03-02T00:00:00"/>
    <x v="44"/>
    <n v="21.7"/>
    <n v="33.5"/>
    <m/>
    <x v="0"/>
    <m/>
    <m/>
    <x v="0"/>
  </r>
  <r>
    <d v="2019-03-03T00:00:00"/>
    <x v="36"/>
    <n v="20.5"/>
    <n v="32.1"/>
    <m/>
    <x v="0"/>
    <m/>
    <m/>
    <x v="0"/>
  </r>
  <r>
    <d v="2019-03-04T00:00:00"/>
    <x v="56"/>
    <n v="21"/>
    <n v="33.6"/>
    <m/>
    <x v="0"/>
    <m/>
    <m/>
    <x v="0"/>
  </r>
  <r>
    <d v="2019-03-05T00:00:00"/>
    <x v="56"/>
    <n v="23.1"/>
    <n v="34.299999999999997"/>
    <n v="0"/>
    <x v="1"/>
    <s v="OK"/>
    <s v="OK"/>
    <x v="3"/>
  </r>
  <r>
    <d v="2019-03-06T00:00:00"/>
    <x v="49"/>
    <n v="22.7"/>
    <n v="35"/>
    <m/>
    <x v="0"/>
    <m/>
    <m/>
    <x v="0"/>
  </r>
  <r>
    <d v="2019-03-07T00:00:00"/>
    <x v="100"/>
    <n v="20.5"/>
    <n v="35.799999999999997"/>
    <m/>
    <x v="0"/>
    <m/>
    <m/>
    <x v="0"/>
  </r>
  <r>
    <d v="2019-03-08T00:00:00"/>
    <x v="51"/>
    <n v="21.8"/>
    <n v="37"/>
    <m/>
    <x v="0"/>
    <m/>
    <m/>
    <x v="0"/>
  </r>
  <r>
    <d v="2019-03-09T00:00:00"/>
    <x v="47"/>
    <n v="22.5"/>
    <n v="35.9"/>
    <m/>
    <x v="0"/>
    <m/>
    <m/>
    <x v="0"/>
  </r>
  <r>
    <d v="2019-03-10T00:00:00"/>
    <x v="46"/>
    <n v="22.8"/>
    <n v="34"/>
    <m/>
    <x v="0"/>
    <m/>
    <m/>
    <x v="0"/>
  </r>
  <r>
    <d v="2019-03-11T00:00:00"/>
    <x v="56"/>
    <n v="23.1"/>
    <n v="34.1"/>
    <m/>
    <x v="0"/>
    <m/>
    <m/>
    <x v="0"/>
  </r>
  <r>
    <d v="2019-03-12T00:00:00"/>
    <x v="40"/>
    <n v="21.5"/>
    <n v="34.6"/>
    <m/>
    <x v="0"/>
    <m/>
    <m/>
    <x v="0"/>
  </r>
  <r>
    <d v="2019-03-13T00:00:00"/>
    <x v="41"/>
    <n v="19.7"/>
    <n v="34"/>
    <m/>
    <x v="0"/>
    <m/>
    <m/>
    <x v="0"/>
  </r>
  <r>
    <d v="2019-03-14T00:00:00"/>
    <x v="31"/>
    <n v="19.7"/>
    <n v="33.799999999999997"/>
    <m/>
    <x v="0"/>
    <m/>
    <m/>
    <x v="0"/>
  </r>
  <r>
    <d v="2019-03-15T00:00:00"/>
    <x v="40"/>
    <n v="20.2"/>
    <n v="34.299999999999997"/>
    <m/>
    <x v="0"/>
    <m/>
    <m/>
    <x v="0"/>
  </r>
  <r>
    <d v="2019-03-16T00:00:00"/>
    <x v="37"/>
    <n v="19"/>
    <n v="34.1"/>
    <m/>
    <x v="0"/>
    <m/>
    <m/>
    <x v="0"/>
  </r>
  <r>
    <d v="2019-03-17T00:00:00"/>
    <x v="41"/>
    <n v="18.7"/>
    <n v="33.299999999999997"/>
    <m/>
    <x v="0"/>
    <m/>
    <m/>
    <x v="0"/>
  </r>
  <r>
    <d v="2019-03-18T00:00:00"/>
    <x v="30"/>
    <n v="20.399999999999999"/>
    <n v="34.299999999999997"/>
    <m/>
    <x v="0"/>
    <m/>
    <m/>
    <x v="0"/>
  </r>
  <r>
    <d v="2019-03-19T00:00:00"/>
    <x v="48"/>
    <n v="21.2"/>
    <n v="34.200000000000003"/>
    <m/>
    <x v="0"/>
    <m/>
    <m/>
    <x v="0"/>
  </r>
  <r>
    <d v="2019-03-20T00:00:00"/>
    <x v="48"/>
    <n v="23"/>
    <n v="35"/>
    <m/>
    <x v="0"/>
    <m/>
    <m/>
    <x v="0"/>
  </r>
  <r>
    <d v="2019-03-21T00:00:00"/>
    <x v="45"/>
    <n v="22.7"/>
    <n v="34.299999999999997"/>
    <m/>
    <x v="0"/>
    <m/>
    <m/>
    <x v="0"/>
  </r>
  <r>
    <d v="2019-03-22T00:00:00"/>
    <x v="49"/>
    <n v="21.8"/>
    <n v="35"/>
    <m/>
    <x v="0"/>
    <m/>
    <m/>
    <x v="0"/>
  </r>
  <r>
    <d v="2019-03-23T00:00:00"/>
    <x v="52"/>
    <n v="22.5"/>
    <n v="35"/>
    <m/>
    <x v="0"/>
    <m/>
    <m/>
    <x v="0"/>
  </r>
  <r>
    <d v="2019-03-24T00:00:00"/>
    <x v="52"/>
    <n v="23.7"/>
    <n v="35.299999999999997"/>
    <m/>
    <x v="0"/>
    <m/>
    <m/>
    <x v="0"/>
  </r>
  <r>
    <d v="2019-03-25T00:00:00"/>
    <x v="100"/>
    <n v="22.8"/>
    <n v="35.5"/>
    <m/>
    <x v="0"/>
    <m/>
    <m/>
    <x v="0"/>
  </r>
  <r>
    <d v="2019-03-26T00:00:00"/>
    <x v="51"/>
    <n v="21.5"/>
    <n v="35.4"/>
    <m/>
    <x v="0"/>
    <m/>
    <m/>
    <x v="0"/>
  </r>
  <r>
    <d v="2019-03-27T00:00:00"/>
    <x v="45"/>
    <n v="22.6"/>
    <n v="35"/>
    <m/>
    <x v="0"/>
    <m/>
    <m/>
    <x v="0"/>
  </r>
  <r>
    <d v="2019-03-28T00:00:00"/>
    <x v="59"/>
    <n v="21.4"/>
    <n v="35.4"/>
    <m/>
    <x v="0"/>
    <m/>
    <m/>
    <x v="0"/>
  </r>
  <r>
    <d v="2019-03-29T00:00:00"/>
    <x v="59"/>
    <n v="23.2"/>
    <n v="36.200000000000003"/>
    <m/>
    <x v="0"/>
    <m/>
    <m/>
    <x v="0"/>
  </r>
  <r>
    <d v="2019-03-30T00:00:00"/>
    <x v="50"/>
    <n v="23.4"/>
    <n v="35.200000000000003"/>
    <m/>
    <x v="0"/>
    <m/>
    <m/>
    <x v="0"/>
  </r>
  <r>
    <d v="2019-03-31T00:00:00"/>
    <x v="59"/>
    <n v="22.7"/>
    <n v="35.299999999999997"/>
    <m/>
    <x v="0"/>
    <m/>
    <m/>
    <x v="0"/>
  </r>
  <r>
    <d v="2019-04-01T00:00:00"/>
    <x v="59"/>
    <n v="22.9"/>
    <n v="35.6"/>
    <m/>
    <x v="0"/>
    <m/>
    <m/>
    <x v="0"/>
  </r>
  <r>
    <d v="2019-04-02T00:00:00"/>
    <x v="51"/>
    <n v="23.6"/>
    <n v="36"/>
    <m/>
    <x v="0"/>
    <m/>
    <m/>
    <x v="0"/>
  </r>
  <r>
    <d v="2019-04-03T00:00:00"/>
    <x v="97"/>
    <n v="21.6"/>
    <n v="34.799999999999997"/>
    <m/>
    <x v="0"/>
    <m/>
    <m/>
    <x v="0"/>
  </r>
  <r>
    <d v="2019-04-04T00:00:00"/>
    <x v="100"/>
    <n v="23"/>
    <n v="36.200000000000003"/>
    <m/>
    <x v="0"/>
    <m/>
    <m/>
    <x v="0"/>
  </r>
  <r>
    <d v="2019-04-05T00:00:00"/>
    <x v="48"/>
    <n v="23"/>
    <n v="35.200000000000003"/>
    <m/>
    <x v="0"/>
    <m/>
    <m/>
    <x v="0"/>
  </r>
  <r>
    <d v="2019-04-06T00:00:00"/>
    <x v="59"/>
    <n v="23.4"/>
    <n v="35.4"/>
    <m/>
    <x v="0"/>
    <m/>
    <m/>
    <x v="0"/>
  </r>
  <r>
    <d v="2019-04-07T00:00:00"/>
    <x v="101"/>
    <n v="24"/>
    <n v="35.4"/>
    <m/>
    <x v="0"/>
    <m/>
    <m/>
    <x v="0"/>
  </r>
  <r>
    <d v="2019-04-08T00:00:00"/>
    <x v="100"/>
    <n v="24"/>
    <n v="36.4"/>
    <m/>
    <x v="0"/>
    <m/>
    <m/>
    <x v="0"/>
  </r>
  <r>
    <d v="2019-04-09T00:00:00"/>
    <x v="95"/>
    <n v="22.8"/>
    <n v="35.6"/>
    <n v="7.6"/>
    <x v="1"/>
    <s v="OK"/>
    <s v="OK"/>
    <x v="3"/>
  </r>
  <r>
    <d v="2019-04-10T00:00:00"/>
    <x v="60"/>
    <n v="22.8"/>
    <n v="35.4"/>
    <n v="1"/>
    <x v="1"/>
    <s v="OK"/>
    <s v="OK"/>
    <x v="3"/>
  </r>
  <r>
    <d v="2019-04-11T00:00:00"/>
    <x v="53"/>
    <n v="24.2"/>
    <n v="36"/>
    <n v="0"/>
    <x v="1"/>
    <s v="OK"/>
    <s v="OK"/>
    <x v="3"/>
  </r>
  <r>
    <d v="2019-04-12T00:00:00"/>
    <x v="102"/>
    <n v="23.6"/>
    <n v="35.9"/>
    <m/>
    <x v="0"/>
    <m/>
    <m/>
    <x v="0"/>
  </r>
  <r>
    <d v="2019-04-13T00:00:00"/>
    <x v="55"/>
    <n v="24.6"/>
    <n v="36.6"/>
    <m/>
    <x v="0"/>
    <m/>
    <m/>
    <x v="0"/>
  </r>
  <r>
    <d v="2019-04-14T00:00:00"/>
    <x v="101"/>
    <n v="24.2"/>
    <n v="36"/>
    <m/>
    <x v="0"/>
    <m/>
    <m/>
    <x v="0"/>
  </r>
  <r>
    <d v="2019-04-15T00:00:00"/>
    <x v="65"/>
    <n v="24"/>
    <n v="36.200000000000003"/>
    <m/>
    <x v="0"/>
    <m/>
    <m/>
    <x v="0"/>
  </r>
  <r>
    <d v="2019-04-16T00:00:00"/>
    <x v="67"/>
    <n v="23.6"/>
    <n v="36.200000000000003"/>
    <m/>
    <x v="0"/>
    <m/>
    <m/>
    <x v="0"/>
  </r>
  <r>
    <d v="2019-04-17T00:00:00"/>
    <x v="35"/>
    <n v="23.9"/>
    <n v="36.4"/>
    <m/>
    <x v="0"/>
    <m/>
    <m/>
    <x v="0"/>
  </r>
  <r>
    <d v="2019-04-18T00:00:00"/>
    <x v="31"/>
    <n v="21.6"/>
    <n v="36"/>
    <n v="16.8"/>
    <x v="1"/>
    <s v="OK"/>
    <s v="OK"/>
    <x v="3"/>
  </r>
  <r>
    <d v="2019-04-19T00:00:00"/>
    <x v="66"/>
    <n v="21.4"/>
    <n v="35.6"/>
    <n v="20.8"/>
    <x v="1"/>
    <s v="OK"/>
    <s v="OK"/>
    <x v="3"/>
  </r>
  <r>
    <d v="2019-04-20T00:00:00"/>
    <x v="30"/>
    <n v="22.4"/>
    <n v="33.200000000000003"/>
    <n v="0.3"/>
    <x v="1"/>
    <s v="OK"/>
    <s v="OK"/>
    <x v="3"/>
  </r>
  <r>
    <d v="2019-04-21T00:00:00"/>
    <x v="47"/>
    <n v="21.6"/>
    <n v="34.200000000000003"/>
    <n v="0"/>
    <x v="1"/>
    <s v="OK"/>
    <s v="OK"/>
    <x v="3"/>
  </r>
  <r>
    <d v="2019-04-22T00:00:00"/>
    <x v="48"/>
    <n v="23.6"/>
    <n v="34.200000000000003"/>
    <m/>
    <x v="0"/>
    <m/>
    <m/>
    <x v="0"/>
  </r>
  <r>
    <d v="2019-04-23T00:00:00"/>
    <x v="45"/>
    <n v="23.2"/>
    <n v="35"/>
    <n v="0"/>
    <x v="1"/>
    <s v="OK"/>
    <s v="OK"/>
    <x v="3"/>
  </r>
  <r>
    <d v="2019-04-24T00:00:00"/>
    <x v="52"/>
    <n v="23"/>
    <n v="34.200000000000003"/>
    <n v="0.3"/>
    <x v="1"/>
    <s v="OK"/>
    <s v="OK"/>
    <x v="3"/>
  </r>
  <r>
    <d v="2019-04-25T00:00:00"/>
    <x v="52"/>
    <n v="22.8"/>
    <n v="34.299999999999997"/>
    <n v="0"/>
    <x v="1"/>
    <s v="OK"/>
    <s v="OK"/>
    <x v="3"/>
  </r>
  <r>
    <d v="2019-04-26T00:00:00"/>
    <x v="64"/>
    <n v="23.5"/>
    <n v="35.6"/>
    <m/>
    <x v="0"/>
    <m/>
    <m/>
    <x v="0"/>
  </r>
  <r>
    <d v="2019-04-27T00:00:00"/>
    <x v="103"/>
    <n v="24.4"/>
    <n v="36.6"/>
    <m/>
    <x v="0"/>
    <m/>
    <m/>
    <x v="0"/>
  </r>
  <r>
    <d v="2019-04-28T00:00:00"/>
    <x v="51"/>
    <n v="24.9"/>
    <n v="37"/>
    <m/>
    <x v="0"/>
    <m/>
    <m/>
    <x v="0"/>
  </r>
  <r>
    <d v="2019-04-29T00:00:00"/>
    <x v="95"/>
    <n v="24"/>
    <n v="32"/>
    <m/>
    <x v="0"/>
    <m/>
    <m/>
    <x v="0"/>
  </r>
  <r>
    <d v="2019-04-30T00:00:00"/>
    <x v="18"/>
    <n v="19.899999999999999"/>
    <n v="35"/>
    <n v="35.1"/>
    <x v="1"/>
    <s v="OK"/>
    <s v="OK"/>
    <x v="3"/>
  </r>
  <r>
    <d v="2019-05-01T00:00:00"/>
    <x v="35"/>
    <n v="20.9"/>
    <n v="28.9"/>
    <n v="0"/>
    <x v="1"/>
    <s v="OK"/>
    <s v="OK"/>
    <x v="3"/>
  </r>
  <r>
    <d v="2019-05-02T00:00:00"/>
    <x v="39"/>
    <n v="22"/>
    <n v="30"/>
    <m/>
    <x v="0"/>
    <m/>
    <m/>
    <x v="0"/>
  </r>
  <r>
    <d v="2019-05-03T00:00:00"/>
    <x v="68"/>
    <n v="21.4"/>
    <n v="33.4"/>
    <m/>
    <x v="0"/>
    <m/>
    <m/>
    <x v="0"/>
  </r>
  <r>
    <d v="2019-05-04T00:00:00"/>
    <x v="40"/>
    <n v="22"/>
    <n v="33.6"/>
    <m/>
    <x v="0"/>
    <m/>
    <m/>
    <x v="0"/>
  </r>
  <r>
    <d v="2019-05-05T00:00:00"/>
    <x v="50"/>
    <n v="22.4"/>
    <n v="35.9"/>
    <m/>
    <x v="0"/>
    <m/>
    <m/>
    <x v="0"/>
  </r>
  <r>
    <d v="2019-05-06T00:00:00"/>
    <x v="52"/>
    <n v="24"/>
    <n v="35.6"/>
    <n v="0"/>
    <x v="1"/>
    <s v="OK"/>
    <s v="OK"/>
    <x v="3"/>
  </r>
  <r>
    <d v="2019-05-07T00:00:00"/>
    <x v="70"/>
    <n v="21.9"/>
    <n v="36.200000000000003"/>
    <n v="0"/>
    <x v="1"/>
    <s v="OK"/>
    <s v="OK"/>
    <x v="3"/>
  </r>
  <r>
    <d v="2019-05-08T00:00:00"/>
    <x v="29"/>
    <n v="20.6"/>
    <n v="33.6"/>
    <n v="15"/>
    <x v="1"/>
    <s v="OK"/>
    <s v="OK"/>
    <x v="3"/>
  </r>
  <r>
    <d v="2019-05-09T00:00:00"/>
    <x v="45"/>
    <n v="20.8"/>
    <n v="33.1"/>
    <n v="0"/>
    <x v="1"/>
    <s v="OK"/>
    <s v="OK"/>
    <x v="3"/>
  </r>
  <r>
    <d v="2019-05-10T00:00:00"/>
    <x v="55"/>
    <n v="23.2"/>
    <n v="35.799999999999997"/>
    <m/>
    <x v="0"/>
    <m/>
    <m/>
    <x v="0"/>
  </r>
  <r>
    <d v="2019-05-11T00:00:00"/>
    <x v="40"/>
    <n v="24.6"/>
    <n v="35.700000000000003"/>
    <m/>
    <x v="0"/>
    <m/>
    <m/>
    <x v="0"/>
  </r>
  <r>
    <d v="2019-05-12T00:00:00"/>
    <x v="56"/>
    <n v="24.4"/>
    <n v="35.200000000000003"/>
    <n v="7.9"/>
    <x v="1"/>
    <s v="OK"/>
    <s v="OK"/>
    <x v="3"/>
  </r>
  <r>
    <d v="2019-05-13T00:00:00"/>
    <x v="29"/>
    <n v="21.7"/>
    <n v="35"/>
    <n v="0"/>
    <x v="1"/>
    <s v="OK"/>
    <s v="OK"/>
    <x v="3"/>
  </r>
  <r>
    <d v="2019-05-14T00:00:00"/>
    <x v="45"/>
    <n v="21.8"/>
    <n v="35"/>
    <n v="0"/>
    <x v="1"/>
    <s v="OK"/>
    <s v="OK"/>
    <x v="3"/>
  </r>
  <r>
    <d v="2019-05-15T00:00:00"/>
    <x v="38"/>
    <n v="22.2"/>
    <n v="34.799999999999997"/>
    <n v="0"/>
    <x v="1"/>
    <s v="OK"/>
    <s v="OK"/>
    <x v="3"/>
  </r>
  <r>
    <d v="2019-05-16T00:00:00"/>
    <x v="68"/>
    <n v="21.3"/>
    <n v="34.6"/>
    <m/>
    <x v="0"/>
    <m/>
    <m/>
    <x v="0"/>
  </r>
  <r>
    <d v="2019-05-17T00:00:00"/>
    <x v="75"/>
    <n v="21.4"/>
    <n v="33.6"/>
    <n v="9.9"/>
    <x v="1"/>
    <s v="OK"/>
    <s v="OK"/>
    <x v="3"/>
  </r>
  <r>
    <d v="2019-05-18T00:00:00"/>
    <x v="48"/>
    <n v="21.4"/>
    <n v="33.6"/>
    <n v="18.8"/>
    <x v="2"/>
    <s v="OK"/>
    <s v="OK"/>
    <x v="0"/>
  </r>
  <r>
    <d v="2019-05-19T00:00:00"/>
    <x v="95"/>
    <n v="23.8"/>
    <n v="34"/>
    <n v="0"/>
    <x v="1"/>
    <s v="Outlier"/>
    <s v="OK"/>
    <x v="0"/>
  </r>
  <r>
    <d v="2019-05-20T00:00:00"/>
    <x v="46"/>
    <n v="24.4"/>
    <n v="34.799999999999997"/>
    <m/>
    <x v="0"/>
    <m/>
    <m/>
    <x v="0"/>
  </r>
  <r>
    <d v="2019-05-21T00:00:00"/>
    <x v="57"/>
    <n v="24"/>
    <n v="34.4"/>
    <m/>
    <x v="0"/>
    <m/>
    <m/>
    <x v="0"/>
  </r>
  <r>
    <d v="2019-05-22T00:00:00"/>
    <x v="62"/>
    <n v="20.8"/>
    <n v="34.799999999999997"/>
    <m/>
    <x v="0"/>
    <m/>
    <m/>
    <x v="0"/>
  </r>
  <r>
    <d v="2019-05-23T00:00:00"/>
    <x v="94"/>
    <n v="22.6"/>
    <n v="34.6"/>
    <n v="15"/>
    <x v="1"/>
    <s v="OK"/>
    <s v="OK"/>
    <x v="3"/>
  </r>
  <r>
    <d v="2019-05-24T00:00:00"/>
    <x v="36"/>
    <n v="22.4"/>
    <n v="34"/>
    <n v="3.8"/>
    <x v="1"/>
    <s v="OK"/>
    <s v="OK"/>
    <x v="3"/>
  </r>
  <r>
    <d v="2019-05-25T00:00:00"/>
    <x v="34"/>
    <n v="21"/>
    <n v="33.5"/>
    <n v="0"/>
    <x v="1"/>
    <s v="OK"/>
    <s v="OK"/>
    <x v="3"/>
  </r>
  <r>
    <d v="2019-05-26T00:00:00"/>
    <x v="69"/>
    <n v="20.8"/>
    <n v="33.799999999999997"/>
    <m/>
    <x v="0"/>
    <m/>
    <m/>
    <x v="0"/>
  </r>
  <r>
    <d v="2019-05-27T00:00:00"/>
    <x v="48"/>
    <n v="20"/>
    <n v="33.799999999999997"/>
    <n v="37.299999999999997"/>
    <x v="1"/>
    <s v="OK"/>
    <s v="OK"/>
    <x v="3"/>
  </r>
  <r>
    <d v="2019-05-28T00:00:00"/>
    <x v="96"/>
    <n v="24.7"/>
    <n v="34.200000000000003"/>
    <n v="0"/>
    <x v="1"/>
    <s v="Outlier"/>
    <s v="OK"/>
    <x v="3"/>
  </r>
  <r>
    <d v="2019-05-29T00:00:00"/>
    <x v="45"/>
    <n v="23"/>
    <n v="33.6"/>
    <n v="0.3"/>
    <x v="1"/>
    <s v="OK"/>
    <s v="OK"/>
    <x v="3"/>
  </r>
  <r>
    <d v="2019-05-30T00:00:00"/>
    <x v="56"/>
    <n v="23"/>
    <n v="34"/>
    <n v="0"/>
    <x v="1"/>
    <s v="OK"/>
    <s v="OK"/>
    <x v="3"/>
  </r>
  <r>
    <d v="2019-05-31T00:00:00"/>
    <x v="94"/>
    <n v="23.8"/>
    <n v="33.299999999999997"/>
    <m/>
    <x v="0"/>
    <m/>
    <m/>
    <x v="0"/>
  </r>
  <r>
    <d v="2019-06-01T00:00:00"/>
    <x v="96"/>
    <n v="21"/>
    <n v="33.200000000000003"/>
    <n v="1.5"/>
    <x v="1"/>
    <s v="OK"/>
    <s v="OK"/>
    <x v="3"/>
  </r>
  <r>
    <d v="2019-06-02T00:00:00"/>
    <x v="37"/>
    <n v="21.8"/>
    <n v="33.200000000000003"/>
    <n v="0"/>
    <x v="1"/>
    <s v="OK"/>
    <s v="OK"/>
    <x v="3"/>
  </r>
  <r>
    <d v="2019-06-03T00:00:00"/>
    <x v="70"/>
    <n v="21.2"/>
    <n v="32.1"/>
    <n v="8.4"/>
    <x v="1"/>
    <s v="OK"/>
    <s v="OK"/>
    <x v="3"/>
  </r>
  <r>
    <d v="2019-06-04T00:00:00"/>
    <x v="62"/>
    <n v="22.1"/>
    <n v="30.5"/>
    <n v="0"/>
    <x v="1"/>
    <s v="OK"/>
    <s v="OK"/>
    <x v="3"/>
  </r>
  <r>
    <d v="2019-06-05T00:00:00"/>
    <x v="43"/>
    <n v="20.8"/>
    <n v="31.8"/>
    <m/>
    <x v="0"/>
    <m/>
    <m/>
    <x v="0"/>
  </r>
  <r>
    <d v="2019-06-06T00:00:00"/>
    <x v="32"/>
    <n v="20.6"/>
    <n v="32.4"/>
    <n v="20.3"/>
    <x v="1"/>
    <s v="OK"/>
    <s v="OK"/>
    <x v="3"/>
  </r>
  <r>
    <d v="2019-06-07T00:00:00"/>
    <x v="81"/>
    <n v="20.6"/>
    <n v="32"/>
    <n v="20.100000000000001"/>
    <x v="1"/>
    <s v="OK"/>
    <s v="OK"/>
    <x v="3"/>
  </r>
  <r>
    <d v="2019-06-08T00:00:00"/>
    <x v="35"/>
    <n v="22.5"/>
    <n v="31.5"/>
    <n v="0"/>
    <x v="1"/>
    <s v="OK"/>
    <s v="OK"/>
    <x v="3"/>
  </r>
  <r>
    <d v="2019-06-09T00:00:00"/>
    <x v="29"/>
    <n v="22.3"/>
    <n v="33.1"/>
    <m/>
    <x v="0"/>
    <m/>
    <m/>
    <x v="0"/>
  </r>
  <r>
    <d v="2019-06-10T00:00:00"/>
    <x v="72"/>
    <n v="22"/>
    <n v="33.6"/>
    <m/>
    <x v="0"/>
    <m/>
    <m/>
    <x v="0"/>
  </r>
  <r>
    <d v="2019-06-11T00:00:00"/>
    <x v="73"/>
    <n v="21"/>
    <n v="30"/>
    <m/>
    <x v="0"/>
    <m/>
    <m/>
    <x v="0"/>
  </r>
  <r>
    <d v="2019-06-12T00:00:00"/>
    <x v="18"/>
    <n v="21.6"/>
    <n v="30"/>
    <m/>
    <x v="0"/>
    <m/>
    <m/>
    <x v="0"/>
  </r>
  <r>
    <d v="2019-06-13T00:00:00"/>
    <x v="34"/>
    <n v="22"/>
    <n v="29.4"/>
    <n v="0"/>
    <x v="1"/>
    <s v="OK"/>
    <s v="OK"/>
    <x v="3"/>
  </r>
  <r>
    <d v="2019-06-14T00:00:00"/>
    <x v="43"/>
    <n v="22"/>
    <n v="31.4"/>
    <m/>
    <x v="0"/>
    <m/>
    <m/>
    <x v="0"/>
  </r>
  <r>
    <d v="2019-06-15T00:00:00"/>
    <x v="94"/>
    <n v="21.2"/>
    <n v="31"/>
    <m/>
    <x v="0"/>
    <m/>
    <m/>
    <x v="0"/>
  </r>
  <r>
    <d v="2019-06-16T00:00:00"/>
    <x v="30"/>
    <n v="21.5"/>
    <n v="31.7"/>
    <m/>
    <x v="0"/>
    <m/>
    <m/>
    <x v="0"/>
  </r>
  <r>
    <d v="2019-06-17T00:00:00"/>
    <x v="94"/>
    <n v="21.6"/>
    <n v="32.200000000000003"/>
    <m/>
    <x v="0"/>
    <m/>
    <m/>
    <x v="0"/>
  </r>
  <r>
    <d v="2019-06-18T00:00:00"/>
    <x v="44"/>
    <n v="21"/>
    <n v="32.4"/>
    <m/>
    <x v="0"/>
    <m/>
    <m/>
    <x v="0"/>
  </r>
  <r>
    <d v="2019-06-19T00:00:00"/>
    <x v="41"/>
    <n v="21.5"/>
    <n v="31.2"/>
    <n v="0"/>
    <x v="1"/>
    <s v="OK"/>
    <s v="OK"/>
    <x v="3"/>
  </r>
  <r>
    <d v="2019-06-20T00:00:00"/>
    <x v="63"/>
    <n v="22.2"/>
    <n v="32.299999999999997"/>
    <n v="1.3"/>
    <x v="1"/>
    <s v="OK"/>
    <s v="OK"/>
    <x v="3"/>
  </r>
  <r>
    <d v="2019-06-21T00:00:00"/>
    <x v="27"/>
    <n v="20.7"/>
    <n v="30.6"/>
    <n v="0"/>
    <x v="1"/>
    <s v="OK"/>
    <s v="OK"/>
    <x v="3"/>
  </r>
  <r>
    <d v="2019-06-22T00:00:00"/>
    <x v="42"/>
    <n v="21.6"/>
    <n v="29.4"/>
    <n v="0"/>
    <x v="1"/>
    <s v="OK"/>
    <s v="OK"/>
    <x v="3"/>
  </r>
  <r>
    <d v="2019-06-23T00:00:00"/>
    <x v="23"/>
    <n v="20.8"/>
    <n v="29.4"/>
    <n v="3"/>
    <x v="1"/>
    <s v="OK"/>
    <s v="OK"/>
    <x v="3"/>
  </r>
  <r>
    <d v="2019-06-24T00:00:00"/>
    <x v="79"/>
    <n v="21"/>
    <n v="29.4"/>
    <n v="26.4"/>
    <x v="1"/>
    <s v="OK"/>
    <s v="OK"/>
    <x v="3"/>
  </r>
  <r>
    <d v="2019-06-25T00:00:00"/>
    <x v="73"/>
    <n v="21.4"/>
    <n v="29.7"/>
    <n v="0"/>
    <x v="1"/>
    <s v="OK"/>
    <s v="OK"/>
    <x v="3"/>
  </r>
  <r>
    <d v="2019-06-26T00:00:00"/>
    <x v="27"/>
    <n v="21.6"/>
    <n v="29.8"/>
    <n v="0"/>
    <x v="1"/>
    <s v="OK"/>
    <s v="OK"/>
    <x v="3"/>
  </r>
  <r>
    <d v="2019-06-27T00:00:00"/>
    <x v="72"/>
    <n v="21.6"/>
    <n v="30.5"/>
    <m/>
    <x v="0"/>
    <m/>
    <m/>
    <x v="0"/>
  </r>
  <r>
    <d v="2019-06-28T00:00:00"/>
    <x v="71"/>
    <n v="21"/>
    <n v="31"/>
    <n v="2"/>
    <x v="1"/>
    <s v="OK"/>
    <s v="OK"/>
    <x v="3"/>
  </r>
  <r>
    <d v="2019-06-29T00:00:00"/>
    <x v="42"/>
    <n v="21"/>
    <n v="31.2"/>
    <n v="0"/>
    <x v="1"/>
    <s v="OK"/>
    <s v="OK"/>
    <x v="3"/>
  </r>
  <r>
    <d v="2019-06-30T00:00:00"/>
    <x v="27"/>
    <n v="21.6"/>
    <n v="30.6"/>
    <m/>
    <x v="0"/>
    <m/>
    <m/>
    <x v="0"/>
  </r>
  <r>
    <d v="2019-07-01T00:00:00"/>
    <x v="38"/>
    <n v="21"/>
    <n v="29.8"/>
    <n v="0"/>
    <x v="1"/>
    <s v="OK"/>
    <s v="OK"/>
    <x v="3"/>
  </r>
  <r>
    <d v="2019-07-02T00:00:00"/>
    <x v="70"/>
    <n v="21.5"/>
    <n v="30.5"/>
    <m/>
    <x v="0"/>
    <m/>
    <m/>
    <x v="0"/>
  </r>
  <r>
    <d v="2019-07-03T00:00:00"/>
    <x v="81"/>
    <n v="21.4"/>
    <n v="30.8"/>
    <n v="0"/>
    <x v="1"/>
    <s v="OK"/>
    <s v="OK"/>
    <x v="3"/>
  </r>
  <r>
    <d v="2019-07-04T00:00:00"/>
    <x v="33"/>
    <n v="21.6"/>
    <n v="30.8"/>
    <m/>
    <x v="0"/>
    <m/>
    <m/>
    <x v="0"/>
  </r>
  <r>
    <d v="2019-07-05T00:00:00"/>
    <x v="17"/>
    <n v="20.8"/>
    <n v="30.3"/>
    <n v="0"/>
    <x v="1"/>
    <s v="OK"/>
    <s v="OK"/>
    <x v="3"/>
  </r>
  <r>
    <d v="2019-07-06T00:00:00"/>
    <x v="23"/>
    <n v="20.7"/>
    <n v="29"/>
    <m/>
    <x v="0"/>
    <m/>
    <m/>
    <x v="0"/>
  </r>
  <r>
    <d v="2019-07-07T00:00:00"/>
    <x v="79"/>
    <n v="20.7"/>
    <n v="28.6"/>
    <n v="1"/>
    <x v="1"/>
    <s v="OK"/>
    <s v="OK"/>
    <x v="3"/>
  </r>
  <r>
    <d v="2019-07-08T00:00:00"/>
    <x v="33"/>
    <n v="20.6"/>
    <n v="29.2"/>
    <n v="0"/>
    <x v="1"/>
    <s v="OK"/>
    <s v="OK"/>
    <x v="3"/>
  </r>
  <r>
    <d v="2019-07-09T00:00:00"/>
    <x v="23"/>
    <n v="20"/>
    <n v="29.5"/>
    <n v="0"/>
    <x v="1"/>
    <s v="OK"/>
    <s v="OK"/>
    <x v="3"/>
  </r>
  <r>
    <d v="2019-07-10T00:00:00"/>
    <x v="78"/>
    <n v="19.5"/>
    <n v="29.6"/>
    <n v="0"/>
    <x v="1"/>
    <s v="OK"/>
    <s v="OK"/>
    <x v="3"/>
  </r>
  <r>
    <d v="2019-07-11T00:00:00"/>
    <x v="18"/>
    <n v="20.2"/>
    <n v="29.4"/>
    <n v="0"/>
    <x v="1"/>
    <s v="OK"/>
    <s v="OK"/>
    <x v="3"/>
  </r>
  <r>
    <d v="2019-07-12T00:00:00"/>
    <x v="43"/>
    <n v="20.8"/>
    <n v="31.4"/>
    <n v="7.1"/>
    <x v="1"/>
    <s v="OK"/>
    <s v="OK"/>
    <x v="3"/>
  </r>
  <r>
    <d v="2019-07-13T00:00:00"/>
    <x v="71"/>
    <n v="21"/>
    <n v="31.2"/>
    <n v="2.5"/>
    <x v="1"/>
    <s v="OK"/>
    <s v="OK"/>
    <x v="3"/>
  </r>
  <r>
    <d v="2019-07-14T00:00:00"/>
    <x v="82"/>
    <n v="21.3"/>
    <n v="30"/>
    <n v="1"/>
    <x v="1"/>
    <s v="OK"/>
    <s v="OK"/>
    <x v="3"/>
  </r>
  <r>
    <d v="2019-07-15T00:00:00"/>
    <x v="18"/>
    <n v="21.4"/>
    <n v="30.8"/>
    <n v="0.3"/>
    <x v="1"/>
    <s v="OK"/>
    <s v="OK"/>
    <x v="3"/>
  </r>
  <r>
    <d v="2019-07-16T00:00:00"/>
    <x v="34"/>
    <n v="21"/>
    <n v="30.4"/>
    <n v="3"/>
    <x v="1"/>
    <s v="OK"/>
    <s v="OK"/>
    <x v="3"/>
  </r>
  <r>
    <d v="2019-07-17T00:00:00"/>
    <x v="34"/>
    <n v="21"/>
    <n v="30.3"/>
    <n v="3"/>
    <x v="1"/>
    <s v="OK"/>
    <s v="OK"/>
    <x v="3"/>
  </r>
  <r>
    <d v="2019-07-18T00:00:00"/>
    <x v="77"/>
    <n v="21.4"/>
    <n v="29.3"/>
    <n v="40.4"/>
    <x v="1"/>
    <s v="OK"/>
    <s v="OK"/>
    <x v="3"/>
  </r>
  <r>
    <d v="2019-07-19T00:00:00"/>
    <x v="76"/>
    <n v="21.6"/>
    <n v="28.4"/>
    <n v="1"/>
    <x v="1"/>
    <s v="OK"/>
    <s v="OK"/>
    <x v="3"/>
  </r>
  <r>
    <d v="2019-07-20T00:00:00"/>
    <x v="24"/>
    <n v="20.6"/>
    <n v="28.4"/>
    <n v="1.3"/>
    <x v="1"/>
    <s v="OK"/>
    <s v="OK"/>
    <x v="3"/>
  </r>
  <r>
    <d v="2019-07-21T00:00:00"/>
    <x v="83"/>
    <n v="20.6"/>
    <n v="27.7"/>
    <n v="0"/>
    <x v="1"/>
    <s v="OK"/>
    <s v="OK"/>
    <x v="3"/>
  </r>
  <r>
    <d v="2019-07-22T00:00:00"/>
    <x v="26"/>
    <n v="19.899999999999999"/>
    <n v="27.6"/>
    <n v="3.3"/>
    <x v="1"/>
    <s v="OK"/>
    <s v="OK"/>
    <x v="3"/>
  </r>
  <r>
    <d v="2019-07-23T00:00:00"/>
    <x v="7"/>
    <n v="19.2"/>
    <n v="26"/>
    <n v="14"/>
    <x v="1"/>
    <s v="OK"/>
    <s v="OK"/>
    <x v="3"/>
  </r>
  <r>
    <d v="2019-07-24T00:00:00"/>
    <x v="77"/>
    <n v="20"/>
    <n v="29.7"/>
    <n v="0.3"/>
    <x v="1"/>
    <s v="OK"/>
    <s v="OK"/>
    <x v="3"/>
  </r>
  <r>
    <d v="2019-07-25T00:00:00"/>
    <x v="23"/>
    <n v="21.3"/>
    <n v="29.5"/>
    <n v="1"/>
    <x v="1"/>
    <s v="OK"/>
    <s v="OK"/>
    <x v="3"/>
  </r>
  <r>
    <d v="2019-07-26T00:00:00"/>
    <x v="15"/>
    <n v="20.6"/>
    <n v="28.5"/>
    <n v="11.2"/>
    <x v="1"/>
    <s v="OK"/>
    <s v="OK"/>
    <x v="3"/>
  </r>
  <r>
    <d v="2019-07-27T00:00:00"/>
    <x v="74"/>
    <n v="20.399999999999999"/>
    <n v="28.3"/>
    <n v="0"/>
    <x v="1"/>
    <s v="OK"/>
    <s v="OK"/>
    <x v="3"/>
  </r>
  <r>
    <d v="2019-07-28T00:00:00"/>
    <x v="24"/>
    <n v="20.6"/>
    <n v="29"/>
    <n v="0"/>
    <x v="1"/>
    <s v="OK"/>
    <s v="OK"/>
    <x v="3"/>
  </r>
  <r>
    <d v="2019-07-29T00:00:00"/>
    <x v="24"/>
    <n v="20.8"/>
    <n v="28.2"/>
    <n v="0"/>
    <x v="1"/>
    <s v="OK"/>
    <s v="OK"/>
    <x v="3"/>
  </r>
  <r>
    <d v="2019-07-30T00:00:00"/>
    <x v="22"/>
    <n v="20.100000000000001"/>
    <n v="27.6"/>
    <n v="0"/>
    <x v="1"/>
    <s v="OK"/>
    <s v="OK"/>
    <x v="3"/>
  </r>
  <r>
    <d v="2019-07-31T00:00:00"/>
    <x v="18"/>
    <n v="19.8"/>
    <n v="30.4"/>
    <m/>
    <x v="0"/>
    <m/>
    <m/>
    <x v="0"/>
  </r>
  <r>
    <d v="2019-08-01T00:00:00"/>
    <x v="82"/>
    <n v="20.5"/>
    <n v="29.9"/>
    <m/>
    <x v="0"/>
    <m/>
    <m/>
    <x v="0"/>
  </r>
  <r>
    <d v="2019-08-02T00:00:00"/>
    <x v="76"/>
    <n v="20.5"/>
    <n v="30.4"/>
    <m/>
    <x v="0"/>
    <m/>
    <m/>
    <x v="0"/>
  </r>
  <r>
    <d v="2019-08-03T00:00:00"/>
    <x v="23"/>
    <n v="20.399999999999999"/>
    <n v="29.3"/>
    <m/>
    <x v="0"/>
    <m/>
    <m/>
    <x v="0"/>
  </r>
  <r>
    <d v="2019-08-04T00:00:00"/>
    <x v="23"/>
    <n v="21"/>
    <n v="28.8"/>
    <m/>
    <x v="0"/>
    <m/>
    <m/>
    <x v="0"/>
  </r>
  <r>
    <d v="2019-08-05T00:00:00"/>
    <x v="14"/>
    <n v="20.6"/>
    <n v="27.9"/>
    <n v="2"/>
    <x v="1"/>
    <s v="OK"/>
    <s v="OK"/>
    <x v="3"/>
  </r>
  <r>
    <d v="2019-08-06T00:00:00"/>
    <x v="3"/>
    <n v="20"/>
    <n v="25.6"/>
    <n v="2.8"/>
    <x v="1"/>
    <s v="OK"/>
    <s v="OK"/>
    <x v="3"/>
  </r>
  <r>
    <d v="2019-08-07T00:00:00"/>
    <x v="6"/>
    <n v="20.3"/>
    <n v="25.4"/>
    <n v="2"/>
    <x v="1"/>
    <s v="OK"/>
    <s v="OK"/>
    <x v="3"/>
  </r>
  <r>
    <d v="2019-08-08T00:00:00"/>
    <x v="7"/>
    <n v="20.8"/>
    <n v="25.2"/>
    <n v="3"/>
    <x v="1"/>
    <s v="OK"/>
    <s v="OK"/>
    <x v="3"/>
  </r>
  <r>
    <d v="2019-08-09T00:00:00"/>
    <x v="3"/>
    <n v="20.3"/>
    <n v="25.7"/>
    <n v="21.1"/>
    <x v="1"/>
    <s v="OK"/>
    <s v="OK"/>
    <x v="3"/>
  </r>
  <r>
    <d v="2019-08-10T00:00:00"/>
    <x v="16"/>
    <n v="19.8"/>
    <n v="26.2"/>
    <n v="0.8"/>
    <x v="1"/>
    <s v="OK"/>
    <s v="OK"/>
    <x v="3"/>
  </r>
  <r>
    <d v="2019-08-11T00:00:00"/>
    <x v="83"/>
    <n v="20"/>
    <n v="28.5"/>
    <n v="0"/>
    <x v="1"/>
    <s v="OK"/>
    <s v="OK"/>
    <x v="3"/>
  </r>
  <r>
    <d v="2019-08-12T00:00:00"/>
    <x v="78"/>
    <n v="20.2"/>
    <n v="27.5"/>
    <n v="6.1"/>
    <x v="1"/>
    <s v="OK"/>
    <s v="OK"/>
    <x v="3"/>
  </r>
  <r>
    <d v="2019-08-13T00:00:00"/>
    <x v="20"/>
    <n v="20.6"/>
    <n v="27.6"/>
    <n v="19.100000000000001"/>
    <x v="1"/>
    <s v="OK"/>
    <s v="OK"/>
    <x v="3"/>
  </r>
  <r>
    <d v="2019-08-14T00:00:00"/>
    <x v="80"/>
    <n v="20.7"/>
    <n v="27.4"/>
    <n v="0.3"/>
    <x v="1"/>
    <s v="OK"/>
    <s v="OK"/>
    <x v="3"/>
  </r>
  <r>
    <d v="2019-08-15T00:00:00"/>
    <x v="78"/>
    <n v="20.5"/>
    <n v="28.4"/>
    <n v="9.1"/>
    <x v="1"/>
    <s v="OK"/>
    <s v="OK"/>
    <x v="3"/>
  </r>
  <r>
    <d v="2019-08-16T00:00:00"/>
    <x v="20"/>
    <n v="20.8"/>
    <n v="29.2"/>
    <n v="0"/>
    <x v="1"/>
    <s v="OK"/>
    <s v="OK"/>
    <x v="3"/>
  </r>
  <r>
    <d v="2019-08-17T00:00:00"/>
    <x v="26"/>
    <n v="20"/>
    <n v="28.6"/>
    <n v="3"/>
    <x v="1"/>
    <s v="OK"/>
    <s v="OK"/>
    <x v="3"/>
  </r>
  <r>
    <d v="2019-08-18T00:00:00"/>
    <x v="12"/>
    <n v="20.6"/>
    <n v="24.8"/>
    <n v="24.1"/>
    <x v="1"/>
    <s v="OK"/>
    <s v="OK"/>
    <x v="3"/>
  </r>
  <r>
    <d v="2019-08-19T00:00:00"/>
    <x v="21"/>
    <n v="20.3"/>
    <n v="28.8"/>
    <n v="11.7"/>
    <x v="1"/>
    <s v="OK"/>
    <s v="OK"/>
    <x v="3"/>
  </r>
  <r>
    <d v="2019-08-20T00:00:00"/>
    <x v="80"/>
    <n v="20.100000000000001"/>
    <n v="29"/>
    <n v="17.5"/>
    <x v="1"/>
    <s v="OK"/>
    <s v="OK"/>
    <x v="3"/>
  </r>
  <r>
    <d v="2019-08-21T00:00:00"/>
    <x v="78"/>
    <n v="20.8"/>
    <n v="27.4"/>
    <n v="16.5"/>
    <x v="1"/>
    <s v="OK"/>
    <s v="OK"/>
    <x v="3"/>
  </r>
  <r>
    <d v="2019-08-22T00:00:00"/>
    <x v="16"/>
    <n v="20.8"/>
    <n v="27.3"/>
    <n v="0"/>
    <x v="1"/>
    <s v="OK"/>
    <s v="OK"/>
    <x v="3"/>
  </r>
  <r>
    <d v="2019-08-23T00:00:00"/>
    <x v="16"/>
    <n v="20.3"/>
    <n v="27.5"/>
    <n v="5.3"/>
    <x v="1"/>
    <s v="OK"/>
    <s v="OK"/>
    <x v="3"/>
  </r>
  <r>
    <d v="2019-08-24T00:00:00"/>
    <x v="16"/>
    <n v="20"/>
    <n v="27.6"/>
    <n v="1.5"/>
    <x v="1"/>
    <s v="OK"/>
    <s v="OK"/>
    <x v="3"/>
  </r>
  <r>
    <d v="2019-08-25T00:00:00"/>
    <x v="83"/>
    <n v="20"/>
    <n v="28.4"/>
    <n v="0"/>
    <x v="1"/>
    <s v="OK"/>
    <s v="OK"/>
    <x v="3"/>
  </r>
  <r>
    <d v="2019-08-26T00:00:00"/>
    <x v="83"/>
    <n v="20"/>
    <n v="28.3"/>
    <n v="0"/>
    <x v="1"/>
    <s v="OK"/>
    <s v="OK"/>
    <x v="3"/>
  </r>
  <r>
    <d v="2019-08-27T00:00:00"/>
    <x v="19"/>
    <n v="20.399999999999999"/>
    <n v="29.4"/>
    <n v="0.3"/>
    <x v="1"/>
    <s v="OK"/>
    <s v="OK"/>
    <x v="3"/>
  </r>
  <r>
    <d v="2019-08-28T00:00:00"/>
    <x v="17"/>
    <n v="20"/>
    <n v="29"/>
    <n v="0"/>
    <x v="1"/>
    <s v="OK"/>
    <s v="OK"/>
    <x v="3"/>
  </r>
  <r>
    <d v="2019-08-29T00:00:00"/>
    <x v="74"/>
    <n v="20.6"/>
    <n v="29.3"/>
    <n v="0"/>
    <x v="1"/>
    <s v="OK"/>
    <s v="OK"/>
    <x v="3"/>
  </r>
  <r>
    <d v="2019-08-30T00:00:00"/>
    <x v="77"/>
    <n v="20.6"/>
    <n v="29"/>
    <n v="0"/>
    <x v="1"/>
    <s v="OK"/>
    <s v="OK"/>
    <x v="3"/>
  </r>
  <r>
    <d v="2019-08-31T00:00:00"/>
    <x v="83"/>
    <n v="20.399999999999999"/>
    <n v="28.7"/>
    <n v="0"/>
    <x v="1"/>
    <s v="OK"/>
    <s v="OK"/>
    <x v="3"/>
  </r>
  <r>
    <d v="2019-09-01T00:00:00"/>
    <x v="83"/>
    <n v="20.100000000000001"/>
    <n v="26.4"/>
    <n v="0"/>
    <x v="1"/>
    <s v="OK"/>
    <s v="OK"/>
    <x v="3"/>
  </r>
  <r>
    <d v="2019-09-02T00:00:00"/>
    <x v="2"/>
    <n v="20.3"/>
    <n v="26.8"/>
    <n v="0.5"/>
    <x v="1"/>
    <s v="OK"/>
    <s v="OK"/>
    <x v="3"/>
  </r>
  <r>
    <d v="2019-09-03T00:00:00"/>
    <x v="26"/>
    <n v="20.100000000000001"/>
    <n v="26.4"/>
    <n v="13"/>
    <x v="1"/>
    <s v="OK"/>
    <s v="OK"/>
    <x v="3"/>
  </r>
  <r>
    <d v="2019-09-04T00:00:00"/>
    <x v="26"/>
    <n v="20.3"/>
    <n v="26.4"/>
    <n v="4.5999999999999996"/>
    <x v="1"/>
    <s v="OK"/>
    <s v="OK"/>
    <x v="3"/>
  </r>
  <r>
    <d v="2019-09-05T00:00:00"/>
    <x v="15"/>
    <n v="20.399999999999999"/>
    <n v="27.8"/>
    <n v="0"/>
    <x v="1"/>
    <s v="OK"/>
    <s v="OK"/>
    <x v="3"/>
  </r>
  <r>
    <d v="2019-09-06T00:00:00"/>
    <x v="80"/>
    <n v="20.399999999999999"/>
    <n v="27.4"/>
    <n v="0.5"/>
    <x v="1"/>
    <s v="OK"/>
    <s v="OK"/>
    <x v="3"/>
  </r>
  <r>
    <d v="2019-09-07T00:00:00"/>
    <x v="78"/>
    <n v="20.399999999999999"/>
    <n v="27.3"/>
    <n v="2.2999999999999998"/>
    <x v="1"/>
    <s v="OK"/>
    <s v="OK"/>
    <x v="3"/>
  </r>
  <r>
    <d v="2019-09-08T00:00:00"/>
    <x v="76"/>
    <n v="20.8"/>
    <n v="27.8"/>
    <n v="0.3"/>
    <x v="1"/>
    <s v="OK"/>
    <s v="OK"/>
    <x v="3"/>
  </r>
  <r>
    <d v="2019-09-09T00:00:00"/>
    <x v="74"/>
    <n v="21"/>
    <n v="27.5"/>
    <n v="0.3"/>
    <x v="1"/>
    <s v="OK"/>
    <s v="OK"/>
    <x v="3"/>
  </r>
  <r>
    <d v="2019-09-10T00:00:00"/>
    <x v="18"/>
    <n v="20.6"/>
    <n v="27.9"/>
    <n v="0"/>
    <x v="1"/>
    <s v="OK"/>
    <s v="OK"/>
    <x v="3"/>
  </r>
  <r>
    <d v="2019-09-11T00:00:00"/>
    <x v="74"/>
    <n v="21.3"/>
    <n v="28"/>
    <m/>
    <x v="0"/>
    <m/>
    <m/>
    <x v="0"/>
  </r>
  <r>
    <d v="2019-09-12T00:00:00"/>
    <x v="75"/>
    <n v="21"/>
    <n v="29.6"/>
    <n v="0"/>
    <x v="1"/>
    <s v="OK"/>
    <s v="OK"/>
    <x v="3"/>
  </r>
  <r>
    <d v="2019-09-13T00:00:00"/>
    <x v="82"/>
    <n v="21"/>
    <n v="29.8"/>
    <n v="0.5"/>
    <x v="1"/>
    <s v="OK"/>
    <s v="OK"/>
    <x v="3"/>
  </r>
  <r>
    <d v="2019-09-14T00:00:00"/>
    <x v="42"/>
    <n v="21.2"/>
    <n v="30.2"/>
    <n v="0"/>
    <x v="1"/>
    <s v="OK"/>
    <s v="OK"/>
    <x v="3"/>
  </r>
  <r>
    <d v="2019-09-15T00:00:00"/>
    <x v="34"/>
    <n v="21.3"/>
    <n v="30.7"/>
    <n v="0"/>
    <x v="1"/>
    <s v="OK"/>
    <s v="OK"/>
    <x v="3"/>
  </r>
  <r>
    <d v="2019-09-16T00:00:00"/>
    <x v="78"/>
    <n v="20.2"/>
    <n v="29.5"/>
    <n v="0.3"/>
    <x v="1"/>
    <s v="OK"/>
    <s v="OK"/>
    <x v="3"/>
  </r>
  <r>
    <d v="2019-09-17T00:00:00"/>
    <x v="78"/>
    <n v="20.2"/>
    <n v="28.8"/>
    <n v="30.7"/>
    <x v="1"/>
    <s v="OK"/>
    <s v="OK"/>
    <x v="3"/>
  </r>
  <r>
    <d v="2019-09-18T00:00:00"/>
    <x v="19"/>
    <n v="21.6"/>
    <n v="27.8"/>
    <n v="0.5"/>
    <x v="1"/>
    <s v="OK"/>
    <s v="OK"/>
    <x v="3"/>
  </r>
  <r>
    <d v="2019-09-19T00:00:00"/>
    <x v="18"/>
    <n v="21.2"/>
    <n v="27.8"/>
    <n v="0.3"/>
    <x v="1"/>
    <s v="OK"/>
    <s v="OK"/>
    <x v="3"/>
  </r>
  <r>
    <d v="2019-09-20T00:00:00"/>
    <x v="18"/>
    <n v="20.6"/>
    <n v="29"/>
    <n v="1.8"/>
    <x v="1"/>
    <s v="OK"/>
    <s v="OK"/>
    <x v="3"/>
  </r>
  <r>
    <d v="2019-09-21T00:00:00"/>
    <x v="71"/>
    <n v="21.2"/>
    <n v="29.8"/>
    <n v="0"/>
    <x v="1"/>
    <s v="OK"/>
    <s v="OK"/>
    <x v="3"/>
  </r>
  <r>
    <d v="2019-09-22T00:00:00"/>
    <x v="78"/>
    <n v="21.2"/>
    <n v="30.8"/>
    <n v="7.9"/>
    <x v="1"/>
    <s v="OK"/>
    <s v="OK"/>
    <x v="3"/>
  </r>
  <r>
    <d v="2019-09-23T00:00:00"/>
    <x v="17"/>
    <n v="20.6"/>
    <n v="28.8"/>
    <n v="13"/>
    <x v="1"/>
    <s v="OK"/>
    <s v="OK"/>
    <x v="3"/>
  </r>
  <r>
    <d v="2019-09-24T00:00:00"/>
    <x v="21"/>
    <n v="19.7"/>
    <n v="28.7"/>
    <n v="29.7"/>
    <x v="1"/>
    <s v="OK"/>
    <s v="OK"/>
    <x v="3"/>
  </r>
  <r>
    <d v="2019-09-25T00:00:00"/>
    <x v="78"/>
    <n v="20.8"/>
    <n v="28.8"/>
    <n v="23.6"/>
    <x v="1"/>
    <s v="OK"/>
    <s v="OK"/>
    <x v="3"/>
  </r>
  <r>
    <d v="2019-09-26T00:00:00"/>
    <x v="19"/>
    <n v="20.2"/>
    <n v="28"/>
    <n v="1.8"/>
    <x v="1"/>
    <s v="OK"/>
    <s v="OK"/>
    <x v="3"/>
  </r>
  <r>
    <d v="2019-09-27T00:00:00"/>
    <x v="19"/>
    <n v="21"/>
    <n v="29.8"/>
    <n v="0"/>
    <x v="1"/>
    <s v="OK"/>
    <s v="OK"/>
    <x v="3"/>
  </r>
  <r>
    <d v="2019-09-28T00:00:00"/>
    <x v="82"/>
    <n v="21.1"/>
    <n v="29.1"/>
    <n v="6.1"/>
    <x v="1"/>
    <s v="OK"/>
    <s v="OK"/>
    <x v="3"/>
  </r>
  <r>
    <d v="2019-09-29T00:00:00"/>
    <x v="82"/>
    <n v="21.1"/>
    <n v="30"/>
    <n v="0"/>
    <x v="1"/>
    <s v="OK"/>
    <s v="OK"/>
    <x v="3"/>
  </r>
  <r>
    <d v="2019-09-30T00:00:00"/>
    <x v="71"/>
    <n v="21.4"/>
    <n v="30.2"/>
    <m/>
    <x v="0"/>
    <m/>
    <m/>
    <x v="0"/>
  </r>
  <r>
    <d v="2019-10-01T00:00:00"/>
    <x v="21"/>
    <n v="21.4"/>
    <n v="30.3"/>
    <m/>
    <x v="0"/>
    <m/>
    <m/>
    <x v="0"/>
  </r>
  <r>
    <d v="2019-10-02T00:00:00"/>
    <x v="23"/>
    <n v="18.600000000000001"/>
    <n v="29.1"/>
    <n v="22.1"/>
    <x v="1"/>
    <s v="OK"/>
    <s v="OK"/>
    <x v="3"/>
  </r>
  <r>
    <d v="2019-10-03T00:00:00"/>
    <x v="21"/>
    <n v="19.2"/>
    <n v="30.4"/>
    <n v="7.9"/>
    <x v="1"/>
    <s v="OK"/>
    <s v="OK"/>
    <x v="3"/>
  </r>
  <r>
    <d v="2019-10-04T00:00:00"/>
    <x v="83"/>
    <n v="19.600000000000001"/>
    <n v="28.3"/>
    <n v="2.2999999999999998"/>
    <x v="1"/>
    <s v="OK"/>
    <s v="OK"/>
    <x v="3"/>
  </r>
  <r>
    <d v="2019-10-05T00:00:00"/>
    <x v="21"/>
    <n v="19.899999999999999"/>
    <n v="29.4"/>
    <n v="8.6"/>
    <x v="1"/>
    <s v="OK"/>
    <s v="OK"/>
    <x v="3"/>
  </r>
  <r>
    <d v="2019-10-06T00:00:00"/>
    <x v="77"/>
    <n v="20.6"/>
    <n v="28.7"/>
    <n v="0.5"/>
    <x v="1"/>
    <s v="OK"/>
    <s v="OK"/>
    <x v="3"/>
  </r>
  <r>
    <d v="2019-10-07T00:00:00"/>
    <x v="74"/>
    <n v="21.3"/>
    <n v="29.6"/>
    <n v="0"/>
    <x v="1"/>
    <s v="OK"/>
    <s v="OK"/>
    <x v="3"/>
  </r>
  <r>
    <d v="2019-10-08T00:00:00"/>
    <x v="13"/>
    <n v="19.2"/>
    <n v="29.2"/>
    <n v="0"/>
    <x v="1"/>
    <s v="OK"/>
    <s v="OK"/>
    <x v="3"/>
  </r>
  <r>
    <d v="2019-10-09T00:00:00"/>
    <x v="77"/>
    <n v="19.3"/>
    <n v="30.1"/>
    <n v="5.6"/>
    <x v="1"/>
    <s v="OK"/>
    <s v="OK"/>
    <x v="3"/>
  </r>
  <r>
    <d v="2019-10-10T00:00:00"/>
    <x v="82"/>
    <n v="20.7"/>
    <n v="30"/>
    <n v="0"/>
    <x v="1"/>
    <s v="OK"/>
    <s v="OK"/>
    <x v="3"/>
  </r>
  <r>
    <d v="2019-10-11T00:00:00"/>
    <x v="33"/>
    <n v="21.8"/>
    <n v="30"/>
    <n v="0"/>
    <x v="1"/>
    <s v="OK"/>
    <s v="OK"/>
    <x v="3"/>
  </r>
  <r>
    <d v="2019-10-12T00:00:00"/>
    <x v="73"/>
    <n v="21.5"/>
    <n v="29.6"/>
    <n v="0.5"/>
    <x v="1"/>
    <s v="OK"/>
    <s v="OK"/>
    <x v="3"/>
  </r>
  <r>
    <d v="2019-10-13T00:00:00"/>
    <x v="72"/>
    <n v="21.5"/>
    <n v="29.8"/>
    <n v="0"/>
    <x v="1"/>
    <s v="OK"/>
    <s v="OK"/>
    <x v="3"/>
  </r>
  <r>
    <d v="2019-10-14T00:00:00"/>
    <x v="29"/>
    <n v="21.6"/>
    <n v="29.6"/>
    <n v="0"/>
    <x v="1"/>
    <s v="OK"/>
    <s v="OK"/>
    <x v="3"/>
  </r>
  <r>
    <d v="2019-10-15T00:00:00"/>
    <x v="82"/>
    <n v="21.6"/>
    <n v="30.7"/>
    <n v="0"/>
    <x v="1"/>
    <s v="OK"/>
    <s v="OK"/>
    <x v="3"/>
  </r>
  <r>
    <d v="2019-10-16T00:00:00"/>
    <x v="79"/>
    <n v="21.2"/>
    <n v="30"/>
    <n v="0"/>
    <x v="1"/>
    <s v="OK"/>
    <s v="OK"/>
    <x v="3"/>
  </r>
  <r>
    <d v="2019-10-17T00:00:00"/>
    <x v="14"/>
    <n v="20.8"/>
    <n v="28.4"/>
    <n v="0"/>
    <x v="1"/>
    <s v="OK"/>
    <s v="OK"/>
    <x v="3"/>
  </r>
  <r>
    <d v="2019-10-18T00:00:00"/>
    <x v="83"/>
    <n v="20.2"/>
    <n v="26.8"/>
    <n v="3.8"/>
    <x v="1"/>
    <s v="OK"/>
    <s v="OK"/>
    <x v="3"/>
  </r>
  <r>
    <d v="2019-10-19T00:00:00"/>
    <x v="24"/>
    <n v="20.2"/>
    <n v="27.6"/>
    <n v="8.9"/>
    <x v="1"/>
    <s v="OK"/>
    <s v="OK"/>
    <x v="3"/>
  </r>
  <r>
    <d v="2019-10-20T00:00:00"/>
    <x v="13"/>
    <n v="21"/>
    <n v="27.9"/>
    <n v="0"/>
    <x v="1"/>
    <s v="OK"/>
    <s v="OK"/>
    <x v="3"/>
  </r>
  <r>
    <d v="2019-10-21T00:00:00"/>
    <x v="26"/>
    <n v="20.6"/>
    <n v="28.6"/>
    <n v="7.9"/>
    <x v="1"/>
    <s v="OK"/>
    <s v="OK"/>
    <x v="3"/>
  </r>
  <r>
    <d v="2019-10-22T00:00:00"/>
    <x v="87"/>
    <n v="20.3"/>
    <n v="27.1"/>
    <n v="38.9"/>
    <x v="1"/>
    <s v="OK"/>
    <s v="OK"/>
    <x v="3"/>
  </r>
  <r>
    <d v="2019-10-23T00:00:00"/>
    <x v="80"/>
    <n v="19.8"/>
    <n v="28"/>
    <n v="13.2"/>
    <x v="1"/>
    <s v="OK"/>
    <s v="OK"/>
    <x v="3"/>
  </r>
  <r>
    <d v="2019-10-24T00:00:00"/>
    <x v="84"/>
    <n v="20"/>
    <n v="27.6"/>
    <n v="0"/>
    <x v="1"/>
    <s v="OK"/>
    <s v="OK"/>
    <x v="3"/>
  </r>
  <r>
    <d v="2019-10-25T00:00:00"/>
    <x v="25"/>
    <n v="19.600000000000001"/>
    <n v="26.7"/>
    <n v="0"/>
    <x v="1"/>
    <s v="OK"/>
    <s v="OK"/>
    <x v="3"/>
  </r>
  <r>
    <d v="2019-10-26T00:00:00"/>
    <x v="14"/>
    <n v="19"/>
    <n v="27"/>
    <n v="6.1"/>
    <x v="1"/>
    <s v="OK"/>
    <s v="OK"/>
    <x v="3"/>
  </r>
  <r>
    <d v="2019-10-27T00:00:00"/>
    <x v="2"/>
    <n v="19.399999999999999"/>
    <n v="27.8"/>
    <n v="3"/>
    <x v="1"/>
    <s v="OK"/>
    <s v="OK"/>
    <x v="3"/>
  </r>
  <r>
    <d v="2019-10-28T00:00:00"/>
    <x v="20"/>
    <n v="19.399999999999999"/>
    <n v="27.4"/>
    <n v="37.1"/>
    <x v="1"/>
    <s v="OK"/>
    <s v="OK"/>
    <x v="3"/>
  </r>
  <r>
    <d v="2019-10-29T00:00:00"/>
    <x v="7"/>
    <n v="20"/>
    <n v="27.6"/>
    <n v="0"/>
    <x v="1"/>
    <s v="OK"/>
    <s v="OK"/>
    <x v="3"/>
  </r>
  <r>
    <d v="2019-10-30T00:00:00"/>
    <x v="87"/>
    <n v="19.7"/>
    <n v="25.3"/>
    <n v="4.5999999999999996"/>
    <x v="1"/>
    <s v="OK"/>
    <s v="OK"/>
    <x v="3"/>
  </r>
  <r>
    <d v="2019-10-31T00:00:00"/>
    <x v="84"/>
    <n v="19.7"/>
    <n v="25.6"/>
    <n v="6.9"/>
    <x v="1"/>
    <s v="OK"/>
    <s v="OK"/>
    <x v="3"/>
  </r>
  <r>
    <d v="2019-11-01T00:00:00"/>
    <x v="23"/>
    <n v="18"/>
    <n v="28.8"/>
    <n v="0.3"/>
    <x v="1"/>
    <s v="OK"/>
    <s v="OK"/>
    <x v="3"/>
  </r>
  <r>
    <d v="2019-11-02T00:00:00"/>
    <x v="18"/>
    <n v="21"/>
    <n v="29.4"/>
    <n v="0"/>
    <x v="1"/>
    <s v="OK"/>
    <s v="OK"/>
    <x v="3"/>
  </r>
  <r>
    <d v="2019-11-03T00:00:00"/>
    <x v="33"/>
    <n v="20.5"/>
    <n v="29.5"/>
    <m/>
    <x v="0"/>
    <m/>
    <m/>
    <x v="0"/>
  </r>
  <r>
    <d v="2019-11-04T00:00:00"/>
    <x v="75"/>
    <n v="19.2"/>
    <n v="29.8"/>
    <m/>
    <x v="0"/>
    <m/>
    <m/>
    <x v="0"/>
  </r>
  <r>
    <d v="2019-11-05T00:00:00"/>
    <x v="74"/>
    <n v="18.2"/>
    <n v="30.8"/>
    <m/>
    <x v="0"/>
    <m/>
    <m/>
    <x v="0"/>
  </r>
  <r>
    <d v="2019-11-06T00:00:00"/>
    <x v="74"/>
    <n v="19.2"/>
    <n v="30.4"/>
    <m/>
    <x v="0"/>
    <m/>
    <m/>
    <x v="0"/>
  </r>
  <r>
    <d v="2019-11-07T00:00:00"/>
    <x v="82"/>
    <n v="19.600000000000001"/>
    <n v="30.9"/>
    <m/>
    <x v="0"/>
    <m/>
    <m/>
    <x v="0"/>
  </r>
  <r>
    <d v="2019-11-08T00:00:00"/>
    <x v="33"/>
    <n v="18.8"/>
    <n v="29.4"/>
    <n v="3"/>
    <x v="1"/>
    <s v="OK"/>
    <s v="OK"/>
    <x v="3"/>
  </r>
  <r>
    <d v="2019-11-09T00:00:00"/>
    <x v="77"/>
    <n v="20.3"/>
    <n v="29.2"/>
    <n v="0"/>
    <x v="1"/>
    <s v="OK"/>
    <s v="OK"/>
    <x v="3"/>
  </r>
  <r>
    <d v="2019-11-10T00:00:00"/>
    <x v="27"/>
    <n v="20.399999999999999"/>
    <n v="29.9"/>
    <n v="49.5"/>
    <x v="1"/>
    <s v="OK"/>
    <s v="OK"/>
    <x v="3"/>
  </r>
  <r>
    <d v="2019-11-11T00:00:00"/>
    <x v="23"/>
    <n v="19.7"/>
    <n v="29.8"/>
    <n v="0"/>
    <x v="1"/>
    <s v="OK"/>
    <s v="OK"/>
    <x v="3"/>
  </r>
  <r>
    <d v="2019-11-12T00:00:00"/>
    <x v="20"/>
    <n v="18.8"/>
    <n v="28.6"/>
    <m/>
    <x v="0"/>
    <m/>
    <m/>
    <x v="0"/>
  </r>
  <r>
    <d v="2019-11-13T00:00:00"/>
    <x v="22"/>
    <n v="18.5"/>
    <n v="28"/>
    <m/>
    <x v="0"/>
    <m/>
    <m/>
    <x v="0"/>
  </r>
  <r>
    <d v="2019-11-14T00:00:00"/>
    <x v="2"/>
    <n v="18.8"/>
    <n v="28.8"/>
    <m/>
    <x v="0"/>
    <m/>
    <m/>
    <x v="0"/>
  </r>
  <r>
    <d v="2019-11-15T00:00:00"/>
    <x v="16"/>
    <n v="19.600000000000001"/>
    <n v="26.8"/>
    <n v="2.8"/>
    <x v="1"/>
    <s v="OK"/>
    <s v="OK"/>
    <x v="3"/>
  </r>
  <r>
    <d v="2019-11-16T00:00:00"/>
    <x v="21"/>
    <n v="20.399999999999999"/>
    <n v="26.2"/>
    <n v="0.5"/>
    <x v="1"/>
    <s v="OK"/>
    <s v="OK"/>
    <x v="3"/>
  </r>
  <r>
    <d v="2019-11-17T00:00:00"/>
    <x v="75"/>
    <n v="19.5"/>
    <n v="29.2"/>
    <n v="0"/>
    <x v="1"/>
    <s v="OK"/>
    <s v="OK"/>
    <x v="3"/>
  </r>
  <r>
    <d v="2019-11-18T00:00:00"/>
    <x v="23"/>
    <n v="20"/>
    <n v="29.6"/>
    <m/>
    <x v="0"/>
    <m/>
    <m/>
    <x v="0"/>
  </r>
  <r>
    <d v="2019-11-19T00:00:00"/>
    <x v="76"/>
    <n v="19.8"/>
    <n v="29.4"/>
    <n v="0"/>
    <x v="1"/>
    <s v="OK"/>
    <s v="OK"/>
    <x v="3"/>
  </r>
  <r>
    <d v="2019-11-20T00:00:00"/>
    <x v="2"/>
    <n v="19.8"/>
    <n v="29.8"/>
    <m/>
    <x v="0"/>
    <m/>
    <m/>
    <x v="0"/>
  </r>
  <r>
    <d v="2019-11-21T00:00:00"/>
    <x v="14"/>
    <n v="20.399999999999999"/>
    <n v="27.6"/>
    <n v="2.5"/>
    <x v="1"/>
    <s v="OK"/>
    <s v="OK"/>
    <x v="3"/>
  </r>
  <r>
    <d v="2019-11-22T00:00:00"/>
    <x v="2"/>
    <n v="19.2"/>
    <n v="25.6"/>
    <n v="0"/>
    <x v="1"/>
    <s v="OK"/>
    <s v="OK"/>
    <x v="3"/>
  </r>
  <r>
    <d v="2019-11-23T00:00:00"/>
    <x v="78"/>
    <n v="17.3"/>
    <n v="28"/>
    <n v="0"/>
    <x v="1"/>
    <s v="OK"/>
    <s v="OK"/>
    <x v="3"/>
  </r>
  <r>
    <d v="2019-11-24T00:00:00"/>
    <x v="84"/>
    <n v="18.2"/>
    <n v="29.2"/>
    <m/>
    <x v="0"/>
    <m/>
    <m/>
    <x v="0"/>
  </r>
  <r>
    <d v="2019-11-25T00:00:00"/>
    <x v="14"/>
    <n v="18.600000000000001"/>
    <n v="28.5"/>
    <m/>
    <x v="0"/>
    <m/>
    <m/>
    <x v="0"/>
  </r>
  <r>
    <d v="2019-11-26T00:00:00"/>
    <x v="16"/>
    <n v="16.7"/>
    <n v="27.3"/>
    <m/>
    <x v="0"/>
    <m/>
    <m/>
    <x v="0"/>
  </r>
  <r>
    <d v="2019-11-27T00:00:00"/>
    <x v="4"/>
    <n v="20"/>
    <n v="28.3"/>
    <n v="0.3"/>
    <x v="1"/>
    <s v="OK"/>
    <s v="OK"/>
    <x v="3"/>
  </r>
  <r>
    <d v="2019-11-28T00:00:00"/>
    <x v="15"/>
    <n v="19.2"/>
    <n v="27.8"/>
    <n v="0"/>
    <x v="1"/>
    <s v="OK"/>
    <s v="OK"/>
    <x v="3"/>
  </r>
  <r>
    <d v="2019-11-29T00:00:00"/>
    <x v="84"/>
    <n v="19.399999999999999"/>
    <n v="28.4"/>
    <n v="0"/>
    <x v="1"/>
    <s v="OK"/>
    <s v="OK"/>
    <x v="3"/>
  </r>
  <r>
    <d v="2019-11-30T00:00:00"/>
    <x v="87"/>
    <n v="18.7"/>
    <n v="27"/>
    <n v="1.5"/>
    <x v="1"/>
    <s v="OK"/>
    <s v="OK"/>
    <x v="3"/>
  </r>
  <r>
    <d v="2019-12-01T00:00:00"/>
    <x v="8"/>
    <n v="19.399999999999999"/>
    <n v="24.6"/>
    <n v="1.8"/>
    <x v="1"/>
    <s v="OK"/>
    <s v="OK"/>
    <x v="3"/>
  </r>
  <r>
    <d v="2019-12-02T00:00:00"/>
    <x v="10"/>
    <n v="19.2"/>
    <n v="25"/>
    <n v="6.9"/>
    <x v="1"/>
    <s v="OK"/>
    <s v="OK"/>
    <x v="3"/>
  </r>
  <r>
    <d v="2019-12-03T00:00:00"/>
    <x v="89"/>
    <n v="19.399999999999999"/>
    <n v="24.5"/>
    <n v="0.5"/>
    <x v="1"/>
    <s v="OK"/>
    <s v="OK"/>
    <x v="3"/>
  </r>
  <r>
    <d v="2019-12-04T00:00:00"/>
    <x v="8"/>
    <n v="18.8"/>
    <n v="26"/>
    <n v="0"/>
    <x v="1"/>
    <s v="OK"/>
    <s v="OK"/>
    <x v="3"/>
  </r>
  <r>
    <d v="2019-12-05T00:00:00"/>
    <x v="86"/>
    <n v="18"/>
    <n v="26"/>
    <n v="0"/>
    <x v="1"/>
    <s v="OK"/>
    <s v="OK"/>
    <x v="3"/>
  </r>
  <r>
    <d v="2019-12-06T00:00:00"/>
    <x v="11"/>
    <n v="17.600000000000001"/>
    <n v="25.4"/>
    <m/>
    <x v="0"/>
    <m/>
    <m/>
    <x v="0"/>
  </r>
  <r>
    <d v="2019-12-07T00:00:00"/>
    <x v="98"/>
    <n v="15.8"/>
    <n v="24.5"/>
    <m/>
    <x v="0"/>
    <m/>
    <m/>
    <x v="0"/>
  </r>
  <r>
    <d v="2019-12-08T00:00:00"/>
    <x v="92"/>
    <n v="17.8"/>
    <n v="24.9"/>
    <n v="0.5"/>
    <x v="1"/>
    <s v="OK"/>
    <s v="OK"/>
    <x v="3"/>
  </r>
  <r>
    <d v="2019-12-09T00:00:00"/>
    <x v="25"/>
    <n v="17"/>
    <n v="26.8"/>
    <n v="0"/>
    <x v="1"/>
    <s v="OK"/>
    <s v="OK"/>
    <x v="3"/>
  </r>
  <r>
    <d v="2019-12-10T00:00:00"/>
    <x v="1"/>
    <n v="17.899999999999999"/>
    <n v="26.4"/>
    <m/>
    <x v="0"/>
    <m/>
    <m/>
    <x v="0"/>
  </r>
  <r>
    <d v="2019-12-11T00:00:00"/>
    <x v="2"/>
    <n v="16.5"/>
    <n v="26.2"/>
    <m/>
    <x v="0"/>
    <m/>
    <m/>
    <x v="0"/>
  </r>
  <r>
    <d v="2019-12-12T00:00:00"/>
    <x v="87"/>
    <n v="16.8"/>
    <n v="27.8"/>
    <m/>
    <x v="0"/>
    <m/>
    <m/>
    <x v="0"/>
  </r>
  <r>
    <d v="2019-12-13T00:00:00"/>
    <x v="26"/>
    <n v="17.399999999999999"/>
    <n v="28.2"/>
    <m/>
    <x v="0"/>
    <m/>
    <m/>
    <x v="0"/>
  </r>
  <r>
    <d v="2019-12-14T00:00:00"/>
    <x v="89"/>
    <n v="18.8"/>
    <n v="28.8"/>
    <n v="0"/>
    <x v="1"/>
    <s v="OK"/>
    <s v="OK"/>
    <x v="3"/>
  </r>
  <r>
    <d v="2019-12-15T00:00:00"/>
    <x v="12"/>
    <n v="17.600000000000001"/>
    <n v="25.8"/>
    <n v="2.8"/>
    <x v="1"/>
    <s v="OK"/>
    <s v="OK"/>
    <x v="3"/>
  </r>
  <r>
    <d v="2019-12-16T00:00:00"/>
    <x v="6"/>
    <n v="17.399999999999999"/>
    <n v="26.7"/>
    <n v="0"/>
    <x v="1"/>
    <s v="OK"/>
    <s v="OK"/>
    <x v="3"/>
  </r>
  <r>
    <d v="2019-12-17T00:00:00"/>
    <x v="10"/>
    <n v="18.399999999999999"/>
    <n v="27.6"/>
    <n v="0"/>
    <x v="1"/>
    <s v="OK"/>
    <s v="OK"/>
    <x v="3"/>
  </r>
  <r>
    <d v="2019-12-18T00:00:00"/>
    <x v="1"/>
    <n v="17"/>
    <n v="26.2"/>
    <n v="0"/>
    <x v="1"/>
    <s v="OK"/>
    <s v="OK"/>
    <x v="3"/>
  </r>
  <r>
    <d v="2019-12-19T00:00:00"/>
    <x v="9"/>
    <n v="17.8"/>
    <n v="26.4"/>
    <m/>
    <x v="0"/>
    <m/>
    <m/>
    <x v="0"/>
  </r>
  <r>
    <d v="2019-12-20T00:00:00"/>
    <x v="5"/>
    <n v="16.2"/>
    <n v="25.8"/>
    <m/>
    <x v="0"/>
    <m/>
    <m/>
    <x v="0"/>
  </r>
  <r>
    <d v="2019-12-21T00:00:00"/>
    <x v="4"/>
    <n v="18"/>
    <n v="27.8"/>
    <m/>
    <x v="0"/>
    <m/>
    <m/>
    <x v="0"/>
  </r>
  <r>
    <d v="2019-12-22T00:00:00"/>
    <x v="3"/>
    <n v="18.399999999999999"/>
    <n v="28.3"/>
    <m/>
    <x v="0"/>
    <m/>
    <m/>
    <x v="0"/>
  </r>
  <r>
    <d v="2019-12-23T00:00:00"/>
    <x v="0"/>
    <n v="18.100000000000001"/>
    <n v="28"/>
    <m/>
    <x v="0"/>
    <m/>
    <m/>
    <x v="0"/>
  </r>
  <r>
    <d v="2019-12-24T00:00:00"/>
    <x v="2"/>
    <n v="18.399999999999999"/>
    <n v="27.8"/>
    <m/>
    <x v="0"/>
    <m/>
    <m/>
    <x v="0"/>
  </r>
  <r>
    <d v="2019-12-25T00:00:00"/>
    <x v="1"/>
    <n v="18.8"/>
    <n v="28.6"/>
    <m/>
    <x v="0"/>
    <m/>
    <m/>
    <x v="0"/>
  </r>
  <r>
    <d v="2019-12-26T00:00:00"/>
    <x v="2"/>
    <n v="19"/>
    <n v="28.8"/>
    <m/>
    <x v="0"/>
    <m/>
    <m/>
    <x v="0"/>
  </r>
  <r>
    <d v="2019-12-27T00:00:00"/>
    <x v="24"/>
    <n v="18"/>
    <n v="29.6"/>
    <m/>
    <x v="0"/>
    <m/>
    <m/>
    <x v="0"/>
  </r>
  <r>
    <d v="2019-12-28T00:00:00"/>
    <x v="4"/>
    <n v="17.600000000000001"/>
    <n v="29.8"/>
    <m/>
    <x v="0"/>
    <m/>
    <m/>
    <x v="0"/>
  </r>
  <r>
    <d v="2019-12-29T00:00:00"/>
    <x v="3"/>
    <n v="16.8"/>
    <n v="28.2"/>
    <m/>
    <x v="0"/>
    <m/>
    <m/>
    <x v="0"/>
  </r>
  <r>
    <d v="2019-12-30T00:00:00"/>
    <x v="12"/>
    <n v="17.5"/>
    <n v="27.6"/>
    <m/>
    <x v="0"/>
    <m/>
    <m/>
    <x v="0"/>
  </r>
  <r>
    <d v="2019-12-31T00:00:00"/>
    <x v="4"/>
    <n v="17.5"/>
    <n v="28.1"/>
    <m/>
    <x v="0"/>
    <m/>
    <m/>
    <x v="0"/>
  </r>
  <r>
    <d v="2020-01-01T00:00:00"/>
    <x v="7"/>
    <n v="19.2"/>
    <n v="27.2"/>
    <m/>
    <x v="0"/>
    <m/>
    <m/>
    <x v="0"/>
  </r>
  <r>
    <d v="2020-01-02T00:00:00"/>
    <x v="26"/>
    <n v="19.399999999999999"/>
    <n v="27.8"/>
    <m/>
    <x v="0"/>
    <m/>
    <m/>
    <x v="0"/>
  </r>
  <r>
    <d v="2020-01-03T00:00:00"/>
    <x v="24"/>
    <n v="19.399999999999999"/>
    <n v="28.4"/>
    <m/>
    <x v="0"/>
    <m/>
    <m/>
    <x v="0"/>
  </r>
  <r>
    <d v="2020-01-04T00:00:00"/>
    <x v="76"/>
    <n v="18.600000000000001"/>
    <n v="30.5"/>
    <n v="0"/>
    <x v="1"/>
    <s v="OK"/>
    <s v="OK"/>
    <x v="4"/>
  </r>
  <r>
    <d v="2020-01-05T00:00:00"/>
    <x v="18"/>
    <n v="20.399999999999999"/>
    <n v="30.5"/>
    <m/>
    <x v="0"/>
    <m/>
    <m/>
    <x v="0"/>
  </r>
  <r>
    <d v="2020-01-06T00:00:00"/>
    <x v="6"/>
    <n v="20.399999999999999"/>
    <n v="30.8"/>
    <n v="0.3"/>
    <x v="1"/>
    <s v="OK"/>
    <s v="OK"/>
    <x v="4"/>
  </r>
  <r>
    <d v="2020-01-07T00:00:00"/>
    <x v="26"/>
    <n v="18.8"/>
    <n v="26.2"/>
    <n v="0"/>
    <x v="1"/>
    <s v="OK"/>
    <s v="OK"/>
    <x v="4"/>
  </r>
  <r>
    <d v="2020-01-08T00:00:00"/>
    <x v="16"/>
    <n v="18.2"/>
    <n v="28.3"/>
    <m/>
    <x v="0"/>
    <m/>
    <m/>
    <x v="0"/>
  </r>
  <r>
    <d v="2020-01-09T00:00:00"/>
    <x v="20"/>
    <n v="18"/>
    <n v="29.8"/>
    <m/>
    <x v="0"/>
    <m/>
    <m/>
    <x v="0"/>
  </r>
  <r>
    <d v="2020-01-10T00:00:00"/>
    <x v="6"/>
    <n v="14.8"/>
    <n v="30.4"/>
    <m/>
    <x v="0"/>
    <m/>
    <m/>
    <x v="0"/>
  </r>
  <r>
    <d v="2020-01-11T00:00:00"/>
    <x v="86"/>
    <n v="15.6"/>
    <n v="29.2"/>
    <m/>
    <x v="0"/>
    <m/>
    <m/>
    <x v="0"/>
  </r>
  <r>
    <d v="2020-01-12T00:00:00"/>
    <x v="89"/>
    <n v="15.5"/>
    <n v="28.5"/>
    <m/>
    <x v="0"/>
    <m/>
    <m/>
    <x v="0"/>
  </r>
  <r>
    <d v="2020-01-13T00:00:00"/>
    <x v="22"/>
    <n v="17.399999999999999"/>
    <n v="28.8"/>
    <m/>
    <x v="0"/>
    <m/>
    <m/>
    <x v="0"/>
  </r>
  <r>
    <d v="2020-01-14T00:00:00"/>
    <x v="4"/>
    <n v="16.399999999999999"/>
    <n v="29"/>
    <m/>
    <x v="0"/>
    <m/>
    <m/>
    <x v="0"/>
  </r>
  <r>
    <d v="2020-01-15T00:00:00"/>
    <x v="0"/>
    <n v="14.4"/>
    <n v="29.5"/>
    <m/>
    <x v="0"/>
    <m/>
    <m/>
    <x v="0"/>
  </r>
  <r>
    <d v="2020-01-16T00:00:00"/>
    <x v="3"/>
    <n v="15.3"/>
    <n v="29.5"/>
    <m/>
    <x v="0"/>
    <m/>
    <m/>
    <x v="0"/>
  </r>
  <r>
    <d v="2020-01-17T00:00:00"/>
    <x v="6"/>
    <n v="15.8"/>
    <n v="28.7"/>
    <m/>
    <x v="0"/>
    <m/>
    <m/>
    <x v="0"/>
  </r>
  <r>
    <d v="2020-01-18T00:00:00"/>
    <x v="14"/>
    <n v="18.399999999999999"/>
    <n v="29.9"/>
    <m/>
    <x v="0"/>
    <m/>
    <m/>
    <x v="0"/>
  </r>
  <r>
    <d v="2020-01-19T00:00:00"/>
    <x v="13"/>
    <n v="19.2"/>
    <n v="28.8"/>
    <m/>
    <x v="0"/>
    <m/>
    <m/>
    <x v="0"/>
  </r>
  <r>
    <d v="2020-01-20T00:00:00"/>
    <x v="13"/>
    <n v="17.7"/>
    <n v="29.8"/>
    <m/>
    <x v="0"/>
    <m/>
    <m/>
    <x v="0"/>
  </r>
  <r>
    <d v="2020-01-21T00:00:00"/>
    <x v="15"/>
    <n v="17.2"/>
    <n v="31"/>
    <m/>
    <x v="0"/>
    <m/>
    <m/>
    <x v="0"/>
  </r>
  <r>
    <d v="2020-01-22T00:00:00"/>
    <x v="2"/>
    <n v="16"/>
    <n v="30.2"/>
    <m/>
    <x v="0"/>
    <m/>
    <m/>
    <x v="0"/>
  </r>
  <r>
    <d v="2020-01-23T00:00:00"/>
    <x v="78"/>
    <n v="17.899999999999999"/>
    <n v="30.1"/>
    <m/>
    <x v="0"/>
    <m/>
    <m/>
    <x v="0"/>
  </r>
  <r>
    <d v="2020-01-24T00:00:00"/>
    <x v="16"/>
    <n v="17"/>
    <n v="30.4"/>
    <m/>
    <x v="0"/>
    <m/>
    <m/>
    <x v="0"/>
  </r>
  <r>
    <d v="2020-01-25T00:00:00"/>
    <x v="15"/>
    <n v="15.4"/>
    <n v="31.3"/>
    <m/>
    <x v="0"/>
    <m/>
    <m/>
    <x v="0"/>
  </r>
  <r>
    <d v="2020-01-26T00:00:00"/>
    <x v="24"/>
    <n v="15.5"/>
    <n v="31.7"/>
    <m/>
    <x v="0"/>
    <m/>
    <m/>
    <x v="0"/>
  </r>
  <r>
    <d v="2020-01-27T00:00:00"/>
    <x v="19"/>
    <n v="15.9"/>
    <n v="32.700000000000003"/>
    <m/>
    <x v="0"/>
    <m/>
    <m/>
    <x v="0"/>
  </r>
  <r>
    <d v="2020-01-28T00:00:00"/>
    <x v="19"/>
    <n v="19.100000000000001"/>
    <n v="31.8"/>
    <m/>
    <x v="0"/>
    <m/>
    <m/>
    <x v="0"/>
  </r>
  <r>
    <d v="2020-01-29T00:00:00"/>
    <x v="18"/>
    <n v="18.3"/>
    <n v="31.6"/>
    <m/>
    <x v="0"/>
    <m/>
    <m/>
    <x v="0"/>
  </r>
  <r>
    <d v="2020-01-30T00:00:00"/>
    <x v="34"/>
    <n v="17.5"/>
    <n v="32"/>
    <m/>
    <x v="0"/>
    <m/>
    <m/>
    <x v="0"/>
  </r>
  <r>
    <d v="2020-01-31T00:00:00"/>
    <x v="42"/>
    <n v="19"/>
    <n v="33.4"/>
    <m/>
    <x v="0"/>
    <m/>
    <m/>
    <x v="0"/>
  </r>
  <r>
    <d v="2020-02-01T00:00:00"/>
    <x v="24"/>
    <n v="18.8"/>
    <n v="32.700000000000003"/>
    <m/>
    <x v="0"/>
    <m/>
    <m/>
    <x v="0"/>
  </r>
  <r>
    <d v="2020-02-02T00:00:00"/>
    <x v="22"/>
    <n v="17.399999999999999"/>
    <n v="30.5"/>
    <m/>
    <x v="0"/>
    <m/>
    <m/>
    <x v="0"/>
  </r>
  <r>
    <d v="2020-02-03T00:00:00"/>
    <x v="13"/>
    <n v="17.2"/>
    <n v="29.2"/>
    <m/>
    <x v="0"/>
    <m/>
    <m/>
    <x v="0"/>
  </r>
  <r>
    <d v="2020-02-04T00:00:00"/>
    <x v="21"/>
    <n v="16"/>
    <n v="31"/>
    <m/>
    <x v="0"/>
    <m/>
    <m/>
    <x v="0"/>
  </r>
  <r>
    <d v="2020-02-05T00:00:00"/>
    <x v="17"/>
    <n v="18.5"/>
    <n v="30.4"/>
    <m/>
    <x v="0"/>
    <m/>
    <m/>
    <x v="0"/>
  </r>
  <r>
    <d v="2020-02-06T00:00:00"/>
    <x v="75"/>
    <n v="17.7"/>
    <n v="30.3"/>
    <m/>
    <x v="0"/>
    <m/>
    <m/>
    <x v="0"/>
  </r>
  <r>
    <d v="2020-02-07T00:00:00"/>
    <x v="17"/>
    <n v="18"/>
    <n v="31"/>
    <m/>
    <x v="0"/>
    <m/>
    <m/>
    <x v="0"/>
  </r>
  <r>
    <d v="2020-02-08T00:00:00"/>
    <x v="33"/>
    <n v="19"/>
    <n v="30.8"/>
    <m/>
    <x v="0"/>
    <m/>
    <m/>
    <x v="0"/>
  </r>
  <r>
    <d v="2020-02-09T00:00:00"/>
    <x v="23"/>
    <n v="18.2"/>
    <n v="31.6"/>
    <m/>
    <x v="0"/>
    <m/>
    <m/>
    <x v="0"/>
  </r>
  <r>
    <d v="2020-02-10T00:00:00"/>
    <x v="78"/>
    <n v="18.8"/>
    <n v="30.4"/>
    <m/>
    <x v="0"/>
    <m/>
    <m/>
    <x v="0"/>
  </r>
  <r>
    <d v="2020-02-11T00:00:00"/>
    <x v="78"/>
    <n v="16.399999999999999"/>
    <n v="29.3"/>
    <m/>
    <x v="0"/>
    <m/>
    <m/>
    <x v="0"/>
  </r>
  <r>
    <d v="2020-02-12T00:00:00"/>
    <x v="13"/>
    <n v="17.399999999999999"/>
    <n v="30.4"/>
    <m/>
    <x v="0"/>
    <m/>
    <m/>
    <x v="0"/>
  </r>
  <r>
    <d v="2020-02-13T00:00:00"/>
    <x v="79"/>
    <n v="18.600000000000001"/>
    <n v="29.2"/>
    <m/>
    <x v="0"/>
    <m/>
    <m/>
    <x v="0"/>
  </r>
  <r>
    <d v="2020-02-14T00:00:00"/>
    <x v="82"/>
    <n v="18"/>
    <n v="32.200000000000003"/>
    <m/>
    <x v="0"/>
    <m/>
    <m/>
    <x v="0"/>
  </r>
  <r>
    <d v="2020-02-15T00:00:00"/>
    <x v="71"/>
    <n v="17.600000000000001"/>
    <n v="32.299999999999997"/>
    <m/>
    <x v="0"/>
    <m/>
    <m/>
    <x v="0"/>
  </r>
  <r>
    <d v="2020-02-16T00:00:00"/>
    <x v="34"/>
    <n v="17.5"/>
    <n v="33.1"/>
    <m/>
    <x v="0"/>
    <m/>
    <m/>
    <x v="0"/>
  </r>
  <r>
    <d v="2020-02-17T00:00:00"/>
    <x v="19"/>
    <n v="17.2"/>
    <n v="32.6"/>
    <m/>
    <x v="0"/>
    <m/>
    <m/>
    <x v="0"/>
  </r>
  <r>
    <d v="2020-02-18T00:00:00"/>
    <x v="19"/>
    <n v="17"/>
    <n v="32.4"/>
    <m/>
    <x v="0"/>
    <m/>
    <m/>
    <x v="0"/>
  </r>
  <r>
    <d v="2020-02-19T00:00:00"/>
    <x v="23"/>
    <n v="17.600000000000001"/>
    <n v="32.6"/>
    <m/>
    <x v="0"/>
    <m/>
    <m/>
    <x v="0"/>
  </r>
  <r>
    <d v="2020-02-20T00:00:00"/>
    <x v="17"/>
    <n v="16.5"/>
    <n v="31.5"/>
    <m/>
    <x v="0"/>
    <m/>
    <m/>
    <x v="0"/>
  </r>
  <r>
    <d v="2020-02-21T00:00:00"/>
    <x v="75"/>
    <n v="16.600000000000001"/>
    <n v="32.6"/>
    <m/>
    <x v="0"/>
    <m/>
    <m/>
    <x v="0"/>
  </r>
  <r>
    <d v="2020-02-22T00:00:00"/>
    <x v="74"/>
    <n v="18.399999999999999"/>
    <n v="32.200000000000003"/>
    <m/>
    <x v="0"/>
    <m/>
    <m/>
    <x v="0"/>
  </r>
  <r>
    <d v="2020-02-23T00:00:00"/>
    <x v="17"/>
    <n v="18"/>
    <n v="31.4"/>
    <m/>
    <x v="0"/>
    <m/>
    <m/>
    <x v="0"/>
  </r>
  <r>
    <d v="2020-02-24T00:00:00"/>
    <x v="13"/>
    <n v="18.600000000000001"/>
    <n v="31"/>
    <m/>
    <x v="0"/>
    <m/>
    <m/>
    <x v="0"/>
  </r>
  <r>
    <d v="2020-02-25T00:00:00"/>
    <x v="73"/>
    <n v="18"/>
    <n v="31.8"/>
    <m/>
    <x v="0"/>
    <m/>
    <m/>
    <x v="0"/>
  </r>
  <r>
    <d v="2020-02-26T00:00:00"/>
    <x v="81"/>
    <n v="19.399999999999999"/>
    <n v="32.5"/>
    <m/>
    <x v="0"/>
    <m/>
    <m/>
    <x v="0"/>
  </r>
  <r>
    <d v="2020-02-27T00:00:00"/>
    <x v="71"/>
    <n v="20.399999999999999"/>
    <n v="32.4"/>
    <m/>
    <x v="0"/>
    <m/>
    <m/>
    <x v="0"/>
  </r>
  <r>
    <d v="2020-02-28T00:00:00"/>
    <x v="79"/>
    <n v="19.2"/>
    <n v="31.6"/>
    <m/>
    <x v="0"/>
    <m/>
    <m/>
    <x v="0"/>
  </r>
  <r>
    <d v="2020-02-29T00:00:00"/>
    <x v="71"/>
    <n v="19.5"/>
    <n v="30.8"/>
    <m/>
    <x v="0"/>
    <m/>
    <m/>
    <x v="0"/>
  </r>
  <r>
    <d v="2020-03-01T00:00:00"/>
    <x v="70"/>
    <n v="20.2"/>
    <n v="32.799999999999997"/>
    <m/>
    <x v="0"/>
    <m/>
    <m/>
    <x v="0"/>
  </r>
  <r>
    <d v="2020-03-02T00:00:00"/>
    <x v="79"/>
    <n v="20.399999999999999"/>
    <n v="32.299999999999997"/>
    <m/>
    <x v="0"/>
    <m/>
    <m/>
    <x v="0"/>
  </r>
  <r>
    <d v="2020-03-03T00:00:00"/>
    <x v="32"/>
    <n v="20"/>
    <n v="30.6"/>
    <n v="0"/>
    <x v="1"/>
    <s v="OK"/>
    <s v="OK"/>
    <x v="4"/>
  </r>
  <r>
    <d v="2020-03-04T00:00:00"/>
    <x v="69"/>
    <n v="21.4"/>
    <n v="33"/>
    <n v="1"/>
    <x v="1"/>
    <s v="OK"/>
    <s v="OK"/>
    <x v="4"/>
  </r>
  <r>
    <d v="2020-03-05T00:00:00"/>
    <x v="47"/>
    <n v="21.6"/>
    <n v="32.4"/>
    <n v="0"/>
    <x v="1"/>
    <s v="OK"/>
    <s v="OK"/>
    <x v="4"/>
  </r>
  <r>
    <d v="2020-03-06T00:00:00"/>
    <x v="41"/>
    <n v="22.4"/>
    <n v="33.4"/>
    <m/>
    <x v="0"/>
    <m/>
    <m/>
    <x v="0"/>
  </r>
  <r>
    <d v="2020-03-07T00:00:00"/>
    <x v="36"/>
    <n v="22.3"/>
    <n v="33.4"/>
    <n v="1"/>
    <x v="1"/>
    <s v="OK"/>
    <s v="OK"/>
    <x v="4"/>
  </r>
  <r>
    <d v="2020-03-08T00:00:00"/>
    <x v="69"/>
    <n v="21.2"/>
    <n v="32.299999999999997"/>
    <n v="0"/>
    <x v="1"/>
    <s v="OK"/>
    <s v="OK"/>
    <x v="4"/>
  </r>
  <r>
    <d v="2020-03-09T00:00:00"/>
    <x v="69"/>
    <n v="21.6"/>
    <n v="33.299999999999997"/>
    <m/>
    <x v="0"/>
    <m/>
    <m/>
    <x v="0"/>
  </r>
  <r>
    <d v="2020-03-10T00:00:00"/>
    <x v="39"/>
    <n v="22.4"/>
    <n v="32.9"/>
    <m/>
    <x v="0"/>
    <m/>
    <m/>
    <x v="0"/>
  </r>
  <r>
    <d v="2020-03-11T00:00:00"/>
    <x v="62"/>
    <n v="22.2"/>
    <n v="34"/>
    <m/>
    <x v="0"/>
    <m/>
    <m/>
    <x v="0"/>
  </r>
  <r>
    <d v="2020-03-12T00:00:00"/>
    <x v="35"/>
    <n v="19.600000000000001"/>
    <n v="33.6"/>
    <m/>
    <x v="0"/>
    <m/>
    <m/>
    <x v="0"/>
  </r>
  <r>
    <d v="2020-03-13T00:00:00"/>
    <x v="69"/>
    <n v="21"/>
    <n v="34.4"/>
    <m/>
    <x v="0"/>
    <m/>
    <m/>
    <x v="0"/>
  </r>
  <r>
    <d v="2020-03-14T00:00:00"/>
    <x v="62"/>
    <n v="20.399999999999999"/>
    <n v="33.799999999999997"/>
    <m/>
    <x v="0"/>
    <m/>
    <m/>
    <x v="0"/>
  </r>
  <r>
    <d v="2020-03-15T00:00:00"/>
    <x v="41"/>
    <n v="20.5"/>
    <n v="34.4"/>
    <m/>
    <x v="0"/>
    <m/>
    <m/>
    <x v="0"/>
  </r>
  <r>
    <d v="2020-03-16T00:00:00"/>
    <x v="41"/>
    <n v="19.3"/>
    <n v="34.5"/>
    <m/>
    <x v="0"/>
    <m/>
    <m/>
    <x v="0"/>
  </r>
  <r>
    <d v="2020-03-17T00:00:00"/>
    <x v="35"/>
    <n v="20.2"/>
    <n v="34.200000000000003"/>
    <m/>
    <x v="0"/>
    <m/>
    <m/>
    <x v="0"/>
  </r>
  <r>
    <d v="2020-03-18T00:00:00"/>
    <x v="31"/>
    <n v="19.399999999999999"/>
    <n v="32.799999999999997"/>
    <m/>
    <x v="0"/>
    <m/>
    <m/>
    <x v="0"/>
  </r>
  <r>
    <d v="2020-03-19T00:00:00"/>
    <x v="66"/>
    <n v="20.9"/>
    <n v="35.200000000000003"/>
    <m/>
    <x v="0"/>
    <m/>
    <m/>
    <x v="0"/>
  </r>
  <r>
    <d v="2020-03-20T00:00:00"/>
    <x v="81"/>
    <n v="21.6"/>
    <n v="35.200000000000003"/>
    <m/>
    <x v="0"/>
    <m/>
    <m/>
    <x v="0"/>
  </r>
  <r>
    <d v="2020-03-21T00:00:00"/>
    <x v="47"/>
    <n v="22"/>
    <n v="34.1"/>
    <n v="1"/>
    <x v="1"/>
    <s v="OK"/>
    <s v="OK"/>
    <x v="4"/>
  </r>
  <r>
    <d v="2020-03-22T00:00:00"/>
    <x v="56"/>
    <n v="22.8"/>
    <n v="35.4"/>
    <n v="0"/>
    <x v="1"/>
    <s v="OK"/>
    <s v="OK"/>
    <x v="4"/>
  </r>
  <r>
    <d v="2020-03-23T00:00:00"/>
    <x v="43"/>
    <n v="22.8"/>
    <n v="34.4"/>
    <n v="0"/>
    <x v="1"/>
    <s v="OK"/>
    <s v="OK"/>
    <x v="4"/>
  </r>
  <r>
    <d v="2020-03-24T00:00:00"/>
    <x v="47"/>
    <n v="20.8"/>
    <n v="34.4"/>
    <n v="5.0999999999999996"/>
    <x v="1"/>
    <s v="OK"/>
    <s v="OK"/>
    <x v="4"/>
  </r>
  <r>
    <d v="2020-03-25T00:00:00"/>
    <x v="30"/>
    <n v="21"/>
    <n v="34.700000000000003"/>
    <n v="0"/>
    <x v="1"/>
    <s v="OK"/>
    <s v="OK"/>
    <x v="4"/>
  </r>
  <r>
    <d v="2020-03-26T00:00:00"/>
    <x v="62"/>
    <n v="20.6"/>
    <n v="33.799999999999997"/>
    <m/>
    <x v="0"/>
    <m/>
    <m/>
    <x v="0"/>
  </r>
  <r>
    <d v="2020-03-27T00:00:00"/>
    <x v="69"/>
    <n v="19.600000000000001"/>
    <n v="33.799999999999997"/>
    <m/>
    <x v="0"/>
    <m/>
    <m/>
    <x v="0"/>
  </r>
  <r>
    <d v="2020-03-28T00:00:00"/>
    <x v="62"/>
    <n v="19.2"/>
    <n v="34"/>
    <m/>
    <x v="0"/>
    <m/>
    <m/>
    <x v="0"/>
  </r>
  <r>
    <d v="2020-03-29T00:00:00"/>
    <x v="56"/>
    <n v="19.399999999999999"/>
    <n v="35.200000000000003"/>
    <m/>
    <x v="0"/>
    <m/>
    <m/>
    <x v="0"/>
  </r>
  <r>
    <d v="2020-03-30T00:00:00"/>
    <x v="56"/>
    <n v="21.4"/>
    <n v="35.6"/>
    <m/>
    <x v="0"/>
    <m/>
    <m/>
    <x v="0"/>
  </r>
  <r>
    <d v="2020-03-31T00:00:00"/>
    <x v="56"/>
    <n v="19.600000000000001"/>
    <n v="36.1"/>
    <m/>
    <x v="0"/>
    <m/>
    <m/>
    <x v="0"/>
  </r>
  <r>
    <d v="2020-04-01T00:00:00"/>
    <x v="52"/>
    <n v="21"/>
    <n v="35.4"/>
    <m/>
    <x v="0"/>
    <m/>
    <m/>
    <x v="0"/>
  </r>
  <r>
    <d v="2020-04-02T00:00:00"/>
    <x v="52"/>
    <n v="22"/>
    <n v="36"/>
    <m/>
    <x v="0"/>
    <m/>
    <m/>
    <x v="0"/>
  </r>
  <r>
    <d v="2020-04-03T00:00:00"/>
    <x v="57"/>
    <n v="23"/>
    <n v="35.799999999999997"/>
    <m/>
    <x v="0"/>
    <m/>
    <m/>
    <x v="0"/>
  </r>
  <r>
    <d v="2020-04-04T00:00:00"/>
    <x v="100"/>
    <n v="22.1"/>
    <n v="35.6"/>
    <m/>
    <x v="0"/>
    <m/>
    <m/>
    <x v="0"/>
  </r>
  <r>
    <d v="2020-04-05T00:00:00"/>
    <x v="52"/>
    <n v="22.3"/>
    <n v="36"/>
    <m/>
    <x v="0"/>
    <m/>
    <m/>
    <x v="0"/>
  </r>
  <r>
    <d v="2020-04-06T00:00:00"/>
    <x v="48"/>
    <n v="21.8"/>
    <n v="36.4"/>
    <n v="0"/>
    <x v="1"/>
    <s v="OK"/>
    <s v="OK"/>
    <x v="4"/>
  </r>
  <r>
    <d v="2020-04-07T00:00:00"/>
    <x v="73"/>
    <n v="21"/>
    <n v="35.6"/>
    <n v="30"/>
    <x v="1"/>
    <s v="OK"/>
    <s v="OK"/>
    <x v="4"/>
  </r>
  <r>
    <d v="2020-04-08T00:00:00"/>
    <x v="30"/>
    <n v="21"/>
    <n v="32.799999999999997"/>
    <n v="0"/>
    <x v="1"/>
    <s v="OK"/>
    <s v="OK"/>
    <x v="4"/>
  </r>
  <r>
    <d v="2020-04-09T00:00:00"/>
    <x v="72"/>
    <n v="19.8"/>
    <n v="33.700000000000003"/>
    <n v="0"/>
    <x v="1"/>
    <s v="OK"/>
    <s v="OK"/>
    <x v="4"/>
  </r>
  <r>
    <d v="2020-04-10T00:00:00"/>
    <x v="82"/>
    <n v="18.600000000000001"/>
    <n v="33.4"/>
    <n v="33.299999999999997"/>
    <x v="1"/>
    <s v="OK"/>
    <s v="OK"/>
    <x v="4"/>
  </r>
  <r>
    <d v="2020-04-11T00:00:00"/>
    <x v="41"/>
    <n v="21"/>
    <n v="31.8"/>
    <n v="0"/>
    <x v="1"/>
    <s v="OK"/>
    <s v="OK"/>
    <x v="4"/>
  </r>
  <r>
    <d v="2020-04-12T00:00:00"/>
    <x v="68"/>
    <n v="20.5"/>
    <n v="32.200000000000003"/>
    <m/>
    <x v="0"/>
    <m/>
    <m/>
    <x v="0"/>
  </r>
  <r>
    <d v="2020-04-13T00:00:00"/>
    <x v="66"/>
    <n v="20.5"/>
    <n v="34.799999999999997"/>
    <m/>
    <x v="0"/>
    <m/>
    <m/>
    <x v="0"/>
  </r>
  <r>
    <d v="2020-04-14T00:00:00"/>
    <x v="40"/>
    <n v="19.600000000000001"/>
    <n v="34.799999999999997"/>
    <m/>
    <x v="0"/>
    <m/>
    <m/>
    <x v="0"/>
  </r>
  <r>
    <d v="2020-04-15T00:00:00"/>
    <x v="48"/>
    <n v="20.8"/>
    <n v="34.6"/>
    <m/>
    <x v="0"/>
    <m/>
    <m/>
    <x v="0"/>
  </r>
  <r>
    <d v="2020-04-16T00:00:00"/>
    <x v="46"/>
    <n v="23"/>
    <n v="34.5"/>
    <m/>
    <x v="0"/>
    <m/>
    <m/>
    <x v="0"/>
  </r>
  <r>
    <d v="2020-04-17T00:00:00"/>
    <x v="51"/>
    <n v="23.5"/>
    <n v="34.9"/>
    <m/>
    <x v="0"/>
    <m/>
    <m/>
    <x v="0"/>
  </r>
  <r>
    <d v="2020-04-18T00:00:00"/>
    <x v="100"/>
    <n v="23.8"/>
    <n v="35.200000000000003"/>
    <m/>
    <x v="0"/>
    <m/>
    <m/>
    <x v="0"/>
  </r>
  <r>
    <d v="2020-04-19T00:00:00"/>
    <x v="95"/>
    <n v="24"/>
    <n v="34.4"/>
    <m/>
    <x v="0"/>
    <m/>
    <m/>
    <x v="0"/>
  </r>
  <r>
    <d v="2020-04-20T00:00:00"/>
    <x v="95"/>
    <n v="22.6"/>
    <n v="34.200000000000003"/>
    <m/>
    <x v="0"/>
    <m/>
    <m/>
    <x v="0"/>
  </r>
  <r>
    <d v="2020-04-21T00:00:00"/>
    <x v="46"/>
    <n v="22.3"/>
    <n v="34.200000000000003"/>
    <m/>
    <x v="0"/>
    <m/>
    <m/>
    <x v="0"/>
  </r>
  <r>
    <d v="2020-04-22T00:00:00"/>
    <x v="64"/>
    <n v="24.6"/>
    <n v="34.6"/>
    <m/>
    <x v="0"/>
    <m/>
    <m/>
    <x v="0"/>
  </r>
  <r>
    <d v="2020-04-23T00:00:00"/>
    <x v="65"/>
    <n v="23.4"/>
    <n v="35.4"/>
    <m/>
    <x v="0"/>
    <m/>
    <m/>
    <x v="0"/>
  </r>
  <r>
    <d v="2020-04-24T00:00:00"/>
    <x v="63"/>
    <n v="20.5"/>
    <n v="36"/>
    <n v="23.1"/>
    <x v="1"/>
    <s v="OK"/>
    <s v="OK"/>
    <x v="4"/>
  </r>
  <r>
    <d v="2020-04-25T00:00:00"/>
    <x v="32"/>
    <n v="22.7"/>
    <n v="30.8"/>
    <n v="0"/>
    <x v="1"/>
    <s v="OK"/>
    <s v="OK"/>
    <x v="4"/>
  </r>
  <r>
    <d v="2020-04-26T00:00:00"/>
    <x v="29"/>
    <n v="22.6"/>
    <n v="32"/>
    <n v="0"/>
    <x v="1"/>
    <s v="OK"/>
    <s v="OK"/>
    <x v="4"/>
  </r>
  <r>
    <d v="2020-04-27T00:00:00"/>
    <x v="29"/>
    <n v="22.4"/>
    <n v="31.6"/>
    <n v="0"/>
    <x v="1"/>
    <s v="OK"/>
    <s v="OK"/>
    <x v="4"/>
  </r>
  <r>
    <d v="2020-04-28T00:00:00"/>
    <x v="31"/>
    <n v="23"/>
    <n v="34.799999999999997"/>
    <n v="3"/>
    <x v="1"/>
    <s v="OK"/>
    <s v="OK"/>
    <x v="4"/>
  </r>
  <r>
    <d v="2020-04-29T00:00:00"/>
    <x v="78"/>
    <n v="19.600000000000001"/>
    <n v="34"/>
    <n v="30.7"/>
    <x v="1"/>
    <s v="OK"/>
    <s v="OK"/>
    <x v="4"/>
  </r>
  <r>
    <d v="2020-04-30T00:00:00"/>
    <x v="94"/>
    <n v="21"/>
    <n v="33.799999999999997"/>
    <n v="1"/>
    <x v="1"/>
    <s v="OK"/>
    <s v="OK"/>
    <x v="4"/>
  </r>
  <r>
    <d v="2020-05-01T00:00:00"/>
    <x v="59"/>
    <n v="23"/>
    <n v="32.799999999999997"/>
    <n v="0"/>
    <x v="1"/>
    <s v="OK"/>
    <s v="OK"/>
    <x v="4"/>
  </r>
  <r>
    <d v="2020-05-02T00:00:00"/>
    <x v="48"/>
    <n v="23.7"/>
    <n v="33.6"/>
    <m/>
    <x v="0"/>
    <m/>
    <m/>
    <x v="0"/>
  </r>
  <r>
    <d v="2020-05-03T00:00:00"/>
    <x v="96"/>
    <n v="23.2"/>
    <n v="33.4"/>
    <m/>
    <x v="0"/>
    <m/>
    <m/>
    <x v="0"/>
  </r>
  <r>
    <d v="2020-05-04T00:00:00"/>
    <x v="59"/>
    <n v="23"/>
    <n v="33.799999999999997"/>
    <m/>
    <x v="0"/>
    <m/>
    <m/>
    <x v="0"/>
  </r>
  <r>
    <d v="2020-05-05T00:00:00"/>
    <x v="65"/>
    <n v="23.4"/>
    <n v="34.799999999999997"/>
    <m/>
    <x v="0"/>
    <m/>
    <m/>
    <x v="0"/>
  </r>
  <r>
    <d v="2020-05-06T00:00:00"/>
    <x v="31"/>
    <n v="22.2"/>
    <n v="34.299999999999997"/>
    <m/>
    <x v="0"/>
    <m/>
    <m/>
    <x v="0"/>
  </r>
  <r>
    <d v="2020-05-07T00:00:00"/>
    <x v="62"/>
    <n v="23.1"/>
    <n v="33.6"/>
    <m/>
    <x v="0"/>
    <m/>
    <m/>
    <x v="0"/>
  </r>
  <r>
    <d v="2020-05-08T00:00:00"/>
    <x v="48"/>
    <n v="23.4"/>
    <n v="32.5"/>
    <m/>
    <x v="0"/>
    <m/>
    <m/>
    <x v="0"/>
  </r>
  <r>
    <d v="2020-05-09T00:00:00"/>
    <x v="65"/>
    <n v="23.8"/>
    <n v="35.200000000000003"/>
    <n v="0"/>
    <x v="1"/>
    <s v="OK"/>
    <s v="OK"/>
    <x v="4"/>
  </r>
  <r>
    <d v="2020-05-10T00:00:00"/>
    <x v="97"/>
    <n v="24"/>
    <n v="35.200000000000003"/>
    <n v="0"/>
    <x v="1"/>
    <s v="OK"/>
    <s v="OK"/>
    <x v="4"/>
  </r>
  <r>
    <d v="2020-05-11T00:00:00"/>
    <x v="51"/>
    <n v="23.6"/>
    <n v="35.299999999999997"/>
    <m/>
    <x v="0"/>
    <m/>
    <m/>
    <x v="0"/>
  </r>
  <r>
    <d v="2020-05-12T00:00:00"/>
    <x v="66"/>
    <n v="23.4"/>
    <n v="34"/>
    <m/>
    <x v="0"/>
    <m/>
    <m/>
    <x v="0"/>
  </r>
  <r>
    <d v="2020-05-13T00:00:00"/>
    <x v="45"/>
    <n v="22.4"/>
    <n v="33.799999999999997"/>
    <m/>
    <x v="0"/>
    <m/>
    <m/>
    <x v="0"/>
  </r>
  <r>
    <d v="2020-05-14T00:00:00"/>
    <x v="59"/>
    <n v="23.7"/>
    <n v="33.799999999999997"/>
    <m/>
    <x v="0"/>
    <m/>
    <m/>
    <x v="0"/>
  </r>
  <r>
    <d v="2020-05-15T00:00:00"/>
    <x v="97"/>
    <n v="24"/>
    <n v="34.9"/>
    <n v="0"/>
    <x v="1"/>
    <s v="OK"/>
    <s v="OK"/>
    <x v="4"/>
  </r>
  <r>
    <d v="2020-05-16T00:00:00"/>
    <x v="51"/>
    <n v="24"/>
    <n v="35.200000000000003"/>
    <m/>
    <x v="0"/>
    <m/>
    <m/>
    <x v="0"/>
  </r>
  <r>
    <d v="2020-05-17T00:00:00"/>
    <x v="56"/>
    <n v="22.8"/>
    <n v="34.700000000000003"/>
    <m/>
    <x v="0"/>
    <m/>
    <m/>
    <x v="0"/>
  </r>
  <r>
    <d v="2020-05-18T00:00:00"/>
    <x v="43"/>
    <n v="21.2"/>
    <n v="35.6"/>
    <n v="10.9"/>
    <x v="1"/>
    <s v="OK"/>
    <s v="OK"/>
    <x v="4"/>
  </r>
  <r>
    <d v="2020-05-19T00:00:00"/>
    <x v="29"/>
    <n v="22.6"/>
    <n v="31.5"/>
    <n v="0"/>
    <x v="1"/>
    <s v="OK"/>
    <s v="OK"/>
    <x v="4"/>
  </r>
  <r>
    <d v="2020-05-20T00:00:00"/>
    <x v="56"/>
    <n v="21.8"/>
    <n v="32.799999999999997"/>
    <m/>
    <x v="0"/>
    <m/>
    <m/>
    <x v="0"/>
  </r>
  <r>
    <d v="2020-05-21T00:00:00"/>
    <x v="69"/>
    <n v="22"/>
    <n v="33.200000000000003"/>
    <m/>
    <x v="0"/>
    <m/>
    <m/>
    <x v="0"/>
  </r>
  <r>
    <d v="2020-05-22T00:00:00"/>
    <x v="50"/>
    <n v="22.1"/>
    <n v="34.6"/>
    <n v="0"/>
    <x v="1"/>
    <s v="OK"/>
    <s v="OK"/>
    <x v="4"/>
  </r>
  <r>
    <d v="2020-05-23T00:00:00"/>
    <x v="59"/>
    <n v="22.9"/>
    <n v="35.299999999999997"/>
    <m/>
    <x v="0"/>
    <m/>
    <m/>
    <x v="0"/>
  </r>
  <r>
    <d v="2020-05-24T00:00:00"/>
    <x v="38"/>
    <n v="21.8"/>
    <n v="35.6"/>
    <n v="0"/>
    <x v="1"/>
    <s v="OK"/>
    <s v="OK"/>
    <x v="4"/>
  </r>
  <r>
    <d v="2020-05-25T00:00:00"/>
    <x v="29"/>
    <n v="22"/>
    <n v="34.4"/>
    <n v="35.299999999999997"/>
    <x v="1"/>
    <s v="OK"/>
    <s v="OK"/>
    <x v="4"/>
  </r>
  <r>
    <d v="2020-05-26T00:00:00"/>
    <x v="38"/>
    <n v="20.399999999999999"/>
    <n v="33.4"/>
    <n v="0"/>
    <x v="1"/>
    <s v="OK"/>
    <s v="OK"/>
    <x v="4"/>
  </r>
  <r>
    <d v="2020-05-27T00:00:00"/>
    <x v="74"/>
    <n v="20.9"/>
    <n v="32.9"/>
    <n v="31"/>
    <x v="1"/>
    <s v="OK"/>
    <s v="OK"/>
    <x v="4"/>
  </r>
  <r>
    <d v="2020-05-28T00:00:00"/>
    <x v="72"/>
    <n v="20.8"/>
    <n v="32.6"/>
    <n v="0"/>
    <x v="1"/>
    <s v="OK"/>
    <s v="OK"/>
    <x v="4"/>
  </r>
  <r>
    <d v="2020-05-29T00:00:00"/>
    <x v="74"/>
    <n v="20.6"/>
    <n v="32.4"/>
    <n v="4.3"/>
    <x v="1"/>
    <s v="OK"/>
    <s v="OK"/>
    <x v="4"/>
  </r>
  <r>
    <d v="2020-05-30T00:00:00"/>
    <x v="27"/>
    <n v="20.2"/>
    <n v="32.6"/>
    <n v="24.4"/>
    <x v="1"/>
    <s v="OK"/>
    <s v="OK"/>
    <x v="4"/>
  </r>
  <r>
    <d v="2020-05-31T00:00:00"/>
    <x v="35"/>
    <n v="22.4"/>
    <n v="31.9"/>
    <n v="0.3"/>
    <x v="1"/>
    <s v="OK"/>
    <s v="OK"/>
    <x v="4"/>
  </r>
  <r>
    <d v="2020-06-01T00:00:00"/>
    <x v="44"/>
    <n v="22.4"/>
    <n v="32.799999999999997"/>
    <n v="0"/>
    <x v="1"/>
    <s v="OK"/>
    <s v="OK"/>
    <x v="4"/>
  </r>
  <r>
    <d v="2020-06-02T00:00:00"/>
    <x v="33"/>
    <n v="20.3"/>
    <n v="32"/>
    <n v="0"/>
    <x v="1"/>
    <s v="OK"/>
    <s v="OK"/>
    <x v="4"/>
  </r>
  <r>
    <d v="2020-06-03T00:00:00"/>
    <x v="82"/>
    <n v="21.2"/>
    <n v="28.8"/>
    <n v="0"/>
    <x v="1"/>
    <s v="OK"/>
    <s v="OK"/>
    <x v="4"/>
  </r>
  <r>
    <d v="2020-06-04T00:00:00"/>
    <x v="81"/>
    <n v="21.8"/>
    <n v="29.4"/>
    <n v="0"/>
    <x v="1"/>
    <s v="OK"/>
    <s v="OK"/>
    <x v="4"/>
  </r>
  <r>
    <d v="2020-06-05T00:00:00"/>
    <x v="63"/>
    <n v="21.6"/>
    <n v="31.2"/>
    <n v="0"/>
    <x v="1"/>
    <s v="OK"/>
    <s v="OK"/>
    <x v="4"/>
  </r>
  <r>
    <d v="2020-06-06T00:00:00"/>
    <x v="27"/>
    <n v="20.399999999999999"/>
    <n v="31.4"/>
    <n v="0"/>
    <x v="1"/>
    <s v="OK"/>
    <s v="OK"/>
    <x v="4"/>
  </r>
  <r>
    <d v="2020-06-07T00:00:00"/>
    <x v="79"/>
    <n v="20.8"/>
    <n v="30.4"/>
    <n v="20.3"/>
    <x v="1"/>
    <s v="OK"/>
    <s v="OK"/>
    <x v="4"/>
  </r>
  <r>
    <d v="2020-06-08T00:00:00"/>
    <x v="37"/>
    <n v="21.2"/>
    <n v="31.8"/>
    <n v="0"/>
    <x v="1"/>
    <s v="OK"/>
    <s v="OK"/>
    <x v="4"/>
  </r>
  <r>
    <d v="2020-06-09T00:00:00"/>
    <x v="81"/>
    <n v="21.6"/>
    <n v="32.5"/>
    <n v="0"/>
    <x v="1"/>
    <s v="OK"/>
    <s v="OK"/>
    <x v="4"/>
  </r>
  <r>
    <d v="2020-06-10T00:00:00"/>
    <x v="82"/>
    <n v="21.6"/>
    <n v="30"/>
    <m/>
    <x v="0"/>
    <m/>
    <m/>
    <x v="0"/>
  </r>
  <r>
    <d v="2020-06-11T00:00:00"/>
    <x v="20"/>
    <n v="19.8"/>
    <n v="30.5"/>
    <n v="1"/>
    <x v="1"/>
    <s v="OK"/>
    <s v="OK"/>
    <x v="4"/>
  </r>
  <r>
    <d v="2020-06-12T00:00:00"/>
    <x v="83"/>
    <n v="19.8"/>
    <n v="27.6"/>
    <n v="20.6"/>
    <x v="1"/>
    <s v="OK"/>
    <s v="OK"/>
    <x v="4"/>
  </r>
  <r>
    <d v="2020-06-13T00:00:00"/>
    <x v="13"/>
    <n v="20"/>
    <n v="28.4"/>
    <n v="0"/>
    <x v="1"/>
    <s v="OK"/>
    <s v="OK"/>
    <x v="4"/>
  </r>
  <r>
    <d v="2020-06-14T00:00:00"/>
    <x v="19"/>
    <n v="21"/>
    <n v="29.8"/>
    <n v="1.8"/>
    <x v="1"/>
    <s v="OK"/>
    <s v="OK"/>
    <x v="4"/>
  </r>
  <r>
    <d v="2020-06-15T00:00:00"/>
    <x v="73"/>
    <n v="21.2"/>
    <n v="28.9"/>
    <n v="0"/>
    <x v="1"/>
    <s v="OK"/>
    <s v="OK"/>
    <x v="4"/>
  </r>
  <r>
    <d v="2020-06-16T00:00:00"/>
    <x v="34"/>
    <n v="20.6"/>
    <n v="34.299999999999997"/>
    <n v="2"/>
    <x v="1"/>
    <s v="OK"/>
    <s v="OK"/>
    <x v="4"/>
  </r>
  <r>
    <d v="2020-06-17T00:00:00"/>
    <x v="24"/>
    <n v="21.4"/>
    <n v="28"/>
    <n v="0"/>
    <x v="1"/>
    <s v="OK"/>
    <s v="OK"/>
    <x v="4"/>
  </r>
  <r>
    <d v="2020-06-18T00:00:00"/>
    <x v="13"/>
    <n v="20.6"/>
    <n v="27.2"/>
    <n v="0"/>
    <x v="1"/>
    <s v="OK"/>
    <s v="OK"/>
    <x v="4"/>
  </r>
  <r>
    <d v="2020-06-19T00:00:00"/>
    <x v="82"/>
    <n v="20.7"/>
    <n v="30.8"/>
    <n v="0"/>
    <x v="1"/>
    <s v="OK"/>
    <s v="OK"/>
    <x v="4"/>
  </r>
  <r>
    <d v="2020-06-20T00:00:00"/>
    <x v="71"/>
    <n v="21.2"/>
    <n v="29.6"/>
    <n v="0"/>
    <x v="1"/>
    <s v="OK"/>
    <s v="OK"/>
    <x v="4"/>
  </r>
  <r>
    <d v="2020-06-21T00:00:00"/>
    <x v="23"/>
    <n v="21.1"/>
    <n v="30.3"/>
    <n v="0"/>
    <x v="1"/>
    <s v="OK"/>
    <s v="OK"/>
    <x v="4"/>
  </r>
  <r>
    <d v="2020-06-22T00:00:00"/>
    <x v="24"/>
    <n v="21"/>
    <n v="28.8"/>
    <n v="0.3"/>
    <x v="1"/>
    <s v="OK"/>
    <s v="OK"/>
    <x v="4"/>
  </r>
  <r>
    <d v="2020-06-23T00:00:00"/>
    <x v="43"/>
    <n v="20.6"/>
    <n v="30.8"/>
    <n v="2.2999999999999998"/>
    <x v="1"/>
    <s v="OK"/>
    <s v="OK"/>
    <x v="4"/>
  </r>
  <r>
    <d v="2020-06-24T00:00:00"/>
    <x v="18"/>
    <n v="20.2"/>
    <n v="30.4"/>
    <n v="4.5999999999999996"/>
    <x v="1"/>
    <s v="OK"/>
    <s v="OK"/>
    <x v="4"/>
  </r>
  <r>
    <d v="2020-06-25T00:00:00"/>
    <x v="17"/>
    <n v="19.3"/>
    <n v="31.4"/>
    <n v="22.1"/>
    <x v="1"/>
    <s v="OK"/>
    <s v="OK"/>
    <x v="4"/>
  </r>
  <r>
    <d v="2020-06-26T00:00:00"/>
    <x v="18"/>
    <n v="20.399999999999999"/>
    <n v="30.4"/>
    <n v="39.6"/>
    <x v="1"/>
    <s v="OK"/>
    <s v="OK"/>
    <x v="4"/>
  </r>
  <r>
    <d v="2020-06-27T00:00:00"/>
    <x v="33"/>
    <n v="21"/>
    <n v="29.2"/>
    <n v="0"/>
    <x v="1"/>
    <s v="OK"/>
    <s v="OK"/>
    <x v="4"/>
  </r>
  <r>
    <d v="2020-06-28T00:00:00"/>
    <x v="34"/>
    <n v="21.4"/>
    <n v="29"/>
    <n v="2.2999999999999998"/>
    <x v="1"/>
    <s v="OK"/>
    <s v="OK"/>
    <x v="4"/>
  </r>
  <r>
    <d v="2020-06-29T00:00:00"/>
    <x v="76"/>
    <n v="21.2"/>
    <n v="30"/>
    <n v="0"/>
    <x v="1"/>
    <s v="OK"/>
    <s v="OK"/>
    <x v="4"/>
  </r>
  <r>
    <d v="2020-06-30T00:00:00"/>
    <x v="27"/>
    <n v="20.2"/>
    <n v="29.8"/>
    <n v="1.3"/>
    <x v="1"/>
    <s v="OK"/>
    <s v="OK"/>
    <x v="4"/>
  </r>
  <r>
    <d v="2020-07-01T00:00:00"/>
    <x v="82"/>
    <n v="21.2"/>
    <n v="29.4"/>
    <n v="0"/>
    <x v="1"/>
    <s v="OK"/>
    <s v="OK"/>
    <x v="4"/>
  </r>
  <r>
    <d v="2020-07-02T00:00:00"/>
    <x v="14"/>
    <n v="20.3"/>
    <n v="28.4"/>
    <m/>
    <x v="0"/>
    <m/>
    <m/>
    <x v="0"/>
  </r>
  <r>
    <d v="2020-07-03T00:00:00"/>
    <x v="15"/>
    <n v="19.7"/>
    <n v="26.5"/>
    <n v="7.1"/>
    <x v="1"/>
    <s v="OK"/>
    <s v="OK"/>
    <x v="4"/>
  </r>
  <r>
    <d v="2020-07-04T00:00:00"/>
    <x v="80"/>
    <n v="20"/>
    <n v="28.4"/>
    <n v="7.1"/>
    <x v="1"/>
    <s v="OK"/>
    <s v="OK"/>
    <x v="4"/>
  </r>
  <r>
    <d v="2020-07-05T00:00:00"/>
    <x v="13"/>
    <n v="21"/>
    <n v="27.2"/>
    <n v="0"/>
    <x v="1"/>
    <s v="OK"/>
    <s v="OK"/>
    <x v="4"/>
  </r>
  <r>
    <d v="2020-07-06T00:00:00"/>
    <x v="20"/>
    <n v="20.6"/>
    <n v="27.6"/>
    <n v="0.5"/>
    <x v="1"/>
    <s v="OK"/>
    <s v="OK"/>
    <x v="4"/>
  </r>
  <r>
    <d v="2020-07-07T00:00:00"/>
    <x v="24"/>
    <n v="20.8"/>
    <n v="30"/>
    <n v="0"/>
    <x v="1"/>
    <s v="OK"/>
    <s v="OK"/>
    <x v="4"/>
  </r>
  <r>
    <d v="2020-07-08T00:00:00"/>
    <x v="22"/>
    <n v="20.6"/>
    <n v="28.6"/>
    <n v="7.4"/>
    <x v="1"/>
    <s v="OK"/>
    <s v="OK"/>
    <x v="4"/>
  </r>
  <r>
    <d v="2020-07-09T00:00:00"/>
    <x v="17"/>
    <n v="20.2"/>
    <n v="29.4"/>
    <n v="24.4"/>
    <x v="1"/>
    <s v="OK"/>
    <s v="OK"/>
    <x v="4"/>
  </r>
  <r>
    <d v="2020-07-10T00:00:00"/>
    <x v="20"/>
    <n v="20.6"/>
    <n v="28.8"/>
    <n v="29.2"/>
    <x v="1"/>
    <s v="OK"/>
    <s v="OK"/>
    <x v="4"/>
  </r>
  <r>
    <d v="2020-07-11T00:00:00"/>
    <x v="27"/>
    <n v="21"/>
    <n v="28.8"/>
    <n v="0.5"/>
    <x v="1"/>
    <s v="OK"/>
    <s v="OK"/>
    <x v="4"/>
  </r>
  <r>
    <d v="2020-07-12T00:00:00"/>
    <x v="42"/>
    <n v="21"/>
    <n v="29.4"/>
    <n v="0.3"/>
    <x v="1"/>
    <s v="OK"/>
    <s v="OK"/>
    <x v="4"/>
  </r>
  <r>
    <d v="2020-07-13T00:00:00"/>
    <x v="77"/>
    <n v="21.5"/>
    <n v="29.3"/>
    <n v="0"/>
    <x v="1"/>
    <s v="OK"/>
    <s v="OK"/>
    <x v="4"/>
  </r>
  <r>
    <d v="2020-07-14T00:00:00"/>
    <x v="23"/>
    <n v="21.4"/>
    <n v="29.4"/>
    <n v="0"/>
    <x v="1"/>
    <s v="OK"/>
    <s v="OK"/>
    <x v="4"/>
  </r>
  <r>
    <d v="2020-07-15T00:00:00"/>
    <x v="14"/>
    <n v="21.8"/>
    <n v="26.2"/>
    <n v="0"/>
    <x v="1"/>
    <s v="OK"/>
    <s v="OK"/>
    <x v="4"/>
  </r>
  <r>
    <d v="2020-07-16T00:00:00"/>
    <x v="3"/>
    <n v="20.6"/>
    <n v="26"/>
    <n v="6.6"/>
    <x v="1"/>
    <s v="OK"/>
    <s v="OK"/>
    <x v="4"/>
  </r>
  <r>
    <d v="2020-07-17T00:00:00"/>
    <x v="26"/>
    <n v="20.399999999999999"/>
    <n v="25.2"/>
    <n v="10.9"/>
    <x v="1"/>
    <s v="OK"/>
    <s v="OK"/>
    <x v="4"/>
  </r>
  <r>
    <d v="2020-07-18T00:00:00"/>
    <x v="24"/>
    <n v="20.9"/>
    <n v="27.8"/>
    <n v="0"/>
    <x v="1"/>
    <s v="OK"/>
    <s v="OK"/>
    <x v="4"/>
  </r>
  <r>
    <d v="2020-07-19T00:00:00"/>
    <x v="33"/>
    <n v="21.4"/>
    <n v="29.8"/>
    <n v="0.8"/>
    <x v="1"/>
    <s v="OK"/>
    <s v="OK"/>
    <x v="4"/>
  </r>
  <r>
    <d v="2020-07-20T00:00:00"/>
    <x v="24"/>
    <n v="21.8"/>
    <n v="29.6"/>
    <n v="11.2"/>
    <x v="1"/>
    <s v="OK"/>
    <s v="OK"/>
    <x v="4"/>
  </r>
  <r>
    <d v="2020-07-21T00:00:00"/>
    <x v="79"/>
    <n v="19"/>
    <n v="29.6"/>
    <n v="24.1"/>
    <x v="1"/>
    <s v="OK"/>
    <s v="OK"/>
    <x v="4"/>
  </r>
  <r>
    <d v="2020-07-22T00:00:00"/>
    <x v="32"/>
    <n v="22"/>
    <n v="30.4"/>
    <n v="0"/>
    <x v="1"/>
    <s v="OK"/>
    <s v="OK"/>
    <x v="4"/>
  </r>
  <r>
    <d v="2020-07-23T00:00:00"/>
    <x v="42"/>
    <n v="20.8"/>
    <n v="31"/>
    <m/>
    <x v="0"/>
    <m/>
    <m/>
    <x v="0"/>
  </r>
  <r>
    <d v="2020-07-24T00:00:00"/>
    <x v="23"/>
    <n v="21.5"/>
    <n v="30.8"/>
    <n v="4.3"/>
    <x v="1"/>
    <s v="OK"/>
    <s v="OK"/>
    <x v="4"/>
  </r>
  <r>
    <d v="2020-07-25T00:00:00"/>
    <x v="17"/>
    <n v="20.5"/>
    <n v="29.8"/>
    <n v="0"/>
    <x v="1"/>
    <s v="OK"/>
    <s v="OK"/>
    <x v="4"/>
  </r>
  <r>
    <d v="2020-07-26T00:00:00"/>
    <x v="76"/>
    <n v="20.399999999999999"/>
    <n v="29.4"/>
    <n v="4.0999999999999996"/>
    <x v="1"/>
    <s v="OK"/>
    <s v="OK"/>
    <x v="4"/>
  </r>
  <r>
    <d v="2020-07-27T00:00:00"/>
    <x v="74"/>
    <n v="20.399999999999999"/>
    <n v="28.8"/>
    <n v="0"/>
    <x v="1"/>
    <s v="OK"/>
    <s v="OK"/>
    <x v="4"/>
  </r>
  <r>
    <d v="2020-07-28T00:00:00"/>
    <x v="82"/>
    <n v="20.6"/>
    <n v="29"/>
    <n v="2.2999999999999998"/>
    <x v="1"/>
    <s v="OK"/>
    <s v="OK"/>
    <x v="4"/>
  </r>
  <r>
    <d v="2020-07-29T00:00:00"/>
    <x v="22"/>
    <n v="21.2"/>
    <n v="29.5"/>
    <n v="7.9"/>
    <x v="1"/>
    <s v="OK"/>
    <s v="OK"/>
    <x v="4"/>
  </r>
  <r>
    <d v="2020-07-30T00:00:00"/>
    <x v="21"/>
    <n v="20.2"/>
    <n v="28.8"/>
    <n v="1.3"/>
    <x v="1"/>
    <s v="OK"/>
    <s v="OK"/>
    <x v="4"/>
  </r>
  <r>
    <d v="2020-07-31T00:00:00"/>
    <x v="19"/>
    <n v="21.4"/>
    <n v="28.6"/>
    <n v="4.0999999999999996"/>
    <x v="1"/>
    <s v="OK"/>
    <s v="OK"/>
    <x v="4"/>
  </r>
  <r>
    <d v="2020-08-01T00:00:00"/>
    <x v="83"/>
    <n v="20.399999999999999"/>
    <n v="29.6"/>
    <n v="2"/>
    <x v="1"/>
    <s v="OK"/>
    <s v="OK"/>
    <x v="4"/>
  </r>
  <r>
    <d v="2020-08-02T00:00:00"/>
    <x v="80"/>
    <n v="19.600000000000001"/>
    <n v="28"/>
    <n v="3.3"/>
    <x v="1"/>
    <s v="OK"/>
    <s v="OK"/>
    <x v="4"/>
  </r>
  <r>
    <d v="2020-08-03T00:00:00"/>
    <x v="22"/>
    <n v="20.399999999999999"/>
    <n v="27.8"/>
    <n v="2.5"/>
    <x v="1"/>
    <s v="OK"/>
    <s v="OK"/>
    <x v="4"/>
  </r>
  <r>
    <d v="2020-08-04T00:00:00"/>
    <x v="4"/>
    <n v="19.8"/>
    <n v="26"/>
    <n v="1.5"/>
    <x v="1"/>
    <s v="OK"/>
    <s v="OK"/>
    <x v="4"/>
  </r>
  <r>
    <d v="2020-08-05T00:00:00"/>
    <x v="6"/>
    <n v="19.8"/>
    <n v="25.8"/>
    <n v="1.8"/>
    <x v="1"/>
    <s v="OK"/>
    <s v="OK"/>
    <x v="4"/>
  </r>
  <r>
    <d v="2020-08-06T00:00:00"/>
    <x v="24"/>
    <n v="20.8"/>
    <n v="29.8"/>
    <n v="2.8"/>
    <x v="1"/>
    <s v="OK"/>
    <s v="OK"/>
    <x v="4"/>
  </r>
  <r>
    <d v="2020-08-07T00:00:00"/>
    <x v="24"/>
    <n v="21.4"/>
    <n v="27.8"/>
    <n v="1.3"/>
    <x v="1"/>
    <s v="OK"/>
    <s v="OK"/>
    <x v="4"/>
  </r>
  <r>
    <d v="2020-08-08T00:00:00"/>
    <x v="14"/>
    <n v="20.3"/>
    <n v="27.2"/>
    <n v="0"/>
    <x v="1"/>
    <s v="OK"/>
    <s v="OK"/>
    <x v="4"/>
  </r>
  <r>
    <d v="2020-08-09T00:00:00"/>
    <x v="3"/>
    <n v="20.2"/>
    <n v="27.4"/>
    <n v="2.2999999999999998"/>
    <x v="1"/>
    <s v="OK"/>
    <s v="OK"/>
    <x v="4"/>
  </r>
  <r>
    <d v="2020-08-10T00:00:00"/>
    <x v="4"/>
    <n v="19.5"/>
    <n v="26"/>
    <n v="12.2"/>
    <x v="1"/>
    <s v="OK"/>
    <s v="OK"/>
    <x v="4"/>
  </r>
  <r>
    <d v="2020-08-11T00:00:00"/>
    <x v="80"/>
    <n v="20.6"/>
    <n v="27.8"/>
    <n v="0"/>
    <x v="1"/>
    <s v="OK"/>
    <s v="OK"/>
    <x v="4"/>
  </r>
  <r>
    <d v="2020-08-12T00:00:00"/>
    <x v="24"/>
    <n v="20.5"/>
    <n v="28"/>
    <n v="5.0999999999999996"/>
    <x v="1"/>
    <s v="OK"/>
    <s v="OK"/>
    <x v="4"/>
  </r>
  <r>
    <d v="2020-08-13T00:00:00"/>
    <x v="17"/>
    <n v="20.6"/>
    <n v="27.9"/>
    <n v="0"/>
    <x v="1"/>
    <s v="OK"/>
    <s v="OK"/>
    <x v="4"/>
  </r>
  <r>
    <d v="2020-08-14T00:00:00"/>
    <x v="16"/>
    <n v="20.2"/>
    <n v="28"/>
    <n v="0"/>
    <x v="1"/>
    <s v="OK"/>
    <s v="OK"/>
    <x v="4"/>
  </r>
  <r>
    <d v="2020-08-15T00:00:00"/>
    <x v="14"/>
    <n v="20.399999999999999"/>
    <n v="25.6"/>
    <n v="0"/>
    <x v="1"/>
    <s v="OK"/>
    <s v="OK"/>
    <x v="4"/>
  </r>
  <r>
    <d v="2020-08-16T00:00:00"/>
    <x v="1"/>
    <n v="20"/>
    <n v="25.6"/>
    <m/>
    <x v="0"/>
    <m/>
    <m/>
    <x v="0"/>
  </r>
  <r>
    <d v="2020-08-17T00:00:00"/>
    <x v="26"/>
    <n v="20.100000000000001"/>
    <n v="26.8"/>
    <n v="0.3"/>
    <x v="1"/>
    <s v="OK"/>
    <s v="OK"/>
    <x v="4"/>
  </r>
  <r>
    <d v="2020-08-18T00:00:00"/>
    <x v="83"/>
    <n v="20.6"/>
    <n v="26.2"/>
    <n v="1"/>
    <x v="1"/>
    <s v="OK"/>
    <s v="OK"/>
    <x v="4"/>
  </r>
  <r>
    <d v="2020-08-19T00:00:00"/>
    <x v="20"/>
    <n v="20.399999999999999"/>
    <n v="26.4"/>
    <n v="0"/>
    <x v="1"/>
    <s v="OK"/>
    <s v="OK"/>
    <x v="4"/>
  </r>
  <r>
    <d v="2020-08-20T00:00:00"/>
    <x v="80"/>
    <n v="20.6"/>
    <n v="26.8"/>
    <m/>
    <x v="0"/>
    <m/>
    <m/>
    <x v="0"/>
  </r>
  <r>
    <d v="2020-08-21T00:00:00"/>
    <x v="74"/>
    <n v="19.8"/>
    <n v="28.8"/>
    <m/>
    <x v="0"/>
    <m/>
    <m/>
    <x v="0"/>
  </r>
  <r>
    <d v="2020-08-22T00:00:00"/>
    <x v="74"/>
    <n v="20.6"/>
    <n v="28"/>
    <m/>
    <x v="0"/>
    <m/>
    <m/>
    <x v="0"/>
  </r>
  <r>
    <d v="2020-08-23T00:00:00"/>
    <x v="74"/>
    <n v="21"/>
    <n v="29.2"/>
    <m/>
    <x v="0"/>
    <m/>
    <m/>
    <x v="0"/>
  </r>
  <r>
    <d v="2020-08-24T00:00:00"/>
    <x v="74"/>
    <n v="20.9"/>
    <n v="27.8"/>
    <n v="2"/>
    <x v="1"/>
    <s v="OK"/>
    <s v="OK"/>
    <x v="4"/>
  </r>
  <r>
    <d v="2020-08-25T00:00:00"/>
    <x v="73"/>
    <n v="20.5"/>
    <n v="29.8"/>
    <n v="0"/>
    <x v="1"/>
    <s v="OK"/>
    <s v="OK"/>
    <x v="4"/>
  </r>
  <r>
    <d v="2020-08-26T00:00:00"/>
    <x v="38"/>
    <n v="22"/>
    <n v="30.2"/>
    <n v="0"/>
    <x v="1"/>
    <s v="OK"/>
    <s v="OK"/>
    <x v="4"/>
  </r>
  <r>
    <d v="2020-08-27T00:00:00"/>
    <x v="18"/>
    <n v="21.2"/>
    <n v="30"/>
    <m/>
    <x v="0"/>
    <m/>
    <m/>
    <x v="0"/>
  </r>
  <r>
    <d v="2020-08-28T00:00:00"/>
    <x v="43"/>
    <n v="20.399999999999999"/>
    <n v="30.8"/>
    <n v="0"/>
    <x v="1"/>
    <s v="OK"/>
    <s v="OK"/>
    <x v="4"/>
  </r>
  <r>
    <d v="2020-08-29T00:00:00"/>
    <x v="63"/>
    <n v="20.8"/>
    <n v="30.8"/>
    <m/>
    <x v="0"/>
    <m/>
    <m/>
    <x v="0"/>
  </r>
  <r>
    <d v="2020-08-30T00:00:00"/>
    <x v="38"/>
    <n v="21.6"/>
    <n v="31"/>
    <m/>
    <x v="0"/>
    <m/>
    <m/>
    <x v="0"/>
  </r>
  <r>
    <d v="2020-08-31T00:00:00"/>
    <x v="33"/>
    <n v="19.399999999999999"/>
    <n v="31.7"/>
    <n v="23.1"/>
    <x v="1"/>
    <s v="OK"/>
    <s v="OK"/>
    <x v="4"/>
  </r>
  <r>
    <d v="2020-09-01T00:00:00"/>
    <x v="75"/>
    <n v="20"/>
    <n v="29.8"/>
    <n v="18.8"/>
    <x v="1"/>
    <s v="OK"/>
    <s v="OK"/>
    <x v="4"/>
  </r>
  <r>
    <d v="2020-09-02T00:00:00"/>
    <x v="22"/>
    <n v="20.6"/>
    <n v="28.4"/>
    <n v="2"/>
    <x v="1"/>
    <s v="OK"/>
    <s v="OK"/>
    <x v="4"/>
  </r>
  <r>
    <d v="2020-09-03T00:00:00"/>
    <x v="23"/>
    <n v="20.5"/>
    <n v="27.8"/>
    <n v="29.7"/>
    <x v="1"/>
    <s v="OK"/>
    <s v="OK"/>
    <x v="4"/>
  </r>
  <r>
    <d v="2020-09-04T00:00:00"/>
    <x v="72"/>
    <n v="21"/>
    <n v="29.2"/>
    <n v="9.6999999999999993"/>
    <x v="1"/>
    <s v="OK"/>
    <s v="OK"/>
    <x v="4"/>
  </r>
  <r>
    <d v="2020-09-05T00:00:00"/>
    <x v="34"/>
    <n v="22.3"/>
    <n v="29.2"/>
    <n v="0"/>
    <x v="1"/>
    <s v="OK"/>
    <s v="OK"/>
    <x v="4"/>
  </r>
  <r>
    <d v="2020-09-06T00:00:00"/>
    <x v="70"/>
    <n v="22.2"/>
    <n v="29.6"/>
    <n v="0"/>
    <x v="1"/>
    <s v="OK"/>
    <s v="OK"/>
    <x v="4"/>
  </r>
  <r>
    <d v="2020-09-07T00:00:00"/>
    <x v="33"/>
    <n v="20.5"/>
    <n v="30.5"/>
    <n v="0"/>
    <x v="1"/>
    <s v="OK"/>
    <s v="OK"/>
    <x v="4"/>
  </r>
  <r>
    <d v="2020-09-08T00:00:00"/>
    <x v="33"/>
    <n v="21.2"/>
    <n v="29.8"/>
    <n v="2"/>
    <x v="1"/>
    <s v="OK"/>
    <s v="OK"/>
    <x v="4"/>
  </r>
  <r>
    <d v="2020-09-09T00:00:00"/>
    <x v="19"/>
    <n v="19.399999999999999"/>
    <n v="30.2"/>
    <n v="61"/>
    <x v="1"/>
    <s v="OK"/>
    <s v="OK"/>
    <x v="4"/>
  </r>
  <r>
    <d v="2020-09-10T00:00:00"/>
    <x v="16"/>
    <n v="19.2"/>
    <n v="30.6"/>
    <n v="65"/>
    <x v="1"/>
    <s v="OK"/>
    <s v="OK"/>
    <x v="4"/>
  </r>
  <r>
    <d v="2020-09-11T00:00:00"/>
    <x v="6"/>
    <n v="19.899999999999999"/>
    <n v="27.6"/>
    <n v="0"/>
    <x v="1"/>
    <s v="OK"/>
    <s v="OK"/>
    <x v="4"/>
  </r>
  <r>
    <d v="2020-09-12T00:00:00"/>
    <x v="25"/>
    <n v="18.7"/>
    <n v="25.8"/>
    <n v="1.3"/>
    <x v="1"/>
    <s v="OK"/>
    <s v="OK"/>
    <x v="4"/>
  </r>
  <r>
    <d v="2020-09-13T00:00:00"/>
    <x v="1"/>
    <n v="19.7"/>
    <n v="25.5"/>
    <n v="17.5"/>
    <x v="1"/>
    <s v="OK"/>
    <s v="OK"/>
    <x v="4"/>
  </r>
  <r>
    <d v="2020-09-14T00:00:00"/>
    <x v="84"/>
    <n v="20.399999999999999"/>
    <n v="26.4"/>
    <n v="1"/>
    <x v="1"/>
    <s v="OK"/>
    <s v="OK"/>
    <x v="4"/>
  </r>
  <r>
    <d v="2020-09-15T00:00:00"/>
    <x v="80"/>
    <n v="20.2"/>
    <n v="26.5"/>
    <n v="0"/>
    <x v="1"/>
    <s v="OK"/>
    <s v="OK"/>
    <x v="4"/>
  </r>
  <r>
    <d v="2020-09-16T00:00:00"/>
    <x v="13"/>
    <n v="20.2"/>
    <n v="26.2"/>
    <n v="0.3"/>
    <x v="1"/>
    <s v="OK"/>
    <s v="OK"/>
    <x v="4"/>
  </r>
  <r>
    <d v="2020-09-17T00:00:00"/>
    <x v="23"/>
    <n v="21"/>
    <n v="27"/>
    <n v="0"/>
    <x v="1"/>
    <s v="OK"/>
    <s v="OK"/>
    <x v="4"/>
  </r>
  <r>
    <d v="2020-09-18T00:00:00"/>
    <x v="75"/>
    <n v="19.8"/>
    <n v="28.2"/>
    <n v="0.3"/>
    <x v="1"/>
    <s v="OK"/>
    <s v="OK"/>
    <x v="4"/>
  </r>
  <r>
    <d v="2020-09-19T00:00:00"/>
    <x v="6"/>
    <n v="19.3"/>
    <n v="28.4"/>
    <n v="0"/>
    <x v="1"/>
    <s v="OK"/>
    <s v="OK"/>
    <x v="4"/>
  </r>
  <r>
    <d v="2020-09-20T00:00:00"/>
    <x v="11"/>
    <n v="18.600000000000001"/>
    <n v="25.8"/>
    <n v="20.8"/>
    <x v="1"/>
    <s v="OK"/>
    <s v="OK"/>
    <x v="4"/>
  </r>
  <r>
    <d v="2020-09-21T00:00:00"/>
    <x v="6"/>
    <n v="19"/>
    <n v="27.8"/>
    <n v="11.4"/>
    <x v="1"/>
    <s v="OK"/>
    <s v="OK"/>
    <x v="4"/>
  </r>
  <r>
    <d v="2020-09-22T00:00:00"/>
    <x v="12"/>
    <n v="18.600000000000001"/>
    <n v="26.6"/>
    <n v="0"/>
    <x v="1"/>
    <s v="OK"/>
    <s v="OK"/>
    <x v="4"/>
  </r>
  <r>
    <d v="2020-09-23T00:00:00"/>
    <x v="80"/>
    <n v="18.600000000000001"/>
    <n v="27.8"/>
    <n v="0"/>
    <x v="1"/>
    <s v="OK"/>
    <s v="OK"/>
    <x v="4"/>
  </r>
  <r>
    <d v="2020-09-24T00:00:00"/>
    <x v="17"/>
    <n v="20"/>
    <n v="27.6"/>
    <m/>
    <x v="0"/>
    <m/>
    <m/>
    <x v="0"/>
  </r>
  <r>
    <d v="2020-09-25T00:00:00"/>
    <x v="77"/>
    <n v="20.9"/>
    <n v="29.8"/>
    <n v="0.3"/>
    <x v="1"/>
    <s v="OK"/>
    <s v="OK"/>
    <x v="4"/>
  </r>
  <r>
    <d v="2020-09-26T00:00:00"/>
    <x v="80"/>
    <n v="20.6"/>
    <n v="29.6"/>
    <n v="3"/>
    <x v="1"/>
    <s v="OK"/>
    <s v="OK"/>
    <x v="4"/>
  </r>
  <r>
    <d v="2020-09-27T00:00:00"/>
    <x v="13"/>
    <n v="20.5"/>
    <n v="27.8"/>
    <n v="0"/>
    <x v="1"/>
    <s v="OK"/>
    <s v="OK"/>
    <x v="4"/>
  </r>
  <r>
    <d v="2020-09-28T00:00:00"/>
    <x v="74"/>
    <n v="20.6"/>
    <n v="27"/>
    <n v="0"/>
    <x v="1"/>
    <s v="OK"/>
    <s v="OK"/>
    <x v="4"/>
  </r>
  <r>
    <d v="2020-09-29T00:00:00"/>
    <x v="14"/>
    <n v="19.8"/>
    <n v="28.1"/>
    <n v="0"/>
    <x v="1"/>
    <s v="OK"/>
    <s v="OK"/>
    <x v="4"/>
  </r>
  <r>
    <d v="2020-09-30T00:00:00"/>
    <x v="2"/>
    <n v="19"/>
    <n v="27.8"/>
    <n v="54.4"/>
    <x v="1"/>
    <s v="OK"/>
    <s v="OK"/>
    <x v="4"/>
  </r>
  <r>
    <d v="2020-10-01T00:00:00"/>
    <x v="21"/>
    <n v="19.5"/>
    <n v="27.1"/>
    <n v="0"/>
    <x v="1"/>
    <s v="OK"/>
    <s v="OK"/>
    <x v="4"/>
  </r>
  <r>
    <d v="2020-10-02T00:00:00"/>
    <x v="82"/>
    <n v="21"/>
    <n v="28.5"/>
    <n v="0"/>
    <x v="1"/>
    <s v="OK"/>
    <s v="OK"/>
    <x v="4"/>
  </r>
  <r>
    <d v="2020-10-03T00:00:00"/>
    <x v="21"/>
    <n v="19.600000000000001"/>
    <n v="29.6"/>
    <n v="0.5"/>
    <x v="1"/>
    <s v="OK"/>
    <s v="OK"/>
    <x v="4"/>
  </r>
  <r>
    <d v="2020-10-04T00:00:00"/>
    <x v="84"/>
    <n v="20"/>
    <n v="28.4"/>
    <n v="0"/>
    <x v="1"/>
    <s v="OK"/>
    <s v="OK"/>
    <x v="4"/>
  </r>
  <r>
    <d v="2020-10-05T00:00:00"/>
    <x v="76"/>
    <n v="19"/>
    <n v="28.8"/>
    <n v="0.3"/>
    <x v="1"/>
    <s v="OK"/>
    <s v="OK"/>
    <x v="4"/>
  </r>
  <r>
    <d v="2020-10-06T00:00:00"/>
    <x v="42"/>
    <n v="20.2"/>
    <n v="30.8"/>
    <n v="0"/>
    <x v="1"/>
    <s v="OK"/>
    <s v="OK"/>
    <x v="4"/>
  </r>
  <r>
    <d v="2020-10-07T00:00:00"/>
    <x v="73"/>
    <n v="21.9"/>
    <n v="31.3"/>
    <m/>
    <x v="0"/>
    <m/>
    <m/>
    <x v="0"/>
  </r>
  <r>
    <d v="2020-10-08T00:00:00"/>
    <x v="63"/>
    <n v="19.8"/>
    <n v="30.4"/>
    <m/>
    <x v="0"/>
    <m/>
    <m/>
    <x v="0"/>
  </r>
  <r>
    <d v="2020-10-09T00:00:00"/>
    <x v="17"/>
    <n v="20.399999999999999"/>
    <n v="31.2"/>
    <n v="0"/>
    <x v="1"/>
    <s v="OK"/>
    <s v="OK"/>
    <x v="4"/>
  </r>
  <r>
    <d v="2020-10-10T00:00:00"/>
    <x v="20"/>
    <n v="18.600000000000001"/>
    <n v="30"/>
    <n v="23.6"/>
    <x v="1"/>
    <s v="OK"/>
    <s v="OK"/>
    <x v="4"/>
  </r>
  <r>
    <d v="2020-10-11T00:00:00"/>
    <x v="12"/>
    <n v="19.2"/>
    <n v="28.2"/>
    <n v="51.1"/>
    <x v="1"/>
    <s v="OK"/>
    <s v="OK"/>
    <x v="4"/>
  </r>
  <r>
    <d v="2020-10-12T00:00:00"/>
    <x v="3"/>
    <n v="20"/>
    <n v="25.6"/>
    <n v="3"/>
    <x v="1"/>
    <s v="OK"/>
    <s v="OK"/>
    <x v="4"/>
  </r>
  <r>
    <d v="2020-10-13T00:00:00"/>
    <x v="8"/>
    <n v="19.8"/>
    <n v="25.4"/>
    <n v="5.0999999999999996"/>
    <x v="1"/>
    <s v="OK"/>
    <s v="OK"/>
    <x v="4"/>
  </r>
  <r>
    <d v="2020-10-14T00:00:00"/>
    <x v="25"/>
    <n v="19.8"/>
    <n v="25.8"/>
    <n v="0.5"/>
    <x v="1"/>
    <s v="OK"/>
    <s v="OK"/>
    <x v="4"/>
  </r>
  <r>
    <d v="2020-10-15T00:00:00"/>
    <x v="84"/>
    <n v="19.2"/>
    <n v="26.6"/>
    <n v="0"/>
    <x v="1"/>
    <s v="OK"/>
    <s v="OK"/>
    <x v="4"/>
  </r>
  <r>
    <d v="2020-10-16T00:00:00"/>
    <x v="24"/>
    <n v="17.600000000000001"/>
    <n v="28.8"/>
    <n v="0"/>
    <x v="1"/>
    <s v="OK"/>
    <s v="OK"/>
    <x v="4"/>
  </r>
  <r>
    <d v="2020-10-17T00:00:00"/>
    <x v="76"/>
    <n v="20"/>
    <n v="28.8"/>
    <m/>
    <x v="0"/>
    <m/>
    <m/>
    <x v="0"/>
  </r>
  <r>
    <d v="2020-10-18T00:00:00"/>
    <x v="23"/>
    <n v="20.8"/>
    <n v="28"/>
    <n v="0.3"/>
    <x v="1"/>
    <s v="OK"/>
    <s v="OK"/>
    <x v="4"/>
  </r>
  <r>
    <d v="2020-10-19T00:00:00"/>
    <x v="13"/>
    <n v="21"/>
    <n v="28"/>
    <n v="1.8"/>
    <x v="1"/>
    <s v="OK"/>
    <s v="OK"/>
    <x v="4"/>
  </r>
  <r>
    <d v="2020-10-20T00:00:00"/>
    <x v="22"/>
    <n v="20"/>
    <n v="26.6"/>
    <n v="3.8"/>
    <x v="1"/>
    <s v="OK"/>
    <s v="OK"/>
    <x v="4"/>
  </r>
  <r>
    <d v="2020-10-21T00:00:00"/>
    <x v="16"/>
    <n v="20.399999999999999"/>
    <n v="26.2"/>
    <n v="67.099999999999994"/>
    <x v="1"/>
    <s v="OK"/>
    <s v="OK"/>
    <x v="4"/>
  </r>
  <r>
    <d v="2020-10-22T00:00:00"/>
    <x v="26"/>
    <n v="19.3"/>
    <n v="26.4"/>
    <n v="5.3"/>
    <x v="1"/>
    <s v="OK"/>
    <s v="OK"/>
    <x v="4"/>
  </r>
  <r>
    <d v="2020-10-23T00:00:00"/>
    <x v="0"/>
    <n v="17.8"/>
    <n v="27.5"/>
    <n v="17.5"/>
    <x v="1"/>
    <s v="OK"/>
    <s v="OK"/>
    <x v="4"/>
  </r>
  <r>
    <d v="2020-10-24T00:00:00"/>
    <x v="7"/>
    <n v="17"/>
    <n v="27"/>
    <n v="17.3"/>
    <x v="1"/>
    <s v="OK"/>
    <s v="OK"/>
    <x v="4"/>
  </r>
  <r>
    <d v="2020-10-25T00:00:00"/>
    <x v="21"/>
    <n v="20.2"/>
    <n v="29.8"/>
    <n v="0"/>
    <x v="1"/>
    <s v="OK"/>
    <s v="OK"/>
    <x v="4"/>
  </r>
  <r>
    <d v="2020-10-26T00:00:00"/>
    <x v="76"/>
    <n v="19.399999999999999"/>
    <n v="29.4"/>
    <n v="7.9"/>
    <x v="1"/>
    <s v="OK"/>
    <s v="OK"/>
    <x v="4"/>
  </r>
  <r>
    <d v="2020-10-27T00:00:00"/>
    <x v="17"/>
    <n v="19"/>
    <n v="30"/>
    <n v="0"/>
    <x v="1"/>
    <s v="OK"/>
    <s v="OK"/>
    <x v="4"/>
  </r>
  <r>
    <d v="2020-10-28T00:00:00"/>
    <x v="13"/>
    <n v="19"/>
    <n v="29.6"/>
    <m/>
    <x v="0"/>
    <m/>
    <m/>
    <x v="0"/>
  </r>
  <r>
    <d v="2020-10-29T00:00:00"/>
    <x v="4"/>
    <n v="18.2"/>
    <n v="28.9"/>
    <m/>
    <x v="0"/>
    <m/>
    <m/>
    <x v="0"/>
  </r>
  <r>
    <d v="2020-10-30T00:00:00"/>
    <x v="22"/>
    <n v="17.8"/>
    <n v="28.3"/>
    <n v="0"/>
    <x v="1"/>
    <s v="OK"/>
    <s v="OK"/>
    <x v="4"/>
  </r>
  <r>
    <d v="2020-10-31T00:00:00"/>
    <x v="74"/>
    <n v="18.5"/>
    <n v="28.8"/>
    <m/>
    <x v="0"/>
    <m/>
    <m/>
    <x v="0"/>
  </r>
  <r>
    <d v="2020-11-01T00:00:00"/>
    <x v="34"/>
    <n v="19"/>
    <n v="29.1"/>
    <n v="0"/>
    <x v="1"/>
    <s v="OK"/>
    <s v="OK"/>
    <x v="4"/>
  </r>
  <r>
    <d v="2020-11-02T00:00:00"/>
    <x v="77"/>
    <n v="20.399999999999999"/>
    <n v="31.5"/>
    <n v="0.3"/>
    <x v="1"/>
    <s v="OK"/>
    <s v="OK"/>
    <x v="4"/>
  </r>
  <r>
    <d v="2020-11-03T00:00:00"/>
    <x v="82"/>
    <n v="19.8"/>
    <n v="29"/>
    <n v="0"/>
    <x v="1"/>
    <s v="OK"/>
    <s v="OK"/>
    <x v="4"/>
  </r>
  <r>
    <d v="2020-11-04T00:00:00"/>
    <x v="79"/>
    <n v="20.5"/>
    <n v="29.9"/>
    <m/>
    <x v="0"/>
    <m/>
    <m/>
    <x v="0"/>
  </r>
  <r>
    <d v="2020-11-05T00:00:00"/>
    <x v="77"/>
    <n v="21"/>
    <n v="29.2"/>
    <m/>
    <x v="0"/>
    <m/>
    <m/>
    <x v="0"/>
  </r>
  <r>
    <d v="2020-11-06T00:00:00"/>
    <x v="23"/>
    <n v="20.8"/>
    <n v="30.4"/>
    <n v="22.9"/>
    <x v="1"/>
    <s v="OK"/>
    <s v="OK"/>
    <x v="4"/>
  </r>
  <r>
    <d v="2020-11-07T00:00:00"/>
    <x v="24"/>
    <n v="20.2"/>
    <n v="29.2"/>
    <n v="0"/>
    <x v="1"/>
    <s v="OK"/>
    <s v="OK"/>
    <x v="4"/>
  </r>
  <r>
    <d v="2020-11-08T00:00:00"/>
    <x v="24"/>
    <n v="20.8"/>
    <n v="30.2"/>
    <n v="3.3"/>
    <x v="1"/>
    <s v="OK"/>
    <s v="OK"/>
    <x v="4"/>
  </r>
  <r>
    <d v="2020-11-09T00:00:00"/>
    <x v="16"/>
    <n v="19.5"/>
    <n v="27.8"/>
    <n v="0"/>
    <x v="1"/>
    <s v="OK"/>
    <s v="OK"/>
    <x v="4"/>
  </r>
  <r>
    <d v="2020-11-10T00:00:00"/>
    <x v="10"/>
    <n v="16"/>
    <n v="28.6"/>
    <m/>
    <x v="0"/>
    <m/>
    <m/>
    <x v="0"/>
  </r>
  <r>
    <d v="2020-11-11T00:00:00"/>
    <x v="16"/>
    <n v="16.5"/>
    <n v="28.7"/>
    <m/>
    <x v="0"/>
    <m/>
    <m/>
    <x v="0"/>
  </r>
  <r>
    <d v="2020-11-12T00:00:00"/>
    <x v="17"/>
    <n v="19.2"/>
    <n v="28.4"/>
    <m/>
    <x v="0"/>
    <m/>
    <m/>
    <x v="0"/>
  </r>
  <r>
    <d v="2020-11-13T00:00:00"/>
    <x v="6"/>
    <n v="20.399999999999999"/>
    <n v="28"/>
    <n v="0"/>
    <x v="1"/>
    <s v="OK"/>
    <s v="OK"/>
    <x v="4"/>
  </r>
  <r>
    <d v="2020-11-14T00:00:00"/>
    <x v="80"/>
    <n v="20"/>
    <n v="27.8"/>
    <n v="8.9"/>
    <x v="1"/>
    <s v="OK"/>
    <s v="OK"/>
    <x v="4"/>
  </r>
  <r>
    <d v="2020-11-15T00:00:00"/>
    <x v="1"/>
    <n v="19.100000000000001"/>
    <n v="28.2"/>
    <n v="0"/>
    <x v="1"/>
    <s v="OK"/>
    <s v="OK"/>
    <x v="4"/>
  </r>
  <r>
    <d v="2020-11-16T00:00:00"/>
    <x v="1"/>
    <n v="19.2"/>
    <n v="25.8"/>
    <n v="9.9"/>
    <x v="1"/>
    <s v="OK"/>
    <s v="OK"/>
    <x v="4"/>
  </r>
  <r>
    <d v="2020-11-17T00:00:00"/>
    <x v="26"/>
    <n v="19.399999999999999"/>
    <n v="25"/>
    <n v="21.1"/>
    <x v="1"/>
    <s v="OK"/>
    <s v="OK"/>
    <x v="4"/>
  </r>
  <r>
    <d v="2020-11-18T00:00:00"/>
    <x v="80"/>
    <n v="19.2"/>
    <n v="28.3"/>
    <n v="0"/>
    <x v="1"/>
    <s v="OK"/>
    <s v="OK"/>
    <x v="4"/>
  </r>
  <r>
    <d v="2020-11-19T00:00:00"/>
    <x v="22"/>
    <n v="20"/>
    <n v="28.3"/>
    <n v="0"/>
    <x v="1"/>
    <s v="OK"/>
    <s v="OK"/>
    <x v="4"/>
  </r>
  <r>
    <d v="2020-11-20T00:00:00"/>
    <x v="26"/>
    <n v="17.3"/>
    <n v="28.1"/>
    <m/>
    <x v="0"/>
    <m/>
    <m/>
    <x v="0"/>
  </r>
  <r>
    <d v="2020-11-21T00:00:00"/>
    <x v="4"/>
    <n v="17"/>
    <n v="28.8"/>
    <m/>
    <x v="0"/>
    <m/>
    <m/>
    <x v="0"/>
  </r>
  <r>
    <d v="2020-11-22T00:00:00"/>
    <x v="87"/>
    <n v="14.8"/>
    <n v="29.6"/>
    <m/>
    <x v="0"/>
    <m/>
    <m/>
    <x v="0"/>
  </r>
  <r>
    <d v="2020-11-23T00:00:00"/>
    <x v="14"/>
    <n v="17.399999999999999"/>
    <n v="28.2"/>
    <m/>
    <x v="0"/>
    <m/>
    <m/>
    <x v="0"/>
  </r>
  <r>
    <d v="2020-11-24T00:00:00"/>
    <x v="3"/>
    <n v="18.7"/>
    <n v="27.6"/>
    <m/>
    <x v="0"/>
    <m/>
    <m/>
    <x v="0"/>
  </r>
  <r>
    <d v="2020-11-25T00:00:00"/>
    <x v="89"/>
    <n v="18.399999999999999"/>
    <n v="26.6"/>
    <m/>
    <x v="0"/>
    <m/>
    <m/>
    <x v="0"/>
  </r>
  <r>
    <d v="2020-11-26T00:00:00"/>
    <x v="104"/>
    <n v="17.8"/>
    <n v="23.8"/>
    <n v="2"/>
    <x v="1"/>
    <s v="OK"/>
    <s v="OK"/>
    <x v="4"/>
  </r>
  <r>
    <d v="2020-11-27T00:00:00"/>
    <x v="91"/>
    <n v="17.8"/>
    <n v="21.8"/>
    <n v="13.2"/>
    <x v="1"/>
    <s v="OK"/>
    <s v="Outlier"/>
    <x v="4"/>
  </r>
  <r>
    <d v="2020-11-28T00:00:00"/>
    <x v="25"/>
    <n v="17"/>
    <n v="25.9"/>
    <n v="0.3"/>
    <x v="1"/>
    <s v="OK"/>
    <s v="OK"/>
    <x v="4"/>
  </r>
  <r>
    <d v="2020-11-29T00:00:00"/>
    <x v="1"/>
    <n v="19"/>
    <n v="25.6"/>
    <n v="0"/>
    <x v="1"/>
    <s v="OK"/>
    <s v="OK"/>
    <x v="4"/>
  </r>
  <r>
    <d v="2020-11-30T00:00:00"/>
    <x v="4"/>
    <n v="18"/>
    <n v="26.8"/>
    <n v="0"/>
    <x v="1"/>
    <s v="OK"/>
    <s v="OK"/>
    <x v="4"/>
  </r>
  <r>
    <d v="2020-12-01T00:00:00"/>
    <x v="89"/>
    <n v="17"/>
    <n v="27"/>
    <m/>
    <x v="0"/>
    <m/>
    <m/>
    <x v="0"/>
  </r>
  <r>
    <d v="2020-12-02T00:00:00"/>
    <x v="86"/>
    <n v="16.7"/>
    <n v="26.6"/>
    <m/>
    <x v="0"/>
    <m/>
    <m/>
    <x v="0"/>
  </r>
  <r>
    <d v="2020-12-03T00:00:00"/>
    <x v="99"/>
    <n v="18"/>
    <n v="26.4"/>
    <n v="2.2999999999999998"/>
    <x v="1"/>
    <s v="OK"/>
    <s v="OK"/>
    <x v="4"/>
  </r>
  <r>
    <d v="2020-12-04T00:00:00"/>
    <x v="86"/>
    <n v="19.2"/>
    <n v="22.8"/>
    <n v="1.8"/>
    <x v="1"/>
    <s v="OK"/>
    <s v="OK"/>
    <x v="4"/>
  </r>
  <r>
    <d v="2020-12-05T00:00:00"/>
    <x v="0"/>
    <n v="19.399999999999999"/>
    <n v="23.2"/>
    <n v="0.8"/>
    <x v="1"/>
    <s v="OK"/>
    <s v="OK"/>
    <x v="4"/>
  </r>
  <r>
    <d v="2020-12-06T00:00:00"/>
    <x v="5"/>
    <n v="18.5"/>
    <n v="24"/>
    <n v="1.3"/>
    <x v="1"/>
    <s v="OK"/>
    <s v="OK"/>
    <x v="4"/>
  </r>
  <r>
    <d v="2020-12-07T00:00:00"/>
    <x v="12"/>
    <n v="19.399999999999999"/>
    <n v="24.8"/>
    <n v="7.6"/>
    <x v="1"/>
    <s v="OK"/>
    <s v="OK"/>
    <x v="4"/>
  </r>
  <r>
    <d v="2020-12-08T00:00:00"/>
    <x v="10"/>
    <n v="19.5"/>
    <n v="26.2"/>
    <n v="5.6"/>
    <x v="1"/>
    <s v="OK"/>
    <s v="OK"/>
    <x v="4"/>
  </r>
  <r>
    <d v="2020-12-09T00:00:00"/>
    <x v="12"/>
    <n v="19.399999999999999"/>
    <n v="25"/>
    <n v="0.8"/>
    <x v="1"/>
    <s v="OK"/>
    <s v="OK"/>
    <x v="4"/>
  </r>
  <r>
    <d v="2020-12-10T00:00:00"/>
    <x v="10"/>
    <n v="16.399999999999999"/>
    <n v="26.8"/>
    <n v="0"/>
    <x v="1"/>
    <s v="OK"/>
    <s v="OK"/>
    <x v="4"/>
  </r>
  <r>
    <d v="2020-12-11T00:00:00"/>
    <x v="8"/>
    <n v="16.600000000000001"/>
    <n v="28.4"/>
    <n v="0"/>
    <x v="1"/>
    <s v="OK"/>
    <s v="OK"/>
    <x v="4"/>
  </r>
  <r>
    <d v="2020-12-12T00:00:00"/>
    <x v="11"/>
    <n v="15.4"/>
    <n v="29.3"/>
    <m/>
    <x v="0"/>
    <m/>
    <m/>
    <x v="0"/>
  </r>
  <r>
    <d v="2020-12-13T00:00:00"/>
    <x v="8"/>
    <n v="17"/>
    <n v="28"/>
    <m/>
    <x v="0"/>
    <m/>
    <m/>
    <x v="0"/>
  </r>
  <r>
    <d v="2020-12-14T00:00:00"/>
    <x v="86"/>
    <n v="17.2"/>
    <n v="27.5"/>
    <m/>
    <x v="0"/>
    <m/>
    <m/>
    <x v="0"/>
  </r>
  <r>
    <d v="2020-12-15T00:00:00"/>
    <x v="10"/>
    <n v="16.399999999999999"/>
    <n v="27.8"/>
    <m/>
    <x v="0"/>
    <m/>
    <m/>
    <x v="0"/>
  </r>
  <r>
    <d v="2020-12-16T00:00:00"/>
    <x v="3"/>
    <n v="18"/>
    <n v="27"/>
    <m/>
    <x v="0"/>
    <m/>
    <m/>
    <x v="0"/>
  </r>
  <r>
    <d v="2020-12-17T00:00:00"/>
    <x v="12"/>
    <n v="19.5"/>
    <n v="26.8"/>
    <n v="0.3"/>
    <x v="1"/>
    <s v="OK"/>
    <s v="OK"/>
    <x v="4"/>
  </r>
  <r>
    <d v="2020-12-18T00:00:00"/>
    <x v="6"/>
    <n v="18.399999999999999"/>
    <n v="26.6"/>
    <n v="0"/>
    <x v="1"/>
    <s v="OK"/>
    <s v="Outlier"/>
    <x v="0"/>
  </r>
  <r>
    <d v="2020-12-19T00:00:00"/>
    <x v="11"/>
    <n v="17.2"/>
    <n v="28"/>
    <m/>
    <x v="0"/>
    <m/>
    <m/>
    <x v="0"/>
  </r>
  <r>
    <d v="2020-12-20T00:00:00"/>
    <x v="98"/>
    <n v="17"/>
    <n v="25.6"/>
    <m/>
    <x v="0"/>
    <m/>
    <m/>
    <x v="0"/>
  </r>
  <r>
    <d v="2020-12-21T00:00:00"/>
    <x v="91"/>
    <n v="14.5"/>
    <n v="25.7"/>
    <m/>
    <x v="0"/>
    <m/>
    <m/>
    <x v="0"/>
  </r>
  <r>
    <d v="2020-12-22T00:00:00"/>
    <x v="90"/>
    <n v="14.4"/>
    <n v="25.1"/>
    <m/>
    <x v="0"/>
    <m/>
    <m/>
    <x v="0"/>
  </r>
  <r>
    <d v="2020-12-23T00:00:00"/>
    <x v="8"/>
    <n v="16.600000000000001"/>
    <n v="28.8"/>
    <m/>
    <x v="0"/>
    <m/>
    <m/>
    <x v="0"/>
  </r>
  <r>
    <d v="2020-12-24T00:00:00"/>
    <x v="12"/>
    <n v="17.399999999999999"/>
    <n v="27.5"/>
    <m/>
    <x v="0"/>
    <m/>
    <m/>
    <x v="0"/>
  </r>
  <r>
    <d v="2020-12-25T00:00:00"/>
    <x v="8"/>
    <n v="17.399999999999999"/>
    <n v="28.2"/>
    <m/>
    <x v="0"/>
    <m/>
    <m/>
    <x v="0"/>
  </r>
  <r>
    <d v="2020-12-26T00:00:00"/>
    <x v="8"/>
    <n v="16"/>
    <n v="29"/>
    <m/>
    <x v="0"/>
    <m/>
    <m/>
    <x v="0"/>
  </r>
  <r>
    <d v="2020-12-27T00:00:00"/>
    <x v="87"/>
    <n v="15.2"/>
    <n v="28.4"/>
    <m/>
    <x v="0"/>
    <m/>
    <m/>
    <x v="0"/>
  </r>
  <r>
    <d v="2020-12-28T00:00:00"/>
    <x v="8"/>
    <n v="16.399999999999999"/>
    <n v="29.8"/>
    <m/>
    <x v="0"/>
    <m/>
    <m/>
    <x v="0"/>
  </r>
  <r>
    <d v="2020-12-29T00:00:00"/>
    <x v="84"/>
    <n v="16.399999999999999"/>
    <n v="29.8"/>
    <m/>
    <x v="0"/>
    <m/>
    <m/>
    <x v="0"/>
  </r>
  <r>
    <d v="2020-12-30T00:00:00"/>
    <x v="80"/>
    <n v="18.399999999999999"/>
    <n v="29"/>
    <m/>
    <x v="0"/>
    <m/>
    <m/>
    <x v="0"/>
  </r>
  <r>
    <d v="2020-12-31T00:00:00"/>
    <x v="89"/>
    <n v="18.8"/>
    <n v="29.6"/>
    <n v="0"/>
    <x v="1"/>
    <s v="OK"/>
    <s v="OK"/>
    <x v="4"/>
  </r>
  <r>
    <d v="2021-01-01T00:00:00"/>
    <x v="90"/>
    <n v="16.600000000000001"/>
    <n v="25.3"/>
    <n v="0.5"/>
    <x v="1"/>
    <s v="OK"/>
    <s v="OK"/>
    <x v="5"/>
  </r>
  <r>
    <d v="2021-01-02T00:00:00"/>
    <x v="5"/>
    <n v="16.600000000000001"/>
    <n v="26"/>
    <n v="0.4"/>
    <x v="1"/>
    <s v="OK"/>
    <s v="OK"/>
    <x v="5"/>
  </r>
  <r>
    <d v="2021-01-03T00:00:00"/>
    <x v="4"/>
    <n v="18.8"/>
    <n v="26"/>
    <n v="0"/>
    <x v="1"/>
    <s v="OK"/>
    <s v="OK"/>
    <x v="5"/>
  </r>
  <r>
    <d v="2021-01-04T00:00:00"/>
    <x v="86"/>
    <n v="18.600000000000001"/>
    <n v="27.6"/>
    <n v="0"/>
    <x v="1"/>
    <s v="OK"/>
    <s v="OK"/>
    <x v="5"/>
  </r>
  <r>
    <d v="2021-01-05T00:00:00"/>
    <x v="4"/>
    <n v="18.7"/>
    <n v="26.2"/>
    <n v="0"/>
    <x v="1"/>
    <s v="OK"/>
    <s v="OK"/>
    <x v="5"/>
  </r>
  <r>
    <d v="2021-01-06T00:00:00"/>
    <x v="8"/>
    <n v="20"/>
    <n v="27.3"/>
    <n v="7.5"/>
    <x v="1"/>
    <s v="OK"/>
    <s v="OK"/>
    <x v="5"/>
  </r>
  <r>
    <d v="2021-01-07T00:00:00"/>
    <x v="1"/>
    <n v="19.100000000000001"/>
    <n v="25.4"/>
    <n v="0.8"/>
    <x v="1"/>
    <s v="OK"/>
    <s v="OK"/>
    <x v="5"/>
  </r>
  <r>
    <d v="2021-01-08T00:00:00"/>
    <x v="2"/>
    <n v="20"/>
    <n v="27"/>
    <n v="9"/>
    <x v="1"/>
    <s v="OK"/>
    <s v="OK"/>
    <x v="5"/>
  </r>
  <r>
    <d v="2021-01-09T00:00:00"/>
    <x v="87"/>
    <n v="18.8"/>
    <n v="27"/>
    <n v="0"/>
    <x v="1"/>
    <s v="OK"/>
    <s v="OK"/>
    <x v="5"/>
  </r>
  <r>
    <d v="2021-01-10T00:00:00"/>
    <x v="26"/>
    <n v="18.600000000000001"/>
    <n v="26.2"/>
    <n v="0"/>
    <x v="1"/>
    <s v="OK"/>
    <s v="OK"/>
    <x v="5"/>
  </r>
  <r>
    <d v="2021-01-11T00:00:00"/>
    <x v="1"/>
    <n v="18.2"/>
    <n v="26.9"/>
    <n v="0"/>
    <x v="1"/>
    <s v="Outlier"/>
    <s v="OK"/>
    <x v="0"/>
  </r>
  <r>
    <d v="2021-01-12T00:00:00"/>
    <x v="11"/>
    <n v="18.2"/>
    <n v="25.4"/>
    <n v="0"/>
    <x v="1"/>
    <s v="Outlier"/>
    <s v="OK"/>
    <x v="0"/>
  </r>
  <r>
    <d v="2021-01-13T00:00:00"/>
    <x v="10"/>
    <n v="16.8"/>
    <n v="26.3"/>
    <n v="0"/>
    <x v="1"/>
    <s v="OK"/>
    <s v="OK"/>
    <x v="5"/>
  </r>
  <r>
    <d v="2021-01-14T00:00:00"/>
    <x v="86"/>
    <n v="16.399999999999999"/>
    <n v="27.7"/>
    <n v="0.2"/>
    <x v="1"/>
    <s v="OK"/>
    <s v="OK"/>
    <x v="5"/>
  </r>
  <r>
    <d v="2021-01-15T00:00:00"/>
    <x v="3"/>
    <n v="17.3"/>
    <n v="26.3"/>
    <n v="0"/>
    <x v="1"/>
    <s v="OK"/>
    <s v="OK"/>
    <x v="5"/>
  </r>
  <r>
    <d v="2021-01-16T00:00:00"/>
    <x v="26"/>
    <n v="18.100000000000001"/>
    <n v="27.4"/>
    <n v="0"/>
    <x v="1"/>
    <s v="OK"/>
    <s v="OK"/>
    <x v="5"/>
  </r>
  <r>
    <d v="2021-01-17T00:00:00"/>
    <x v="26"/>
    <n v="17"/>
    <n v="29.2"/>
    <n v="0"/>
    <x v="1"/>
    <s v="OK"/>
    <s v="OK"/>
    <x v="5"/>
  </r>
  <r>
    <d v="2021-01-18T00:00:00"/>
    <x v="3"/>
    <n v="15.5"/>
    <n v="29.6"/>
    <n v="0"/>
    <x v="1"/>
    <s v="OK"/>
    <s v="OK"/>
    <x v="5"/>
  </r>
  <r>
    <d v="2021-01-19T00:00:00"/>
    <x v="3"/>
    <n v="16.100000000000001"/>
    <n v="28.8"/>
    <n v="0"/>
    <x v="1"/>
    <s v="OK"/>
    <s v="OK"/>
    <x v="5"/>
  </r>
  <r>
    <d v="2021-01-20T00:00:00"/>
    <x v="16"/>
    <n v="16"/>
    <n v="28.4"/>
    <n v="0"/>
    <x v="1"/>
    <s v="OK"/>
    <s v="OK"/>
    <x v="5"/>
  </r>
  <r>
    <d v="2021-01-21T00:00:00"/>
    <x v="23"/>
    <n v="17"/>
    <n v="31.1"/>
    <n v="0"/>
    <x v="1"/>
    <s v="OK"/>
    <s v="OK"/>
    <x v="5"/>
  </r>
  <r>
    <d v="2021-01-22T00:00:00"/>
    <x v="23"/>
    <n v="18.399999999999999"/>
    <n v="31.1"/>
    <n v="0.1"/>
    <x v="1"/>
    <s v="OK"/>
    <s v="OK"/>
    <x v="5"/>
  </r>
  <r>
    <d v="2021-01-23T00:00:00"/>
    <x v="84"/>
    <n v="18"/>
    <n v="30.3"/>
    <n v="0"/>
    <x v="1"/>
    <s v="OK"/>
    <s v="OK"/>
    <x v="5"/>
  </r>
  <r>
    <d v="2021-01-24T00:00:00"/>
    <x v="4"/>
    <n v="17"/>
    <n v="29.2"/>
    <n v="0"/>
    <x v="1"/>
    <s v="OK"/>
    <s v="OK"/>
    <x v="5"/>
  </r>
  <r>
    <d v="2021-01-25T00:00:00"/>
    <x v="1"/>
    <n v="16.3"/>
    <n v="29.5"/>
    <n v="0"/>
    <x v="1"/>
    <s v="OK"/>
    <s v="OK"/>
    <x v="5"/>
  </r>
  <r>
    <d v="2021-01-26T00:00:00"/>
    <x v="4"/>
    <n v="15.4"/>
    <n v="29.4"/>
    <n v="0"/>
    <x v="1"/>
    <s v="OK"/>
    <s v="OK"/>
    <x v="5"/>
  </r>
  <r>
    <d v="2021-01-27T00:00:00"/>
    <x v="12"/>
    <n v="15.4"/>
    <n v="30.8"/>
    <n v="0"/>
    <x v="1"/>
    <s v="OK"/>
    <s v="OK"/>
    <x v="5"/>
  </r>
  <r>
    <d v="2021-01-28T00:00:00"/>
    <x v="1"/>
    <n v="16"/>
    <n v="30.2"/>
    <n v="0"/>
    <x v="1"/>
    <s v="OK"/>
    <s v="OK"/>
    <x v="5"/>
  </r>
  <r>
    <d v="2021-01-29T00:00:00"/>
    <x v="14"/>
    <n v="18"/>
    <n v="28.4"/>
    <n v="0"/>
    <x v="1"/>
    <s v="OK"/>
    <s v="OK"/>
    <x v="5"/>
  </r>
  <r>
    <d v="2021-01-30T00:00:00"/>
    <x v="80"/>
    <n v="17.399999999999999"/>
    <n v="29.3"/>
    <n v="0"/>
    <x v="1"/>
    <s v="OK"/>
    <s v="OK"/>
    <x v="5"/>
  </r>
  <r>
    <d v="2021-01-31T00:00:00"/>
    <x v="16"/>
    <n v="17.2"/>
    <n v="29.8"/>
    <n v="0"/>
    <x v="1"/>
    <s v="OK"/>
    <s v="OK"/>
    <x v="5"/>
  </r>
  <r>
    <d v="2021-02-01T00:00:00"/>
    <x v="80"/>
    <n v="16.8"/>
    <n v="30.1"/>
    <n v="0"/>
    <x v="1"/>
    <s v="OK"/>
    <s v="OK"/>
    <x v="5"/>
  </r>
  <r>
    <d v="2021-02-02T00:00:00"/>
    <x v="6"/>
    <n v="16.8"/>
    <n v="29.6"/>
    <n v="0"/>
    <x v="1"/>
    <s v="OK"/>
    <s v="OK"/>
    <x v="5"/>
  </r>
  <r>
    <d v="2021-02-03T00:00:00"/>
    <x v="3"/>
    <n v="17.899999999999999"/>
    <n v="28.6"/>
    <n v="0"/>
    <x v="1"/>
    <s v="OK"/>
    <s v="OK"/>
    <x v="5"/>
  </r>
  <r>
    <d v="2021-02-04T00:00:00"/>
    <x v="6"/>
    <n v="16.100000000000001"/>
    <n v="28.5"/>
    <n v="0"/>
    <x v="1"/>
    <s v="OK"/>
    <s v="OK"/>
    <x v="5"/>
  </r>
  <r>
    <d v="2021-02-05T00:00:00"/>
    <x v="26"/>
    <n v="15.4"/>
    <n v="29.4"/>
    <n v="0"/>
    <x v="1"/>
    <s v="OK"/>
    <s v="OK"/>
    <x v="5"/>
  </r>
  <r>
    <d v="2021-02-06T00:00:00"/>
    <x v="14"/>
    <n v="15.6"/>
    <n v="30.4"/>
    <n v="0"/>
    <x v="1"/>
    <s v="OK"/>
    <s v="OK"/>
    <x v="5"/>
  </r>
  <r>
    <d v="2021-02-07T00:00:00"/>
    <x v="2"/>
    <n v="15"/>
    <n v="30.4"/>
    <n v="0"/>
    <x v="1"/>
    <s v="OK"/>
    <s v="OK"/>
    <x v="5"/>
  </r>
  <r>
    <d v="2021-02-08T00:00:00"/>
    <x v="6"/>
    <n v="16.100000000000001"/>
    <n v="30.1"/>
    <n v="0"/>
    <x v="1"/>
    <s v="OK"/>
    <s v="OK"/>
    <x v="5"/>
  </r>
  <r>
    <d v="2021-02-09T00:00:00"/>
    <x v="90"/>
    <n v="14.9"/>
    <n v="29.8"/>
    <n v="0"/>
    <x v="1"/>
    <s v="OK"/>
    <s v="OK"/>
    <x v="5"/>
  </r>
  <r>
    <d v="2021-02-10T00:00:00"/>
    <x v="12"/>
    <n v="14.4"/>
    <n v="28.6"/>
    <n v="0"/>
    <x v="1"/>
    <s v="Outlier"/>
    <s v="OK"/>
    <x v="5"/>
  </r>
  <r>
    <d v="2021-02-11T00:00:00"/>
    <x v="98"/>
    <n v="13.5"/>
    <n v="28.1"/>
    <n v="0"/>
    <x v="1"/>
    <s v="Outlier"/>
    <s v="OK"/>
    <x v="5"/>
  </r>
  <r>
    <d v="2021-02-12T00:00:00"/>
    <x v="9"/>
    <n v="12.2"/>
    <n v="28.9"/>
    <n v="0"/>
    <x v="1"/>
    <s v="Outlier"/>
    <s v="OK"/>
    <x v="5"/>
  </r>
  <r>
    <d v="2021-02-13T00:00:00"/>
    <x v="90"/>
    <n v="13"/>
    <n v="29.8"/>
    <n v="0"/>
    <x v="1"/>
    <s v="Outlier"/>
    <s v="OK"/>
    <x v="5"/>
  </r>
  <r>
    <d v="2021-02-14T00:00:00"/>
    <x v="83"/>
    <n v="16.2"/>
    <n v="31"/>
    <n v="0"/>
    <x v="1"/>
    <s v="OK"/>
    <s v="OK"/>
    <x v="5"/>
  </r>
  <r>
    <d v="2021-02-15T00:00:00"/>
    <x v="75"/>
    <n v="17.899999999999999"/>
    <n v="31.5"/>
    <n v="0"/>
    <x v="1"/>
    <s v="OK"/>
    <s v="OK"/>
    <x v="5"/>
  </r>
  <r>
    <d v="2021-02-16T00:00:00"/>
    <x v="19"/>
    <n v="18.399999999999999"/>
    <n v="32"/>
    <n v="0"/>
    <x v="1"/>
    <s v="OK"/>
    <s v="OK"/>
    <x v="5"/>
  </r>
  <r>
    <d v="2021-02-17T00:00:00"/>
    <x v="23"/>
    <n v="18.399999999999999"/>
    <n v="31.4"/>
    <n v="0"/>
    <x v="1"/>
    <s v="OK"/>
    <s v="OK"/>
    <x v="5"/>
  </r>
  <r>
    <d v="2021-02-18T00:00:00"/>
    <x v="80"/>
    <n v="18"/>
    <n v="31.2"/>
    <n v="0.1"/>
    <x v="1"/>
    <s v="OK"/>
    <s v="OK"/>
    <x v="5"/>
  </r>
  <r>
    <d v="2021-02-19T00:00:00"/>
    <x v="80"/>
    <n v="18.2"/>
    <n v="29.3"/>
    <n v="1.7"/>
    <x v="1"/>
    <s v="OK"/>
    <s v="OK"/>
    <x v="5"/>
  </r>
  <r>
    <d v="2021-02-20T00:00:00"/>
    <x v="85"/>
    <n v="16.8"/>
    <n v="24.5"/>
    <n v="4.2"/>
    <x v="1"/>
    <s v="OK"/>
    <s v="OK"/>
    <x v="5"/>
  </r>
  <r>
    <d v="2021-02-21T00:00:00"/>
    <x v="90"/>
    <n v="17.100000000000001"/>
    <n v="24.2"/>
    <n v="4.7"/>
    <x v="1"/>
    <s v="OK"/>
    <s v="OK"/>
    <x v="5"/>
  </r>
  <r>
    <d v="2021-02-22T00:00:00"/>
    <x v="80"/>
    <n v="18.100000000000001"/>
    <n v="28"/>
    <n v="0.4"/>
    <x v="1"/>
    <s v="OK"/>
    <s v="OK"/>
    <x v="5"/>
  </r>
  <r>
    <d v="2021-02-23T00:00:00"/>
    <x v="79"/>
    <n v="18.2"/>
    <n v="30.4"/>
    <n v="0"/>
    <x v="1"/>
    <s v="OK"/>
    <s v="OK"/>
    <x v="5"/>
  </r>
  <r>
    <d v="2021-02-24T00:00:00"/>
    <x v="33"/>
    <n v="18"/>
    <n v="31.1"/>
    <n v="0"/>
    <x v="1"/>
    <s v="OK"/>
    <s v="OK"/>
    <x v="5"/>
  </r>
  <r>
    <d v="2021-02-25T00:00:00"/>
    <x v="43"/>
    <n v="17.399999999999999"/>
    <n v="32"/>
    <n v="0"/>
    <x v="1"/>
    <s v="OK"/>
    <s v="OK"/>
    <x v="5"/>
  </r>
  <r>
    <d v="2021-02-26T00:00:00"/>
    <x v="32"/>
    <n v="18.399999999999999"/>
    <n v="33"/>
    <n v="0"/>
    <x v="1"/>
    <s v="OK"/>
    <s v="OK"/>
    <x v="5"/>
  </r>
  <r>
    <d v="2021-02-27T00:00:00"/>
    <x v="37"/>
    <n v="19"/>
    <n v="34.1"/>
    <n v="0"/>
    <x v="1"/>
    <s v="OK"/>
    <s v="OK"/>
    <x v="5"/>
  </r>
  <r>
    <d v="2021-02-28T00:00:00"/>
    <x v="28"/>
    <n v="20"/>
    <n v="33.799999999999997"/>
    <n v="0"/>
    <x v="1"/>
    <s v="OK"/>
    <s v="OK"/>
    <x v="5"/>
  </r>
  <r>
    <d v="2021-03-01T00:00:00"/>
    <x v="81"/>
    <n v="17.399999999999999"/>
    <n v="33.799999999999997"/>
    <n v="0"/>
    <x v="1"/>
    <s v="OK"/>
    <s v="OK"/>
    <x v="5"/>
  </r>
  <r>
    <d v="2021-03-02T00:00:00"/>
    <x v="43"/>
    <n v="18.399999999999999"/>
    <n v="33.6"/>
    <n v="0"/>
    <x v="1"/>
    <s v="OK"/>
    <s v="OK"/>
    <x v="5"/>
  </r>
  <r>
    <d v="2021-03-03T00:00:00"/>
    <x v="73"/>
    <n v="18.2"/>
    <n v="32.5"/>
    <n v="0"/>
    <x v="1"/>
    <s v="Outlier"/>
    <s v="OK"/>
    <x v="0"/>
  </r>
  <r>
    <d v="2021-03-04T00:00:00"/>
    <x v="27"/>
    <n v="16.5"/>
    <n v="32.299999999999997"/>
    <n v="0"/>
    <x v="1"/>
    <s v="Outlier"/>
    <s v="OK"/>
    <x v="0"/>
  </r>
  <r>
    <d v="2021-03-05T00:00:00"/>
    <x v="72"/>
    <n v="16.7"/>
    <n v="32"/>
    <n v="0"/>
    <x v="1"/>
    <s v="Outlier"/>
    <s v="OK"/>
    <x v="0"/>
  </r>
  <r>
    <d v="2021-03-06T00:00:00"/>
    <x v="29"/>
    <n v="18.399999999999999"/>
    <n v="34.4"/>
    <n v="0"/>
    <x v="1"/>
    <s v="Outlier"/>
    <s v="OK"/>
    <x v="0"/>
  </r>
  <r>
    <d v="2021-03-07T00:00:00"/>
    <x v="94"/>
    <n v="17.5"/>
    <n v="35.9"/>
    <n v="0"/>
    <x v="1"/>
    <s v="OK"/>
    <s v="OK"/>
    <x v="5"/>
  </r>
  <r>
    <d v="2021-03-08T00:00:00"/>
    <x v="28"/>
    <n v="19"/>
    <n v="33.799999999999997"/>
    <n v="0"/>
    <x v="1"/>
    <s v="OK"/>
    <s v="OK"/>
    <x v="5"/>
  </r>
  <r>
    <d v="2021-03-09T00:00:00"/>
    <x v="38"/>
    <n v="18.7"/>
    <n v="33.5"/>
    <n v="0"/>
    <x v="1"/>
    <s v="OK"/>
    <s v="OK"/>
    <x v="5"/>
  </r>
  <r>
    <d v="2021-03-10T00:00:00"/>
    <x v="39"/>
    <n v="19.5"/>
    <n v="33.6"/>
    <n v="0"/>
    <x v="1"/>
    <s v="OK"/>
    <s v="OK"/>
    <x v="5"/>
  </r>
  <r>
    <d v="2021-03-11T00:00:00"/>
    <x v="73"/>
    <n v="18.8"/>
    <n v="32"/>
    <n v="0"/>
    <x v="1"/>
    <s v="OK"/>
    <s v="OK"/>
    <x v="5"/>
  </r>
  <r>
    <d v="2021-03-12T00:00:00"/>
    <x v="27"/>
    <n v="17.3"/>
    <n v="32.200000000000003"/>
    <n v="0"/>
    <x v="1"/>
    <s v="OK"/>
    <s v="OK"/>
    <x v="5"/>
  </r>
  <r>
    <d v="2021-03-13T00:00:00"/>
    <x v="74"/>
    <n v="15.3"/>
    <n v="31"/>
    <n v="0"/>
    <x v="1"/>
    <s v="OK"/>
    <s v="OK"/>
    <x v="5"/>
  </r>
  <r>
    <d v="2021-03-14T00:00:00"/>
    <x v="82"/>
    <n v="15.6"/>
    <n v="32.4"/>
    <n v="0"/>
    <x v="1"/>
    <s v="OK"/>
    <s v="OK"/>
    <x v="5"/>
  </r>
  <r>
    <d v="2021-03-15T00:00:00"/>
    <x v="42"/>
    <n v="16.2"/>
    <n v="32.4"/>
    <n v="0"/>
    <x v="1"/>
    <s v="OK"/>
    <s v="OK"/>
    <x v="5"/>
  </r>
  <r>
    <d v="2021-03-16T00:00:00"/>
    <x v="44"/>
    <n v="17.899999999999999"/>
    <n v="32.799999999999997"/>
    <n v="0"/>
    <x v="1"/>
    <s v="OK"/>
    <s v="OK"/>
    <x v="5"/>
  </r>
  <r>
    <d v="2021-03-17T00:00:00"/>
    <x v="70"/>
    <n v="16.399999999999999"/>
    <n v="32.4"/>
    <n v="0"/>
    <x v="1"/>
    <s v="OK"/>
    <s v="OK"/>
    <x v="5"/>
  </r>
  <r>
    <d v="2021-03-18T00:00:00"/>
    <x v="70"/>
    <n v="17"/>
    <n v="32.799999999999997"/>
    <n v="0"/>
    <x v="1"/>
    <s v="OK"/>
    <s v="OK"/>
    <x v="5"/>
  </r>
  <r>
    <d v="2021-03-19T00:00:00"/>
    <x v="43"/>
    <n v="17.8"/>
    <n v="32.799999999999997"/>
    <n v="0"/>
    <x v="1"/>
    <s v="OK"/>
    <s v="OK"/>
    <x v="5"/>
  </r>
  <r>
    <d v="2021-03-20T00:00:00"/>
    <x v="43"/>
    <n v="16.899999999999999"/>
    <n v="32.200000000000003"/>
    <n v="0"/>
    <x v="1"/>
    <s v="OK"/>
    <s v="OK"/>
    <x v="5"/>
  </r>
  <r>
    <d v="2021-03-21T00:00:00"/>
    <x v="44"/>
    <n v="18.399999999999999"/>
    <n v="33"/>
    <n v="0"/>
    <x v="1"/>
    <s v="OK"/>
    <s v="OK"/>
    <x v="5"/>
  </r>
  <r>
    <d v="2021-03-22T00:00:00"/>
    <x v="37"/>
    <n v="17.5"/>
    <n v="33.799999999999997"/>
    <n v="0"/>
    <x v="1"/>
    <s v="OK"/>
    <s v="OK"/>
    <x v="5"/>
  </r>
  <r>
    <d v="2021-03-23T00:00:00"/>
    <x v="41"/>
    <n v="18.2"/>
    <n v="34.200000000000003"/>
    <n v="0"/>
    <x v="1"/>
    <s v="OK"/>
    <s v="OK"/>
    <x v="5"/>
  </r>
  <r>
    <d v="2021-03-24T00:00:00"/>
    <x v="29"/>
    <n v="18.3"/>
    <n v="33.799999999999997"/>
    <n v="0"/>
    <x v="1"/>
    <s v="OK"/>
    <s v="OK"/>
    <x v="5"/>
  </r>
  <r>
    <d v="2021-03-25T00:00:00"/>
    <x v="31"/>
    <n v="18.7"/>
    <n v="33.6"/>
    <n v="0"/>
    <x v="1"/>
    <s v="OK"/>
    <s v="OK"/>
    <x v="5"/>
  </r>
  <r>
    <d v="2021-03-26T00:00:00"/>
    <x v="31"/>
    <n v="19.3"/>
    <n v="35"/>
    <n v="0"/>
    <x v="1"/>
    <s v="OK"/>
    <s v="OK"/>
    <x v="5"/>
  </r>
  <r>
    <d v="2021-03-27T00:00:00"/>
    <x v="31"/>
    <n v="19.100000000000001"/>
    <n v="34.4"/>
    <n v="0"/>
    <x v="1"/>
    <s v="OK"/>
    <s v="OK"/>
    <x v="5"/>
  </r>
  <r>
    <d v="2021-03-28T00:00:00"/>
    <x v="31"/>
    <n v="19.8"/>
    <n v="34.1"/>
    <n v="0"/>
    <x v="1"/>
    <s v="OK"/>
    <s v="OK"/>
    <x v="5"/>
  </r>
  <r>
    <d v="2021-03-29T00:00:00"/>
    <x v="96"/>
    <n v="20"/>
    <n v="34.5"/>
    <n v="0"/>
    <x v="1"/>
    <s v="OK"/>
    <s v="OK"/>
    <x v="5"/>
  </r>
  <r>
    <d v="2021-03-30T00:00:00"/>
    <x v="48"/>
    <n v="21.4"/>
    <n v="34.1"/>
    <n v="0"/>
    <x v="1"/>
    <s v="OK"/>
    <s v="OK"/>
    <x v="5"/>
  </r>
  <r>
    <d v="2021-03-31T00:00:00"/>
    <x v="52"/>
    <n v="21.2"/>
    <n v="35.6"/>
    <n v="0"/>
    <x v="1"/>
    <s v="OK"/>
    <s v="OK"/>
    <x v="5"/>
  </r>
  <r>
    <d v="2021-04-01T00:00:00"/>
    <x v="49"/>
    <n v="21"/>
    <n v="35.6"/>
    <n v="0"/>
    <x v="1"/>
    <s v="OK"/>
    <s v="OK"/>
    <x v="5"/>
  </r>
  <r>
    <d v="2021-04-02T00:00:00"/>
    <x v="48"/>
    <n v="19.3"/>
    <n v="35.6"/>
    <n v="0"/>
    <x v="1"/>
    <s v="OK"/>
    <s v="OK"/>
    <x v="5"/>
  </r>
  <r>
    <d v="2021-04-03T00:00:00"/>
    <x v="48"/>
    <n v="20.6"/>
    <n v="34.4"/>
    <n v="0"/>
    <x v="1"/>
    <s v="OK"/>
    <s v="OK"/>
    <x v="5"/>
  </r>
  <r>
    <d v="2021-04-04T00:00:00"/>
    <x v="65"/>
    <n v="23"/>
    <n v="35.200000000000003"/>
    <n v="0"/>
    <x v="1"/>
    <s v="OK"/>
    <s v="OK"/>
    <x v="5"/>
  </r>
  <r>
    <d v="2021-04-05T00:00:00"/>
    <x v="48"/>
    <n v="21.4"/>
    <n v="33.299999999999997"/>
    <n v="0"/>
    <x v="1"/>
    <s v="OK"/>
    <s v="OK"/>
    <x v="5"/>
  </r>
  <r>
    <d v="2021-04-06T00:00:00"/>
    <x v="40"/>
    <n v="20.2"/>
    <n v="34.4"/>
    <n v="0"/>
    <x v="1"/>
    <s v="OK"/>
    <s v="OK"/>
    <x v="5"/>
  </r>
  <r>
    <d v="2021-04-07T00:00:00"/>
    <x v="66"/>
    <n v="19.399999999999999"/>
    <n v="35"/>
    <n v="0"/>
    <x v="1"/>
    <s v="OK"/>
    <s v="OK"/>
    <x v="5"/>
  </r>
  <r>
    <d v="2021-04-08T00:00:00"/>
    <x v="40"/>
    <n v="20.100000000000001"/>
    <n v="34.200000000000003"/>
    <n v="0"/>
    <x v="1"/>
    <s v="OK"/>
    <s v="OK"/>
    <x v="5"/>
  </r>
  <r>
    <d v="2021-04-09T00:00:00"/>
    <x v="68"/>
    <n v="19.5"/>
    <n v="34"/>
    <n v="0"/>
    <x v="1"/>
    <s v="OK"/>
    <s v="OK"/>
    <x v="5"/>
  </r>
  <r>
    <d v="2021-04-10T00:00:00"/>
    <x v="94"/>
    <n v="19.3"/>
    <n v="33.299999999999997"/>
    <n v="0"/>
    <x v="1"/>
    <s v="OK"/>
    <s v="OK"/>
    <x v="5"/>
  </r>
  <r>
    <d v="2021-04-11T00:00:00"/>
    <x v="94"/>
    <n v="19.399999999999999"/>
    <n v="33.200000000000003"/>
    <n v="0"/>
    <x v="1"/>
    <s v="OK"/>
    <s v="OK"/>
    <x v="5"/>
  </r>
  <r>
    <d v="2021-04-12T00:00:00"/>
    <x v="41"/>
    <n v="20.7"/>
    <n v="33.5"/>
    <n v="0"/>
    <x v="1"/>
    <s v="OK"/>
    <s v="OK"/>
    <x v="5"/>
  </r>
  <r>
    <d v="2021-04-13T00:00:00"/>
    <x v="41"/>
    <n v="20.8"/>
    <n v="32.9"/>
    <n v="0"/>
    <x v="1"/>
    <s v="OK"/>
    <s v="OK"/>
    <x v="5"/>
  </r>
  <r>
    <d v="2021-04-14T00:00:00"/>
    <x v="42"/>
    <n v="21.8"/>
    <n v="31.8"/>
    <n v="8.1"/>
    <x v="1"/>
    <s v="OK"/>
    <s v="OK"/>
    <x v="5"/>
  </r>
  <r>
    <d v="2021-04-15T00:00:00"/>
    <x v="43"/>
    <n v="19.8"/>
    <n v="33.200000000000003"/>
    <n v="1.8"/>
    <x v="1"/>
    <s v="OK"/>
    <s v="OK"/>
    <x v="5"/>
  </r>
  <r>
    <d v="2021-04-16T00:00:00"/>
    <x v="31"/>
    <n v="20.8"/>
    <n v="32.6"/>
    <n v="0.3"/>
    <x v="1"/>
    <s v="OK"/>
    <s v="OK"/>
    <x v="5"/>
  </r>
  <r>
    <d v="2021-04-17T00:00:00"/>
    <x v="48"/>
    <n v="22.4"/>
    <n v="33.4"/>
    <n v="0"/>
    <x v="1"/>
    <s v="OK"/>
    <s v="OK"/>
    <x v="5"/>
  </r>
  <r>
    <d v="2021-04-18T00:00:00"/>
    <x v="30"/>
    <n v="20.9"/>
    <n v="33"/>
    <n v="0.1"/>
    <x v="1"/>
    <s v="OK"/>
    <s v="OK"/>
    <x v="5"/>
  </r>
  <r>
    <d v="2021-04-19T00:00:00"/>
    <x v="68"/>
    <n v="20.6"/>
    <n v="34"/>
    <n v="0.1"/>
    <x v="1"/>
    <s v="OK"/>
    <s v="OK"/>
    <x v="5"/>
  </r>
  <r>
    <d v="2021-04-20T00:00:00"/>
    <x v="28"/>
    <n v="21.8"/>
    <n v="34"/>
    <n v="2.1"/>
    <x v="1"/>
    <s v="OK"/>
    <s v="OK"/>
    <x v="5"/>
  </r>
  <r>
    <d v="2021-04-21T00:00:00"/>
    <x v="41"/>
    <n v="20.8"/>
    <n v="34.4"/>
    <n v="0"/>
    <x v="1"/>
    <s v="OK"/>
    <s v="OK"/>
    <x v="5"/>
  </r>
  <r>
    <d v="2021-04-22T00:00:00"/>
    <x v="77"/>
    <n v="20.5"/>
    <n v="34.6"/>
    <n v="28.7"/>
    <x v="1"/>
    <s v="OK"/>
    <s v="OK"/>
    <x v="5"/>
  </r>
  <r>
    <d v="2021-04-23T00:00:00"/>
    <x v="33"/>
    <n v="20.7"/>
    <n v="32.200000000000003"/>
    <n v="21.3"/>
    <x v="1"/>
    <s v="OK"/>
    <s v="OK"/>
    <x v="5"/>
  </r>
  <r>
    <d v="2021-04-24T00:00:00"/>
    <x v="27"/>
    <n v="20"/>
    <n v="31.7"/>
    <n v="65.8"/>
    <x v="1"/>
    <s v="OK"/>
    <s v="OK"/>
    <x v="5"/>
  </r>
  <r>
    <d v="2021-04-25T00:00:00"/>
    <x v="94"/>
    <n v="21.8"/>
    <n v="31.9"/>
    <n v="0"/>
    <x v="1"/>
    <s v="OK"/>
    <s v="OK"/>
    <x v="5"/>
  </r>
  <r>
    <d v="2021-04-26T00:00:00"/>
    <x v="94"/>
    <n v="21.2"/>
    <n v="33"/>
    <n v="0"/>
    <x v="1"/>
    <s v="OK"/>
    <s v="OK"/>
    <x v="5"/>
  </r>
  <r>
    <d v="2021-04-27T00:00:00"/>
    <x v="41"/>
    <n v="20.9"/>
    <n v="32.5"/>
    <n v="0"/>
    <x v="1"/>
    <s v="OK"/>
    <s v="OK"/>
    <x v="5"/>
  </r>
  <r>
    <d v="2021-04-28T00:00:00"/>
    <x v="39"/>
    <n v="20.9"/>
    <n v="33.4"/>
    <n v="0.1"/>
    <x v="1"/>
    <s v="OK"/>
    <s v="OK"/>
    <x v="5"/>
  </r>
  <r>
    <d v="2021-04-29T00:00:00"/>
    <x v="94"/>
    <n v="22.2"/>
    <n v="31.8"/>
    <n v="0.7"/>
    <x v="1"/>
    <s v="OK"/>
    <s v="OK"/>
    <x v="5"/>
  </r>
  <r>
    <d v="2021-04-30T00:00:00"/>
    <x v="69"/>
    <n v="20.7"/>
    <n v="33.1"/>
    <n v="0"/>
    <x v="1"/>
    <s v="OK"/>
    <s v="OK"/>
    <x v="5"/>
  </r>
  <r>
    <d v="2021-05-01T00:00:00"/>
    <x v="68"/>
    <n v="22.5"/>
    <n v="33.4"/>
    <n v="0"/>
    <x v="1"/>
    <s v="OK"/>
    <s v="OK"/>
    <x v="5"/>
  </r>
  <r>
    <d v="2021-05-02T00:00:00"/>
    <x v="29"/>
    <n v="21.5"/>
    <n v="32.4"/>
    <n v="0"/>
    <x v="1"/>
    <s v="OK"/>
    <s v="OK"/>
    <x v="5"/>
  </r>
  <r>
    <d v="2021-05-03T00:00:00"/>
    <x v="69"/>
    <n v="21.9"/>
    <n v="32"/>
    <n v="0.3"/>
    <x v="1"/>
    <s v="OK"/>
    <s v="OK"/>
    <x v="5"/>
  </r>
  <r>
    <d v="2021-05-04T00:00:00"/>
    <x v="42"/>
    <n v="21.1"/>
    <n v="30.4"/>
    <n v="8.9"/>
    <x v="1"/>
    <s v="OK"/>
    <s v="OK"/>
    <x v="5"/>
  </r>
  <r>
    <d v="2021-05-05T00:00:00"/>
    <x v="62"/>
    <n v="20.6"/>
    <n v="33.299999999999997"/>
    <n v="0"/>
    <x v="1"/>
    <s v="OK"/>
    <s v="OK"/>
    <x v="5"/>
  </r>
  <r>
    <d v="2021-05-06T00:00:00"/>
    <x v="39"/>
    <n v="21.7"/>
    <n v="32.4"/>
    <n v="0"/>
    <x v="1"/>
    <s v="OK"/>
    <s v="OK"/>
    <x v="5"/>
  </r>
  <r>
    <d v="2021-05-07T00:00:00"/>
    <x v="94"/>
    <n v="22.2"/>
    <n v="32"/>
    <n v="0.7"/>
    <x v="1"/>
    <s v="OK"/>
    <s v="OK"/>
    <x v="5"/>
  </r>
  <r>
    <d v="2021-05-08T00:00:00"/>
    <x v="30"/>
    <n v="21.5"/>
    <n v="33.6"/>
    <n v="0.2"/>
    <x v="1"/>
    <s v="OK"/>
    <s v="OK"/>
    <x v="5"/>
  </r>
  <r>
    <d v="2021-05-09T00:00:00"/>
    <x v="31"/>
    <n v="21.3"/>
    <n v="33.4"/>
    <n v="0.3"/>
    <x v="1"/>
    <s v="OK"/>
    <s v="OK"/>
    <x v="5"/>
  </r>
  <r>
    <d v="2021-05-10T00:00:00"/>
    <x v="29"/>
    <n v="22.1"/>
    <n v="32.799999999999997"/>
    <n v="1"/>
    <x v="1"/>
    <s v="OK"/>
    <s v="OK"/>
    <x v="5"/>
  </r>
  <r>
    <d v="2021-05-11T00:00:00"/>
    <x v="36"/>
    <n v="21.5"/>
    <n v="33.200000000000003"/>
    <n v="5.6"/>
    <x v="1"/>
    <s v="OK"/>
    <s v="OK"/>
    <x v="5"/>
  </r>
  <r>
    <d v="2021-05-12T00:00:00"/>
    <x v="70"/>
    <n v="21.4"/>
    <n v="33.9"/>
    <n v="0"/>
    <x v="1"/>
    <s v="OK"/>
    <s v="OK"/>
    <x v="5"/>
  </r>
  <r>
    <d v="2021-05-13T00:00:00"/>
    <x v="81"/>
    <n v="20.7"/>
    <n v="31.9"/>
    <n v="35.1"/>
    <x v="1"/>
    <s v="OK"/>
    <s v="OK"/>
    <x v="5"/>
  </r>
  <r>
    <d v="2021-05-14T00:00:00"/>
    <x v="29"/>
    <n v="21.4"/>
    <n v="31.9"/>
    <n v="26.2"/>
    <x v="1"/>
    <s v="OK"/>
    <s v="OK"/>
    <x v="5"/>
  </r>
  <r>
    <d v="2021-05-15T00:00:00"/>
    <x v="23"/>
    <n v="22.2"/>
    <n v="32.6"/>
    <n v="0"/>
    <x v="1"/>
    <s v="OK"/>
    <s v="OK"/>
    <x v="5"/>
  </r>
  <r>
    <d v="2021-05-16T00:00:00"/>
    <x v="75"/>
    <n v="21.4"/>
    <n v="28"/>
    <n v="0"/>
    <x v="1"/>
    <s v="OK"/>
    <s v="OK"/>
    <x v="5"/>
  </r>
  <r>
    <d v="2021-05-17T00:00:00"/>
    <x v="63"/>
    <n v="21"/>
    <n v="31.6"/>
    <n v="0"/>
    <x v="1"/>
    <s v="OK"/>
    <s v="OK"/>
    <x v="5"/>
  </r>
  <r>
    <d v="2021-05-18T00:00:00"/>
    <x v="63"/>
    <n v="21.6"/>
    <n v="32.6"/>
    <n v="0"/>
    <x v="1"/>
    <s v="OK"/>
    <s v="OK"/>
    <x v="5"/>
  </r>
  <r>
    <d v="2021-05-19T00:00:00"/>
    <x v="42"/>
    <n v="20.2"/>
    <n v="32.6"/>
    <n v="4"/>
    <x v="1"/>
    <s v="OK"/>
    <s v="OK"/>
    <x v="5"/>
  </r>
  <r>
    <d v="2021-05-20T00:00:00"/>
    <x v="18"/>
    <n v="21.1"/>
    <n v="29.6"/>
    <n v="2.7"/>
    <x v="1"/>
    <s v="OK"/>
    <s v="OK"/>
    <x v="5"/>
  </r>
  <r>
    <d v="2021-05-21T00:00:00"/>
    <x v="13"/>
    <n v="20.9"/>
    <n v="30.8"/>
    <n v="2.8"/>
    <x v="1"/>
    <s v="OK"/>
    <s v="OK"/>
    <x v="5"/>
  </r>
  <r>
    <d v="2021-05-22T00:00:00"/>
    <x v="23"/>
    <n v="21"/>
    <n v="28.8"/>
    <n v="25.4"/>
    <x v="1"/>
    <s v="OK"/>
    <s v="OK"/>
    <x v="5"/>
  </r>
  <r>
    <d v="2021-05-23T00:00:00"/>
    <x v="32"/>
    <n v="20.8"/>
    <n v="29.4"/>
    <n v="7.4"/>
    <x v="1"/>
    <s v="OK"/>
    <s v="OK"/>
    <x v="5"/>
  </r>
  <r>
    <d v="2021-05-24T00:00:00"/>
    <x v="36"/>
    <n v="22"/>
    <n v="31"/>
    <n v="0"/>
    <x v="1"/>
    <s v="OK"/>
    <s v="OK"/>
    <x v="5"/>
  </r>
  <r>
    <d v="2021-05-25T00:00:00"/>
    <x v="77"/>
    <n v="20.2"/>
    <n v="31.7"/>
    <n v="0.3"/>
    <x v="1"/>
    <s v="OK"/>
    <s v="OK"/>
    <x v="5"/>
  </r>
  <r>
    <d v="2021-05-26T00:00:00"/>
    <x v="72"/>
    <n v="20.399999999999999"/>
    <n v="30.2"/>
    <n v="31"/>
    <x v="1"/>
    <s v="OK"/>
    <s v="OK"/>
    <x v="5"/>
  </r>
  <r>
    <d v="2021-05-27T00:00:00"/>
    <x v="43"/>
    <n v="21.2"/>
    <n v="30.1"/>
    <n v="0"/>
    <x v="1"/>
    <s v="OK"/>
    <s v="OK"/>
    <x v="5"/>
  </r>
  <r>
    <d v="2021-05-28T00:00:00"/>
    <x v="82"/>
    <n v="18.8"/>
    <n v="30.3"/>
    <n v="0"/>
    <x v="1"/>
    <s v="OK"/>
    <s v="OK"/>
    <x v="5"/>
  </r>
  <r>
    <d v="2021-05-29T00:00:00"/>
    <x v="34"/>
    <n v="19.399999999999999"/>
    <n v="30.8"/>
    <n v="0.5"/>
    <x v="1"/>
    <s v="OK"/>
    <s v="OK"/>
    <x v="5"/>
  </r>
  <r>
    <d v="2021-05-30T00:00:00"/>
    <x v="71"/>
    <n v="20.100000000000001"/>
    <n v="31.3"/>
    <n v="0.1"/>
    <x v="1"/>
    <s v="OK"/>
    <s v="OK"/>
    <x v="5"/>
  </r>
  <r>
    <d v="2021-05-31T00:00:00"/>
    <x v="43"/>
    <n v="20.3"/>
    <n v="31.6"/>
    <n v="2.2999999999999998"/>
    <x v="1"/>
    <s v="OK"/>
    <s v="OK"/>
    <x v="5"/>
  </r>
  <r>
    <d v="2021-06-01T00:00:00"/>
    <x v="70"/>
    <n v="20.8"/>
    <n v="31.6"/>
    <n v="5.6"/>
    <x v="1"/>
    <s v="OK"/>
    <s v="OK"/>
    <x v="5"/>
  </r>
  <r>
    <d v="2021-06-02T00:00:00"/>
    <x v="44"/>
    <n v="22.2"/>
    <n v="33.700000000000003"/>
    <n v="1"/>
    <x v="1"/>
    <s v="OK"/>
    <s v="OK"/>
    <x v="5"/>
  </r>
  <r>
    <d v="2021-06-03T00:00:00"/>
    <x v="27"/>
    <n v="21.9"/>
    <n v="33.700000000000003"/>
    <n v="0.5"/>
    <x v="1"/>
    <s v="OK"/>
    <s v="OK"/>
    <x v="5"/>
  </r>
  <r>
    <d v="2021-06-04T00:00:00"/>
    <x v="23"/>
    <n v="21.1"/>
    <n v="31"/>
    <n v="52.3"/>
    <x v="1"/>
    <s v="OK"/>
    <s v="OK"/>
    <x v="5"/>
  </r>
  <r>
    <d v="2021-06-05T00:00:00"/>
    <x v="76"/>
    <n v="21.2"/>
    <n v="31.5"/>
    <n v="12.7"/>
    <x v="1"/>
    <s v="OK"/>
    <s v="OK"/>
    <x v="5"/>
  </r>
  <r>
    <d v="2021-06-06T00:00:00"/>
    <x v="34"/>
    <n v="20.7"/>
    <n v="29.2"/>
    <n v="4.5999999999999996"/>
    <x v="1"/>
    <s v="OK"/>
    <s v="OK"/>
    <x v="5"/>
  </r>
  <r>
    <d v="2021-06-07T00:00:00"/>
    <x v="81"/>
    <n v="22.1"/>
    <n v="29.7"/>
    <n v="0.5"/>
    <x v="1"/>
    <s v="OK"/>
    <s v="OK"/>
    <x v="5"/>
  </r>
  <r>
    <d v="2021-06-08T00:00:00"/>
    <x v="38"/>
    <n v="19.7"/>
    <n v="31"/>
    <n v="0"/>
    <x v="1"/>
    <s v="OK"/>
    <s v="OK"/>
    <x v="5"/>
  </r>
  <r>
    <d v="2021-06-09T00:00:00"/>
    <x v="24"/>
    <n v="19.2"/>
    <n v="29.2"/>
    <n v="4.5999999999999996"/>
    <x v="1"/>
    <s v="OK"/>
    <s v="OK"/>
    <x v="5"/>
  </r>
  <r>
    <d v="2021-06-10T00:00:00"/>
    <x v="76"/>
    <n v="19.8"/>
    <n v="28.5"/>
    <n v="2.2999999999999998"/>
    <x v="1"/>
    <s v="OK"/>
    <s v="OK"/>
    <x v="5"/>
  </r>
  <r>
    <d v="2021-06-11T00:00:00"/>
    <x v="18"/>
    <n v="20.399999999999999"/>
    <n v="29"/>
    <n v="0"/>
    <x v="1"/>
    <s v="OK"/>
    <s v="OK"/>
    <x v="5"/>
  </r>
  <r>
    <d v="2021-06-12T00:00:00"/>
    <x v="78"/>
    <n v="20.399999999999999"/>
    <n v="27"/>
    <n v="2.8"/>
    <x v="1"/>
    <s v="OK"/>
    <s v="OK"/>
    <x v="5"/>
  </r>
  <r>
    <d v="2021-06-13T00:00:00"/>
    <x v="15"/>
    <n v="20.2"/>
    <n v="25.2"/>
    <n v="3.6"/>
    <x v="1"/>
    <s v="OK"/>
    <s v="OK"/>
    <x v="5"/>
  </r>
  <r>
    <d v="2021-06-14T00:00:00"/>
    <x v="2"/>
    <n v="20.100000000000001"/>
    <n v="27.6"/>
    <n v="0"/>
    <x v="1"/>
    <s v="OK"/>
    <s v="OK"/>
    <x v="5"/>
  </r>
  <r>
    <d v="2021-06-15T00:00:00"/>
    <x v="16"/>
    <n v="20.2"/>
    <n v="26.5"/>
    <n v="4.3"/>
    <x v="1"/>
    <s v="OK"/>
    <s v="OK"/>
    <x v="5"/>
  </r>
  <r>
    <d v="2021-06-16T00:00:00"/>
    <x v="16"/>
    <n v="20.8"/>
    <n v="26.7"/>
    <n v="0.5"/>
    <x v="1"/>
    <s v="OK"/>
    <s v="OK"/>
    <x v="5"/>
  </r>
  <r>
    <d v="2021-06-17T00:00:00"/>
    <x v="24"/>
    <n v="20.8"/>
    <n v="28"/>
    <n v="5.0999999999999996"/>
    <x v="1"/>
    <s v="OK"/>
    <s v="OK"/>
    <x v="5"/>
  </r>
  <r>
    <d v="2021-06-18T00:00:00"/>
    <x v="24"/>
    <n v="20.399999999999999"/>
    <n v="28.4"/>
    <n v="1.3"/>
    <x v="1"/>
    <s v="OK"/>
    <s v="OK"/>
    <x v="5"/>
  </r>
  <r>
    <d v="2021-06-19T00:00:00"/>
    <x v="24"/>
    <n v="20.8"/>
    <n v="28"/>
    <n v="0"/>
    <x v="1"/>
    <s v="OK"/>
    <s v="OK"/>
    <x v="5"/>
  </r>
  <r>
    <d v="2021-06-20T00:00:00"/>
    <x v="77"/>
    <n v="20.5"/>
    <n v="28.8"/>
    <n v="0"/>
    <x v="1"/>
    <s v="OK"/>
    <s v="OK"/>
    <x v="5"/>
  </r>
  <r>
    <d v="2021-06-21T00:00:00"/>
    <x v="19"/>
    <n v="19.3"/>
    <n v="29.1"/>
    <n v="0.6"/>
    <x v="1"/>
    <s v="OK"/>
    <s v="OK"/>
    <x v="5"/>
  </r>
  <r>
    <d v="2021-06-22T00:00:00"/>
    <x v="74"/>
    <n v="19.3"/>
    <n v="28.9"/>
    <n v="0.4"/>
    <x v="1"/>
    <s v="OK"/>
    <s v="OK"/>
    <x v="5"/>
  </r>
  <r>
    <d v="2021-06-23T00:00:00"/>
    <x v="72"/>
    <n v="19.899999999999999"/>
    <n v="29.9"/>
    <n v="0"/>
    <x v="1"/>
    <s v="OK"/>
    <s v="OK"/>
    <x v="5"/>
  </r>
  <r>
    <d v="2021-06-24T00:00:00"/>
    <x v="79"/>
    <n v="19.899999999999999"/>
    <n v="28.8"/>
    <n v="0.9"/>
    <x v="1"/>
    <s v="OK"/>
    <s v="OK"/>
    <x v="5"/>
  </r>
  <r>
    <d v="2021-06-25T00:00:00"/>
    <x v="27"/>
    <n v="19.399999999999999"/>
    <n v="29.7"/>
    <n v="0.2"/>
    <x v="1"/>
    <s v="OK"/>
    <s v="OK"/>
    <x v="5"/>
  </r>
  <r>
    <d v="2021-06-26T00:00:00"/>
    <x v="80"/>
    <n v="20.100000000000001"/>
    <n v="29.7"/>
    <n v="0"/>
    <x v="1"/>
    <s v="OK"/>
    <s v="OK"/>
    <x v="5"/>
  </r>
  <r>
    <d v="2021-06-27T00:00:00"/>
    <x v="15"/>
    <n v="20.2"/>
    <n v="27.2"/>
    <n v="2.2999999999999998"/>
    <x v="1"/>
    <s v="OK"/>
    <s v="OK"/>
    <x v="5"/>
  </r>
  <r>
    <d v="2021-06-28T00:00:00"/>
    <x v="17"/>
    <n v="20.8"/>
    <n v="28.5"/>
    <n v="0.5"/>
    <x v="1"/>
    <s v="OK"/>
    <s v="OK"/>
    <x v="5"/>
  </r>
  <r>
    <d v="2021-06-29T00:00:00"/>
    <x v="37"/>
    <n v="20.9"/>
    <n v="31.6"/>
    <n v="0"/>
    <x v="1"/>
    <s v="OK"/>
    <s v="OK"/>
    <x v="5"/>
  </r>
  <r>
    <d v="2021-06-30T00:00:00"/>
    <x v="28"/>
    <n v="20.7"/>
    <n v="30.9"/>
    <n v="1.5"/>
    <x v="1"/>
    <s v="OK"/>
    <s v="OK"/>
    <x v="5"/>
  </r>
  <r>
    <d v="2021-07-01T00:00:00"/>
    <x v="63"/>
    <n v="23"/>
    <n v="32.700000000000003"/>
    <n v="2.5"/>
    <x v="1"/>
    <s v="OK"/>
    <s v="OK"/>
    <x v="5"/>
  </r>
  <r>
    <d v="2021-07-02T00:00:00"/>
    <x v="28"/>
    <n v="22"/>
    <n v="30.6"/>
    <n v="0"/>
    <x v="1"/>
    <s v="OK"/>
    <s v="OK"/>
    <x v="5"/>
  </r>
  <r>
    <d v="2021-07-03T00:00:00"/>
    <x v="33"/>
    <n v="19.7"/>
    <n v="29.5"/>
    <n v="15"/>
    <x v="1"/>
    <s v="OK"/>
    <s v="OK"/>
    <x v="5"/>
  </r>
  <r>
    <d v="2021-07-04T00:00:00"/>
    <x v="76"/>
    <n v="20.399999999999999"/>
    <n v="29.4"/>
    <n v="7.5"/>
    <x v="1"/>
    <s v="OK"/>
    <s v="OK"/>
    <x v="5"/>
  </r>
  <r>
    <d v="2021-07-05T00:00:00"/>
    <x v="13"/>
    <n v="20.399999999999999"/>
    <n v="28.4"/>
    <n v="2.7"/>
    <x v="1"/>
    <s v="OK"/>
    <s v="OK"/>
    <x v="5"/>
  </r>
  <r>
    <d v="2021-07-06T00:00:00"/>
    <x v="72"/>
    <n v="20.2"/>
    <n v="29.4"/>
    <n v="1.3"/>
    <x v="1"/>
    <s v="OK"/>
    <s v="OK"/>
    <x v="5"/>
  </r>
  <r>
    <d v="2021-07-07T00:00:00"/>
    <x v="27"/>
    <n v="22.3"/>
    <n v="30"/>
    <n v="0"/>
    <x v="1"/>
    <s v="OK"/>
    <s v="OK"/>
    <x v="5"/>
  </r>
  <r>
    <d v="2021-07-08T00:00:00"/>
    <x v="43"/>
    <n v="21.8"/>
    <n v="29.4"/>
    <n v="0"/>
    <x v="1"/>
    <s v="OK"/>
    <s v="OK"/>
    <x v="5"/>
  </r>
  <r>
    <d v="2021-07-09T00:00:00"/>
    <x v="18"/>
    <n v="20.3"/>
    <n v="30.1"/>
    <n v="0"/>
    <x v="1"/>
    <s v="OK"/>
    <s v="OK"/>
    <x v="5"/>
  </r>
  <r>
    <d v="2021-07-10T00:00:00"/>
    <x v="80"/>
    <n v="20.100000000000001"/>
    <n v="29"/>
    <n v="0.3"/>
    <x v="1"/>
    <s v="OK"/>
    <s v="OK"/>
    <x v="5"/>
  </r>
  <r>
    <d v="2021-07-11T00:00:00"/>
    <x v="80"/>
    <n v="20.100000000000001"/>
    <n v="26.8"/>
    <n v="0.5"/>
    <x v="1"/>
    <s v="OK"/>
    <s v="OK"/>
    <x v="5"/>
  </r>
  <r>
    <d v="2021-07-12T00:00:00"/>
    <x v="78"/>
    <n v="20.2"/>
    <n v="26.8"/>
    <n v="0"/>
    <x v="1"/>
    <s v="OK"/>
    <s v="OK"/>
    <x v="5"/>
  </r>
  <r>
    <d v="2021-07-13T00:00:00"/>
    <x v="3"/>
    <n v="20.5"/>
    <n v="24"/>
    <n v="4.5999999999999996"/>
    <x v="1"/>
    <s v="OK"/>
    <s v="OK"/>
    <x v="5"/>
  </r>
  <r>
    <d v="2021-07-14T00:00:00"/>
    <x v="89"/>
    <n v="19.8"/>
    <n v="23.4"/>
    <n v="11.4"/>
    <x v="1"/>
    <s v="OK"/>
    <s v="OK"/>
    <x v="5"/>
  </r>
  <r>
    <d v="2021-07-15T00:00:00"/>
    <x v="12"/>
    <n v="19.899999999999999"/>
    <n v="25.4"/>
    <n v="18.8"/>
    <x v="1"/>
    <s v="OK"/>
    <s v="OK"/>
    <x v="5"/>
  </r>
  <r>
    <d v="2021-07-16T00:00:00"/>
    <x v="16"/>
    <n v="20.8"/>
    <n v="25.6"/>
    <n v="2.8"/>
    <x v="1"/>
    <s v="OK"/>
    <s v="OK"/>
    <x v="5"/>
  </r>
  <r>
    <d v="2021-07-17T00:00:00"/>
    <x v="6"/>
    <n v="20.7"/>
    <n v="27"/>
    <n v="1.3"/>
    <x v="1"/>
    <s v="OK"/>
    <s v="OK"/>
    <x v="5"/>
  </r>
  <r>
    <d v="2021-07-18T00:00:00"/>
    <x v="1"/>
    <n v="20"/>
    <n v="28.2"/>
    <n v="17.8"/>
    <x v="1"/>
    <s v="OK"/>
    <s v="OK"/>
    <x v="5"/>
  </r>
  <r>
    <d v="2021-07-19T00:00:00"/>
    <x v="15"/>
    <n v="19.5"/>
    <n v="26.8"/>
    <n v="4.3"/>
    <x v="1"/>
    <s v="OK"/>
    <s v="OK"/>
    <x v="5"/>
  </r>
  <r>
    <d v="2021-07-20T00:00:00"/>
    <x v="20"/>
    <n v="19.7"/>
    <n v="27.6"/>
    <n v="7.1"/>
    <x v="1"/>
    <s v="OK"/>
    <s v="OK"/>
    <x v="5"/>
  </r>
  <r>
    <d v="2021-07-21T00:00:00"/>
    <x v="3"/>
    <n v="20.399999999999999"/>
    <n v="27.8"/>
    <n v="0"/>
    <x v="1"/>
    <s v="OK"/>
    <s v="OK"/>
    <x v="5"/>
  </r>
  <r>
    <d v="2021-07-22T00:00:00"/>
    <x v="8"/>
    <n v="20"/>
    <n v="24.2"/>
    <n v="3.3"/>
    <x v="1"/>
    <s v="OK"/>
    <s v="OK"/>
    <x v="5"/>
  </r>
  <r>
    <d v="2021-07-23T00:00:00"/>
    <x v="87"/>
    <n v="19.7"/>
    <n v="24.7"/>
    <n v="3"/>
    <x v="1"/>
    <s v="OK"/>
    <s v="OK"/>
    <x v="5"/>
  </r>
  <r>
    <d v="2021-07-24T00:00:00"/>
    <x v="15"/>
    <n v="20"/>
    <n v="27.1"/>
    <n v="0.5"/>
    <x v="1"/>
    <s v="OK"/>
    <s v="OK"/>
    <x v="5"/>
  </r>
  <r>
    <d v="2021-07-25T00:00:00"/>
    <x v="78"/>
    <n v="20.6"/>
    <n v="28"/>
    <n v="24.4"/>
    <x v="1"/>
    <s v="OK"/>
    <s v="OK"/>
    <x v="5"/>
  </r>
  <r>
    <d v="2021-07-26T00:00:00"/>
    <x v="24"/>
    <n v="20.5"/>
    <n v="28.4"/>
    <n v="59.7"/>
    <x v="1"/>
    <s v="OK"/>
    <s v="OK"/>
    <x v="5"/>
  </r>
  <r>
    <d v="2021-07-27T00:00:00"/>
    <x v="24"/>
    <n v="20.100000000000001"/>
    <n v="28.3"/>
    <n v="0"/>
    <x v="1"/>
    <s v="OK"/>
    <s v="OK"/>
    <x v="5"/>
  </r>
  <r>
    <d v="2021-07-28T00:00:00"/>
    <x v="20"/>
    <n v="19.8"/>
    <n v="27.6"/>
    <n v="1"/>
    <x v="1"/>
    <s v="OK"/>
    <s v="OK"/>
    <x v="5"/>
  </r>
  <r>
    <d v="2021-07-29T00:00:00"/>
    <x v="16"/>
    <n v="19.5"/>
    <n v="26.4"/>
    <n v="0.9"/>
    <x v="1"/>
    <s v="OK"/>
    <s v="OK"/>
    <x v="5"/>
  </r>
  <r>
    <d v="2021-07-30T00:00:00"/>
    <x v="21"/>
    <n v="19.600000000000001"/>
    <n v="28.4"/>
    <n v="0"/>
    <x v="1"/>
    <s v="OK"/>
    <s v="OK"/>
    <x v="5"/>
  </r>
  <r>
    <d v="2021-07-31T00:00:00"/>
    <x v="20"/>
    <n v="19"/>
    <n v="28.1"/>
    <n v="0.7"/>
    <x v="1"/>
    <s v="OK"/>
    <s v="OK"/>
    <x v="5"/>
  </r>
  <r>
    <d v="2021-08-01T00:00:00"/>
    <x v="78"/>
    <n v="20"/>
    <n v="28"/>
    <n v="0"/>
    <x v="1"/>
    <s v="OK"/>
    <s v="OK"/>
    <x v="5"/>
  </r>
  <r>
    <d v="2021-08-02T00:00:00"/>
    <x v="76"/>
    <n v="19.600000000000001"/>
    <n v="27.5"/>
    <n v="0"/>
    <x v="1"/>
    <s v="OK"/>
    <s v="OK"/>
    <x v="5"/>
  </r>
  <r>
    <d v="2021-08-03T00:00:00"/>
    <x v="78"/>
    <n v="19.5"/>
    <n v="28.2"/>
    <n v="0.7"/>
    <x v="1"/>
    <s v="OK"/>
    <s v="OK"/>
    <x v="5"/>
  </r>
  <r>
    <d v="2021-08-04T00:00:00"/>
    <x v="13"/>
    <n v="19.8"/>
    <n v="27.8"/>
    <n v="2.8"/>
    <x v="1"/>
    <s v="OK"/>
    <s v="OK"/>
    <x v="5"/>
  </r>
  <r>
    <d v="2021-08-05T00:00:00"/>
    <x v="16"/>
    <n v="19.2"/>
    <n v="27.6"/>
    <n v="2.7"/>
    <x v="1"/>
    <s v="OK"/>
    <s v="OK"/>
    <x v="5"/>
  </r>
  <r>
    <d v="2021-08-06T00:00:00"/>
    <x v="21"/>
    <n v="19.899999999999999"/>
    <n v="28.8"/>
    <n v="1.6"/>
    <x v="1"/>
    <s v="OK"/>
    <s v="OK"/>
    <x v="5"/>
  </r>
  <r>
    <d v="2021-08-07T00:00:00"/>
    <x v="77"/>
    <n v="20.9"/>
    <n v="29.4"/>
    <n v="4.3"/>
    <x v="1"/>
    <s v="OK"/>
    <s v="OK"/>
    <x v="5"/>
  </r>
  <r>
    <d v="2021-08-08T00:00:00"/>
    <x v="72"/>
    <n v="20.8"/>
    <n v="30.3"/>
    <n v="1.3"/>
    <x v="1"/>
    <s v="OK"/>
    <s v="OK"/>
    <x v="5"/>
  </r>
  <r>
    <d v="2021-08-09T00:00:00"/>
    <x v="70"/>
    <n v="21.7"/>
    <n v="30.7"/>
    <n v="0.5"/>
    <x v="1"/>
    <s v="OK"/>
    <s v="OK"/>
    <x v="5"/>
  </r>
  <r>
    <d v="2021-08-10T00:00:00"/>
    <x v="19"/>
    <n v="21.8"/>
    <n v="30.7"/>
    <n v="0"/>
    <x v="1"/>
    <s v="OK"/>
    <s v="OK"/>
    <x v="5"/>
  </r>
  <r>
    <d v="2021-08-11T00:00:00"/>
    <x v="75"/>
    <n v="20.8"/>
    <n v="28.2"/>
    <n v="0"/>
    <x v="1"/>
    <s v="OK"/>
    <s v="OK"/>
    <x v="5"/>
  </r>
  <r>
    <d v="2021-08-12T00:00:00"/>
    <x v="80"/>
    <n v="19.7"/>
    <n v="28.2"/>
    <n v="1.5"/>
    <x v="1"/>
    <s v="OK"/>
    <s v="OK"/>
    <x v="5"/>
  </r>
  <r>
    <d v="2021-08-13T00:00:00"/>
    <x v="78"/>
    <n v="20"/>
    <n v="27"/>
    <n v="3.8"/>
    <x v="1"/>
    <s v="OK"/>
    <s v="OK"/>
    <x v="5"/>
  </r>
  <r>
    <d v="2021-08-14T00:00:00"/>
    <x v="76"/>
    <n v="20.3"/>
    <n v="27.4"/>
    <n v="0"/>
    <x v="1"/>
    <s v="OK"/>
    <s v="OK"/>
    <x v="5"/>
  </r>
  <r>
    <d v="2021-08-15T00:00:00"/>
    <x v="16"/>
    <n v="19"/>
    <n v="27"/>
    <n v="0.5"/>
    <x v="1"/>
    <s v="OK"/>
    <s v="OK"/>
    <x v="5"/>
  </r>
  <r>
    <d v="2021-08-16T00:00:00"/>
    <x v="80"/>
    <n v="20.7"/>
    <n v="28"/>
    <n v="0"/>
    <x v="1"/>
    <s v="OK"/>
    <s v="OK"/>
    <x v="5"/>
  </r>
  <r>
    <d v="2021-08-17T00:00:00"/>
    <x v="22"/>
    <n v="20.3"/>
    <n v="26.5"/>
    <n v="13.7"/>
    <x v="1"/>
    <s v="OK"/>
    <s v="OK"/>
    <x v="5"/>
  </r>
  <r>
    <d v="2021-08-18T00:00:00"/>
    <x v="76"/>
    <n v="20.7"/>
    <n v="27.5"/>
    <n v="0"/>
    <x v="1"/>
    <s v="OK"/>
    <s v="OK"/>
    <x v="5"/>
  </r>
  <r>
    <d v="2021-08-19T00:00:00"/>
    <x v="76"/>
    <n v="20.399999999999999"/>
    <n v="28.4"/>
    <n v="0.3"/>
    <x v="1"/>
    <s v="OK"/>
    <s v="OK"/>
    <x v="5"/>
  </r>
  <r>
    <d v="2021-08-20T00:00:00"/>
    <x v="74"/>
    <n v="20.5"/>
    <n v="28.8"/>
    <n v="7.1"/>
    <x v="1"/>
    <s v="OK"/>
    <s v="OK"/>
    <x v="5"/>
  </r>
  <r>
    <d v="2021-08-21T00:00:00"/>
    <x v="14"/>
    <n v="20.2"/>
    <n v="28.6"/>
    <n v="0.3"/>
    <x v="1"/>
    <s v="OK"/>
    <s v="OK"/>
    <x v="5"/>
  </r>
  <r>
    <d v="2021-08-22T00:00:00"/>
    <x v="80"/>
    <n v="19.2"/>
    <n v="27.7"/>
    <n v="5.6"/>
    <x v="1"/>
    <s v="OK"/>
    <s v="OK"/>
    <x v="5"/>
  </r>
  <r>
    <d v="2021-08-23T00:00:00"/>
    <x v="76"/>
    <n v="20.5"/>
    <n v="27.1"/>
    <n v="3"/>
    <x v="1"/>
    <s v="OK"/>
    <s v="OK"/>
    <x v="5"/>
  </r>
  <r>
    <d v="2021-08-24T00:00:00"/>
    <x v="79"/>
    <n v="20.3"/>
    <n v="29"/>
    <n v="3.8"/>
    <x v="1"/>
    <s v="OK"/>
    <s v="OK"/>
    <x v="5"/>
  </r>
  <r>
    <d v="2021-08-25T00:00:00"/>
    <x v="74"/>
    <n v="20.7"/>
    <n v="29.1"/>
    <n v="1"/>
    <x v="1"/>
    <s v="OK"/>
    <s v="OK"/>
    <x v="5"/>
  </r>
  <r>
    <d v="2021-08-26T00:00:00"/>
    <x v="74"/>
    <n v="21"/>
    <n v="29.6"/>
    <n v="0"/>
    <x v="1"/>
    <s v="OK"/>
    <s v="OK"/>
    <x v="5"/>
  </r>
  <r>
    <d v="2021-08-27T00:00:00"/>
    <x v="16"/>
    <n v="20.5"/>
    <n v="30.4"/>
    <n v="24.9"/>
    <x v="1"/>
    <s v="OK"/>
    <s v="OK"/>
    <x v="5"/>
  </r>
  <r>
    <d v="2021-08-28T00:00:00"/>
    <x v="14"/>
    <n v="20.100000000000001"/>
    <n v="28.4"/>
    <n v="11.7"/>
    <x v="1"/>
    <s v="OK"/>
    <s v="OK"/>
    <x v="5"/>
  </r>
  <r>
    <d v="2021-08-29T00:00:00"/>
    <x v="12"/>
    <n v="19.2"/>
    <n v="25.8"/>
    <n v="4.0999999999999996"/>
    <x v="1"/>
    <s v="OK"/>
    <s v="OK"/>
    <x v="5"/>
  </r>
  <r>
    <d v="2021-08-30T00:00:00"/>
    <x v="14"/>
    <n v="19.7"/>
    <n v="26.2"/>
    <n v="3.8"/>
    <x v="1"/>
    <s v="OK"/>
    <s v="OK"/>
    <x v="5"/>
  </r>
  <r>
    <d v="2021-08-31T00:00:00"/>
    <x v="19"/>
    <n v="19.7"/>
    <n v="27.6"/>
    <n v="0.5"/>
    <x v="1"/>
    <s v="OK"/>
    <s v="OK"/>
    <x v="5"/>
  </r>
  <r>
    <d v="2021-09-01T00:00:00"/>
    <x v="76"/>
    <n v="20.9"/>
    <n v="29.3"/>
    <n v="0"/>
    <x v="1"/>
    <s v="OK"/>
    <s v="OK"/>
    <x v="5"/>
  </r>
  <r>
    <d v="2021-09-02T00:00:00"/>
    <x v="15"/>
    <n v="19.5"/>
    <n v="29.4"/>
    <n v="2.8"/>
    <x v="1"/>
    <s v="OK"/>
    <s v="OK"/>
    <x v="5"/>
  </r>
  <r>
    <d v="2021-09-03T00:00:00"/>
    <x v="84"/>
    <n v="19.5"/>
    <n v="26.7"/>
    <n v="44.7"/>
    <x v="1"/>
    <s v="OK"/>
    <s v="OK"/>
    <x v="5"/>
  </r>
  <r>
    <d v="2021-09-04T00:00:00"/>
    <x v="2"/>
    <n v="20.399999999999999"/>
    <n v="26.2"/>
    <n v="0"/>
    <x v="1"/>
    <s v="OK"/>
    <s v="OK"/>
    <x v="5"/>
  </r>
  <r>
    <d v="2021-09-05T00:00:00"/>
    <x v="6"/>
    <n v="20.2"/>
    <n v="26.6"/>
    <n v="1"/>
    <x v="1"/>
    <s v="OK"/>
    <s v="OK"/>
    <x v="5"/>
  </r>
  <r>
    <d v="2021-09-06T00:00:00"/>
    <x v="15"/>
    <n v="20.2"/>
    <n v="27.2"/>
    <n v="7.9"/>
    <x v="1"/>
    <s v="OK"/>
    <s v="OK"/>
    <x v="5"/>
  </r>
  <r>
    <d v="2021-09-07T00:00:00"/>
    <x v="26"/>
    <n v="20"/>
    <n v="27"/>
    <n v="2"/>
    <x v="1"/>
    <s v="OK"/>
    <s v="OK"/>
    <x v="5"/>
  </r>
  <r>
    <d v="2021-09-08T00:00:00"/>
    <x v="20"/>
    <n v="20.5"/>
    <n v="27"/>
    <n v="0.5"/>
    <x v="1"/>
    <s v="OK"/>
    <s v="OK"/>
    <x v="5"/>
  </r>
  <r>
    <d v="2021-09-09T00:00:00"/>
    <x v="75"/>
    <n v="20"/>
    <n v="27.8"/>
    <n v="0.5"/>
    <x v="1"/>
    <s v="OK"/>
    <s v="OK"/>
    <x v="5"/>
  </r>
  <r>
    <d v="2021-09-10T00:00:00"/>
    <x v="74"/>
    <n v="20.2"/>
    <n v="29.1"/>
    <n v="0"/>
    <x v="1"/>
    <s v="OK"/>
    <s v="OK"/>
    <x v="5"/>
  </r>
  <r>
    <d v="2021-09-11T00:00:00"/>
    <x v="80"/>
    <n v="19.399999999999999"/>
    <n v="28"/>
    <n v="1.3"/>
    <x v="1"/>
    <s v="OK"/>
    <s v="OK"/>
    <x v="5"/>
  </r>
  <r>
    <d v="2021-09-12T00:00:00"/>
    <x v="76"/>
    <n v="20.7"/>
    <n v="28.5"/>
    <n v="0"/>
    <x v="1"/>
    <s v="OK"/>
    <s v="OK"/>
    <x v="5"/>
  </r>
  <r>
    <d v="2021-09-13T00:00:00"/>
    <x v="17"/>
    <n v="20.9"/>
    <n v="28"/>
    <n v="0"/>
    <x v="1"/>
    <s v="OK"/>
    <s v="OK"/>
    <x v="5"/>
  </r>
  <r>
    <d v="2021-09-14T00:00:00"/>
    <x v="74"/>
    <n v="19.899999999999999"/>
    <n v="28.2"/>
    <n v="0"/>
    <x v="1"/>
    <s v="OK"/>
    <s v="OK"/>
    <x v="5"/>
  </r>
  <r>
    <d v="2021-09-15T00:00:00"/>
    <x v="78"/>
    <n v="19.2"/>
    <n v="27.7"/>
    <n v="1.4"/>
    <x v="1"/>
    <s v="OK"/>
    <s v="OK"/>
    <x v="5"/>
  </r>
  <r>
    <d v="2021-09-16T00:00:00"/>
    <x v="17"/>
    <n v="19"/>
    <n v="29"/>
    <n v="0.3"/>
    <x v="1"/>
    <s v="OK"/>
    <s v="OK"/>
    <x v="5"/>
  </r>
  <r>
    <d v="2021-09-17T00:00:00"/>
    <x v="75"/>
    <n v="19.3"/>
    <n v="30"/>
    <n v="0.4"/>
    <x v="1"/>
    <s v="OK"/>
    <s v="OK"/>
    <x v="5"/>
  </r>
  <r>
    <d v="2021-09-18T00:00:00"/>
    <x v="77"/>
    <n v="18.8"/>
    <n v="30.4"/>
    <n v="0.1"/>
    <x v="1"/>
    <s v="OK"/>
    <s v="OK"/>
    <x v="5"/>
  </r>
  <r>
    <d v="2021-09-19T00:00:00"/>
    <x v="33"/>
    <n v="19.5"/>
    <n v="30"/>
    <n v="3.8"/>
    <x v="1"/>
    <s v="OK"/>
    <s v="OK"/>
    <x v="5"/>
  </r>
  <r>
    <d v="2021-09-20T00:00:00"/>
    <x v="14"/>
    <n v="19.8"/>
    <n v="31.3"/>
    <n v="26.2"/>
    <x v="1"/>
    <s v="OK"/>
    <s v="OK"/>
    <x v="5"/>
  </r>
  <r>
    <d v="2021-09-21T00:00:00"/>
    <x v="21"/>
    <n v="20.3"/>
    <n v="29"/>
    <n v="53.3"/>
    <x v="1"/>
    <s v="OK"/>
    <s v="OK"/>
    <x v="5"/>
  </r>
  <r>
    <d v="2021-09-22T00:00:00"/>
    <x v="19"/>
    <n v="20.6"/>
    <n v="29.7"/>
    <n v="11.2"/>
    <x v="1"/>
    <s v="OK"/>
    <s v="OK"/>
    <x v="5"/>
  </r>
  <r>
    <d v="2021-09-23T00:00:00"/>
    <x v="23"/>
    <n v="20.6"/>
    <n v="28"/>
    <n v="0"/>
    <x v="1"/>
    <s v="OK"/>
    <s v="OK"/>
    <x v="5"/>
  </r>
  <r>
    <d v="2021-09-24T00:00:00"/>
    <x v="75"/>
    <n v="20.7"/>
    <n v="28.2"/>
    <n v="0.3"/>
    <x v="1"/>
    <s v="OK"/>
    <s v="OK"/>
    <x v="5"/>
  </r>
  <r>
    <d v="2021-09-25T00:00:00"/>
    <x v="18"/>
    <n v="20.8"/>
    <n v="28.8"/>
    <n v="0.5"/>
    <x v="1"/>
    <s v="OK"/>
    <s v="OK"/>
    <x v="5"/>
  </r>
  <r>
    <d v="2021-09-26T00:00:00"/>
    <x v="20"/>
    <n v="20.100000000000001"/>
    <n v="29.2"/>
    <n v="12.2"/>
    <x v="1"/>
    <s v="OK"/>
    <s v="OK"/>
    <x v="5"/>
  </r>
  <r>
    <d v="2021-09-27T00:00:00"/>
    <x v="16"/>
    <n v="20.2"/>
    <n v="27"/>
    <n v="0.5"/>
    <x v="1"/>
    <s v="OK"/>
    <s v="OK"/>
    <x v="5"/>
  </r>
  <r>
    <d v="2021-09-28T00:00:00"/>
    <x v="2"/>
    <n v="18.8"/>
    <n v="27"/>
    <n v="10.199999999999999"/>
    <x v="1"/>
    <s v="OK"/>
    <s v="OK"/>
    <x v="5"/>
  </r>
  <r>
    <d v="2021-09-29T00:00:00"/>
    <x v="24"/>
    <n v="19.399999999999999"/>
    <n v="27.4"/>
    <n v="9.1"/>
    <x v="1"/>
    <s v="OK"/>
    <s v="OK"/>
    <x v="5"/>
  </r>
  <r>
    <d v="2021-09-30T00:00:00"/>
    <x v="75"/>
    <n v="20.399999999999999"/>
    <n v="28"/>
    <n v="0"/>
    <x v="1"/>
    <s v="OK"/>
    <s v="OK"/>
    <x v="5"/>
  </r>
  <r>
    <d v="2021-10-01T00:00:00"/>
    <x v="83"/>
    <n v="19.899999999999999"/>
    <n v="29.8"/>
    <n v="8.5"/>
    <x v="1"/>
    <s v="OK"/>
    <s v="OK"/>
    <x v="5"/>
  </r>
  <r>
    <d v="2021-10-02T00:00:00"/>
    <x v="20"/>
    <n v="19.2"/>
    <n v="29"/>
    <n v="5.8"/>
    <x v="1"/>
    <s v="OK"/>
    <s v="OK"/>
    <x v="5"/>
  </r>
  <r>
    <d v="2021-10-03T00:00:00"/>
    <x v="17"/>
    <n v="20"/>
    <n v="30"/>
    <n v="0"/>
    <x v="1"/>
    <s v="OK"/>
    <s v="OK"/>
    <x v="5"/>
  </r>
  <r>
    <d v="2021-10-04T00:00:00"/>
    <x v="34"/>
    <n v="20.2"/>
    <n v="29.7"/>
    <n v="64"/>
    <x v="1"/>
    <s v="OK"/>
    <s v="OK"/>
    <x v="5"/>
  </r>
  <r>
    <d v="2021-10-05T00:00:00"/>
    <x v="13"/>
    <n v="19.100000000000001"/>
    <n v="30.6"/>
    <n v="0"/>
    <x v="1"/>
    <s v="OK"/>
    <s v="OK"/>
    <x v="5"/>
  </r>
  <r>
    <d v="2021-10-06T00:00:00"/>
    <x v="15"/>
    <n v="20.100000000000001"/>
    <n v="28"/>
    <n v="38.6"/>
    <x v="1"/>
    <s v="OK"/>
    <s v="OK"/>
    <x v="5"/>
  </r>
  <r>
    <d v="2021-10-07T00:00:00"/>
    <x v="72"/>
    <n v="21"/>
    <n v="29.6"/>
    <n v="0.5"/>
    <x v="1"/>
    <s v="OK"/>
    <s v="OK"/>
    <x v="5"/>
  </r>
  <r>
    <d v="2021-10-08T00:00:00"/>
    <x v="80"/>
    <n v="21.8"/>
    <n v="30.6"/>
    <n v="6.1"/>
    <x v="1"/>
    <s v="OK"/>
    <s v="OK"/>
    <x v="5"/>
  </r>
  <r>
    <d v="2021-10-09T00:00:00"/>
    <x v="6"/>
    <n v="20.8"/>
    <n v="27.1"/>
    <n v="7.9"/>
    <x v="1"/>
    <s v="OK"/>
    <s v="OK"/>
    <x v="5"/>
  </r>
  <r>
    <d v="2021-10-10T00:00:00"/>
    <x v="84"/>
    <n v="21.1"/>
    <n v="26.3"/>
    <n v="14.5"/>
    <x v="1"/>
    <s v="OK"/>
    <s v="OK"/>
    <x v="5"/>
  </r>
  <r>
    <d v="2021-10-11T00:00:00"/>
    <x v="80"/>
    <n v="19.600000000000001"/>
    <n v="27"/>
    <n v="13"/>
    <x v="1"/>
    <s v="OK"/>
    <s v="OK"/>
    <x v="5"/>
  </r>
  <r>
    <d v="2021-10-12T00:00:00"/>
    <x v="7"/>
    <n v="19.399999999999999"/>
    <n v="27.5"/>
    <n v="32.5"/>
    <x v="1"/>
    <s v="OK"/>
    <s v="OK"/>
    <x v="5"/>
  </r>
  <r>
    <d v="2021-10-13T00:00:00"/>
    <x v="80"/>
    <n v="19.7"/>
    <n v="27.8"/>
    <n v="18.3"/>
    <x v="1"/>
    <s v="OK"/>
    <s v="OK"/>
    <x v="5"/>
  </r>
  <r>
    <d v="2021-10-14T00:00:00"/>
    <x v="18"/>
    <n v="20.399999999999999"/>
    <n v="28"/>
    <n v="26.9"/>
    <x v="1"/>
    <s v="OK"/>
    <s v="OK"/>
    <x v="5"/>
  </r>
  <r>
    <d v="2021-10-15T00:00:00"/>
    <x v="76"/>
    <n v="21.5"/>
    <n v="29"/>
    <n v="39.6"/>
    <x v="1"/>
    <s v="OK"/>
    <s v="OK"/>
    <x v="5"/>
  </r>
  <r>
    <d v="2021-10-16T00:00:00"/>
    <x v="23"/>
    <n v="19.399999999999999"/>
    <n v="28.3"/>
    <n v="15"/>
    <x v="1"/>
    <s v="OK"/>
    <s v="OK"/>
    <x v="5"/>
  </r>
  <r>
    <d v="2021-10-17T00:00:00"/>
    <x v="16"/>
    <n v="20.6"/>
    <n v="28.9"/>
    <n v="7.1"/>
    <x v="1"/>
    <s v="OK"/>
    <s v="OK"/>
    <x v="5"/>
  </r>
  <r>
    <d v="2021-10-18T00:00:00"/>
    <x v="22"/>
    <n v="20.8"/>
    <n v="26.7"/>
    <n v="0.8"/>
    <x v="1"/>
    <s v="OK"/>
    <s v="OK"/>
    <x v="5"/>
  </r>
  <r>
    <d v="2021-10-19T00:00:00"/>
    <x v="23"/>
    <n v="20.5"/>
    <n v="27.6"/>
    <n v="15.2"/>
    <x v="1"/>
    <s v="OK"/>
    <s v="OK"/>
    <x v="5"/>
  </r>
  <r>
    <d v="2021-10-20T00:00:00"/>
    <x v="82"/>
    <n v="20"/>
    <n v="28.8"/>
    <n v="0"/>
    <x v="1"/>
    <s v="OK"/>
    <s v="OK"/>
    <x v="5"/>
  </r>
  <r>
    <d v="2021-10-21T00:00:00"/>
    <x v="70"/>
    <n v="20.9"/>
    <n v="29.3"/>
    <n v="0.5"/>
    <x v="1"/>
    <s v="OK"/>
    <s v="OK"/>
    <x v="5"/>
  </r>
  <r>
    <d v="2021-10-22T00:00:00"/>
    <x v="42"/>
    <n v="18.5"/>
    <n v="30.7"/>
    <n v="0.3"/>
    <x v="1"/>
    <s v="OK"/>
    <s v="OK"/>
    <x v="5"/>
  </r>
  <r>
    <d v="2021-10-23T00:00:00"/>
    <x v="74"/>
    <n v="20.399999999999999"/>
    <n v="31.6"/>
    <n v="17.3"/>
    <x v="1"/>
    <s v="OK"/>
    <s v="OK"/>
    <x v="5"/>
  </r>
  <r>
    <d v="2021-10-24T00:00:00"/>
    <x v="77"/>
    <n v="19.2"/>
    <n v="30.1"/>
    <n v="41.9"/>
    <x v="1"/>
    <s v="OK"/>
    <s v="OK"/>
    <x v="5"/>
  </r>
  <r>
    <d v="2021-10-25T00:00:00"/>
    <x v="19"/>
    <n v="20.9"/>
    <n v="29.4"/>
    <n v="0"/>
    <x v="1"/>
    <s v="OK"/>
    <s v="OK"/>
    <x v="5"/>
  </r>
  <r>
    <d v="2021-10-26T00:00:00"/>
    <x v="84"/>
    <n v="17.8"/>
    <n v="27"/>
    <n v="0.8"/>
    <x v="1"/>
    <s v="OK"/>
    <s v="OK"/>
    <x v="5"/>
  </r>
  <r>
    <d v="2021-10-27T00:00:00"/>
    <x v="2"/>
    <n v="18.3"/>
    <n v="26.6"/>
    <n v="0"/>
    <x v="1"/>
    <s v="OK"/>
    <s v="OK"/>
    <x v="5"/>
  </r>
  <r>
    <d v="2021-10-28T00:00:00"/>
    <x v="7"/>
    <n v="17.2"/>
    <n v="27.4"/>
    <n v="0.1"/>
    <x v="1"/>
    <s v="OK"/>
    <s v="OK"/>
    <x v="5"/>
  </r>
  <r>
    <d v="2021-10-29T00:00:00"/>
    <x v="1"/>
    <n v="18.899999999999999"/>
    <n v="25.7"/>
    <n v="10.3"/>
    <x v="1"/>
    <s v="OK"/>
    <s v="OK"/>
    <x v="5"/>
  </r>
  <r>
    <d v="2021-10-30T00:00:00"/>
    <x v="84"/>
    <n v="19.899999999999999"/>
    <n v="26.8"/>
    <n v="5"/>
    <x v="1"/>
    <s v="OK"/>
    <s v="OK"/>
    <x v="5"/>
  </r>
  <r>
    <d v="2021-10-31T00:00:00"/>
    <x v="2"/>
    <n v="19.7"/>
    <n v="26.8"/>
    <n v="8.6"/>
    <x v="1"/>
    <s v="OK"/>
    <s v="OK"/>
    <x v="5"/>
  </r>
  <r>
    <d v="2021-11-01T00:00:00"/>
    <x v="12"/>
    <n v="19.600000000000001"/>
    <n v="26.8"/>
    <n v="8.6999999999999993"/>
    <x v="1"/>
    <s v="OK"/>
    <s v="OK"/>
    <x v="5"/>
  </r>
  <r>
    <d v="2021-11-02T00:00:00"/>
    <x v="4"/>
    <n v="19.5"/>
    <n v="25.9"/>
    <n v="5.3"/>
    <x v="1"/>
    <s v="OK"/>
    <s v="OK"/>
    <x v="5"/>
  </r>
  <r>
    <d v="2021-11-03T00:00:00"/>
    <x v="2"/>
    <n v="20.2"/>
    <n v="26.8"/>
    <n v="0"/>
    <x v="1"/>
    <s v="OK"/>
    <s v="OK"/>
    <x v="5"/>
  </r>
  <r>
    <d v="2021-11-04T00:00:00"/>
    <x v="6"/>
    <n v="19.399999999999999"/>
    <n v="27"/>
    <n v="10.7"/>
    <x v="1"/>
    <s v="OK"/>
    <s v="OK"/>
    <x v="5"/>
  </r>
  <r>
    <d v="2021-11-05T00:00:00"/>
    <x v="12"/>
    <n v="19.2"/>
    <n v="28.4"/>
    <n v="55.9"/>
    <x v="1"/>
    <s v="OK"/>
    <s v="OK"/>
    <x v="5"/>
  </r>
  <r>
    <d v="2021-11-06T00:00:00"/>
    <x v="80"/>
    <n v="18.3"/>
    <n v="26.6"/>
    <n v="0"/>
    <x v="1"/>
    <s v="OK"/>
    <s v="OK"/>
    <x v="5"/>
  </r>
  <r>
    <d v="2021-11-07T00:00:00"/>
    <x v="0"/>
    <n v="19.2"/>
    <n v="23.6"/>
    <n v="3.7"/>
    <x v="1"/>
    <s v="OK"/>
    <s v="OK"/>
    <x v="5"/>
  </r>
  <r>
    <d v="2021-11-08T00:00:00"/>
    <x v="88"/>
    <n v="19.5"/>
    <n v="24.5"/>
    <n v="2"/>
    <x v="1"/>
    <s v="OK"/>
    <s v="OK"/>
    <x v="5"/>
  </r>
  <r>
    <d v="2021-11-09T00:00:00"/>
    <x v="87"/>
    <n v="18.2"/>
    <n v="25.6"/>
    <n v="1"/>
    <x v="1"/>
    <s v="OK"/>
    <s v="OK"/>
    <x v="5"/>
  </r>
  <r>
    <d v="2021-11-10T00:00:00"/>
    <x v="9"/>
    <n v="17.399999999999999"/>
    <n v="26.6"/>
    <n v="0"/>
    <x v="1"/>
    <s v="OK"/>
    <s v="OK"/>
    <x v="5"/>
  </r>
  <r>
    <d v="2021-11-11T00:00:00"/>
    <x v="105"/>
    <n v="17.3"/>
    <n v="24"/>
    <n v="4.3"/>
    <x v="1"/>
    <s v="OK"/>
    <s v="OK"/>
    <x v="5"/>
  </r>
  <r>
    <d v="2021-11-12T00:00:00"/>
    <x v="11"/>
    <n v="16.8"/>
    <n v="22.5"/>
    <n v="19.100000000000001"/>
    <x v="1"/>
    <s v="OK"/>
    <s v="OK"/>
    <x v="5"/>
  </r>
  <r>
    <d v="2021-11-13T00:00:00"/>
    <x v="3"/>
    <n v="20.100000000000001"/>
    <n v="24.7"/>
    <n v="6.6"/>
    <x v="1"/>
    <s v="OK"/>
    <s v="OK"/>
    <x v="5"/>
  </r>
  <r>
    <d v="2021-11-14T00:00:00"/>
    <x v="14"/>
    <n v="19.100000000000001"/>
    <n v="26"/>
    <n v="0"/>
    <x v="1"/>
    <s v="OK"/>
    <s v="OK"/>
    <x v="5"/>
  </r>
  <r>
    <d v="2021-11-15T00:00:00"/>
    <x v="80"/>
    <n v="20.7"/>
    <n v="26.2"/>
    <n v="1"/>
    <x v="1"/>
    <s v="OK"/>
    <s v="OK"/>
    <x v="5"/>
  </r>
  <r>
    <d v="2021-11-16T00:00:00"/>
    <x v="80"/>
    <n v="18.899999999999999"/>
    <n v="26.4"/>
    <n v="52.1"/>
    <x v="1"/>
    <s v="OK"/>
    <s v="OK"/>
    <x v="5"/>
  </r>
  <r>
    <d v="2021-11-17T00:00:00"/>
    <x v="84"/>
    <n v="19.8"/>
    <n v="27.6"/>
    <n v="0.8"/>
    <x v="1"/>
    <s v="OK"/>
    <s v="OK"/>
    <x v="5"/>
  </r>
  <r>
    <d v="2021-11-18T00:00:00"/>
    <x v="90"/>
    <n v="20"/>
    <n v="27.2"/>
    <n v="3.6"/>
    <x v="1"/>
    <s v="OK"/>
    <s v="OK"/>
    <x v="5"/>
  </r>
  <r>
    <d v="2021-11-19T00:00:00"/>
    <x v="89"/>
    <n v="19.8"/>
    <n v="23.2"/>
    <n v="73.400000000000006"/>
    <x v="1"/>
    <s v="OK"/>
    <s v="OK"/>
    <x v="5"/>
  </r>
  <r>
    <d v="2021-11-20T00:00:00"/>
    <x v="89"/>
    <n v="20.100000000000001"/>
    <n v="22.6"/>
    <n v="3.8"/>
    <x v="1"/>
    <s v="OK"/>
    <s v="OK"/>
    <x v="5"/>
  </r>
  <r>
    <d v="2021-11-21T00:00:00"/>
    <x v="84"/>
    <n v="19.3"/>
    <n v="26.2"/>
    <n v="2.2999999999999998"/>
    <x v="1"/>
    <s v="OK"/>
    <s v="OK"/>
    <x v="5"/>
  </r>
  <r>
    <d v="2021-11-22T00:00:00"/>
    <x v="80"/>
    <n v="20.5"/>
    <n v="26.5"/>
    <n v="5.0999999999999996"/>
    <x v="1"/>
    <s v="OK"/>
    <s v="OK"/>
    <x v="5"/>
  </r>
  <r>
    <d v="2021-11-23T00:00:00"/>
    <x v="18"/>
    <n v="20.100000000000001"/>
    <n v="28.4"/>
    <n v="0"/>
    <x v="1"/>
    <s v="OK"/>
    <s v="OK"/>
    <x v="5"/>
  </r>
  <r>
    <d v="2021-11-24T00:00:00"/>
    <x v="80"/>
    <n v="20.100000000000001"/>
    <n v="29.8"/>
    <n v="0"/>
    <x v="1"/>
    <s v="OK"/>
    <s v="OK"/>
    <x v="5"/>
  </r>
  <r>
    <d v="2021-11-25T00:00:00"/>
    <x v="83"/>
    <n v="19.399999999999999"/>
    <n v="27"/>
    <n v="11.4"/>
    <x v="1"/>
    <s v="OK"/>
    <s v="OK"/>
    <x v="5"/>
  </r>
  <r>
    <d v="2021-11-26T00:00:00"/>
    <x v="3"/>
    <n v="19.100000000000001"/>
    <n v="27"/>
    <n v="0"/>
    <x v="1"/>
    <s v="OK"/>
    <s v="OK"/>
    <x v="5"/>
  </r>
  <r>
    <d v="2021-11-27T00:00:00"/>
    <x v="11"/>
    <n v="18.399999999999999"/>
    <n v="23"/>
    <n v="5"/>
    <x v="1"/>
    <s v="OK"/>
    <s v="OK"/>
    <x v="5"/>
  </r>
  <r>
    <d v="2021-11-28T00:00:00"/>
    <x v="0"/>
    <n v="19.8"/>
    <n v="23.4"/>
    <n v="0"/>
    <x v="1"/>
    <s v="OK"/>
    <s v="OK"/>
    <x v="5"/>
  </r>
  <r>
    <d v="2021-11-29T00:00:00"/>
    <x v="89"/>
    <n v="19.5"/>
    <n v="22.6"/>
    <n v="0"/>
    <x v="1"/>
    <s v="OK"/>
    <s v="OK"/>
    <x v="5"/>
  </r>
  <r>
    <d v="2021-11-30T00:00:00"/>
    <x v="14"/>
    <n v="18.899999999999999"/>
    <n v="25.8"/>
    <n v="0.5"/>
    <x v="1"/>
    <s v="OK"/>
    <s v="OK"/>
    <x v="5"/>
  </r>
  <r>
    <d v="2021-12-01T00:00:00"/>
    <x v="12"/>
    <n v="20"/>
    <n v="26.4"/>
    <n v="0"/>
    <x v="1"/>
    <s v="OK"/>
    <s v="OK"/>
    <x v="5"/>
  </r>
  <r>
    <d v="2021-12-02T00:00:00"/>
    <x v="1"/>
    <n v="19.2"/>
    <n v="25.9"/>
    <n v="6.9"/>
    <x v="1"/>
    <s v="OK"/>
    <s v="OK"/>
    <x v="5"/>
  </r>
  <r>
    <d v="2021-12-03T00:00:00"/>
    <x v="4"/>
    <n v="17.899999999999999"/>
    <n v="27.4"/>
    <n v="3"/>
    <x v="1"/>
    <s v="OK"/>
    <s v="OK"/>
    <x v="5"/>
  </r>
  <r>
    <d v="2021-12-04T00:00:00"/>
    <x v="19"/>
    <n v="21"/>
    <n v="28.2"/>
    <n v="0"/>
    <x v="1"/>
    <s v="OK"/>
    <s v="OK"/>
    <x v="5"/>
  </r>
  <r>
    <d v="2021-12-05T00:00:00"/>
    <x v="78"/>
    <n v="19.8"/>
    <n v="28.4"/>
    <n v="1"/>
    <x v="1"/>
    <s v="OK"/>
    <s v="OK"/>
    <x v="5"/>
  </r>
  <r>
    <d v="2021-12-06T00:00:00"/>
    <x v="78"/>
    <n v="19.3"/>
    <n v="29.2"/>
    <n v="0"/>
    <x v="1"/>
    <s v="OK"/>
    <s v="OK"/>
    <x v="5"/>
  </r>
  <r>
    <d v="2021-12-07T00:00:00"/>
    <x v="6"/>
    <n v="17.7"/>
    <n v="26.4"/>
    <n v="0"/>
    <x v="1"/>
    <s v="OK"/>
    <s v="OK"/>
    <x v="5"/>
  </r>
  <r>
    <d v="2021-12-08T00:00:00"/>
    <x v="12"/>
    <n v="16.899999999999999"/>
    <n v="27.4"/>
    <n v="0"/>
    <x v="1"/>
    <s v="OK"/>
    <s v="OK"/>
    <x v="5"/>
  </r>
  <r>
    <d v="2021-12-09T00:00:00"/>
    <x v="6"/>
    <n v="18.8"/>
    <n v="26.2"/>
    <n v="0.9"/>
    <x v="1"/>
    <s v="OK"/>
    <s v="OK"/>
    <x v="5"/>
  </r>
  <r>
    <d v="2021-12-10T00:00:00"/>
    <x v="16"/>
    <n v="18.600000000000001"/>
    <n v="27.2"/>
    <n v="1"/>
    <x v="1"/>
    <s v="OK"/>
    <s v="OK"/>
    <x v="5"/>
  </r>
  <r>
    <d v="2021-12-11T00:00:00"/>
    <x v="1"/>
    <n v="18"/>
    <n v="28.4"/>
    <n v="0"/>
    <x v="1"/>
    <s v="OK"/>
    <s v="OK"/>
    <x v="5"/>
  </r>
  <r>
    <d v="2021-12-12T00:00:00"/>
    <x v="5"/>
    <n v="17.5"/>
    <n v="24.7"/>
    <n v="0.2"/>
    <x v="1"/>
    <s v="OK"/>
    <s v="OK"/>
    <x v="5"/>
  </r>
  <r>
    <d v="2021-12-13T00:00:00"/>
    <x v="90"/>
    <n v="18"/>
    <n v="24.9"/>
    <n v="2.4"/>
    <x v="1"/>
    <s v="OK"/>
    <s v="OK"/>
    <x v="5"/>
  </r>
  <r>
    <d v="2021-12-14T00:00:00"/>
    <x v="8"/>
    <n v="18.3"/>
    <n v="24.4"/>
    <n v="2.8"/>
    <x v="1"/>
    <s v="OK"/>
    <s v="OK"/>
    <x v="5"/>
  </r>
  <r>
    <d v="2021-12-15T00:00:00"/>
    <x v="90"/>
    <n v="17.399999999999999"/>
    <n v="24.4"/>
    <n v="0.3"/>
    <x v="1"/>
    <s v="OK"/>
    <s v="OK"/>
    <x v="5"/>
  </r>
  <r>
    <d v="2021-12-16T00:00:00"/>
    <x v="25"/>
    <n v="17.2"/>
    <n v="26.4"/>
    <n v="0"/>
    <x v="1"/>
    <s v="OK"/>
    <s v="OK"/>
    <x v="5"/>
  </r>
  <r>
    <d v="2021-12-17T00:00:00"/>
    <x v="90"/>
    <n v="16.3"/>
    <n v="27.6"/>
    <n v="0"/>
    <x v="1"/>
    <s v="OK"/>
    <s v="OK"/>
    <x v="5"/>
  </r>
  <r>
    <d v="2021-12-18T00:00:00"/>
    <x v="92"/>
    <n v="15.3"/>
    <n v="26"/>
    <n v="0"/>
    <x v="1"/>
    <s v="OK"/>
    <s v="OK"/>
    <x v="5"/>
  </r>
  <r>
    <d v="2021-12-19T00:00:00"/>
    <x v="106"/>
    <n v="13.1"/>
    <n v="26"/>
    <n v="0"/>
    <x v="1"/>
    <s v="Outlier"/>
    <s v="OK"/>
    <x v="5"/>
  </r>
  <r>
    <d v="2021-12-20T00:00:00"/>
    <x v="106"/>
    <n v="12.9"/>
    <n v="26.2"/>
    <n v="0"/>
    <x v="1"/>
    <s v="Outlier"/>
    <s v="OK"/>
    <x v="5"/>
  </r>
  <r>
    <d v="2021-12-21T00:00:00"/>
    <x v="107"/>
    <n v="13.9"/>
    <n v="26"/>
    <n v="0"/>
    <x v="1"/>
    <s v="Outlier"/>
    <s v="OK"/>
    <x v="5"/>
  </r>
  <r>
    <d v="2021-12-22T00:00:00"/>
    <x v="104"/>
    <n v="12.8"/>
    <n v="27.4"/>
    <n v="0"/>
    <x v="1"/>
    <s v="Outlier"/>
    <s v="OK"/>
    <x v="5"/>
  </r>
  <r>
    <d v="2021-12-23T00:00:00"/>
    <x v="108"/>
    <n v="13.2"/>
    <n v="27.4"/>
    <n v="0"/>
    <x v="1"/>
    <s v="Outlier"/>
    <s v="OK"/>
    <x v="5"/>
  </r>
  <r>
    <d v="2021-12-24T00:00:00"/>
    <x v="99"/>
    <n v="12.5"/>
    <n v="27.2"/>
    <n v="0"/>
    <x v="1"/>
    <s v="Outlier"/>
    <s v="OK"/>
    <x v="5"/>
  </r>
  <r>
    <d v="2021-12-25T00:00:00"/>
    <x v="98"/>
    <n v="12.6"/>
    <n v="29"/>
    <n v="0"/>
    <x v="1"/>
    <s v="Outlier"/>
    <s v="OK"/>
    <x v="5"/>
  </r>
  <r>
    <d v="2021-12-26T00:00:00"/>
    <x v="9"/>
    <n v="13.5"/>
    <n v="29.2"/>
    <n v="0"/>
    <x v="1"/>
    <s v="Outlier"/>
    <s v="OK"/>
    <x v="5"/>
  </r>
  <r>
    <d v="2021-12-27T00:00:00"/>
    <x v="92"/>
    <n v="15.2"/>
    <n v="26.6"/>
    <n v="0"/>
    <x v="1"/>
    <s v="OK"/>
    <s v="OK"/>
    <x v="5"/>
  </r>
  <r>
    <d v="2021-12-28T00:00:00"/>
    <x v="98"/>
    <n v="15.4"/>
    <n v="26.4"/>
    <n v="0"/>
    <x v="1"/>
    <s v="OK"/>
    <s v="OK"/>
    <x v="5"/>
  </r>
  <r>
    <d v="2021-12-29T00:00:00"/>
    <x v="0"/>
    <n v="17"/>
    <n v="26"/>
    <n v="0"/>
    <x v="1"/>
    <s v="OK"/>
    <s v="OK"/>
    <x v="5"/>
  </r>
  <r>
    <d v="2021-12-30T00:00:00"/>
    <x v="92"/>
    <n v="15.4"/>
    <n v="26.4"/>
    <n v="0.7"/>
    <x v="1"/>
    <s v="OK"/>
    <s v="OK"/>
    <x v="5"/>
  </r>
  <r>
    <d v="2021-12-31T00:00:00"/>
    <x v="98"/>
    <n v="17.600000000000001"/>
    <n v="26.5"/>
    <n v="0"/>
    <x v="1"/>
    <s v="OK"/>
    <s v="OK"/>
    <x v="5"/>
  </r>
  <r>
    <d v="2022-01-01T00:00:00"/>
    <x v="87"/>
    <n v="18.5"/>
    <n v="24.6"/>
    <n v="3.3"/>
    <x v="1"/>
    <s v="OK"/>
    <s v="OK"/>
    <x v="6"/>
  </r>
  <r>
    <d v="2022-01-02T00:00:00"/>
    <x v="7"/>
    <n v="17.5"/>
    <n v="26.4"/>
    <n v="0"/>
    <x v="1"/>
    <s v="OK"/>
    <s v="OK"/>
    <x v="6"/>
  </r>
  <r>
    <d v="2022-01-03T00:00:00"/>
    <x v="90"/>
    <n v="15.1"/>
    <n v="26.6"/>
    <n v="0"/>
    <x v="1"/>
    <s v="OK"/>
    <s v="OK"/>
    <x v="6"/>
  </r>
  <r>
    <d v="2022-01-04T00:00:00"/>
    <x v="88"/>
    <n v="16.399999999999999"/>
    <n v="26.3"/>
    <n v="0"/>
    <x v="1"/>
    <s v="OK"/>
    <s v="OK"/>
    <x v="6"/>
  </r>
  <r>
    <d v="2022-01-05T00:00:00"/>
    <x v="88"/>
    <n v="14.8"/>
    <n v="27.4"/>
    <n v="0"/>
    <x v="1"/>
    <s v="OK"/>
    <s v="OK"/>
    <x v="6"/>
  </r>
  <r>
    <d v="2022-01-06T00:00:00"/>
    <x v="89"/>
    <n v="15.9"/>
    <n v="27"/>
    <n v="0"/>
    <x v="1"/>
    <s v="OK"/>
    <s v="OK"/>
    <x v="6"/>
  </r>
  <r>
    <d v="2022-01-07T00:00:00"/>
    <x v="87"/>
    <n v="16.600000000000001"/>
    <n v="27"/>
    <n v="0"/>
    <x v="1"/>
    <s v="OK"/>
    <s v="OK"/>
    <x v="6"/>
  </r>
  <r>
    <d v="2022-01-08T00:00:00"/>
    <x v="1"/>
    <n v="17.2"/>
    <n v="27.2"/>
    <n v="0"/>
    <x v="1"/>
    <s v="OK"/>
    <s v="OK"/>
    <x v="6"/>
  </r>
  <r>
    <d v="2022-01-09T00:00:00"/>
    <x v="12"/>
    <n v="17.3"/>
    <n v="27.2"/>
    <n v="0"/>
    <x v="1"/>
    <s v="Outlier"/>
    <s v="OK"/>
    <x v="0"/>
  </r>
  <r>
    <d v="2022-01-10T00:00:00"/>
    <x v="25"/>
    <n v="16.7"/>
    <n v="27.3"/>
    <n v="0.1"/>
    <x v="1"/>
    <s v="Outlier"/>
    <s v="OK"/>
    <x v="0"/>
  </r>
  <r>
    <d v="2022-01-11T00:00:00"/>
    <x v="3"/>
    <n v="16.7"/>
    <n v="28.6"/>
    <n v="0.1"/>
    <x v="1"/>
    <s v="Outlier"/>
    <s v="OK"/>
    <x v="0"/>
  </r>
  <r>
    <d v="2022-01-12T00:00:00"/>
    <x v="14"/>
    <n v="18.3"/>
    <n v="28.6"/>
    <n v="0.4"/>
    <x v="1"/>
    <s v="Outlier"/>
    <s v="OK"/>
    <x v="0"/>
  </r>
  <r>
    <d v="2022-01-13T00:00:00"/>
    <x v="6"/>
    <n v="17.5"/>
    <n v="27.4"/>
    <n v="0.5"/>
    <x v="1"/>
    <s v="Outlier"/>
    <s v="OK"/>
    <x v="0"/>
  </r>
  <r>
    <d v="2022-01-14T00:00:00"/>
    <x v="3"/>
    <n v="17.8"/>
    <n v="27.4"/>
    <n v="0.2"/>
    <x v="1"/>
    <s v="Outlier"/>
    <s v="OK"/>
    <x v="0"/>
  </r>
  <r>
    <d v="2022-01-15T00:00:00"/>
    <x v="7"/>
    <n v="16.2"/>
    <n v="28.6"/>
    <n v="0"/>
    <x v="1"/>
    <s v="Outlier"/>
    <s v="OK"/>
    <x v="0"/>
  </r>
  <r>
    <d v="2022-01-16T00:00:00"/>
    <x v="4"/>
    <n v="17.399999999999999"/>
    <n v="27.6"/>
    <n v="0.2"/>
    <x v="1"/>
    <s v="Outlier"/>
    <s v="OK"/>
    <x v="0"/>
  </r>
  <r>
    <d v="2022-01-17T00:00:00"/>
    <x v="10"/>
    <n v="16.8"/>
    <n v="27"/>
    <n v="0"/>
    <x v="1"/>
    <s v="OK"/>
    <s v="OK"/>
    <x v="6"/>
  </r>
  <r>
    <d v="2022-01-18T00:00:00"/>
    <x v="89"/>
    <n v="15.3"/>
    <n v="27.1"/>
    <n v="0"/>
    <x v="1"/>
    <s v="OK"/>
    <s v="OK"/>
    <x v="6"/>
  </r>
  <r>
    <d v="2022-01-19T00:00:00"/>
    <x v="0"/>
    <n v="16"/>
    <n v="27"/>
    <n v="0"/>
    <x v="1"/>
    <s v="OK"/>
    <s v="OK"/>
    <x v="6"/>
  </r>
  <r>
    <d v="2022-01-20T00:00:00"/>
    <x v="0"/>
    <n v="13"/>
    <n v="29"/>
    <n v="0"/>
    <x v="1"/>
    <s v="Outlier"/>
    <s v="OK"/>
    <x v="6"/>
  </r>
  <r>
    <d v="2022-01-21T00:00:00"/>
    <x v="6"/>
    <n v="14.5"/>
    <n v="31.4"/>
    <n v="0"/>
    <x v="1"/>
    <s v="Outlier"/>
    <s v="OK"/>
    <x v="6"/>
  </r>
  <r>
    <d v="2022-01-22T00:00:00"/>
    <x v="6"/>
    <n v="14.6"/>
    <n v="30"/>
    <n v="0"/>
    <x v="1"/>
    <s v="Outlier"/>
    <s v="OK"/>
    <x v="6"/>
  </r>
  <r>
    <d v="2022-01-23T00:00:00"/>
    <x v="4"/>
    <n v="14.9"/>
    <n v="30.4"/>
    <n v="0"/>
    <x v="1"/>
    <s v="OK"/>
    <s v="OK"/>
    <x v="6"/>
  </r>
  <r>
    <d v="2022-01-24T00:00:00"/>
    <x v="8"/>
    <n v="13.4"/>
    <n v="28.8"/>
    <n v="0"/>
    <x v="1"/>
    <s v="Outlier"/>
    <s v="OK"/>
    <x v="6"/>
  </r>
  <r>
    <d v="2022-01-25T00:00:00"/>
    <x v="86"/>
    <n v="13.1"/>
    <n v="27.4"/>
    <n v="0"/>
    <x v="1"/>
    <s v="Outlier"/>
    <s v="OK"/>
    <x v="6"/>
  </r>
  <r>
    <d v="2022-01-26T00:00:00"/>
    <x v="26"/>
    <n v="17.3"/>
    <n v="28"/>
    <n v="0.1"/>
    <x v="1"/>
    <s v="OK"/>
    <s v="OK"/>
    <x v="6"/>
  </r>
  <r>
    <d v="2022-01-27T00:00:00"/>
    <x v="25"/>
    <n v="17.899999999999999"/>
    <n v="25.4"/>
    <n v="1.8"/>
    <x v="1"/>
    <s v="OK"/>
    <s v="OK"/>
    <x v="6"/>
  </r>
  <r>
    <d v="2022-01-28T00:00:00"/>
    <x v="89"/>
    <n v="17"/>
    <n v="26.3"/>
    <n v="0"/>
    <x v="1"/>
    <s v="OK"/>
    <s v="OK"/>
    <x v="6"/>
  </r>
  <r>
    <d v="2022-01-29T00:00:00"/>
    <x v="8"/>
    <n v="15.3"/>
    <n v="27.2"/>
    <n v="0"/>
    <x v="1"/>
    <s v="OK"/>
    <s v="OK"/>
    <x v="6"/>
  </r>
  <r>
    <d v="2022-01-30T00:00:00"/>
    <x v="83"/>
    <n v="18.100000000000001"/>
    <n v="29.4"/>
    <n v="0"/>
    <x v="1"/>
    <s v="OK"/>
    <s v="OK"/>
    <x v="6"/>
  </r>
  <r>
    <d v="2022-01-31T00:00:00"/>
    <x v="24"/>
    <n v="18.3"/>
    <n v="29.6"/>
    <n v="0"/>
    <x v="1"/>
    <s v="OK"/>
    <s v="OK"/>
    <x v="6"/>
  </r>
  <r>
    <d v="2022-02-01T00:00:00"/>
    <x v="78"/>
    <n v="17.399999999999999"/>
    <n v="29.8"/>
    <n v="0"/>
    <x v="1"/>
    <s v="OK"/>
    <s v="OK"/>
    <x v="6"/>
  </r>
  <r>
    <d v="2022-02-02T00:00:00"/>
    <x v="83"/>
    <n v="16.3"/>
    <n v="29.6"/>
    <n v="0"/>
    <x v="1"/>
    <s v="OK"/>
    <s v="OK"/>
    <x v="6"/>
  </r>
  <r>
    <d v="2022-02-03T00:00:00"/>
    <x v="16"/>
    <n v="16.3"/>
    <n v="28.7"/>
    <n v="0"/>
    <x v="1"/>
    <s v="OK"/>
    <s v="OK"/>
    <x v="6"/>
  </r>
  <r>
    <d v="2022-02-04T00:00:00"/>
    <x v="22"/>
    <n v="16.5"/>
    <n v="30.6"/>
    <n v="0"/>
    <x v="1"/>
    <s v="OK"/>
    <s v="OK"/>
    <x v="6"/>
  </r>
  <r>
    <d v="2022-02-05T00:00:00"/>
    <x v="80"/>
    <n v="15.9"/>
    <n v="30.8"/>
    <n v="0"/>
    <x v="1"/>
    <s v="OK"/>
    <s v="OK"/>
    <x v="6"/>
  </r>
  <r>
    <d v="2022-02-06T00:00:00"/>
    <x v="16"/>
    <n v="18.2"/>
    <n v="28"/>
    <n v="0"/>
    <x v="1"/>
    <s v="OK"/>
    <s v="OK"/>
    <x v="6"/>
  </r>
  <r>
    <d v="2022-02-07T00:00:00"/>
    <x v="15"/>
    <n v="17.3"/>
    <n v="28.3"/>
    <n v="0"/>
    <x v="1"/>
    <s v="OK"/>
    <s v="OK"/>
    <x v="6"/>
  </r>
  <r>
    <d v="2022-02-08T00:00:00"/>
    <x v="2"/>
    <n v="15.7"/>
    <n v="29.4"/>
    <n v="0"/>
    <x v="1"/>
    <s v="OK"/>
    <s v="OK"/>
    <x v="6"/>
  </r>
  <r>
    <d v="2022-02-09T00:00:00"/>
    <x v="4"/>
    <n v="15.3"/>
    <n v="28.8"/>
    <n v="0"/>
    <x v="1"/>
    <s v="OK"/>
    <s v="OK"/>
    <x v="6"/>
  </r>
  <r>
    <d v="2022-02-10T00:00:00"/>
    <x v="4"/>
    <n v="14.4"/>
    <n v="30"/>
    <n v="0"/>
    <x v="1"/>
    <s v="Outlier"/>
    <s v="OK"/>
    <x v="0"/>
  </r>
  <r>
    <d v="2022-02-11T00:00:00"/>
    <x v="26"/>
    <n v="16.100000000000001"/>
    <n v="29.4"/>
    <n v="0"/>
    <x v="1"/>
    <s v="Outlier"/>
    <s v="OK"/>
    <x v="0"/>
  </r>
  <r>
    <d v="2022-02-12T00:00:00"/>
    <x v="2"/>
    <n v="16"/>
    <n v="29"/>
    <n v="0"/>
    <x v="1"/>
    <s v="Outlier"/>
    <s v="OK"/>
    <x v="0"/>
  </r>
  <r>
    <d v="2022-02-13T00:00:00"/>
    <x v="26"/>
    <n v="15.8"/>
    <n v="28.2"/>
    <n v="0"/>
    <x v="1"/>
    <s v="OK"/>
    <s v="OK"/>
    <x v="6"/>
  </r>
  <r>
    <d v="2022-02-14T00:00:00"/>
    <x v="26"/>
    <n v="15.2"/>
    <n v="28.2"/>
    <n v="0"/>
    <x v="1"/>
    <s v="Outlier"/>
    <s v="OK"/>
    <x v="0"/>
  </r>
  <r>
    <d v="2022-02-15T00:00:00"/>
    <x v="16"/>
    <n v="17.100000000000001"/>
    <n v="28.4"/>
    <n v="0"/>
    <x v="1"/>
    <s v="Outlier"/>
    <s v="OK"/>
    <x v="0"/>
  </r>
  <r>
    <d v="2022-02-16T00:00:00"/>
    <x v="15"/>
    <n v="15.3"/>
    <n v="28.8"/>
    <n v="0"/>
    <x v="1"/>
    <s v="OK"/>
    <s v="OK"/>
    <x v="6"/>
  </r>
  <r>
    <d v="2022-02-17T00:00:00"/>
    <x v="83"/>
    <n v="16.100000000000001"/>
    <n v="30"/>
    <n v="0"/>
    <x v="1"/>
    <s v="OK"/>
    <s v="OK"/>
    <x v="6"/>
  </r>
  <r>
    <d v="2022-02-18T00:00:00"/>
    <x v="84"/>
    <n v="14.9"/>
    <n v="29.4"/>
    <n v="0"/>
    <x v="1"/>
    <s v="OK"/>
    <s v="OK"/>
    <x v="6"/>
  </r>
  <r>
    <d v="2022-02-19T00:00:00"/>
    <x v="16"/>
    <n v="15.8"/>
    <n v="29.8"/>
    <n v="0"/>
    <x v="1"/>
    <s v="OK"/>
    <s v="OK"/>
    <x v="6"/>
  </r>
  <r>
    <d v="2022-02-20T00:00:00"/>
    <x v="21"/>
    <n v="15.8"/>
    <n v="32"/>
    <n v="0"/>
    <x v="1"/>
    <s v="OK"/>
    <s v="OK"/>
    <x v="6"/>
  </r>
  <r>
    <d v="2022-02-21T00:00:00"/>
    <x v="77"/>
    <n v="16.3"/>
    <n v="32.4"/>
    <n v="0"/>
    <x v="1"/>
    <s v="OK"/>
    <s v="OK"/>
    <x v="6"/>
  </r>
  <r>
    <d v="2022-02-22T00:00:00"/>
    <x v="82"/>
    <n v="17.899999999999999"/>
    <n v="31.3"/>
    <n v="0"/>
    <x v="1"/>
    <s v="OK"/>
    <s v="OK"/>
    <x v="6"/>
  </r>
  <r>
    <d v="2022-02-23T00:00:00"/>
    <x v="78"/>
    <n v="16.399999999999999"/>
    <n v="30.4"/>
    <n v="0"/>
    <x v="1"/>
    <s v="OK"/>
    <s v="OK"/>
    <x v="6"/>
  </r>
  <r>
    <d v="2022-02-24T00:00:00"/>
    <x v="84"/>
    <n v="15.5"/>
    <n v="29.4"/>
    <n v="0"/>
    <x v="1"/>
    <s v="OK"/>
    <s v="OK"/>
    <x v="6"/>
  </r>
  <r>
    <d v="2022-02-25T00:00:00"/>
    <x v="22"/>
    <n v="14.4"/>
    <n v="31.2"/>
    <n v="0"/>
    <x v="1"/>
    <s v="Outlier"/>
    <s v="OK"/>
    <x v="6"/>
  </r>
  <r>
    <d v="2022-02-26T00:00:00"/>
    <x v="84"/>
    <n v="14.9"/>
    <n v="30.2"/>
    <n v="0"/>
    <x v="1"/>
    <s v="OK"/>
    <s v="OK"/>
    <x v="6"/>
  </r>
  <r>
    <d v="2022-02-27T00:00:00"/>
    <x v="13"/>
    <n v="16.8"/>
    <n v="30"/>
    <n v="0"/>
    <x v="1"/>
    <s v="OK"/>
    <s v="OK"/>
    <x v="6"/>
  </r>
  <r>
    <d v="2022-02-28T00:00:00"/>
    <x v="13"/>
    <n v="16.100000000000001"/>
    <n v="30.6"/>
    <n v="0"/>
    <x v="1"/>
    <s v="OK"/>
    <s v="OK"/>
    <x v="6"/>
  </r>
  <r>
    <d v="2022-03-01T00:00:00"/>
    <x v="75"/>
    <n v="16.600000000000001"/>
    <n v="32"/>
    <n v="0"/>
    <x v="1"/>
    <s v="OK"/>
    <s v="OK"/>
    <x v="6"/>
  </r>
  <r>
    <d v="2022-03-02T00:00:00"/>
    <x v="17"/>
    <n v="16.899999999999999"/>
    <n v="30.4"/>
    <n v="0"/>
    <x v="1"/>
    <s v="OK"/>
    <s v="OK"/>
    <x v="6"/>
  </r>
  <r>
    <d v="2022-03-03T00:00:00"/>
    <x v="21"/>
    <n v="16.5"/>
    <n v="30.8"/>
    <n v="0"/>
    <x v="1"/>
    <s v="Outlier"/>
    <s v="OK"/>
    <x v="0"/>
  </r>
  <r>
    <d v="2022-03-04T00:00:00"/>
    <x v="75"/>
    <n v="17.399999999999999"/>
    <n v="31.6"/>
    <n v="0"/>
    <x v="1"/>
    <s v="OK"/>
    <s v="OK"/>
    <x v="6"/>
  </r>
  <r>
    <d v="2022-03-05T00:00:00"/>
    <x v="75"/>
    <n v="16.2"/>
    <n v="30.6"/>
    <n v="0"/>
    <x v="1"/>
    <s v="OK"/>
    <s v="OK"/>
    <x v="6"/>
  </r>
  <r>
    <d v="2022-03-06T00:00:00"/>
    <x v="23"/>
    <n v="17.2"/>
    <n v="30.3"/>
    <n v="0"/>
    <x v="1"/>
    <s v="OK"/>
    <s v="OK"/>
    <x v="6"/>
  </r>
  <r>
    <d v="2022-03-07T00:00:00"/>
    <x v="4"/>
    <n v="16.3"/>
    <n v="27.9"/>
    <n v="2.4"/>
    <x v="1"/>
    <s v="OK"/>
    <s v="OK"/>
    <x v="6"/>
  </r>
  <r>
    <d v="2022-03-08T00:00:00"/>
    <x v="72"/>
    <n v="18"/>
    <n v="30.6"/>
    <n v="0"/>
    <x v="1"/>
    <s v="OK"/>
    <s v="OK"/>
    <x v="6"/>
  </r>
  <r>
    <d v="2022-03-09T00:00:00"/>
    <x v="72"/>
    <n v="16.7"/>
    <n v="32.799999999999997"/>
    <n v="0"/>
    <x v="1"/>
    <s v="OK"/>
    <s v="OK"/>
    <x v="6"/>
  </r>
  <r>
    <d v="2022-03-10T00:00:00"/>
    <x v="81"/>
    <n v="17.100000000000001"/>
    <n v="32.799999999999997"/>
    <n v="0"/>
    <x v="1"/>
    <s v="OK"/>
    <s v="OK"/>
    <x v="6"/>
  </r>
  <r>
    <d v="2022-03-11T00:00:00"/>
    <x v="71"/>
    <n v="17.2"/>
    <n v="32.799999999999997"/>
    <n v="0"/>
    <x v="1"/>
    <s v="OK"/>
    <s v="OK"/>
    <x v="6"/>
  </r>
  <r>
    <d v="2022-03-12T00:00:00"/>
    <x v="70"/>
    <n v="18.100000000000001"/>
    <n v="33"/>
    <n v="0"/>
    <x v="1"/>
    <s v="OK"/>
    <s v="OK"/>
    <x v="6"/>
  </r>
  <r>
    <d v="2022-03-13T00:00:00"/>
    <x v="38"/>
    <n v="18.5"/>
    <n v="32.799999999999997"/>
    <n v="0"/>
    <x v="1"/>
    <s v="OK"/>
    <s v="OK"/>
    <x v="6"/>
  </r>
  <r>
    <d v="2022-03-14T00:00:00"/>
    <x v="28"/>
    <n v="18.399999999999999"/>
    <n v="32.799999999999997"/>
    <n v="0"/>
    <x v="1"/>
    <s v="OK"/>
    <s v="OK"/>
    <x v="6"/>
  </r>
  <r>
    <d v="2022-03-15T00:00:00"/>
    <x v="63"/>
    <n v="17.5"/>
    <n v="33.4"/>
    <n v="0"/>
    <x v="1"/>
    <s v="OK"/>
    <s v="OK"/>
    <x v="6"/>
  </r>
  <r>
    <d v="2022-03-16T00:00:00"/>
    <x v="63"/>
    <n v="17.600000000000001"/>
    <n v="34.200000000000003"/>
    <n v="0"/>
    <x v="1"/>
    <s v="OK"/>
    <s v="OK"/>
    <x v="6"/>
  </r>
  <r>
    <d v="2022-03-17T00:00:00"/>
    <x v="41"/>
    <n v="19.100000000000001"/>
    <n v="34.200000000000003"/>
    <n v="0"/>
    <x v="1"/>
    <s v="OK"/>
    <s v="OK"/>
    <x v="6"/>
  </r>
  <r>
    <d v="2022-03-18T00:00:00"/>
    <x v="41"/>
    <n v="18.7"/>
    <n v="34"/>
    <n v="0"/>
    <x v="1"/>
    <s v="Outlier"/>
    <s v="OK"/>
    <x v="0"/>
  </r>
  <r>
    <d v="2022-03-19T00:00:00"/>
    <x v="37"/>
    <n v="18.899999999999999"/>
    <n v="33.4"/>
    <n v="0.1"/>
    <x v="1"/>
    <s v="OK"/>
    <s v="OK"/>
    <x v="6"/>
  </r>
  <r>
    <d v="2022-03-20T00:00:00"/>
    <x v="72"/>
    <n v="22"/>
    <n v="34.1"/>
    <n v="0"/>
    <x v="1"/>
    <s v="OK"/>
    <s v="OK"/>
    <x v="6"/>
  </r>
  <r>
    <d v="2022-03-21T00:00:00"/>
    <x v="82"/>
    <n v="21.3"/>
    <n v="33.200000000000003"/>
    <n v="6.1"/>
    <x v="1"/>
    <s v="OK"/>
    <s v="OK"/>
    <x v="6"/>
  </r>
  <r>
    <d v="2022-03-22T00:00:00"/>
    <x v="38"/>
    <n v="21.8"/>
    <n v="33.5"/>
    <n v="7.9"/>
    <x v="1"/>
    <s v="OK"/>
    <s v="OK"/>
    <x v="6"/>
  </r>
  <r>
    <d v="2022-03-23T00:00:00"/>
    <x v="39"/>
    <n v="21.4"/>
    <n v="32.799999999999997"/>
    <n v="2"/>
    <x v="1"/>
    <s v="OK"/>
    <s v="OK"/>
    <x v="6"/>
  </r>
  <r>
    <d v="2022-03-24T00:00:00"/>
    <x v="68"/>
    <n v="23.4"/>
    <n v="33.6"/>
    <n v="0"/>
    <x v="1"/>
    <s v="OK"/>
    <s v="OK"/>
    <x v="6"/>
  </r>
  <r>
    <d v="2022-03-25T00:00:00"/>
    <x v="69"/>
    <n v="19.399999999999999"/>
    <n v="32.299999999999997"/>
    <n v="0.2"/>
    <x v="1"/>
    <s v="OK"/>
    <s v="OK"/>
    <x v="6"/>
  </r>
  <r>
    <d v="2022-03-26T00:00:00"/>
    <x v="29"/>
    <n v="19.899999999999999"/>
    <n v="32.9"/>
    <n v="0"/>
    <x v="1"/>
    <s v="OK"/>
    <s v="OK"/>
    <x v="6"/>
  </r>
  <r>
    <d v="2022-03-27T00:00:00"/>
    <x v="68"/>
    <n v="20.399999999999999"/>
    <n v="33.799999999999997"/>
    <n v="0"/>
    <x v="1"/>
    <s v="OK"/>
    <s v="OK"/>
    <x v="6"/>
  </r>
  <r>
    <d v="2022-03-28T00:00:00"/>
    <x v="40"/>
    <n v="20.100000000000001"/>
    <n v="33.799999999999997"/>
    <n v="0"/>
    <x v="1"/>
    <s v="OK"/>
    <s v="OK"/>
    <x v="6"/>
  </r>
  <r>
    <d v="2022-03-29T00:00:00"/>
    <x v="96"/>
    <n v="20.399999999999999"/>
    <n v="34.200000000000003"/>
    <n v="0.1"/>
    <x v="1"/>
    <s v="OK"/>
    <s v="OK"/>
    <x v="6"/>
  </r>
  <r>
    <d v="2022-03-30T00:00:00"/>
    <x v="66"/>
    <n v="21.8"/>
    <n v="33.799999999999997"/>
    <n v="0.1"/>
    <x v="1"/>
    <s v="OK"/>
    <s v="OK"/>
    <x v="6"/>
  </r>
  <r>
    <d v="2022-03-31T00:00:00"/>
    <x v="96"/>
    <n v="20.9"/>
    <n v="34"/>
    <n v="0"/>
    <x v="1"/>
    <s v="OK"/>
    <s v="OK"/>
    <x v="6"/>
  </r>
  <r>
    <d v="2022-04-01T00:00:00"/>
    <x v="31"/>
    <n v="21.2"/>
    <n v="33"/>
    <n v="0"/>
    <x v="1"/>
    <s v="OK"/>
    <s v="OK"/>
    <x v="6"/>
  </r>
  <r>
    <d v="2022-04-02T00:00:00"/>
    <x v="30"/>
    <n v="20"/>
    <n v="33"/>
    <n v="0"/>
    <x v="1"/>
    <s v="OK"/>
    <s v="OK"/>
    <x v="6"/>
  </r>
  <r>
    <d v="2022-04-03T00:00:00"/>
    <x v="41"/>
    <n v="18.600000000000001"/>
    <n v="33.6"/>
    <n v="0"/>
    <x v="1"/>
    <s v="OK"/>
    <s v="OK"/>
    <x v="6"/>
  </r>
  <r>
    <d v="2022-04-04T00:00:00"/>
    <x v="94"/>
    <n v="19"/>
    <n v="33.799999999999997"/>
    <n v="0"/>
    <x v="1"/>
    <s v="OK"/>
    <s v="OK"/>
    <x v="6"/>
  </r>
  <r>
    <d v="2022-04-05T00:00:00"/>
    <x v="35"/>
    <n v="19"/>
    <n v="33.200000000000003"/>
    <n v="0"/>
    <x v="1"/>
    <s v="OK"/>
    <s v="OK"/>
    <x v="6"/>
  </r>
  <r>
    <d v="2022-04-06T00:00:00"/>
    <x v="29"/>
    <n v="18.399999999999999"/>
    <n v="35"/>
    <n v="0"/>
    <x v="1"/>
    <s v="OK"/>
    <s v="OK"/>
    <x v="6"/>
  </r>
  <r>
    <d v="2022-04-07T00:00:00"/>
    <x v="68"/>
    <n v="19.100000000000001"/>
    <n v="34.799999999999997"/>
    <n v="0"/>
    <x v="1"/>
    <s v="OK"/>
    <s v="OK"/>
    <x v="6"/>
  </r>
  <r>
    <d v="2022-04-08T00:00:00"/>
    <x v="29"/>
    <n v="19.3"/>
    <n v="33.200000000000003"/>
    <n v="0"/>
    <x v="1"/>
    <s v="OK"/>
    <s v="OK"/>
    <x v="6"/>
  </r>
  <r>
    <d v="2022-04-09T00:00:00"/>
    <x v="68"/>
    <n v="19.899999999999999"/>
    <n v="33.6"/>
    <n v="0"/>
    <x v="1"/>
    <s v="OK"/>
    <s v="OK"/>
    <x v="6"/>
  </r>
  <r>
    <d v="2022-04-10T00:00:00"/>
    <x v="39"/>
    <n v="20.3"/>
    <n v="34"/>
    <n v="0"/>
    <x v="1"/>
    <s v="OK"/>
    <s v="OK"/>
    <x v="6"/>
  </r>
  <r>
    <d v="2022-04-11T00:00:00"/>
    <x v="31"/>
    <n v="20.100000000000001"/>
    <n v="34.200000000000003"/>
    <n v="0"/>
    <x v="1"/>
    <s v="OK"/>
    <s v="OK"/>
    <x v="6"/>
  </r>
  <r>
    <d v="2022-04-12T00:00:00"/>
    <x v="29"/>
    <n v="20.5"/>
    <n v="34"/>
    <n v="0"/>
    <x v="1"/>
    <s v="OK"/>
    <s v="OK"/>
    <x v="6"/>
  </r>
  <r>
    <d v="2022-04-13T00:00:00"/>
    <x v="73"/>
    <n v="21.5"/>
    <n v="32.799999999999997"/>
    <n v="3.5"/>
    <x v="1"/>
    <s v="OK"/>
    <s v="OK"/>
    <x v="6"/>
  </r>
  <r>
    <d v="2022-04-14T00:00:00"/>
    <x v="34"/>
    <n v="20.7"/>
    <n v="32.1"/>
    <n v="13.6"/>
    <x v="1"/>
    <s v="OK"/>
    <s v="OK"/>
    <x v="6"/>
  </r>
  <r>
    <d v="2022-04-15T00:00:00"/>
    <x v="81"/>
    <n v="19.100000000000001"/>
    <n v="33"/>
    <n v="37.6"/>
    <x v="1"/>
    <s v="OK"/>
    <s v="OK"/>
    <x v="6"/>
  </r>
  <r>
    <d v="2022-04-16T00:00:00"/>
    <x v="35"/>
    <n v="19.7"/>
    <n v="34.1"/>
    <n v="0"/>
    <x v="1"/>
    <s v="OK"/>
    <s v="OK"/>
    <x v="6"/>
  </r>
  <r>
    <d v="2022-04-17T00:00:00"/>
    <x v="38"/>
    <n v="20"/>
    <n v="34.1"/>
    <n v="51.1"/>
    <x v="1"/>
    <s v="OK"/>
    <s v="OK"/>
    <x v="6"/>
  </r>
  <r>
    <d v="2022-04-18T00:00:00"/>
    <x v="23"/>
    <n v="19.100000000000001"/>
    <n v="32.1"/>
    <n v="1"/>
    <x v="1"/>
    <s v="OK"/>
    <s v="OK"/>
    <x v="6"/>
  </r>
  <r>
    <d v="2022-04-19T00:00:00"/>
    <x v="28"/>
    <n v="20"/>
    <n v="32.4"/>
    <n v="32.799999999999997"/>
    <x v="1"/>
    <s v="OK"/>
    <s v="OK"/>
    <x v="6"/>
  </r>
  <r>
    <d v="2022-04-20T00:00:00"/>
    <x v="45"/>
    <n v="21.8"/>
    <n v="34.1"/>
    <n v="0"/>
    <x v="1"/>
    <s v="OK"/>
    <s v="OK"/>
    <x v="6"/>
  </r>
  <r>
    <d v="2022-04-21T00:00:00"/>
    <x v="40"/>
    <n v="20.8"/>
    <n v="33.4"/>
    <n v="0"/>
    <x v="1"/>
    <s v="OK"/>
    <s v="OK"/>
    <x v="6"/>
  </r>
  <r>
    <d v="2022-04-22T00:00:00"/>
    <x v="29"/>
    <n v="20.3"/>
    <n v="33.200000000000003"/>
    <n v="0"/>
    <x v="1"/>
    <s v="OK"/>
    <s v="OK"/>
    <x v="6"/>
  </r>
  <r>
    <d v="2022-04-23T00:00:00"/>
    <x v="35"/>
    <n v="20.5"/>
    <n v="32.200000000000003"/>
    <n v="0"/>
    <x v="1"/>
    <s v="OK"/>
    <s v="OK"/>
    <x v="6"/>
  </r>
  <r>
    <d v="2022-04-24T00:00:00"/>
    <x v="39"/>
    <n v="20.399999999999999"/>
    <n v="33.700000000000003"/>
    <n v="0"/>
    <x v="1"/>
    <s v="OK"/>
    <s v="OK"/>
    <x v="6"/>
  </r>
  <r>
    <d v="2022-04-25T00:00:00"/>
    <x v="56"/>
    <n v="20.8"/>
    <n v="34.1"/>
    <n v="0"/>
    <x v="1"/>
    <s v="OK"/>
    <s v="OK"/>
    <x v="6"/>
  </r>
  <r>
    <d v="2022-04-26T00:00:00"/>
    <x v="45"/>
    <n v="20.6"/>
    <n v="34.5"/>
    <n v="0"/>
    <x v="1"/>
    <s v="OK"/>
    <s v="OK"/>
    <x v="6"/>
  </r>
  <r>
    <d v="2022-04-27T00:00:00"/>
    <x v="57"/>
    <n v="21.5"/>
    <n v="35.1"/>
    <n v="0"/>
    <x v="1"/>
    <s v="OK"/>
    <s v="OK"/>
    <x v="6"/>
  </r>
  <r>
    <d v="2022-04-28T00:00:00"/>
    <x v="95"/>
    <n v="21.7"/>
    <n v="34.799999999999997"/>
    <n v="0"/>
    <x v="1"/>
    <s v="OK"/>
    <s v="OK"/>
    <x v="6"/>
  </r>
  <r>
    <d v="2022-04-29T00:00:00"/>
    <x v="65"/>
    <n v="21.2"/>
    <n v="36.9"/>
    <n v="0"/>
    <x v="1"/>
    <s v="OK"/>
    <s v="OK"/>
    <x v="6"/>
  </r>
  <r>
    <d v="2022-04-30T00:00:00"/>
    <x v="49"/>
    <n v="22.7"/>
    <n v="36.700000000000003"/>
    <n v="0"/>
    <x v="1"/>
    <s v="OK"/>
    <s v="OK"/>
    <x v="6"/>
  </r>
  <r>
    <d v="2022-05-01T00:00:00"/>
    <x v="72"/>
    <n v="20.399999999999999"/>
    <n v="34.799999999999997"/>
    <n v="0"/>
    <x v="1"/>
    <s v="OK"/>
    <s v="OK"/>
    <x v="6"/>
  </r>
  <r>
    <d v="2022-05-02T00:00:00"/>
    <x v="35"/>
    <n v="20.2"/>
    <n v="33.9"/>
    <n v="54.1"/>
    <x v="1"/>
    <s v="OK"/>
    <s v="OK"/>
    <x v="6"/>
  </r>
  <r>
    <d v="2022-05-03T00:00:00"/>
    <x v="35"/>
    <n v="21.8"/>
    <n v="34"/>
    <n v="0"/>
    <x v="1"/>
    <s v="OK"/>
    <s v="OK"/>
    <x v="6"/>
  </r>
  <r>
    <d v="2022-05-04T00:00:00"/>
    <x v="70"/>
    <n v="20.9"/>
    <n v="34.200000000000003"/>
    <n v="8.9"/>
    <x v="1"/>
    <s v="OK"/>
    <s v="OK"/>
    <x v="6"/>
  </r>
  <r>
    <d v="2022-05-05T00:00:00"/>
    <x v="19"/>
    <n v="20.399999999999999"/>
    <n v="34.200000000000003"/>
    <n v="4.3"/>
    <x v="1"/>
    <s v="OK"/>
    <s v="OK"/>
    <x v="6"/>
  </r>
  <r>
    <d v="2022-05-06T00:00:00"/>
    <x v="71"/>
    <n v="21.3"/>
    <n v="31.8"/>
    <n v="0.3"/>
    <x v="1"/>
    <s v="OK"/>
    <s v="OK"/>
    <x v="6"/>
  </r>
  <r>
    <d v="2022-05-07T00:00:00"/>
    <x v="28"/>
    <n v="21.2"/>
    <n v="33.5"/>
    <n v="5.0999999999999996"/>
    <x v="1"/>
    <s v="OK"/>
    <s v="OK"/>
    <x v="6"/>
  </r>
  <r>
    <d v="2022-05-08T00:00:00"/>
    <x v="36"/>
    <n v="21"/>
    <n v="33.200000000000003"/>
    <n v="0"/>
    <x v="1"/>
    <s v="OK"/>
    <s v="OK"/>
    <x v="6"/>
  </r>
  <r>
    <d v="2022-05-09T00:00:00"/>
    <x v="43"/>
    <n v="21"/>
    <n v="33.200000000000003"/>
    <n v="2"/>
    <x v="1"/>
    <s v="OK"/>
    <s v="OK"/>
    <x v="6"/>
  </r>
  <r>
    <d v="2022-05-10T00:00:00"/>
    <x v="15"/>
    <n v="20.2"/>
    <n v="31.5"/>
    <n v="22.9"/>
    <x v="1"/>
    <s v="OK"/>
    <s v="OK"/>
    <x v="6"/>
  </r>
  <r>
    <d v="2022-05-11T00:00:00"/>
    <x v="6"/>
    <n v="20.399999999999999"/>
    <n v="25"/>
    <n v="5.0999999999999996"/>
    <x v="1"/>
    <s v="OK"/>
    <s v="OK"/>
    <x v="6"/>
  </r>
  <r>
    <d v="2022-05-12T00:00:00"/>
    <x v="10"/>
    <n v="19.5"/>
    <n v="25"/>
    <n v="5.3"/>
    <x v="1"/>
    <s v="OK"/>
    <s v="OK"/>
    <x v="6"/>
  </r>
  <r>
    <d v="2022-05-13T00:00:00"/>
    <x v="22"/>
    <n v="20"/>
    <n v="26.3"/>
    <n v="2"/>
    <x v="1"/>
    <s v="OK"/>
    <s v="OK"/>
    <x v="6"/>
  </r>
  <r>
    <d v="2022-05-14T00:00:00"/>
    <x v="71"/>
    <n v="20.3"/>
    <n v="29.7"/>
    <n v="0"/>
    <x v="1"/>
    <s v="OK"/>
    <s v="OK"/>
    <x v="6"/>
  </r>
  <r>
    <d v="2022-05-15T00:00:00"/>
    <x v="71"/>
    <n v="20.9"/>
    <n v="29.7"/>
    <n v="21.1"/>
    <x v="1"/>
    <s v="OK"/>
    <s v="OK"/>
    <x v="6"/>
  </r>
  <r>
    <d v="2022-05-16T00:00:00"/>
    <x v="19"/>
    <n v="20.8"/>
    <n v="29.5"/>
    <n v="0.3"/>
    <x v="1"/>
    <s v="OK"/>
    <s v="OK"/>
    <x v="6"/>
  </r>
  <r>
    <d v="2022-05-17T00:00:00"/>
    <x v="23"/>
    <n v="21.1"/>
    <n v="30.1"/>
    <n v="6.4"/>
    <x v="1"/>
    <s v="OK"/>
    <s v="OK"/>
    <x v="6"/>
  </r>
  <r>
    <d v="2022-05-18T00:00:00"/>
    <x v="77"/>
    <n v="20.2"/>
    <n v="29"/>
    <n v="114.6"/>
    <x v="1"/>
    <s v="OK"/>
    <s v="OK"/>
    <x v="6"/>
  </r>
  <r>
    <d v="2022-05-19T00:00:00"/>
    <x v="90"/>
    <n v="19.399999999999999"/>
    <n v="29"/>
    <n v="0.8"/>
    <x v="1"/>
    <s v="OK"/>
    <s v="OK"/>
    <x v="6"/>
  </r>
  <r>
    <d v="2022-05-20T00:00:00"/>
    <x v="3"/>
    <n v="17.899999999999999"/>
    <n v="27"/>
    <n v="4.8"/>
    <x v="1"/>
    <s v="OK"/>
    <s v="OK"/>
    <x v="6"/>
  </r>
  <r>
    <d v="2022-05-21T00:00:00"/>
    <x v="80"/>
    <n v="18.8"/>
    <n v="27"/>
    <n v="3.8"/>
    <x v="1"/>
    <s v="OK"/>
    <s v="OK"/>
    <x v="6"/>
  </r>
  <r>
    <d v="2022-05-22T00:00:00"/>
    <x v="23"/>
    <n v="20.7"/>
    <n v="28.5"/>
    <n v="0"/>
    <x v="1"/>
    <s v="OK"/>
    <s v="OK"/>
    <x v="6"/>
  </r>
  <r>
    <d v="2022-05-23T00:00:00"/>
    <x v="79"/>
    <n v="19.899999999999999"/>
    <n v="29.6"/>
    <n v="0"/>
    <x v="1"/>
    <s v="OK"/>
    <s v="OK"/>
    <x v="6"/>
  </r>
  <r>
    <d v="2022-05-24T00:00:00"/>
    <x v="37"/>
    <n v="22.1"/>
    <n v="30.7"/>
    <n v="0"/>
    <x v="1"/>
    <s v="OK"/>
    <s v="OK"/>
    <x v="6"/>
  </r>
  <r>
    <d v="2022-05-25T00:00:00"/>
    <x v="27"/>
    <n v="20.100000000000001"/>
    <n v="30"/>
    <n v="0"/>
    <x v="1"/>
    <s v="OK"/>
    <s v="OK"/>
    <x v="6"/>
  </r>
  <r>
    <d v="2022-05-26T00:00:00"/>
    <x v="72"/>
    <n v="21.8"/>
    <n v="31.7"/>
    <n v="1.1000000000000001"/>
    <x v="1"/>
    <s v="OK"/>
    <s v="OK"/>
    <x v="6"/>
  </r>
  <r>
    <d v="2022-05-27T00:00:00"/>
    <x v="36"/>
    <n v="21.6"/>
    <n v="31.9"/>
    <n v="0"/>
    <x v="1"/>
    <s v="OK"/>
    <s v="OK"/>
    <x v="6"/>
  </r>
  <r>
    <d v="2022-05-28T00:00:00"/>
    <x v="79"/>
    <n v="19.2"/>
    <n v="30"/>
    <n v="0.3"/>
    <x v="1"/>
    <s v="OK"/>
    <s v="OK"/>
    <x v="6"/>
  </r>
  <r>
    <d v="2022-05-29T00:00:00"/>
    <x v="34"/>
    <n v="19.5"/>
    <n v="30"/>
    <n v="0"/>
    <x v="1"/>
    <s v="OK"/>
    <s v="OK"/>
    <x v="6"/>
  </r>
  <r>
    <d v="2022-05-30T00:00:00"/>
    <x v="19"/>
    <n v="19.600000000000001"/>
    <n v="29.6"/>
    <n v="12.6"/>
    <x v="1"/>
    <s v="OK"/>
    <s v="OK"/>
    <x v="6"/>
  </r>
  <r>
    <d v="2022-05-31T00:00:00"/>
    <x v="74"/>
    <n v="20.6"/>
    <n v="30.4"/>
    <n v="6.9"/>
    <x v="1"/>
    <s v="OK"/>
    <s v="OK"/>
    <x v="6"/>
  </r>
  <r>
    <d v="2022-06-01T00:00:00"/>
    <x v="71"/>
    <n v="21.2"/>
    <n v="30.4"/>
    <n v="3.3"/>
    <x v="1"/>
    <s v="OK"/>
    <s v="OK"/>
    <x v="6"/>
  </r>
  <r>
    <d v="2022-06-02T00:00:00"/>
    <x v="63"/>
    <n v="22"/>
    <n v="31"/>
    <n v="0"/>
    <x v="1"/>
    <s v="OK"/>
    <s v="OK"/>
    <x v="6"/>
  </r>
  <r>
    <d v="2022-06-03T00:00:00"/>
    <x v="74"/>
    <n v="20.2"/>
    <n v="31.2"/>
    <n v="10.7"/>
    <x v="1"/>
    <s v="OK"/>
    <s v="OK"/>
    <x v="6"/>
  </r>
  <r>
    <d v="2022-06-04T00:00:00"/>
    <x v="18"/>
    <n v="19.7"/>
    <n v="32.200000000000003"/>
    <n v="7.2"/>
    <x v="1"/>
    <s v="OK"/>
    <s v="OK"/>
    <x v="6"/>
  </r>
  <r>
    <d v="2022-06-05T00:00:00"/>
    <x v="33"/>
    <n v="20.399999999999999"/>
    <n v="31.6"/>
    <n v="17.3"/>
    <x v="1"/>
    <s v="OK"/>
    <s v="OK"/>
    <x v="6"/>
  </r>
  <r>
    <d v="2022-06-06T00:00:00"/>
    <x v="34"/>
    <n v="19.100000000000001"/>
    <n v="32.5"/>
    <n v="32"/>
    <x v="1"/>
    <s v="OK"/>
    <s v="OK"/>
    <x v="6"/>
  </r>
  <r>
    <d v="2022-06-07T00:00:00"/>
    <x v="72"/>
    <n v="21.1"/>
    <n v="30.6"/>
    <n v="0.8"/>
    <x v="1"/>
    <s v="OK"/>
    <s v="OK"/>
    <x v="6"/>
  </r>
  <r>
    <d v="2022-06-08T00:00:00"/>
    <x v="42"/>
    <n v="21.2"/>
    <n v="30.6"/>
    <n v="0"/>
    <x v="1"/>
    <s v="OK"/>
    <s v="OK"/>
    <x v="6"/>
  </r>
  <r>
    <d v="2022-06-09T00:00:00"/>
    <x v="77"/>
    <n v="19.8"/>
    <n v="29.4"/>
    <n v="1"/>
    <x v="1"/>
    <s v="OK"/>
    <s v="OK"/>
    <x v="6"/>
  </r>
  <r>
    <d v="2022-06-10T00:00:00"/>
    <x v="75"/>
    <n v="19.5"/>
    <n v="29.2"/>
    <n v="1.6"/>
    <x v="1"/>
    <s v="OK"/>
    <s v="OK"/>
    <x v="6"/>
  </r>
  <r>
    <d v="2022-06-11T00:00:00"/>
    <x v="76"/>
    <n v="19.3"/>
    <n v="29.2"/>
    <n v="2"/>
    <x v="1"/>
    <s v="OK"/>
    <s v="OK"/>
    <x v="6"/>
  </r>
  <r>
    <d v="2022-06-12T00:00:00"/>
    <x v="83"/>
    <n v="19.7"/>
    <n v="28.8"/>
    <n v="10"/>
    <x v="1"/>
    <s v="OK"/>
    <s v="OK"/>
    <x v="6"/>
  </r>
  <r>
    <d v="2022-06-13T00:00:00"/>
    <x v="76"/>
    <n v="19.2"/>
    <n v="28.9"/>
    <n v="0.1"/>
    <x v="1"/>
    <s v="OK"/>
    <s v="OK"/>
    <x v="6"/>
  </r>
  <r>
    <d v="2022-06-14T00:00:00"/>
    <x v="76"/>
    <n v="19.399999999999999"/>
    <n v="29.5"/>
    <n v="0.6"/>
    <x v="1"/>
    <s v="OK"/>
    <s v="OK"/>
    <x v="6"/>
  </r>
  <r>
    <d v="2022-06-15T00:00:00"/>
    <x v="17"/>
    <n v="20.2"/>
    <n v="31.9"/>
    <n v="31"/>
    <x v="1"/>
    <s v="OK"/>
    <s v="OK"/>
    <x v="6"/>
  </r>
  <r>
    <d v="2022-06-16T00:00:00"/>
    <x v="79"/>
    <n v="20"/>
    <n v="30.6"/>
    <n v="0"/>
    <x v="1"/>
    <s v="OK"/>
    <s v="OK"/>
    <x v="6"/>
  </r>
  <r>
    <d v="2022-06-17T00:00:00"/>
    <x v="27"/>
    <n v="19.7"/>
    <n v="30.6"/>
    <n v="38.9"/>
    <x v="1"/>
    <s v="OK"/>
    <s v="OK"/>
    <x v="6"/>
  </r>
  <r>
    <d v="2022-06-18T00:00:00"/>
    <x v="23"/>
    <n v="21.2"/>
    <n v="30.5"/>
    <n v="42.9"/>
    <x v="1"/>
    <s v="OK"/>
    <s v="OK"/>
    <x v="6"/>
  </r>
  <r>
    <d v="2022-06-19T00:00:00"/>
    <x v="18"/>
    <n v="21.1"/>
    <n v="29.5"/>
    <n v="1"/>
    <x v="1"/>
    <s v="OK"/>
    <s v="OK"/>
    <x v="6"/>
  </r>
  <r>
    <d v="2022-06-20T00:00:00"/>
    <x v="74"/>
    <n v="20.7"/>
    <n v="29.5"/>
    <n v="2"/>
    <x v="1"/>
    <s v="OK"/>
    <s v="OK"/>
    <x v="6"/>
  </r>
  <r>
    <d v="2022-06-21T00:00:00"/>
    <x v="78"/>
    <n v="19.8"/>
    <n v="27.8"/>
    <n v="15"/>
    <x v="1"/>
    <s v="OK"/>
    <s v="OK"/>
    <x v="6"/>
  </r>
  <r>
    <d v="2022-06-22T00:00:00"/>
    <x v="16"/>
    <n v="20.399999999999999"/>
    <n v="27.8"/>
    <n v="0.3"/>
    <x v="1"/>
    <s v="OK"/>
    <s v="OK"/>
    <x v="6"/>
  </r>
  <r>
    <d v="2022-06-23T00:00:00"/>
    <x v="20"/>
    <n v="20.399999999999999"/>
    <n v="26.2"/>
    <n v="0"/>
    <x v="1"/>
    <s v="OK"/>
    <s v="OK"/>
    <x v="6"/>
  </r>
  <r>
    <d v="2022-06-24T00:00:00"/>
    <x v="80"/>
    <n v="19.5"/>
    <n v="27.6"/>
    <n v="0.3"/>
    <x v="1"/>
    <s v="OK"/>
    <s v="OK"/>
    <x v="6"/>
  </r>
  <r>
    <d v="2022-06-25T00:00:00"/>
    <x v="14"/>
    <n v="19.7"/>
    <n v="27.7"/>
    <n v="4.2"/>
    <x v="1"/>
    <s v="OK"/>
    <s v="OK"/>
    <x v="6"/>
  </r>
  <r>
    <d v="2022-06-26T00:00:00"/>
    <x v="78"/>
    <n v="20.3"/>
    <n v="27.2"/>
    <n v="0.2"/>
    <x v="1"/>
    <s v="OK"/>
    <s v="OK"/>
    <x v="6"/>
  </r>
  <r>
    <d v="2022-06-27T00:00:00"/>
    <x v="17"/>
    <n v="20.100000000000001"/>
    <n v="28.3"/>
    <n v="0"/>
    <x v="1"/>
    <s v="OK"/>
    <s v="OK"/>
    <x v="6"/>
  </r>
  <r>
    <d v="2022-06-28T00:00:00"/>
    <x v="84"/>
    <n v="19.600000000000001"/>
    <n v="26.7"/>
    <n v="2.2000000000000002"/>
    <x v="1"/>
    <s v="OK"/>
    <s v="OK"/>
    <x v="6"/>
  </r>
  <r>
    <d v="2022-06-29T00:00:00"/>
    <x v="19"/>
    <n v="21.1"/>
    <n v="29.5"/>
    <n v="0"/>
    <x v="1"/>
    <s v="OK"/>
    <s v="OK"/>
    <x v="6"/>
  </r>
  <r>
    <d v="2022-06-30T00:00:00"/>
    <x v="78"/>
    <n v="20.5"/>
    <n v="29.5"/>
    <n v="5.8"/>
    <x v="1"/>
    <s v="OK"/>
    <s v="OK"/>
    <x v="6"/>
  </r>
  <r>
    <d v="2022-07-01T00:00:00"/>
    <x v="76"/>
    <n v="20.5"/>
    <n v="28.7"/>
    <n v="3.6"/>
    <x v="1"/>
    <s v="OK"/>
    <s v="OK"/>
    <x v="6"/>
  </r>
  <r>
    <d v="2022-07-02T00:00:00"/>
    <x v="74"/>
    <n v="20.9"/>
    <n v="28.7"/>
    <n v="0"/>
    <x v="1"/>
    <s v="OK"/>
    <s v="OK"/>
    <x v="6"/>
  </r>
  <r>
    <d v="2022-07-03T00:00:00"/>
    <x v="21"/>
    <n v="21.1"/>
    <n v="28.5"/>
    <n v="0"/>
    <x v="1"/>
    <s v="OK"/>
    <s v="OK"/>
    <x v="6"/>
  </r>
  <r>
    <d v="2022-07-04T00:00:00"/>
    <x v="84"/>
    <n v="20.2"/>
    <n v="27"/>
    <n v="0"/>
    <x v="1"/>
    <s v="OK"/>
    <s v="OK"/>
    <x v="6"/>
  </r>
  <r>
    <d v="2022-07-05T00:00:00"/>
    <x v="22"/>
    <n v="20.100000000000001"/>
    <n v="26.5"/>
    <n v="2"/>
    <x v="1"/>
    <s v="OK"/>
    <s v="OK"/>
    <x v="6"/>
  </r>
  <r>
    <d v="2022-07-06T00:00:00"/>
    <x v="6"/>
    <n v="20.6"/>
    <n v="26.5"/>
    <n v="0.3"/>
    <x v="1"/>
    <s v="OK"/>
    <s v="OK"/>
    <x v="6"/>
  </r>
  <r>
    <d v="2022-07-07T00:00:00"/>
    <x v="87"/>
    <n v="19.7"/>
    <n v="25"/>
    <n v="1"/>
    <x v="1"/>
    <s v="OK"/>
    <s v="OK"/>
    <x v="6"/>
  </r>
  <r>
    <d v="2022-07-08T00:00:00"/>
    <x v="87"/>
    <n v="19.7"/>
    <n v="25.5"/>
    <n v="6.1"/>
    <x v="1"/>
    <s v="OK"/>
    <s v="OK"/>
    <x v="6"/>
  </r>
  <r>
    <d v="2022-07-09T00:00:00"/>
    <x v="12"/>
    <n v="19.8"/>
    <n v="25.5"/>
    <n v="7.1"/>
    <x v="1"/>
    <s v="OK"/>
    <s v="OK"/>
    <x v="6"/>
  </r>
  <r>
    <d v="2022-07-10T00:00:00"/>
    <x v="14"/>
    <n v="20"/>
    <n v="26.2"/>
    <n v="15"/>
    <x v="1"/>
    <s v="OK"/>
    <s v="OK"/>
    <x v="6"/>
  </r>
  <r>
    <d v="2022-07-11T00:00:00"/>
    <x v="12"/>
    <n v="20.2"/>
    <n v="26.2"/>
    <n v="0.8"/>
    <x v="1"/>
    <s v="OK"/>
    <s v="OK"/>
    <x v="6"/>
  </r>
  <r>
    <d v="2022-07-12T00:00:00"/>
    <x v="78"/>
    <n v="19.8"/>
    <n v="27.5"/>
    <n v="4.5999999999999996"/>
    <x v="1"/>
    <s v="OK"/>
    <s v="OK"/>
    <x v="6"/>
  </r>
  <r>
    <d v="2022-07-13T00:00:00"/>
    <x v="1"/>
    <n v="19.7"/>
    <n v="27.5"/>
    <n v="1"/>
    <x v="1"/>
    <s v="OK"/>
    <s v="OK"/>
    <x v="6"/>
  </r>
  <r>
    <d v="2022-07-14T00:00:00"/>
    <x v="8"/>
    <n v="19.5"/>
    <n v="24.3"/>
    <n v="2"/>
    <x v="1"/>
    <s v="OK"/>
    <s v="OK"/>
    <x v="6"/>
  </r>
  <r>
    <d v="2022-07-15T00:00:00"/>
    <x v="2"/>
    <n v="19.5"/>
    <n v="25.6"/>
    <n v="2.2999999999999998"/>
    <x v="1"/>
    <s v="OK"/>
    <s v="OK"/>
    <x v="6"/>
  </r>
  <r>
    <d v="2022-07-16T00:00:00"/>
    <x v="7"/>
    <n v="20.100000000000001"/>
    <n v="25.6"/>
    <n v="0.5"/>
    <x v="1"/>
    <s v="OK"/>
    <s v="OK"/>
    <x v="6"/>
  </r>
  <r>
    <d v="2022-07-17T00:00:00"/>
    <x v="78"/>
    <n v="20.2"/>
    <n v="25.3"/>
    <n v="0"/>
    <x v="1"/>
    <s v="OK"/>
    <s v="OK"/>
    <x v="6"/>
  </r>
  <r>
    <d v="2022-07-18T00:00:00"/>
    <x v="15"/>
    <n v="20.9"/>
    <n v="27.5"/>
    <n v="0.3"/>
    <x v="1"/>
    <s v="OK"/>
    <s v="OK"/>
    <x v="6"/>
  </r>
  <r>
    <d v="2022-07-19T00:00:00"/>
    <x v="82"/>
    <n v="20.100000000000001"/>
    <n v="29.6"/>
    <n v="0.3"/>
    <x v="1"/>
    <s v="OK"/>
    <s v="OK"/>
    <x v="6"/>
  </r>
  <r>
    <d v="2022-07-20T00:00:00"/>
    <x v="72"/>
    <n v="19.8"/>
    <n v="30.8"/>
    <n v="0"/>
    <x v="1"/>
    <s v="OK"/>
    <s v="OK"/>
    <x v="6"/>
  </r>
  <r>
    <d v="2022-07-21T00:00:00"/>
    <x v="17"/>
    <n v="20.5"/>
    <n v="30.8"/>
    <n v="82.5"/>
    <x v="1"/>
    <s v="OK"/>
    <s v="OK"/>
    <x v="6"/>
  </r>
  <r>
    <d v="2022-07-22T00:00:00"/>
    <x v="78"/>
    <n v="21.1"/>
    <n v="27.9"/>
    <n v="0"/>
    <x v="1"/>
    <s v="OK"/>
    <s v="OK"/>
    <x v="6"/>
  </r>
  <r>
    <d v="2022-07-23T00:00:00"/>
    <x v="20"/>
    <n v="20.9"/>
    <n v="26.7"/>
    <n v="0"/>
    <x v="1"/>
    <s v="OK"/>
    <s v="OK"/>
    <x v="6"/>
  </r>
  <r>
    <d v="2022-07-24T00:00:00"/>
    <x v="80"/>
    <n v="20"/>
    <n v="26.7"/>
    <n v="0.3"/>
    <x v="1"/>
    <s v="OK"/>
    <s v="OK"/>
    <x v="6"/>
  </r>
  <r>
    <d v="2022-07-25T00:00:00"/>
    <x v="74"/>
    <n v="20.2"/>
    <n v="28.5"/>
    <n v="0.5"/>
    <x v="1"/>
    <s v="OK"/>
    <s v="OK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84867-26A0-49A9-84B4-F790535537B4}" name="PivotTable2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0" firstHeaderRow="0" firstDataRow="1" firstDataCol="1"/>
  <pivotFields count="9">
    <pivotField numFmtId="14" showAll="0"/>
    <pivotField dataField="1" showAll="0">
      <items count="110">
        <item x="105"/>
        <item x="106"/>
        <item x="107"/>
        <item x="104"/>
        <item x="91"/>
        <item x="85"/>
        <item x="99"/>
        <item x="108"/>
        <item x="93"/>
        <item x="92"/>
        <item x="98"/>
        <item x="11"/>
        <item x="88"/>
        <item x="90"/>
        <item x="9"/>
        <item x="86"/>
        <item x="5"/>
        <item x="0"/>
        <item x="89"/>
        <item x="8"/>
        <item x="10"/>
        <item x="87"/>
        <item x="25"/>
        <item x="1"/>
        <item x="12"/>
        <item x="3"/>
        <item x="4"/>
        <item x="7"/>
        <item x="6"/>
        <item x="26"/>
        <item x="2"/>
        <item x="14"/>
        <item x="84"/>
        <item x="15"/>
        <item x="16"/>
        <item x="80"/>
        <item x="22"/>
        <item x="83"/>
        <item x="20"/>
        <item x="78"/>
        <item x="13"/>
        <item x="24"/>
        <item x="21"/>
        <item x="76"/>
        <item x="17"/>
        <item x="23"/>
        <item x="19"/>
        <item x="75"/>
        <item x="74"/>
        <item x="18"/>
        <item x="77"/>
        <item x="33"/>
        <item x="79"/>
        <item x="27"/>
        <item x="82"/>
        <item x="34"/>
        <item x="72"/>
        <item x="73"/>
        <item x="42"/>
        <item x="71"/>
        <item x="43"/>
        <item x="81"/>
        <item x="70"/>
        <item x="38"/>
        <item x="63"/>
        <item x="32"/>
        <item x="44"/>
        <item x="28"/>
        <item x="36"/>
        <item x="37"/>
        <item x="35"/>
        <item x="69"/>
        <item x="94"/>
        <item x="41"/>
        <item x="29"/>
        <item x="30"/>
        <item x="62"/>
        <item x="39"/>
        <item x="68"/>
        <item x="31"/>
        <item x="40"/>
        <item x="47"/>
        <item x="96"/>
        <item x="66"/>
        <item x="48"/>
        <item x="56"/>
        <item x="45"/>
        <item x="46"/>
        <item x="49"/>
        <item x="95"/>
        <item x="51"/>
        <item x="100"/>
        <item x="57"/>
        <item x="50"/>
        <item x="59"/>
        <item x="52"/>
        <item x="54"/>
        <item x="97"/>
        <item x="65"/>
        <item x="53"/>
        <item x="60"/>
        <item x="55"/>
        <item x="101"/>
        <item x="64"/>
        <item x="67"/>
        <item x="61"/>
        <item x="102"/>
        <item x="58"/>
        <item x="103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8">
        <item x="1"/>
        <item x="2"/>
        <item x="3"/>
        <item x="4"/>
        <item x="5"/>
        <item x="6"/>
        <item h="1" x="0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cp" fld="4" baseField="0" baseItem="0"/>
    <dataField name="Sum of tavg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46837-6227-478C-8D49-0804C1B2869F}">
  <dimension ref="A3:C21"/>
  <sheetViews>
    <sheetView topLeftCell="A2" workbookViewId="0">
      <selection activeCell="A18" sqref="A18"/>
    </sheetView>
  </sheetViews>
  <sheetFormatPr defaultRowHeight="14.5" x14ac:dyDescent="0.35"/>
  <cols>
    <col min="1" max="1" width="12.36328125" bestFit="1" customWidth="1"/>
    <col min="2" max="2" width="10.81640625" bestFit="1" customWidth="1"/>
    <col min="3" max="3" width="10.6328125" bestFit="1" customWidth="1"/>
    <col min="4" max="4" width="10.81640625" bestFit="1" customWidth="1"/>
  </cols>
  <sheetData>
    <row r="3" spans="1:3" x14ac:dyDescent="0.35">
      <c r="A3" s="2" t="s">
        <v>16</v>
      </c>
      <c r="B3" t="s">
        <v>15</v>
      </c>
      <c r="C3" t="s">
        <v>17</v>
      </c>
    </row>
    <row r="4" spans="1:3" x14ac:dyDescent="0.35">
      <c r="A4" s="3">
        <v>2017</v>
      </c>
      <c r="B4">
        <v>1692.0999999999997</v>
      </c>
      <c r="C4">
        <v>4517.699999999998</v>
      </c>
    </row>
    <row r="5" spans="1:3" x14ac:dyDescent="0.35">
      <c r="A5" s="3">
        <v>2018</v>
      </c>
      <c r="B5">
        <v>909.09999999999957</v>
      </c>
      <c r="C5">
        <v>4318.3000000000029</v>
      </c>
    </row>
    <row r="6" spans="1:3" x14ac:dyDescent="0.35">
      <c r="A6" s="3">
        <v>2019</v>
      </c>
      <c r="B6">
        <v>879.99999999999977</v>
      </c>
      <c r="C6">
        <v>4548.3999999999987</v>
      </c>
    </row>
    <row r="7" spans="1:3" x14ac:dyDescent="0.35">
      <c r="A7" s="3">
        <v>2020</v>
      </c>
      <c r="B7">
        <v>1175.1999999999996</v>
      </c>
      <c r="C7">
        <v>4902.1999999999989</v>
      </c>
    </row>
    <row r="8" spans="1:3" x14ac:dyDescent="0.35">
      <c r="A8" s="3">
        <v>2021</v>
      </c>
      <c r="B8">
        <v>1597.2999999999986</v>
      </c>
      <c r="C8">
        <v>8460</v>
      </c>
    </row>
    <row r="9" spans="1:3" x14ac:dyDescent="0.35">
      <c r="A9" s="3">
        <v>2022</v>
      </c>
      <c r="B9">
        <v>807</v>
      </c>
      <c r="C9">
        <v>4606.8</v>
      </c>
    </row>
    <row r="10" spans="1:3" x14ac:dyDescent="0.35">
      <c r="A10" s="3" t="s">
        <v>14</v>
      </c>
      <c r="B10">
        <v>7060.6999999999971</v>
      </c>
      <c r="C10">
        <v>31353.399999999998</v>
      </c>
    </row>
    <row r="13" spans="1:3" x14ac:dyDescent="0.35">
      <c r="A13">
        <v>2023</v>
      </c>
    </row>
    <row r="14" spans="1:3" x14ac:dyDescent="0.35">
      <c r="A14" t="s">
        <v>18</v>
      </c>
      <c r="B14" t="s">
        <v>19</v>
      </c>
    </row>
    <row r="15" spans="1:3" x14ac:dyDescent="0.35">
      <c r="A15">
        <f>59.02*2023+1383.4</f>
        <v>120780.86</v>
      </c>
      <c r="B15">
        <f>377.84*2023+3903.1</f>
        <v>768273.41999999993</v>
      </c>
    </row>
    <row r="16" spans="1:3" x14ac:dyDescent="0.35">
      <c r="A16" t="s">
        <v>20</v>
      </c>
    </row>
    <row r="17" spans="1:2" x14ac:dyDescent="0.35">
      <c r="A17">
        <f>A15/36500</f>
        <v>3.3090646575342464</v>
      </c>
      <c r="B17">
        <f>B15/36500</f>
        <v>21.048586849315065</v>
      </c>
    </row>
    <row r="20" spans="1:2" x14ac:dyDescent="0.35">
      <c r="A20" t="s">
        <v>21</v>
      </c>
      <c r="B20" t="s">
        <v>21</v>
      </c>
    </row>
    <row r="21" spans="1:2" x14ac:dyDescent="0.35">
      <c r="A21">
        <v>0.192</v>
      </c>
      <c r="B21">
        <v>8.2500000000000004E-2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52654-8211-4D48-A2C6-DA88C4660679}">
  <sheetPr filterMode="1"/>
  <dimension ref="A1:Y2033"/>
  <sheetViews>
    <sheetView topLeftCell="I97" zoomScale="91" zoomScaleNormal="100" workbookViewId="0">
      <selection activeCell="M148" sqref="M148"/>
    </sheetView>
  </sheetViews>
  <sheetFormatPr defaultRowHeight="14.5" x14ac:dyDescent="0.35"/>
  <cols>
    <col min="1" max="1" width="10.08984375" bestFit="1" customWidth="1"/>
    <col min="2" max="2" width="8.7265625" style="4"/>
    <col min="5" max="5" width="8.7265625" style="4"/>
    <col min="9" max="9" width="10.08984375" style="4" bestFit="1" customWidth="1"/>
    <col min="12" max="12" width="11.81640625" bestFit="1" customWidth="1"/>
    <col min="13" max="13" width="12.1796875" bestFit="1" customWidth="1"/>
  </cols>
  <sheetData>
    <row r="1" spans="1:18" x14ac:dyDescent="0.35">
      <c r="A1" t="s">
        <v>0</v>
      </c>
      <c r="B1" s="4" t="s">
        <v>1</v>
      </c>
      <c r="C1" t="s">
        <v>2</v>
      </c>
      <c r="D1" t="s">
        <v>3</v>
      </c>
      <c r="E1" s="4" t="s">
        <v>4</v>
      </c>
      <c r="F1" t="s">
        <v>1</v>
      </c>
      <c r="G1" t="s">
        <v>2</v>
      </c>
      <c r="H1" t="s">
        <v>3</v>
      </c>
      <c r="I1" s="4" t="s">
        <v>13</v>
      </c>
      <c r="J1" t="s">
        <v>22</v>
      </c>
      <c r="R1" t="s">
        <v>23</v>
      </c>
    </row>
    <row r="2" spans="1:18" hidden="1" x14ac:dyDescent="0.35">
      <c r="A2" s="1">
        <v>42736</v>
      </c>
      <c r="B2">
        <v>21</v>
      </c>
      <c r="C2">
        <v>14.6</v>
      </c>
      <c r="D2">
        <v>27.6</v>
      </c>
      <c r="E2"/>
      <c r="I2"/>
    </row>
    <row r="3" spans="1:18" hidden="1" x14ac:dyDescent="0.35">
      <c r="A3" s="1">
        <v>42737</v>
      </c>
      <c r="B3">
        <v>21.6</v>
      </c>
      <c r="C3">
        <v>17</v>
      </c>
      <c r="D3">
        <v>27.7</v>
      </c>
      <c r="E3"/>
      <c r="I3"/>
    </row>
    <row r="4" spans="1:18" hidden="1" x14ac:dyDescent="0.35">
      <c r="A4" s="1">
        <v>42738</v>
      </c>
      <c r="B4">
        <v>22.3</v>
      </c>
      <c r="C4">
        <v>16.100000000000001</v>
      </c>
      <c r="D4">
        <v>28</v>
      </c>
      <c r="E4"/>
      <c r="I4"/>
    </row>
    <row r="5" spans="1:18" hidden="1" x14ac:dyDescent="0.35">
      <c r="A5" s="1">
        <v>42739</v>
      </c>
      <c r="B5">
        <v>21.8</v>
      </c>
      <c r="C5">
        <v>15.8</v>
      </c>
      <c r="D5">
        <v>29.5</v>
      </c>
      <c r="E5"/>
      <c r="I5"/>
    </row>
    <row r="6" spans="1:18" hidden="1" x14ac:dyDescent="0.35">
      <c r="A6" s="1">
        <v>42740</v>
      </c>
      <c r="B6">
        <v>21.9</v>
      </c>
      <c r="C6">
        <v>15.5</v>
      </c>
      <c r="D6">
        <v>29</v>
      </c>
      <c r="E6"/>
      <c r="I6"/>
    </row>
    <row r="7" spans="1:18" hidden="1" x14ac:dyDescent="0.35">
      <c r="A7" s="1">
        <v>42741</v>
      </c>
      <c r="B7">
        <v>21</v>
      </c>
      <c r="C7">
        <v>16</v>
      </c>
      <c r="D7">
        <v>28.6</v>
      </c>
      <c r="E7"/>
      <c r="I7"/>
    </row>
    <row r="8" spans="1:18" hidden="1" x14ac:dyDescent="0.35">
      <c r="A8" s="1">
        <v>42742</v>
      </c>
      <c r="B8">
        <v>20.9</v>
      </c>
      <c r="C8">
        <v>16</v>
      </c>
      <c r="D8">
        <v>29</v>
      </c>
      <c r="E8"/>
      <c r="I8"/>
    </row>
    <row r="9" spans="1:18" hidden="1" x14ac:dyDescent="0.35">
      <c r="A9" s="1">
        <v>42743</v>
      </c>
      <c r="B9">
        <v>20.9</v>
      </c>
      <c r="C9">
        <v>16</v>
      </c>
      <c r="D9">
        <v>27.8</v>
      </c>
      <c r="E9"/>
      <c r="I9"/>
    </row>
    <row r="10" spans="1:18" hidden="1" x14ac:dyDescent="0.35">
      <c r="A10" s="1">
        <v>42744</v>
      </c>
      <c r="B10">
        <v>21</v>
      </c>
      <c r="C10">
        <v>15</v>
      </c>
      <c r="D10">
        <v>28.5</v>
      </c>
      <c r="E10"/>
      <c r="I10"/>
    </row>
    <row r="11" spans="1:18" hidden="1" x14ac:dyDescent="0.35">
      <c r="A11" s="1">
        <v>42745</v>
      </c>
      <c r="B11">
        <v>22.1</v>
      </c>
      <c r="C11">
        <v>16</v>
      </c>
      <c r="D11">
        <v>28.1</v>
      </c>
      <c r="E11"/>
      <c r="I11"/>
    </row>
    <row r="12" spans="1:18" hidden="1" x14ac:dyDescent="0.35">
      <c r="A12" s="1">
        <v>42746</v>
      </c>
      <c r="B12">
        <v>22</v>
      </c>
      <c r="C12">
        <v>16.600000000000001</v>
      </c>
      <c r="D12">
        <v>29.4</v>
      </c>
      <c r="E12"/>
      <c r="I12"/>
    </row>
    <row r="13" spans="1:18" hidden="1" x14ac:dyDescent="0.35">
      <c r="A13" s="1">
        <v>42747</v>
      </c>
      <c r="B13">
        <v>21.8</v>
      </c>
      <c r="C13">
        <v>16.399999999999999</v>
      </c>
      <c r="D13">
        <v>29.2</v>
      </c>
      <c r="E13"/>
      <c r="I13"/>
    </row>
    <row r="14" spans="1:18" hidden="1" x14ac:dyDescent="0.35">
      <c r="A14" s="1">
        <v>42748</v>
      </c>
      <c r="B14">
        <v>21.2</v>
      </c>
      <c r="C14">
        <v>16.899999999999999</v>
      </c>
      <c r="D14">
        <v>28</v>
      </c>
      <c r="E14"/>
      <c r="I14"/>
    </row>
    <row r="15" spans="1:18" hidden="1" x14ac:dyDescent="0.35">
      <c r="A15" s="1">
        <v>42749</v>
      </c>
      <c r="B15">
        <v>20.7</v>
      </c>
      <c r="C15">
        <v>17.2</v>
      </c>
      <c r="D15">
        <v>28.3</v>
      </c>
      <c r="E15"/>
      <c r="I15"/>
    </row>
    <row r="16" spans="1:18" hidden="1" x14ac:dyDescent="0.35">
      <c r="A16" s="1">
        <v>42750</v>
      </c>
      <c r="B16">
        <v>20.7</v>
      </c>
      <c r="C16">
        <v>15.5</v>
      </c>
      <c r="D16">
        <v>27.2</v>
      </c>
      <c r="E16"/>
      <c r="I16"/>
    </row>
    <row r="17" spans="1:19" hidden="1" x14ac:dyDescent="0.35">
      <c r="A17" s="1">
        <v>42751</v>
      </c>
      <c r="B17">
        <v>20.9</v>
      </c>
      <c r="C17">
        <v>15.7</v>
      </c>
      <c r="D17">
        <v>27.6</v>
      </c>
      <c r="E17"/>
      <c r="I17"/>
    </row>
    <row r="18" spans="1:19" hidden="1" x14ac:dyDescent="0.35">
      <c r="A18" s="1">
        <v>42752</v>
      </c>
      <c r="B18">
        <v>21.3</v>
      </c>
      <c r="C18">
        <v>15.4</v>
      </c>
      <c r="D18">
        <v>28</v>
      </c>
      <c r="E18"/>
      <c r="I18"/>
    </row>
    <row r="19" spans="1:19" hidden="1" x14ac:dyDescent="0.35">
      <c r="A19" s="1">
        <v>42753</v>
      </c>
      <c r="B19">
        <v>20.399999999999999</v>
      </c>
      <c r="C19">
        <v>14.4</v>
      </c>
      <c r="D19">
        <v>28.9</v>
      </c>
      <c r="E19"/>
      <c r="I19"/>
    </row>
    <row r="20" spans="1:19" hidden="1" x14ac:dyDescent="0.35">
      <c r="A20" s="1">
        <v>42754</v>
      </c>
      <c r="B20">
        <v>20.399999999999999</v>
      </c>
      <c r="C20">
        <v>15.8</v>
      </c>
      <c r="D20">
        <v>28.2</v>
      </c>
      <c r="E20"/>
      <c r="I20"/>
    </row>
    <row r="21" spans="1:19" hidden="1" x14ac:dyDescent="0.35">
      <c r="A21" s="1">
        <v>42755</v>
      </c>
      <c r="B21">
        <v>21.7</v>
      </c>
      <c r="C21">
        <v>15.3</v>
      </c>
      <c r="D21">
        <v>27.6</v>
      </c>
      <c r="E21"/>
      <c r="I21"/>
    </row>
    <row r="22" spans="1:19" hidden="1" x14ac:dyDescent="0.35">
      <c r="A22" s="1">
        <v>42756</v>
      </c>
      <c r="B22">
        <v>21.6</v>
      </c>
      <c r="C22">
        <v>18.600000000000001</v>
      </c>
      <c r="D22">
        <v>28.9</v>
      </c>
      <c r="E22"/>
      <c r="I22"/>
    </row>
    <row r="23" spans="1:19" hidden="1" x14ac:dyDescent="0.35">
      <c r="A23" s="1">
        <v>42757</v>
      </c>
      <c r="B23">
        <v>23.3</v>
      </c>
      <c r="C23">
        <v>16.8</v>
      </c>
      <c r="D23">
        <v>29.1</v>
      </c>
      <c r="E23">
        <v>0</v>
      </c>
      <c r="F23" t="str">
        <f>IF(OR(B2 &lt; $N$30, B2 &gt; $N$67), "Outlier", "OK")</f>
        <v>OK</v>
      </c>
      <c r="G23" t="str">
        <f>IF(OR(C2 &lt; $O$30, C2 &gt; $O$67), "Outlier", "OK")</f>
        <v>Outlier</v>
      </c>
      <c r="H23" t="str">
        <f>IF(OR(D2 &lt; $P$30, D2 &gt; $P$67), "Outlier", "OK")</f>
        <v>OK</v>
      </c>
      <c r="I23"/>
      <c r="N23" t="s">
        <v>1</v>
      </c>
      <c r="O23" t="s">
        <v>2</v>
      </c>
      <c r="P23" t="s">
        <v>3</v>
      </c>
    </row>
    <row r="24" spans="1:19" hidden="1" x14ac:dyDescent="0.35">
      <c r="A24" s="1">
        <v>42758</v>
      </c>
      <c r="B24">
        <v>22.3</v>
      </c>
      <c r="C24">
        <v>15.9</v>
      </c>
      <c r="D24">
        <v>30.3</v>
      </c>
      <c r="E24"/>
      <c r="I24"/>
    </row>
    <row r="25" spans="1:19" hidden="1" x14ac:dyDescent="0.35">
      <c r="A25" s="1">
        <v>42759</v>
      </c>
      <c r="B25">
        <v>22.4</v>
      </c>
      <c r="C25">
        <v>16</v>
      </c>
      <c r="D25">
        <v>29.5</v>
      </c>
      <c r="E25"/>
      <c r="I25"/>
    </row>
    <row r="26" spans="1:19" hidden="1" x14ac:dyDescent="0.35">
      <c r="A26" s="1">
        <v>42760</v>
      </c>
      <c r="B26">
        <v>22.6</v>
      </c>
      <c r="C26">
        <v>16.7</v>
      </c>
      <c r="D26">
        <v>30.3</v>
      </c>
      <c r="E26"/>
      <c r="I26"/>
    </row>
    <row r="27" spans="1:19" hidden="1" x14ac:dyDescent="0.35">
      <c r="A27" s="1">
        <v>42761</v>
      </c>
      <c r="B27" s="4">
        <v>21.9</v>
      </c>
      <c r="C27">
        <v>18.3</v>
      </c>
      <c r="D27">
        <v>29.2</v>
      </c>
      <c r="E27" s="4">
        <v>0</v>
      </c>
      <c r="F27" t="str">
        <f>IF(OR(B27 &lt; $N$30, B27 &gt; $N$67), "Outlier", "OK")</f>
        <v>OK</v>
      </c>
      <c r="G27" t="str">
        <f>IF(OR(C27 &lt; $O$30, C27 &gt; $O$67), "Outlier", "OK")</f>
        <v>OK</v>
      </c>
      <c r="H27" t="str">
        <f>IF(OR(D27 &lt; $P$30, D27 &gt; $P$67), "Outlier", "OK")</f>
        <v>OK</v>
      </c>
      <c r="I27" s="4">
        <f>YEAR(A27)</f>
        <v>2017</v>
      </c>
      <c r="M27" t="s">
        <v>5</v>
      </c>
      <c r="N27">
        <f>_xlfn.QUARTILE.INC(B1:B2033, 1)</f>
        <v>22.5</v>
      </c>
      <c r="O27">
        <f>_xlfn.QUARTILE.INC(C1:C2033, 1)</f>
        <v>18.399999999999999</v>
      </c>
      <c r="P27">
        <f>_xlfn.QUARTILE.INC(D1:D2033, 1)</f>
        <v>28.1</v>
      </c>
    </row>
    <row r="28" spans="1:19" x14ac:dyDescent="0.35">
      <c r="A28" s="1">
        <v>42762</v>
      </c>
      <c r="B28" s="4">
        <v>22.1</v>
      </c>
      <c r="C28">
        <v>19.7</v>
      </c>
      <c r="D28">
        <v>26</v>
      </c>
      <c r="E28" s="4">
        <v>0.3</v>
      </c>
      <c r="F28" t="str">
        <f t="shared" ref="F28:F30" si="0">IF(OR(B28 &lt; $N$30, B28 &gt; $N$67), "Outlier", "OK")</f>
        <v>OK</v>
      </c>
      <c r="G28" t="str">
        <f t="shared" ref="G28:G30" si="1">IF(OR(C28 &lt; $O$30, C28 &gt; $O$67), "Outlier", "OK")</f>
        <v>OK</v>
      </c>
      <c r="H28" t="str">
        <f t="shared" ref="H28:H30" si="2">IF(OR(D28 &lt; $P$30, D28 &gt; $P$67), "Outlier", "OK")</f>
        <v>OK</v>
      </c>
      <c r="I28" s="4">
        <f t="shared" ref="I28:I30" si="3">YEAR(A28)</f>
        <v>2017</v>
      </c>
      <c r="J28">
        <f>( 377.84*B28 + 3903.1)/550</f>
        <v>22.278843636363636</v>
      </c>
      <c r="K28">
        <f xml:space="preserve"> (59.02*E28 + 1383.4)/365</f>
        <v>3.8386465753424659</v>
      </c>
      <c r="M28" t="s">
        <v>6</v>
      </c>
      <c r="N28">
        <f>_xlfn.QUARTILE.INC(B2:B2033,3)</f>
        <v>25.4</v>
      </c>
      <c r="O28">
        <f>_xlfn.QUARTILE.INC(C1:C2033, 3)</f>
        <v>20.9</v>
      </c>
      <c r="P28">
        <f>_xlfn.QUARTILE.INC(D1:D2033, 3)</f>
        <v>32.200000000000003</v>
      </c>
      <c r="R28" s="4">
        <f>J28-B28</f>
        <v>0.17884363636363432</v>
      </c>
      <c r="S28" s="4">
        <f>K28-E28</f>
        <v>3.5386465753424661</v>
      </c>
    </row>
    <row r="29" spans="1:19" hidden="1" x14ac:dyDescent="0.35">
      <c r="A29" s="1">
        <v>42763</v>
      </c>
      <c r="B29" s="4">
        <v>22.7</v>
      </c>
      <c r="C29">
        <v>20</v>
      </c>
      <c r="D29">
        <v>26.7</v>
      </c>
      <c r="E29" s="4">
        <v>0</v>
      </c>
      <c r="F29" t="str">
        <f t="shared" si="0"/>
        <v>OK</v>
      </c>
      <c r="G29" t="str">
        <f t="shared" si="1"/>
        <v>OK</v>
      </c>
      <c r="H29" t="str">
        <f t="shared" si="2"/>
        <v>OK</v>
      </c>
      <c r="I29" s="4">
        <f t="shared" si="3"/>
        <v>2017</v>
      </c>
      <c r="L29" t="s">
        <v>8</v>
      </c>
      <c r="M29" t="s">
        <v>7</v>
      </c>
      <c r="N29">
        <f>N28-N27</f>
        <v>2.8999999999999986</v>
      </c>
      <c r="O29">
        <f>O28-O27</f>
        <v>2.5</v>
      </c>
      <c r="P29">
        <f>P28-P27</f>
        <v>4.1000000000000014</v>
      </c>
    </row>
    <row r="30" spans="1:19" hidden="1" x14ac:dyDescent="0.35">
      <c r="A30" s="1">
        <v>42764</v>
      </c>
      <c r="B30" s="4">
        <v>23.7</v>
      </c>
      <c r="C30">
        <v>19.2</v>
      </c>
      <c r="D30">
        <v>29</v>
      </c>
      <c r="E30" s="4">
        <v>0</v>
      </c>
      <c r="F30" t="str">
        <f t="shared" si="0"/>
        <v>OK</v>
      </c>
      <c r="G30" t="str">
        <f t="shared" si="1"/>
        <v>OK</v>
      </c>
      <c r="H30" t="str">
        <f t="shared" si="2"/>
        <v>OK</v>
      </c>
      <c r="I30" s="4">
        <f t="shared" si="3"/>
        <v>2017</v>
      </c>
      <c r="L30" t="s">
        <v>11</v>
      </c>
      <c r="M30" t="s">
        <v>9</v>
      </c>
      <c r="N30">
        <f>N27-1.5*N29</f>
        <v>18.150000000000002</v>
      </c>
      <c r="O30">
        <f>O27-1.5*O29</f>
        <v>14.649999999999999</v>
      </c>
      <c r="P30">
        <f>P27-1.5*P29</f>
        <v>21.95</v>
      </c>
    </row>
    <row r="31" spans="1:19" hidden="1" x14ac:dyDescent="0.35">
      <c r="A31" s="1">
        <v>42765</v>
      </c>
      <c r="B31">
        <v>24.2</v>
      </c>
      <c r="C31">
        <v>17.899999999999999</v>
      </c>
      <c r="D31">
        <v>30</v>
      </c>
      <c r="E31"/>
      <c r="I31"/>
    </row>
    <row r="32" spans="1:19" hidden="1" x14ac:dyDescent="0.35">
      <c r="A32" s="1">
        <v>42766</v>
      </c>
      <c r="B32">
        <v>23.9</v>
      </c>
      <c r="C32">
        <v>18.2</v>
      </c>
      <c r="D32">
        <v>31.7</v>
      </c>
      <c r="E32"/>
      <c r="I32"/>
    </row>
    <row r="33" spans="1:4" customFormat="1" hidden="1" x14ac:dyDescent="0.35">
      <c r="A33" s="1">
        <v>42767</v>
      </c>
      <c r="B33">
        <v>23.1</v>
      </c>
      <c r="C33">
        <v>16</v>
      </c>
      <c r="D33">
        <v>32</v>
      </c>
    </row>
    <row r="34" spans="1:4" customFormat="1" hidden="1" x14ac:dyDescent="0.35">
      <c r="A34" s="1">
        <v>42768</v>
      </c>
      <c r="B34">
        <v>23.5</v>
      </c>
      <c r="C34">
        <v>16.399999999999999</v>
      </c>
      <c r="D34">
        <v>31.5</v>
      </c>
    </row>
    <row r="35" spans="1:4" customFormat="1" hidden="1" x14ac:dyDescent="0.35">
      <c r="A35" s="1">
        <v>42769</v>
      </c>
      <c r="B35">
        <v>22.7</v>
      </c>
      <c r="C35">
        <v>16.7</v>
      </c>
      <c r="D35">
        <v>31.7</v>
      </c>
    </row>
    <row r="36" spans="1:4" customFormat="1" hidden="1" x14ac:dyDescent="0.35">
      <c r="A36" s="1">
        <v>42770</v>
      </c>
      <c r="B36">
        <v>21.9</v>
      </c>
      <c r="C36">
        <v>16.600000000000001</v>
      </c>
      <c r="D36">
        <v>30</v>
      </c>
    </row>
    <row r="37" spans="1:4" customFormat="1" hidden="1" x14ac:dyDescent="0.35">
      <c r="A37" s="1">
        <v>42771</v>
      </c>
      <c r="B37">
        <v>22.3</v>
      </c>
      <c r="C37">
        <v>15.9</v>
      </c>
      <c r="D37">
        <v>29.3</v>
      </c>
    </row>
    <row r="38" spans="1:4" customFormat="1" hidden="1" x14ac:dyDescent="0.35">
      <c r="A38" s="1">
        <v>42772</v>
      </c>
      <c r="B38">
        <v>22.9</v>
      </c>
      <c r="C38">
        <v>16</v>
      </c>
      <c r="D38">
        <v>30.7</v>
      </c>
    </row>
    <row r="39" spans="1:4" customFormat="1" hidden="1" x14ac:dyDescent="0.35">
      <c r="A39" s="1">
        <v>42773</v>
      </c>
      <c r="B39">
        <v>23.8</v>
      </c>
      <c r="C39">
        <v>16.100000000000001</v>
      </c>
      <c r="D39">
        <v>30.9</v>
      </c>
    </row>
    <row r="40" spans="1:4" customFormat="1" hidden="1" x14ac:dyDescent="0.35">
      <c r="A40" s="1">
        <v>42774</v>
      </c>
      <c r="B40">
        <v>23.7</v>
      </c>
      <c r="C40">
        <v>16.600000000000001</v>
      </c>
      <c r="D40">
        <v>32.200000000000003</v>
      </c>
    </row>
    <row r="41" spans="1:4" customFormat="1" hidden="1" x14ac:dyDescent="0.35">
      <c r="A41" s="1">
        <v>42775</v>
      </c>
      <c r="B41">
        <v>23.4</v>
      </c>
      <c r="C41">
        <v>15.8</v>
      </c>
      <c r="D41">
        <v>32</v>
      </c>
    </row>
    <row r="42" spans="1:4" customFormat="1" hidden="1" x14ac:dyDescent="0.35">
      <c r="A42" s="1">
        <v>42776</v>
      </c>
      <c r="B42">
        <v>23.4</v>
      </c>
      <c r="C42">
        <v>15.5</v>
      </c>
      <c r="D42">
        <v>32.1</v>
      </c>
    </row>
    <row r="43" spans="1:4" customFormat="1" hidden="1" x14ac:dyDescent="0.35">
      <c r="A43" s="1">
        <v>42777</v>
      </c>
      <c r="B43">
        <v>22.7</v>
      </c>
      <c r="C43">
        <v>16.100000000000001</v>
      </c>
      <c r="D43">
        <v>32.6</v>
      </c>
    </row>
    <row r="44" spans="1:4" customFormat="1" hidden="1" x14ac:dyDescent="0.35">
      <c r="A44" s="1">
        <v>42778</v>
      </c>
      <c r="B44">
        <v>21.5</v>
      </c>
      <c r="C44">
        <v>15.2</v>
      </c>
      <c r="D44">
        <v>31</v>
      </c>
    </row>
    <row r="45" spans="1:4" customFormat="1" hidden="1" x14ac:dyDescent="0.35">
      <c r="A45" s="1">
        <v>42779</v>
      </c>
      <c r="B45">
        <v>22.1</v>
      </c>
      <c r="C45">
        <v>15.8</v>
      </c>
      <c r="D45">
        <v>29.6</v>
      </c>
    </row>
    <row r="46" spans="1:4" customFormat="1" hidden="1" x14ac:dyDescent="0.35">
      <c r="A46" s="1">
        <v>42780</v>
      </c>
      <c r="B46">
        <v>22.7</v>
      </c>
      <c r="C46">
        <v>17.399999999999999</v>
      </c>
      <c r="D46">
        <v>28.8</v>
      </c>
    </row>
    <row r="47" spans="1:4" customFormat="1" hidden="1" x14ac:dyDescent="0.35">
      <c r="A47" s="1">
        <v>42781</v>
      </c>
      <c r="B47">
        <v>23.1</v>
      </c>
      <c r="C47">
        <v>17.3</v>
      </c>
      <c r="D47">
        <v>29.8</v>
      </c>
    </row>
    <row r="48" spans="1:4" customFormat="1" hidden="1" x14ac:dyDescent="0.35">
      <c r="A48" s="1">
        <v>42782</v>
      </c>
      <c r="B48">
        <v>22.2</v>
      </c>
      <c r="C48">
        <v>16.100000000000001</v>
      </c>
      <c r="D48">
        <v>29.8</v>
      </c>
    </row>
    <row r="49" spans="1:4" customFormat="1" hidden="1" x14ac:dyDescent="0.35">
      <c r="A49" s="1">
        <v>42783</v>
      </c>
      <c r="B49">
        <v>22.2</v>
      </c>
      <c r="C49">
        <v>15.9</v>
      </c>
      <c r="D49">
        <v>29.5</v>
      </c>
    </row>
    <row r="50" spans="1:4" customFormat="1" hidden="1" x14ac:dyDescent="0.35">
      <c r="A50" s="1">
        <v>42784</v>
      </c>
      <c r="B50">
        <v>23.8</v>
      </c>
      <c r="C50">
        <v>16.399999999999999</v>
      </c>
      <c r="D50">
        <v>30.5</v>
      </c>
    </row>
    <row r="51" spans="1:4" customFormat="1" hidden="1" x14ac:dyDescent="0.35">
      <c r="A51" s="1">
        <v>42785</v>
      </c>
      <c r="B51">
        <v>23.7</v>
      </c>
      <c r="C51">
        <v>16.8</v>
      </c>
      <c r="D51">
        <v>31.2</v>
      </c>
    </row>
    <row r="52" spans="1:4" customFormat="1" hidden="1" x14ac:dyDescent="0.35">
      <c r="A52" s="1">
        <v>42786</v>
      </c>
      <c r="B52">
        <v>24.6</v>
      </c>
      <c r="C52">
        <v>17.7</v>
      </c>
      <c r="D52">
        <v>31.8</v>
      </c>
    </row>
    <row r="53" spans="1:4" customFormat="1" hidden="1" x14ac:dyDescent="0.35">
      <c r="A53" s="1">
        <v>42787</v>
      </c>
      <c r="B53">
        <v>26</v>
      </c>
      <c r="C53">
        <v>19.3</v>
      </c>
      <c r="D53">
        <v>33.4</v>
      </c>
    </row>
    <row r="54" spans="1:4" customFormat="1" hidden="1" x14ac:dyDescent="0.35">
      <c r="A54" s="1">
        <v>42788</v>
      </c>
      <c r="B54">
        <v>26.7</v>
      </c>
      <c r="C54">
        <v>19.2</v>
      </c>
      <c r="D54">
        <v>34.5</v>
      </c>
    </row>
    <row r="55" spans="1:4" customFormat="1" hidden="1" x14ac:dyDescent="0.35">
      <c r="A55" s="1">
        <v>42789</v>
      </c>
      <c r="B55">
        <v>26.8</v>
      </c>
      <c r="C55">
        <v>19.2</v>
      </c>
      <c r="D55">
        <v>35.200000000000003</v>
      </c>
    </row>
    <row r="56" spans="1:4" customFormat="1" hidden="1" x14ac:dyDescent="0.35">
      <c r="A56" s="1">
        <v>42790</v>
      </c>
      <c r="B56">
        <v>27.2</v>
      </c>
      <c r="C56">
        <v>19.7</v>
      </c>
      <c r="D56">
        <v>35</v>
      </c>
    </row>
    <row r="57" spans="1:4" customFormat="1" hidden="1" x14ac:dyDescent="0.35">
      <c r="A57" s="1">
        <v>42791</v>
      </c>
      <c r="B57">
        <v>26.7</v>
      </c>
      <c r="C57">
        <v>19</v>
      </c>
      <c r="D57">
        <v>35.5</v>
      </c>
    </row>
    <row r="58" spans="1:4" customFormat="1" hidden="1" x14ac:dyDescent="0.35">
      <c r="A58" s="1">
        <v>42792</v>
      </c>
      <c r="B58">
        <v>25.8</v>
      </c>
      <c r="C58">
        <v>20</v>
      </c>
      <c r="D58">
        <v>34.9</v>
      </c>
    </row>
    <row r="59" spans="1:4" customFormat="1" hidden="1" x14ac:dyDescent="0.35">
      <c r="A59" s="1">
        <v>42793</v>
      </c>
      <c r="B59">
        <v>24.4</v>
      </c>
      <c r="C59">
        <v>19.100000000000001</v>
      </c>
      <c r="D59">
        <v>33.299999999999997</v>
      </c>
    </row>
    <row r="60" spans="1:4" customFormat="1" hidden="1" x14ac:dyDescent="0.35">
      <c r="A60" s="1">
        <v>42794</v>
      </c>
      <c r="B60">
        <v>24.8</v>
      </c>
      <c r="C60">
        <v>17.399999999999999</v>
      </c>
      <c r="D60">
        <v>31.5</v>
      </c>
    </row>
    <row r="61" spans="1:4" customFormat="1" hidden="1" x14ac:dyDescent="0.35">
      <c r="A61" s="1">
        <v>42795</v>
      </c>
      <c r="B61">
        <v>24.2</v>
      </c>
      <c r="C61">
        <v>16.899999999999999</v>
      </c>
      <c r="D61">
        <v>32.5</v>
      </c>
    </row>
    <row r="62" spans="1:4" customFormat="1" hidden="1" x14ac:dyDescent="0.35">
      <c r="A62" s="1">
        <v>42796</v>
      </c>
      <c r="B62">
        <v>24.4</v>
      </c>
      <c r="C62">
        <v>15.7</v>
      </c>
      <c r="D62">
        <v>32</v>
      </c>
    </row>
    <row r="63" spans="1:4" customFormat="1" hidden="1" x14ac:dyDescent="0.35">
      <c r="A63" s="1">
        <v>42797</v>
      </c>
      <c r="B63">
        <v>25.8</v>
      </c>
      <c r="C63">
        <v>18.2</v>
      </c>
      <c r="D63">
        <v>32</v>
      </c>
    </row>
    <row r="64" spans="1:4" customFormat="1" hidden="1" x14ac:dyDescent="0.35">
      <c r="A64" s="1">
        <v>42798</v>
      </c>
      <c r="B64">
        <v>26.3</v>
      </c>
      <c r="C64">
        <v>20.7</v>
      </c>
      <c r="D64">
        <v>33.200000000000003</v>
      </c>
    </row>
    <row r="65" spans="1:25" hidden="1" x14ac:dyDescent="0.35">
      <c r="A65" s="1">
        <v>42799</v>
      </c>
      <c r="B65">
        <v>27.2</v>
      </c>
      <c r="C65">
        <v>21.5</v>
      </c>
      <c r="D65">
        <v>32.799999999999997</v>
      </c>
      <c r="E65"/>
      <c r="I65"/>
    </row>
    <row r="66" spans="1:25" hidden="1" x14ac:dyDescent="0.35">
      <c r="A66" s="1">
        <v>42800</v>
      </c>
      <c r="B66">
        <v>26.1</v>
      </c>
      <c r="D66">
        <v>34.5</v>
      </c>
      <c r="E66">
        <v>0</v>
      </c>
      <c r="I66"/>
    </row>
    <row r="67" spans="1:25" x14ac:dyDescent="0.35">
      <c r="A67" s="1">
        <v>42801</v>
      </c>
      <c r="B67" s="4">
        <v>26.2</v>
      </c>
      <c r="C67">
        <v>21.5</v>
      </c>
      <c r="D67">
        <v>33.1</v>
      </c>
      <c r="E67" s="4">
        <v>8.4</v>
      </c>
      <c r="F67" t="str">
        <f t="shared" ref="F67:F69" si="4">IF(OR(B67 &lt; $N$30, B67 &gt; $N$67), "Outlier", "OK")</f>
        <v>OK</v>
      </c>
      <c r="G67" t="str">
        <f t="shared" ref="G67:G69" si="5">IF(OR(C67 &lt; $O$30, C67 &gt; $O$67), "Outlier", "OK")</f>
        <v>OK</v>
      </c>
      <c r="H67" t="str">
        <f t="shared" ref="H67:H69" si="6">IF(OR(D67 &lt; $P$30, D67 &gt; $P$67), "Outlier", "OK")</f>
        <v>OK</v>
      </c>
      <c r="I67" s="4">
        <f t="shared" ref="I67:I69" si="7">YEAR(A67)</f>
        <v>2017</v>
      </c>
      <c r="J67">
        <f t="shared" ref="J67:J68" si="8">( 377.84*B67 + 3903.1)/550</f>
        <v>25.095469090909091</v>
      </c>
      <c r="K67">
        <f t="shared" ref="K67:K68" si="9" xml:space="preserve"> (59.02*E67 + 1383.4)/365</f>
        <v>5.1484054794520553</v>
      </c>
      <c r="L67" t="s">
        <v>12</v>
      </c>
      <c r="M67" t="s">
        <v>10</v>
      </c>
      <c r="N67">
        <f>N28+1.5*N29</f>
        <v>29.749999999999996</v>
      </c>
      <c r="O67">
        <f>O28+1.5*O29</f>
        <v>24.65</v>
      </c>
      <c r="P67">
        <f>P28+1.5*P29</f>
        <v>38.350000000000009</v>
      </c>
      <c r="R67" s="4">
        <f t="shared" ref="R67:R68" si="10">J67-B67</f>
        <v>-1.1045309090909079</v>
      </c>
      <c r="S67" s="4">
        <f t="shared" ref="S67:S68" si="11">K67-E67</f>
        <v>-3.2515945205479451</v>
      </c>
    </row>
    <row r="68" spans="1:25" x14ac:dyDescent="0.35">
      <c r="A68" s="1">
        <v>42802</v>
      </c>
      <c r="B68" s="4">
        <v>25.6</v>
      </c>
      <c r="C68">
        <v>21.1</v>
      </c>
      <c r="D68">
        <v>33.799999999999997</v>
      </c>
      <c r="E68" s="4">
        <v>36.799999999999997</v>
      </c>
      <c r="F68" t="str">
        <f t="shared" si="4"/>
        <v>OK</v>
      </c>
      <c r="G68" t="str">
        <f t="shared" si="5"/>
        <v>OK</v>
      </c>
      <c r="H68" t="str">
        <f t="shared" si="6"/>
        <v>OK</v>
      </c>
      <c r="I68" s="4">
        <f t="shared" si="7"/>
        <v>2017</v>
      </c>
      <c r="J68">
        <f t="shared" si="8"/>
        <v>24.68328</v>
      </c>
      <c r="K68">
        <f t="shared" si="9"/>
        <v>9.7406465753424669</v>
      </c>
      <c r="R68" s="4">
        <f t="shared" si="10"/>
        <v>-0.91672000000000153</v>
      </c>
      <c r="S68" s="4">
        <f t="shared" si="11"/>
        <v>-27.05935342465753</v>
      </c>
      <c r="V68" t="s">
        <v>6</v>
      </c>
      <c r="W68">
        <v>25.4</v>
      </c>
      <c r="X68">
        <v>20.9</v>
      </c>
      <c r="Y68">
        <v>32.200000000000003</v>
      </c>
    </row>
    <row r="69" spans="1:25" hidden="1" x14ac:dyDescent="0.35">
      <c r="A69" s="1">
        <v>42803</v>
      </c>
      <c r="B69" s="4">
        <v>26.7</v>
      </c>
      <c r="C69">
        <v>21.2</v>
      </c>
      <c r="D69">
        <v>32.1</v>
      </c>
      <c r="E69" s="4">
        <v>0</v>
      </c>
      <c r="F69" t="str">
        <f t="shared" si="4"/>
        <v>OK</v>
      </c>
      <c r="G69" t="str">
        <f t="shared" si="5"/>
        <v>OK</v>
      </c>
      <c r="H69" t="str">
        <f t="shared" si="6"/>
        <v>OK</v>
      </c>
      <c r="I69" s="4">
        <f t="shared" si="7"/>
        <v>2017</v>
      </c>
      <c r="U69" t="s">
        <v>12</v>
      </c>
      <c r="V69" t="s">
        <v>10</v>
      </c>
      <c r="W69">
        <v>29.749999999999996</v>
      </c>
      <c r="X69">
        <v>24.65</v>
      </c>
      <c r="Y69">
        <v>38.350000000000009</v>
      </c>
    </row>
    <row r="70" spans="1:25" hidden="1" x14ac:dyDescent="0.35">
      <c r="A70" s="1">
        <v>42804</v>
      </c>
      <c r="B70">
        <v>27</v>
      </c>
      <c r="C70">
        <v>21.9</v>
      </c>
      <c r="D70">
        <v>33.6</v>
      </c>
      <c r="E70"/>
      <c r="I70"/>
    </row>
    <row r="71" spans="1:25" hidden="1" x14ac:dyDescent="0.35">
      <c r="A71" s="1">
        <v>42805</v>
      </c>
      <c r="B71" s="4">
        <v>27.2</v>
      </c>
      <c r="C71">
        <v>21</v>
      </c>
      <c r="D71">
        <v>33.5</v>
      </c>
      <c r="E71" s="4">
        <v>0</v>
      </c>
      <c r="F71" t="str">
        <f>IF(OR(B71 &lt; $N$30, B71 &gt; $N$67), "Outlier", "OK")</f>
        <v>OK</v>
      </c>
      <c r="G71" t="str">
        <f>IF(OR(C71 &lt; $O$30, C71 &gt; $O$67), "Outlier", "OK")</f>
        <v>OK</v>
      </c>
      <c r="H71" t="str">
        <f>IF(OR(D71 &lt; $P$30, D71 &gt; $P$67), "Outlier", "OK")</f>
        <v>OK</v>
      </c>
      <c r="I71" s="4">
        <f>YEAR(A71)</f>
        <v>2017</v>
      </c>
    </row>
    <row r="72" spans="1:25" hidden="1" x14ac:dyDescent="0.35">
      <c r="A72" s="1">
        <v>42806</v>
      </c>
      <c r="B72">
        <v>27.3</v>
      </c>
      <c r="C72">
        <v>21</v>
      </c>
      <c r="D72">
        <v>33.700000000000003</v>
      </c>
      <c r="E72"/>
      <c r="I72"/>
    </row>
    <row r="73" spans="1:25" hidden="1" x14ac:dyDescent="0.35">
      <c r="A73" s="1">
        <v>42807</v>
      </c>
      <c r="B73">
        <v>26.6</v>
      </c>
      <c r="C73">
        <v>22.2</v>
      </c>
      <c r="D73">
        <v>34.299999999999997</v>
      </c>
      <c r="E73"/>
      <c r="I73"/>
    </row>
    <row r="74" spans="1:25" hidden="1" x14ac:dyDescent="0.35">
      <c r="A74" s="1">
        <v>42808</v>
      </c>
      <c r="B74" s="4">
        <v>25.1</v>
      </c>
      <c r="C74">
        <v>22</v>
      </c>
      <c r="D74">
        <v>34</v>
      </c>
      <c r="E74" s="4">
        <v>0</v>
      </c>
      <c r="F74" t="str">
        <f t="shared" ref="F74:F75" si="12">IF(OR(B74 &lt; $N$30, B74 &gt; $N$67), "Outlier", "OK")</f>
        <v>OK</v>
      </c>
      <c r="G74" t="str">
        <f t="shared" ref="G74:G75" si="13">IF(OR(C74 &lt; $O$30, C74 &gt; $O$67), "Outlier", "OK")</f>
        <v>OK</v>
      </c>
      <c r="H74" t="str">
        <f t="shared" ref="H74:H75" si="14">IF(OR(D74 &lt; $P$30, D74 &gt; $P$67), "Outlier", "OK")</f>
        <v>OK</v>
      </c>
      <c r="I74" s="4">
        <f t="shared" ref="I74:I75" si="15">YEAR(A74)</f>
        <v>2017</v>
      </c>
    </row>
    <row r="75" spans="1:25" hidden="1" x14ac:dyDescent="0.35">
      <c r="A75" s="1">
        <v>42809</v>
      </c>
      <c r="B75" s="4">
        <v>25.3</v>
      </c>
      <c r="C75">
        <v>20.8</v>
      </c>
      <c r="D75">
        <v>30.4</v>
      </c>
      <c r="E75" s="4">
        <v>0</v>
      </c>
      <c r="F75" t="str">
        <f t="shared" si="12"/>
        <v>OK</v>
      </c>
      <c r="G75" t="str">
        <f t="shared" si="13"/>
        <v>OK</v>
      </c>
      <c r="H75" t="str">
        <f t="shared" si="14"/>
        <v>OK</v>
      </c>
      <c r="I75" s="4">
        <f t="shared" si="15"/>
        <v>2017</v>
      </c>
    </row>
    <row r="76" spans="1:25" hidden="1" x14ac:dyDescent="0.35">
      <c r="A76" s="1">
        <v>42810</v>
      </c>
      <c r="B76">
        <v>25.9</v>
      </c>
      <c r="C76">
        <v>20.3</v>
      </c>
      <c r="D76">
        <v>31.2</v>
      </c>
      <c r="E76"/>
      <c r="I76"/>
    </row>
    <row r="77" spans="1:25" hidden="1" x14ac:dyDescent="0.35">
      <c r="A77" s="1">
        <v>42811</v>
      </c>
      <c r="B77">
        <v>27.2</v>
      </c>
      <c r="C77">
        <v>21</v>
      </c>
      <c r="D77">
        <v>32.1</v>
      </c>
      <c r="E77"/>
      <c r="I77"/>
    </row>
    <row r="78" spans="1:25" hidden="1" x14ac:dyDescent="0.35">
      <c r="A78" s="1">
        <v>42812</v>
      </c>
      <c r="B78">
        <v>27.9</v>
      </c>
      <c r="C78">
        <v>21.9</v>
      </c>
      <c r="D78">
        <v>33.799999999999997</v>
      </c>
      <c r="E78"/>
      <c r="I78"/>
    </row>
    <row r="79" spans="1:25" hidden="1" x14ac:dyDescent="0.35">
      <c r="A79" s="1">
        <v>42813</v>
      </c>
      <c r="B79">
        <v>28</v>
      </c>
      <c r="C79">
        <v>22.4</v>
      </c>
      <c r="D79">
        <v>35</v>
      </c>
      <c r="E79"/>
      <c r="I79"/>
    </row>
    <row r="80" spans="1:25" hidden="1" x14ac:dyDescent="0.35">
      <c r="A80" s="1">
        <v>42814</v>
      </c>
      <c r="B80">
        <v>28</v>
      </c>
      <c r="C80">
        <v>23.2</v>
      </c>
      <c r="D80">
        <v>36</v>
      </c>
      <c r="E80"/>
      <c r="I80"/>
    </row>
    <row r="81" spans="1:9" hidden="1" x14ac:dyDescent="0.35">
      <c r="A81" s="1">
        <v>42815</v>
      </c>
      <c r="B81">
        <v>27.4</v>
      </c>
      <c r="C81">
        <v>22.4</v>
      </c>
      <c r="D81">
        <v>34.799999999999997</v>
      </c>
      <c r="E81"/>
      <c r="I81"/>
    </row>
    <row r="82" spans="1:9" hidden="1" x14ac:dyDescent="0.35">
      <c r="A82" s="1">
        <v>42816</v>
      </c>
      <c r="B82">
        <v>27.4</v>
      </c>
      <c r="C82">
        <v>22</v>
      </c>
      <c r="D82">
        <v>33.6</v>
      </c>
      <c r="E82"/>
      <c r="I82"/>
    </row>
    <row r="83" spans="1:9" hidden="1" x14ac:dyDescent="0.35">
      <c r="A83" s="1">
        <v>42817</v>
      </c>
      <c r="B83">
        <v>27.4</v>
      </c>
      <c r="C83">
        <v>20.6</v>
      </c>
      <c r="D83">
        <v>34</v>
      </c>
      <c r="E83"/>
      <c r="I83"/>
    </row>
    <row r="84" spans="1:9" hidden="1" x14ac:dyDescent="0.35">
      <c r="A84" s="1">
        <v>42818</v>
      </c>
      <c r="B84">
        <v>27.7</v>
      </c>
      <c r="C84">
        <v>20.6</v>
      </c>
      <c r="D84">
        <v>34.700000000000003</v>
      </c>
      <c r="E84"/>
      <c r="I84"/>
    </row>
    <row r="85" spans="1:9" hidden="1" x14ac:dyDescent="0.35">
      <c r="A85" s="1">
        <v>42819</v>
      </c>
      <c r="B85">
        <v>28.1</v>
      </c>
      <c r="C85">
        <v>20.6</v>
      </c>
      <c r="D85">
        <v>35.6</v>
      </c>
      <c r="E85"/>
      <c r="I85"/>
    </row>
    <row r="86" spans="1:9" hidden="1" x14ac:dyDescent="0.35">
      <c r="A86" s="1">
        <v>42820</v>
      </c>
      <c r="B86">
        <v>28.6</v>
      </c>
      <c r="C86">
        <v>21.6</v>
      </c>
      <c r="D86">
        <v>37.200000000000003</v>
      </c>
      <c r="E86"/>
      <c r="I86"/>
    </row>
    <row r="87" spans="1:9" hidden="1" x14ac:dyDescent="0.35">
      <c r="A87" s="1">
        <v>42821</v>
      </c>
      <c r="B87">
        <v>28.3</v>
      </c>
      <c r="C87">
        <v>21.2</v>
      </c>
      <c r="D87">
        <v>36.1</v>
      </c>
      <c r="E87"/>
      <c r="I87"/>
    </row>
    <row r="88" spans="1:9" hidden="1" x14ac:dyDescent="0.35">
      <c r="A88" s="1">
        <v>42822</v>
      </c>
      <c r="B88">
        <v>28.8</v>
      </c>
      <c r="C88">
        <v>22</v>
      </c>
      <c r="D88">
        <v>35.299999999999997</v>
      </c>
      <c r="E88"/>
      <c r="I88"/>
    </row>
    <row r="89" spans="1:9" hidden="1" x14ac:dyDescent="0.35">
      <c r="A89" s="1">
        <v>42823</v>
      </c>
      <c r="B89">
        <v>28.8</v>
      </c>
      <c r="C89">
        <v>22.4</v>
      </c>
      <c r="D89">
        <v>36</v>
      </c>
      <c r="E89"/>
      <c r="I89"/>
    </row>
    <row r="90" spans="1:9" hidden="1" x14ac:dyDescent="0.35">
      <c r="A90" s="1">
        <v>42824</v>
      </c>
      <c r="B90">
        <v>28.3</v>
      </c>
      <c r="C90">
        <v>23</v>
      </c>
      <c r="D90">
        <v>35.9</v>
      </c>
      <c r="E90"/>
      <c r="I90"/>
    </row>
    <row r="91" spans="1:9" hidden="1" x14ac:dyDescent="0.35">
      <c r="A91" s="1">
        <v>42825</v>
      </c>
      <c r="B91">
        <v>29.2</v>
      </c>
      <c r="C91">
        <v>22.1</v>
      </c>
      <c r="D91">
        <v>35.4</v>
      </c>
      <c r="E91"/>
      <c r="I91"/>
    </row>
    <row r="92" spans="1:9" hidden="1" x14ac:dyDescent="0.35">
      <c r="A92" s="1">
        <v>42826</v>
      </c>
      <c r="B92">
        <v>28.6</v>
      </c>
      <c r="C92">
        <v>22.5</v>
      </c>
      <c r="D92">
        <v>35.799999999999997</v>
      </c>
      <c r="E92"/>
      <c r="I92"/>
    </row>
    <row r="93" spans="1:9" hidden="1" x14ac:dyDescent="0.35">
      <c r="A93" s="1">
        <v>42827</v>
      </c>
      <c r="B93">
        <v>28.9</v>
      </c>
      <c r="C93">
        <v>23.2</v>
      </c>
      <c r="D93">
        <v>36.299999999999997</v>
      </c>
      <c r="E93"/>
      <c r="I93"/>
    </row>
    <row r="94" spans="1:9" hidden="1" x14ac:dyDescent="0.35">
      <c r="A94" s="1">
        <v>42828</v>
      </c>
      <c r="B94">
        <v>29.4</v>
      </c>
      <c r="C94">
        <v>23.5</v>
      </c>
      <c r="D94">
        <v>35.6</v>
      </c>
      <c r="E94"/>
      <c r="I94"/>
    </row>
    <row r="95" spans="1:9" hidden="1" x14ac:dyDescent="0.35">
      <c r="A95" s="1">
        <v>42829</v>
      </c>
      <c r="B95">
        <v>29.2</v>
      </c>
      <c r="C95">
        <v>24</v>
      </c>
      <c r="D95">
        <v>35.5</v>
      </c>
      <c r="E95"/>
      <c r="I95"/>
    </row>
    <row r="96" spans="1:9" hidden="1" x14ac:dyDescent="0.35">
      <c r="A96" s="1">
        <v>42830</v>
      </c>
      <c r="B96" s="4">
        <v>27.3</v>
      </c>
      <c r="C96">
        <v>21.2</v>
      </c>
      <c r="D96">
        <v>36.1</v>
      </c>
      <c r="E96" s="4">
        <v>0</v>
      </c>
      <c r="F96" t="str">
        <f t="shared" ref="F96:F99" si="16">IF(OR(B96 &lt; $N$30, B96 &gt; $N$67), "Outlier", "OK")</f>
        <v>OK</v>
      </c>
      <c r="G96" t="str">
        <f t="shared" ref="G96:G99" si="17">IF(OR(C96 &lt; $O$30, C96 &gt; $O$67), "Outlier", "OK")</f>
        <v>OK</v>
      </c>
      <c r="H96" t="str">
        <f t="shared" ref="H96:H99" si="18">IF(OR(D96 &lt; $P$30, D96 &gt; $P$67), "Outlier", "OK")</f>
        <v>OK</v>
      </c>
      <c r="I96" s="4">
        <f t="shared" ref="I96:I99" si="19">YEAR(A96)</f>
        <v>2017</v>
      </c>
    </row>
    <row r="97" spans="1:19" x14ac:dyDescent="0.35">
      <c r="A97" s="1">
        <v>42831</v>
      </c>
      <c r="B97" s="4">
        <v>27.8</v>
      </c>
      <c r="C97">
        <v>22.4</v>
      </c>
      <c r="D97">
        <v>35.5</v>
      </c>
      <c r="E97" s="4">
        <v>3.6</v>
      </c>
      <c r="F97" t="str">
        <f t="shared" si="16"/>
        <v>OK</v>
      </c>
      <c r="G97" t="str">
        <f t="shared" si="17"/>
        <v>OK</v>
      </c>
      <c r="H97" t="str">
        <f t="shared" si="18"/>
        <v>OK</v>
      </c>
      <c r="I97" s="4">
        <f t="shared" si="19"/>
        <v>2017</v>
      </c>
      <c r="J97">
        <f t="shared" ref="J97:J98" si="20">( 377.84*B97 + 3903.1)/550</f>
        <v>26.19464</v>
      </c>
      <c r="K97">
        <f t="shared" ref="K97:K98" si="21" xml:space="preserve"> (59.02*E97 + 1383.4)/365</f>
        <v>4.3722520547945205</v>
      </c>
      <c r="R97" s="4">
        <f t="shared" ref="R97:R98" si="22">J97-B97</f>
        <v>-1.605360000000001</v>
      </c>
      <c r="S97" s="4">
        <f t="shared" ref="S97:S98" si="23">K97-E97</f>
        <v>0.77225205479452042</v>
      </c>
    </row>
    <row r="98" spans="1:19" x14ac:dyDescent="0.35">
      <c r="A98" s="1">
        <v>42832</v>
      </c>
      <c r="B98" s="4">
        <v>28.5</v>
      </c>
      <c r="C98">
        <v>22.5</v>
      </c>
      <c r="D98">
        <v>35.5</v>
      </c>
      <c r="E98" s="4">
        <v>0.5</v>
      </c>
      <c r="F98" t="str">
        <f t="shared" si="16"/>
        <v>OK</v>
      </c>
      <c r="G98" t="str">
        <f t="shared" si="17"/>
        <v>OK</v>
      </c>
      <c r="H98" t="str">
        <f t="shared" si="18"/>
        <v>OK</v>
      </c>
      <c r="I98" s="4">
        <f t="shared" si="19"/>
        <v>2017</v>
      </c>
      <c r="J98">
        <f t="shared" si="20"/>
        <v>26.675527272727273</v>
      </c>
      <c r="K98">
        <f t="shared" si="21"/>
        <v>3.8709863013698631</v>
      </c>
      <c r="R98" s="4">
        <f t="shared" si="22"/>
        <v>-1.8244727272727275</v>
      </c>
      <c r="S98" s="4">
        <f t="shared" si="23"/>
        <v>3.3709863013698631</v>
      </c>
    </row>
    <row r="99" spans="1:19" hidden="1" x14ac:dyDescent="0.35">
      <c r="A99" s="1">
        <v>42833</v>
      </c>
      <c r="B99">
        <v>30.1</v>
      </c>
      <c r="C99">
        <v>24.5</v>
      </c>
      <c r="D99">
        <v>35.6</v>
      </c>
      <c r="E99">
        <v>0</v>
      </c>
      <c r="F99" t="str">
        <f t="shared" si="16"/>
        <v>Outlier</v>
      </c>
      <c r="G99" t="str">
        <f t="shared" si="17"/>
        <v>OK</v>
      </c>
      <c r="H99" t="str">
        <f t="shared" si="18"/>
        <v>OK</v>
      </c>
      <c r="I99">
        <f t="shared" si="19"/>
        <v>2017</v>
      </c>
    </row>
    <row r="100" spans="1:19" hidden="1" x14ac:dyDescent="0.35">
      <c r="A100" s="1">
        <v>42834</v>
      </c>
      <c r="B100">
        <v>29.4</v>
      </c>
      <c r="C100">
        <v>24.4</v>
      </c>
      <c r="D100">
        <v>36.5</v>
      </c>
      <c r="E100"/>
      <c r="I100"/>
    </row>
    <row r="101" spans="1:19" hidden="1" x14ac:dyDescent="0.35">
      <c r="A101" s="1">
        <v>42835</v>
      </c>
      <c r="B101">
        <v>28.7</v>
      </c>
      <c r="C101">
        <v>23.4</v>
      </c>
      <c r="D101">
        <v>36</v>
      </c>
      <c r="E101"/>
      <c r="I101"/>
    </row>
    <row r="102" spans="1:19" hidden="1" x14ac:dyDescent="0.35">
      <c r="A102" s="1">
        <v>42836</v>
      </c>
      <c r="B102">
        <v>29.3</v>
      </c>
      <c r="C102">
        <v>23.5</v>
      </c>
      <c r="D102">
        <v>35.6</v>
      </c>
      <c r="E102"/>
      <c r="I102"/>
    </row>
    <row r="103" spans="1:19" hidden="1" x14ac:dyDescent="0.35">
      <c r="A103" s="1">
        <v>42837</v>
      </c>
      <c r="B103">
        <v>29.8</v>
      </c>
      <c r="C103">
        <v>24</v>
      </c>
      <c r="D103">
        <v>36</v>
      </c>
      <c r="E103"/>
      <c r="I103"/>
    </row>
    <row r="104" spans="1:19" hidden="1" x14ac:dyDescent="0.35">
      <c r="A104" s="1">
        <v>42838</v>
      </c>
      <c r="B104">
        <v>29.3</v>
      </c>
      <c r="C104">
        <v>24</v>
      </c>
      <c r="D104">
        <v>37</v>
      </c>
      <c r="E104"/>
      <c r="I104"/>
    </row>
    <row r="105" spans="1:19" hidden="1" x14ac:dyDescent="0.35">
      <c r="A105" s="1">
        <v>42839</v>
      </c>
      <c r="B105">
        <v>28.8</v>
      </c>
      <c r="C105">
        <v>23.2</v>
      </c>
      <c r="D105">
        <v>36.5</v>
      </c>
      <c r="E105"/>
      <c r="I105"/>
    </row>
    <row r="106" spans="1:19" hidden="1" x14ac:dyDescent="0.35">
      <c r="A106" s="1">
        <v>42840</v>
      </c>
      <c r="B106">
        <v>28.9</v>
      </c>
      <c r="C106">
        <v>22.6</v>
      </c>
      <c r="D106">
        <v>35.6</v>
      </c>
      <c r="E106"/>
      <c r="I106"/>
    </row>
    <row r="107" spans="1:19" hidden="1" x14ac:dyDescent="0.35">
      <c r="A107" s="1">
        <v>42841</v>
      </c>
      <c r="B107">
        <v>26.9</v>
      </c>
      <c r="C107">
        <v>23.2</v>
      </c>
      <c r="D107">
        <v>36.799999999999997</v>
      </c>
      <c r="E107"/>
      <c r="I107"/>
    </row>
    <row r="108" spans="1:19" x14ac:dyDescent="0.35">
      <c r="A108" s="1">
        <v>42842</v>
      </c>
      <c r="B108" s="4">
        <v>25.7</v>
      </c>
      <c r="C108">
        <v>22.2</v>
      </c>
      <c r="D108">
        <v>36.200000000000003</v>
      </c>
      <c r="E108" s="4">
        <v>0.5</v>
      </c>
      <c r="F108" t="str">
        <f t="shared" ref="F108:F113" si="24">IF(OR(B108 &lt; $N$30, B108 &gt; $N$67), "Outlier", "OK")</f>
        <v>OK</v>
      </c>
      <c r="G108" t="str">
        <f t="shared" ref="G108:G113" si="25">IF(OR(C108 &lt; $O$30, C108 &gt; $O$67), "Outlier", "OK")</f>
        <v>OK</v>
      </c>
      <c r="H108" t="str">
        <f t="shared" ref="H108:H113" si="26">IF(OR(D108 &lt; $P$30, D108 &gt; $P$67), "Outlier", "OK")</f>
        <v>OK</v>
      </c>
      <c r="I108" s="4">
        <f t="shared" ref="I108:I113" si="27">YEAR(A108)</f>
        <v>2017</v>
      </c>
      <c r="J108">
        <f t="shared" ref="J108:J109" si="28">( 377.84*B108 + 3903.1)/550</f>
        <v>24.751978181818181</v>
      </c>
      <c r="K108">
        <f t="shared" ref="K108:K109" si="29" xml:space="preserve"> (59.02*E108 + 1383.4)/365</f>
        <v>3.8709863013698631</v>
      </c>
      <c r="R108" s="4">
        <f t="shared" ref="R108:R109" si="30">J108-B108</f>
        <v>-0.94802181818181808</v>
      </c>
      <c r="S108" s="4">
        <f t="shared" ref="S108:S109" si="31">K108-E108</f>
        <v>3.3709863013698631</v>
      </c>
    </row>
    <row r="109" spans="1:19" x14ac:dyDescent="0.35">
      <c r="A109" s="1">
        <v>42843</v>
      </c>
      <c r="B109" s="4">
        <v>28.5</v>
      </c>
      <c r="C109">
        <v>20.6</v>
      </c>
      <c r="D109">
        <v>35</v>
      </c>
      <c r="E109" s="4">
        <v>15</v>
      </c>
      <c r="F109" t="str">
        <f t="shared" si="24"/>
        <v>OK</v>
      </c>
      <c r="G109" t="str">
        <f t="shared" si="25"/>
        <v>OK</v>
      </c>
      <c r="H109" t="str">
        <f t="shared" si="26"/>
        <v>OK</v>
      </c>
      <c r="I109" s="4">
        <f t="shared" si="27"/>
        <v>2017</v>
      </c>
      <c r="J109">
        <f t="shared" si="28"/>
        <v>26.675527272727273</v>
      </c>
      <c r="K109">
        <f t="shared" si="29"/>
        <v>6.2156164383561654</v>
      </c>
      <c r="R109" s="4">
        <f t="shared" si="30"/>
        <v>-1.8244727272727275</v>
      </c>
      <c r="S109" s="4">
        <f t="shared" si="31"/>
        <v>-8.7843835616438355</v>
      </c>
    </row>
    <row r="110" spans="1:19" hidden="1" x14ac:dyDescent="0.35">
      <c r="A110" s="1">
        <v>42844</v>
      </c>
      <c r="B110" s="4">
        <v>28.9</v>
      </c>
      <c r="C110">
        <v>23.5</v>
      </c>
      <c r="D110">
        <v>35.6</v>
      </c>
      <c r="E110" s="4">
        <v>0</v>
      </c>
      <c r="F110" t="str">
        <f t="shared" si="24"/>
        <v>OK</v>
      </c>
      <c r="G110" t="str">
        <f t="shared" si="25"/>
        <v>OK</v>
      </c>
      <c r="H110" t="str">
        <f t="shared" si="26"/>
        <v>OK</v>
      </c>
      <c r="I110" s="4">
        <f t="shared" si="27"/>
        <v>2017</v>
      </c>
    </row>
    <row r="111" spans="1:19" x14ac:dyDescent="0.35">
      <c r="A111" s="1">
        <v>42845</v>
      </c>
      <c r="B111" s="4">
        <v>26.6</v>
      </c>
      <c r="C111">
        <v>22.8</v>
      </c>
      <c r="D111">
        <v>35.700000000000003</v>
      </c>
      <c r="E111" s="4">
        <v>0.3</v>
      </c>
      <c r="F111" t="str">
        <f t="shared" si="24"/>
        <v>OK</v>
      </c>
      <c r="G111" t="str">
        <f t="shared" si="25"/>
        <v>OK</v>
      </c>
      <c r="H111" t="str">
        <f t="shared" si="26"/>
        <v>OK</v>
      </c>
      <c r="I111" s="4">
        <f t="shared" si="27"/>
        <v>2017</v>
      </c>
      <c r="J111">
        <f t="shared" ref="J111:J112" si="32">( 377.84*B111 + 3903.1)/550</f>
        <v>25.37026181818182</v>
      </c>
      <c r="K111">
        <f t="shared" ref="K111:K112" si="33" xml:space="preserve"> (59.02*E111 + 1383.4)/365</f>
        <v>3.8386465753424659</v>
      </c>
      <c r="R111" s="4">
        <f t="shared" ref="R111:R112" si="34">J111-B111</f>
        <v>-1.2297381818181812</v>
      </c>
      <c r="S111" s="4">
        <f t="shared" ref="S111:S112" si="35">K111-E111</f>
        <v>3.5386465753424661</v>
      </c>
    </row>
    <row r="112" spans="1:19" x14ac:dyDescent="0.35">
      <c r="A112" s="1">
        <v>42846</v>
      </c>
      <c r="B112" s="4">
        <v>26.8</v>
      </c>
      <c r="C112">
        <v>21.7</v>
      </c>
      <c r="D112">
        <v>35.200000000000003</v>
      </c>
      <c r="E112" s="4">
        <v>1</v>
      </c>
      <c r="F112" t="str">
        <f t="shared" si="24"/>
        <v>OK</v>
      </c>
      <c r="G112" t="str">
        <f t="shared" si="25"/>
        <v>OK</v>
      </c>
      <c r="H112" t="str">
        <f t="shared" si="26"/>
        <v>OK</v>
      </c>
      <c r="I112" s="4">
        <f t="shared" si="27"/>
        <v>2017</v>
      </c>
      <c r="J112">
        <f t="shared" si="32"/>
        <v>25.507658181818179</v>
      </c>
      <c r="K112">
        <f t="shared" si="33"/>
        <v>3.9518356164383563</v>
      </c>
      <c r="R112" s="4">
        <f t="shared" si="34"/>
        <v>-1.2923418181818214</v>
      </c>
      <c r="S112" s="4">
        <f t="shared" si="35"/>
        <v>2.9518356164383563</v>
      </c>
    </row>
    <row r="113" spans="1:19" hidden="1" x14ac:dyDescent="0.35">
      <c r="A113" s="1">
        <v>42847</v>
      </c>
      <c r="B113" s="4">
        <v>28.6</v>
      </c>
      <c r="C113">
        <v>22.8</v>
      </c>
      <c r="D113">
        <v>34.799999999999997</v>
      </c>
      <c r="E113" s="4">
        <v>0</v>
      </c>
      <c r="F113" t="str">
        <f t="shared" si="24"/>
        <v>OK</v>
      </c>
      <c r="G113" t="str">
        <f t="shared" si="25"/>
        <v>OK</v>
      </c>
      <c r="H113" t="str">
        <f t="shared" si="26"/>
        <v>OK</v>
      </c>
      <c r="I113" s="4">
        <f t="shared" si="27"/>
        <v>2017</v>
      </c>
    </row>
    <row r="114" spans="1:19" hidden="1" x14ac:dyDescent="0.35">
      <c r="A114" s="1">
        <v>42848</v>
      </c>
      <c r="B114">
        <v>29.2</v>
      </c>
      <c r="C114">
        <v>23.6</v>
      </c>
      <c r="D114">
        <v>35.6</v>
      </c>
      <c r="E114"/>
      <c r="I114"/>
    </row>
    <row r="115" spans="1:19" hidden="1" x14ac:dyDescent="0.35">
      <c r="A115" s="1">
        <v>42849</v>
      </c>
      <c r="B115">
        <v>29.6</v>
      </c>
      <c r="C115">
        <v>22.9</v>
      </c>
      <c r="D115">
        <v>36.4</v>
      </c>
      <c r="E115"/>
      <c r="I115"/>
    </row>
    <row r="116" spans="1:19" hidden="1" x14ac:dyDescent="0.35">
      <c r="A116" s="1">
        <v>42850</v>
      </c>
      <c r="B116">
        <v>27.4</v>
      </c>
      <c r="C116">
        <v>22.7</v>
      </c>
      <c r="D116">
        <v>37</v>
      </c>
      <c r="E116"/>
      <c r="I116"/>
    </row>
    <row r="117" spans="1:19" x14ac:dyDescent="0.35">
      <c r="A117" s="1">
        <v>42851</v>
      </c>
      <c r="B117" s="4">
        <v>28.7</v>
      </c>
      <c r="C117">
        <v>22.5</v>
      </c>
      <c r="D117">
        <v>37</v>
      </c>
      <c r="E117" s="4">
        <v>1</v>
      </c>
      <c r="F117" t="str">
        <f t="shared" ref="F117:F118" si="36">IF(OR(B117 &lt; $N$30, B117 &gt; $N$67), "Outlier", "OK")</f>
        <v>OK</v>
      </c>
      <c r="G117" t="str">
        <f t="shared" ref="G117:G118" si="37">IF(OR(C117 &lt; $O$30, C117 &gt; $O$67), "Outlier", "OK")</f>
        <v>OK</v>
      </c>
      <c r="H117" t="str">
        <f t="shared" ref="H117:H118" si="38">IF(OR(D117 &lt; $P$30, D117 &gt; $P$67), "Outlier", "OK")</f>
        <v>OK</v>
      </c>
      <c r="I117" s="4">
        <f t="shared" ref="I117:I118" si="39">YEAR(A117)</f>
        <v>2017</v>
      </c>
      <c r="J117">
        <f>( 377.84*B117 + 3903.1)/550</f>
        <v>26.812923636363635</v>
      </c>
      <c r="K117">
        <f xml:space="preserve"> (59.02*E117 + 1383.4)/365</f>
        <v>3.9518356164383563</v>
      </c>
      <c r="R117" s="4">
        <f>J117-B117</f>
        <v>-1.8870763636363641</v>
      </c>
      <c r="S117" s="4">
        <f>K117-E117</f>
        <v>2.9518356164383563</v>
      </c>
    </row>
    <row r="118" spans="1:19" hidden="1" x14ac:dyDescent="0.35">
      <c r="A118" s="1">
        <v>42852</v>
      </c>
      <c r="B118" s="4">
        <v>29.1</v>
      </c>
      <c r="C118">
        <v>24</v>
      </c>
      <c r="D118">
        <v>35.6</v>
      </c>
      <c r="E118" s="4">
        <v>0</v>
      </c>
      <c r="F118" t="str">
        <f t="shared" si="36"/>
        <v>OK</v>
      </c>
      <c r="G118" t="str">
        <f t="shared" si="37"/>
        <v>OK</v>
      </c>
      <c r="H118" t="str">
        <f t="shared" si="38"/>
        <v>OK</v>
      </c>
      <c r="I118" s="4">
        <f t="shared" si="39"/>
        <v>2017</v>
      </c>
    </row>
    <row r="119" spans="1:19" hidden="1" x14ac:dyDescent="0.35">
      <c r="A119" s="1">
        <v>42853</v>
      </c>
      <c r="B119">
        <v>28.6</v>
      </c>
      <c r="C119">
        <v>22.3</v>
      </c>
      <c r="D119">
        <v>35.9</v>
      </c>
      <c r="E119"/>
      <c r="I119"/>
    </row>
    <row r="120" spans="1:19" hidden="1" x14ac:dyDescent="0.35">
      <c r="A120" s="1">
        <v>42854</v>
      </c>
      <c r="B120">
        <v>25.6</v>
      </c>
      <c r="C120">
        <v>21.8</v>
      </c>
      <c r="D120">
        <v>35.299999999999997</v>
      </c>
      <c r="E120">
        <v>1.3</v>
      </c>
      <c r="F120" t="str">
        <f t="shared" ref="F120:F124" si="40">IF(OR(B99 &lt; $N$30, B99 &gt; $N$67), "Outlier", "OK")</f>
        <v>Outlier</v>
      </c>
      <c r="G120" t="str">
        <f t="shared" ref="G120:G124" si="41">IF(OR(C99 &lt; $O$30, C99 &gt; $O$67), "Outlier", "OK")</f>
        <v>OK</v>
      </c>
      <c r="H120" t="str">
        <f t="shared" ref="H120:H124" si="42">IF(OR(D99 &lt; $P$30, D99 &gt; $P$67), "Outlier", "OK")</f>
        <v>OK</v>
      </c>
      <c r="I120"/>
    </row>
    <row r="121" spans="1:19" x14ac:dyDescent="0.35">
      <c r="A121" s="1">
        <v>42855</v>
      </c>
      <c r="B121" s="4">
        <v>28.3</v>
      </c>
      <c r="C121">
        <v>20.100000000000001</v>
      </c>
      <c r="D121">
        <v>35.6</v>
      </c>
      <c r="E121" s="4">
        <v>6.1</v>
      </c>
      <c r="F121" t="str">
        <f t="shared" ref="F121:F123" si="43">IF(OR(B121 &lt; $N$30, B121 &gt; $N$67), "Outlier", "OK")</f>
        <v>OK</v>
      </c>
      <c r="G121" t="str">
        <f t="shared" ref="G121:G123" si="44">IF(OR(C121 &lt; $O$30, C121 &gt; $O$67), "Outlier", "OK")</f>
        <v>OK</v>
      </c>
      <c r="H121" t="str">
        <f t="shared" ref="H121:H123" si="45">IF(OR(D121 &lt; $P$30, D121 &gt; $P$67), "Outlier", "OK")</f>
        <v>OK</v>
      </c>
      <c r="I121" s="4">
        <f t="shared" ref="I121:I123" si="46">YEAR(A121)</f>
        <v>2017</v>
      </c>
      <c r="J121">
        <f t="shared" ref="J121:J122" si="47">( 377.84*B121 + 3903.1)/550</f>
        <v>26.53813090909091</v>
      </c>
      <c r="K121">
        <f t="shared" ref="K121:K122" si="48" xml:space="preserve"> (59.02*E121 + 1383.4)/365</f>
        <v>4.7764986301369863</v>
      </c>
      <c r="R121" s="4">
        <f t="shared" ref="R121:R122" si="49">J121-B121</f>
        <v>-1.7618690909090908</v>
      </c>
      <c r="S121" s="4">
        <f t="shared" ref="S121:S122" si="50">K121-E121</f>
        <v>-1.3235013698630134</v>
      </c>
    </row>
    <row r="122" spans="1:19" x14ac:dyDescent="0.35">
      <c r="A122" s="1">
        <v>42856</v>
      </c>
      <c r="B122" s="4">
        <v>26.8</v>
      </c>
      <c r="C122">
        <v>20.5</v>
      </c>
      <c r="D122">
        <v>35.6</v>
      </c>
      <c r="E122" s="4">
        <v>1</v>
      </c>
      <c r="F122" t="str">
        <f t="shared" si="43"/>
        <v>OK</v>
      </c>
      <c r="G122" t="str">
        <f t="shared" si="44"/>
        <v>OK</v>
      </c>
      <c r="H122" t="str">
        <f t="shared" si="45"/>
        <v>OK</v>
      </c>
      <c r="I122" s="4">
        <f t="shared" si="46"/>
        <v>2017</v>
      </c>
      <c r="J122">
        <f t="shared" si="47"/>
        <v>25.507658181818179</v>
      </c>
      <c r="K122">
        <f t="shared" si="48"/>
        <v>3.9518356164383563</v>
      </c>
      <c r="R122" s="4">
        <f t="shared" si="49"/>
        <v>-1.2923418181818214</v>
      </c>
      <c r="S122" s="4">
        <f t="shared" si="50"/>
        <v>2.9518356164383563</v>
      </c>
    </row>
    <row r="123" spans="1:19" hidden="1" x14ac:dyDescent="0.35">
      <c r="A123" s="1">
        <v>42857</v>
      </c>
      <c r="B123" s="4">
        <v>27.6</v>
      </c>
      <c r="C123">
        <v>22.3</v>
      </c>
      <c r="D123">
        <v>35.1</v>
      </c>
      <c r="E123" s="4">
        <v>0</v>
      </c>
      <c r="F123" t="str">
        <f t="shared" si="43"/>
        <v>OK</v>
      </c>
      <c r="G123" t="str">
        <f t="shared" si="44"/>
        <v>OK</v>
      </c>
      <c r="H123" t="str">
        <f t="shared" si="45"/>
        <v>OK</v>
      </c>
      <c r="I123" s="4">
        <f t="shared" si="46"/>
        <v>2017</v>
      </c>
    </row>
    <row r="124" spans="1:19" hidden="1" x14ac:dyDescent="0.35">
      <c r="A124" s="1">
        <v>42858</v>
      </c>
      <c r="B124">
        <v>28.1</v>
      </c>
      <c r="C124">
        <v>23.3</v>
      </c>
      <c r="D124">
        <v>34.200000000000003</v>
      </c>
      <c r="E124">
        <v>0</v>
      </c>
      <c r="F124" t="str">
        <f t="shared" si="40"/>
        <v>Outlier</v>
      </c>
      <c r="G124" t="str">
        <f t="shared" si="41"/>
        <v>OK</v>
      </c>
      <c r="H124" t="str">
        <f t="shared" si="42"/>
        <v>OK</v>
      </c>
      <c r="I124"/>
    </row>
    <row r="125" spans="1:19" hidden="1" x14ac:dyDescent="0.35">
      <c r="A125" s="1">
        <v>42859</v>
      </c>
      <c r="B125">
        <v>28.7</v>
      </c>
      <c r="C125">
        <v>23.4</v>
      </c>
      <c r="D125">
        <v>34.299999999999997</v>
      </c>
      <c r="E125"/>
      <c r="I125"/>
    </row>
    <row r="126" spans="1:19" hidden="1" x14ac:dyDescent="0.35">
      <c r="A126" s="1">
        <v>42860</v>
      </c>
      <c r="B126">
        <v>29.7</v>
      </c>
      <c r="C126">
        <v>24.4</v>
      </c>
      <c r="D126">
        <v>35.9</v>
      </c>
      <c r="E126"/>
      <c r="I126"/>
    </row>
    <row r="127" spans="1:19" hidden="1" x14ac:dyDescent="0.35">
      <c r="A127" s="1">
        <v>42861</v>
      </c>
      <c r="B127">
        <v>28.9</v>
      </c>
      <c r="C127">
        <v>24.2</v>
      </c>
      <c r="D127">
        <v>36</v>
      </c>
      <c r="E127"/>
      <c r="I127"/>
    </row>
    <row r="128" spans="1:19" hidden="1" x14ac:dyDescent="0.35">
      <c r="A128" s="1">
        <v>42862</v>
      </c>
      <c r="B128" s="4">
        <v>27.3</v>
      </c>
      <c r="C128">
        <v>20.9</v>
      </c>
      <c r="D128">
        <v>35.799999999999997</v>
      </c>
      <c r="E128" s="4">
        <v>0</v>
      </c>
      <c r="F128" t="str">
        <f t="shared" ref="F128:F134" si="51">IF(OR(B128 &lt; $N$30, B128 &gt; $N$67), "Outlier", "OK")</f>
        <v>OK</v>
      </c>
      <c r="G128" t="str">
        <f t="shared" ref="G128:G134" si="52">IF(OR(C128 &lt; $O$30, C128 &gt; $O$67), "Outlier", "OK")</f>
        <v>OK</v>
      </c>
      <c r="H128" t="str">
        <f t="shared" ref="H128:H134" si="53">IF(OR(D128 &lt; $P$30, D128 &gt; $P$67), "Outlier", "OK")</f>
        <v>OK</v>
      </c>
      <c r="I128" s="4">
        <f t="shared" ref="I128:I134" si="54">YEAR(A128)</f>
        <v>2017</v>
      </c>
    </row>
    <row r="129" spans="1:19" x14ac:dyDescent="0.35">
      <c r="A129" s="1">
        <v>42863</v>
      </c>
      <c r="B129" s="4">
        <v>26.9</v>
      </c>
      <c r="C129">
        <v>20.8</v>
      </c>
      <c r="D129">
        <v>37</v>
      </c>
      <c r="E129" s="4">
        <v>1</v>
      </c>
      <c r="F129" t="str">
        <f t="shared" si="51"/>
        <v>OK</v>
      </c>
      <c r="G129" t="str">
        <f t="shared" si="52"/>
        <v>OK</v>
      </c>
      <c r="H129" t="str">
        <f t="shared" si="53"/>
        <v>OK</v>
      </c>
      <c r="I129" s="4">
        <f t="shared" si="54"/>
        <v>2017</v>
      </c>
      <c r="J129">
        <f>( 377.84*B129 + 3903.1)/550</f>
        <v>25.576356363636361</v>
      </c>
      <c r="K129">
        <f xml:space="preserve"> (59.02*E129 + 1383.4)/365</f>
        <v>3.9518356164383563</v>
      </c>
      <c r="R129" s="4">
        <f>J129-B129</f>
        <v>-1.3236436363636379</v>
      </c>
      <c r="S129" s="4">
        <f>K129-E129</f>
        <v>2.9518356164383563</v>
      </c>
    </row>
    <row r="130" spans="1:19" hidden="1" x14ac:dyDescent="0.35">
      <c r="A130" s="1">
        <v>42864</v>
      </c>
      <c r="B130" s="4">
        <v>26</v>
      </c>
      <c r="C130">
        <v>21.9</v>
      </c>
      <c r="D130">
        <v>33.200000000000003</v>
      </c>
      <c r="E130" s="4">
        <v>0</v>
      </c>
      <c r="F130" t="str">
        <f t="shared" si="51"/>
        <v>OK</v>
      </c>
      <c r="G130" t="str">
        <f t="shared" si="52"/>
        <v>OK</v>
      </c>
      <c r="H130" t="str">
        <f t="shared" si="53"/>
        <v>OK</v>
      </c>
      <c r="I130" s="4">
        <f t="shared" si="54"/>
        <v>2017</v>
      </c>
    </row>
    <row r="131" spans="1:19" hidden="1" x14ac:dyDescent="0.35">
      <c r="A131" s="1">
        <v>42865</v>
      </c>
      <c r="B131" s="4">
        <v>27</v>
      </c>
      <c r="C131">
        <v>21.5</v>
      </c>
      <c r="D131">
        <v>33.200000000000003</v>
      </c>
      <c r="E131" s="4">
        <v>0</v>
      </c>
      <c r="F131" t="str">
        <f t="shared" si="51"/>
        <v>OK</v>
      </c>
      <c r="G131" t="str">
        <f t="shared" si="52"/>
        <v>OK</v>
      </c>
      <c r="H131" t="str">
        <f t="shared" si="53"/>
        <v>OK</v>
      </c>
      <c r="I131" s="4">
        <f t="shared" si="54"/>
        <v>2017</v>
      </c>
    </row>
    <row r="132" spans="1:19" hidden="1" x14ac:dyDescent="0.35">
      <c r="A132" s="1">
        <v>42866</v>
      </c>
      <c r="B132" s="4">
        <v>26.9</v>
      </c>
      <c r="C132">
        <v>22</v>
      </c>
      <c r="D132">
        <v>34.4</v>
      </c>
      <c r="E132" s="4">
        <v>0</v>
      </c>
      <c r="F132" t="str">
        <f t="shared" si="51"/>
        <v>OK</v>
      </c>
      <c r="G132" t="str">
        <f t="shared" si="52"/>
        <v>OK</v>
      </c>
      <c r="H132" t="str">
        <f t="shared" si="53"/>
        <v>OK</v>
      </c>
      <c r="I132" s="4">
        <f t="shared" si="54"/>
        <v>2017</v>
      </c>
    </row>
    <row r="133" spans="1:19" x14ac:dyDescent="0.35">
      <c r="A133" s="1">
        <v>42867</v>
      </c>
      <c r="B133" s="4">
        <v>27.6</v>
      </c>
      <c r="C133">
        <v>23</v>
      </c>
      <c r="D133">
        <v>32.5</v>
      </c>
      <c r="E133" s="4">
        <v>1.8</v>
      </c>
      <c r="F133" t="str">
        <f t="shared" si="51"/>
        <v>OK</v>
      </c>
      <c r="G133" t="str">
        <f t="shared" si="52"/>
        <v>OK</v>
      </c>
      <c r="H133" t="str">
        <f t="shared" si="53"/>
        <v>OK</v>
      </c>
      <c r="I133" s="4">
        <f t="shared" si="54"/>
        <v>2017</v>
      </c>
      <c r="J133">
        <f>( 377.84*B133 + 3903.1)/550</f>
        <v>26.057243636363637</v>
      </c>
      <c r="K133">
        <f xml:space="preserve"> (59.02*E133 + 1383.4)/365</f>
        <v>4.0811945205479461</v>
      </c>
      <c r="R133" s="4">
        <f>J133-B133</f>
        <v>-1.5427563636363644</v>
      </c>
      <c r="S133" s="4">
        <f>K133-E133</f>
        <v>2.2811945205479462</v>
      </c>
    </row>
    <row r="134" spans="1:19" hidden="1" x14ac:dyDescent="0.35">
      <c r="A134" s="1">
        <v>42868</v>
      </c>
      <c r="B134" s="4">
        <v>28.1</v>
      </c>
      <c r="C134">
        <v>23.8</v>
      </c>
      <c r="D134">
        <v>33</v>
      </c>
      <c r="E134" s="4">
        <v>0</v>
      </c>
      <c r="F134" t="str">
        <f t="shared" si="51"/>
        <v>OK</v>
      </c>
      <c r="G134" t="str">
        <f t="shared" si="52"/>
        <v>OK</v>
      </c>
      <c r="H134" t="str">
        <f t="shared" si="53"/>
        <v>OK</v>
      </c>
      <c r="I134" s="4">
        <f t="shared" si="54"/>
        <v>2017</v>
      </c>
    </row>
    <row r="135" spans="1:19" hidden="1" x14ac:dyDescent="0.35">
      <c r="A135" s="1">
        <v>42869</v>
      </c>
      <c r="B135">
        <v>27</v>
      </c>
      <c r="C135">
        <v>22.8</v>
      </c>
      <c r="D135">
        <v>33.799999999999997</v>
      </c>
      <c r="E135"/>
      <c r="I135"/>
    </row>
    <row r="136" spans="1:19" x14ac:dyDescent="0.35">
      <c r="A136" s="1">
        <v>42870</v>
      </c>
      <c r="B136" s="4">
        <v>27.1</v>
      </c>
      <c r="C136">
        <v>21.8</v>
      </c>
      <c r="D136">
        <v>35</v>
      </c>
      <c r="E136" s="4">
        <v>2.5</v>
      </c>
      <c r="F136" t="str">
        <f t="shared" ref="F136:F137" si="55">IF(OR(B136 &lt; $N$30, B136 &gt; $N$67), "Outlier", "OK")</f>
        <v>OK</v>
      </c>
      <c r="G136" t="str">
        <f t="shared" ref="G136:G137" si="56">IF(OR(C136 &lt; $O$30, C136 &gt; $O$67), "Outlier", "OK")</f>
        <v>OK</v>
      </c>
      <c r="H136" t="str">
        <f t="shared" ref="H136:H137" si="57">IF(OR(D136 &lt; $P$30, D136 &gt; $P$67), "Outlier", "OK")</f>
        <v>OK</v>
      </c>
      <c r="I136" s="4">
        <f t="shared" ref="I136:I137" si="58">YEAR(A136)</f>
        <v>2017</v>
      </c>
      <c r="J136">
        <f>( 377.84*B136 + 3903.1)/550</f>
        <v>25.713752727272727</v>
      </c>
      <c r="K136">
        <f xml:space="preserve"> (59.02*E136 + 1383.4)/365</f>
        <v>4.1943835616438356</v>
      </c>
      <c r="R136" s="4">
        <f>J136-B136</f>
        <v>-1.3862472727272745</v>
      </c>
      <c r="S136" s="4">
        <f>K136-E136</f>
        <v>1.6943835616438356</v>
      </c>
    </row>
    <row r="137" spans="1:19" hidden="1" x14ac:dyDescent="0.35">
      <c r="A137" s="1">
        <v>42871</v>
      </c>
      <c r="B137" s="4">
        <v>29.2</v>
      </c>
      <c r="C137">
        <v>23.5</v>
      </c>
      <c r="D137">
        <v>34.799999999999997</v>
      </c>
      <c r="E137" s="4">
        <v>0</v>
      </c>
      <c r="F137" t="str">
        <f t="shared" si="55"/>
        <v>OK</v>
      </c>
      <c r="G137" t="str">
        <f t="shared" si="56"/>
        <v>OK</v>
      </c>
      <c r="H137" t="str">
        <f t="shared" si="57"/>
        <v>OK</v>
      </c>
      <c r="I137" s="4">
        <f t="shared" si="58"/>
        <v>2017</v>
      </c>
    </row>
    <row r="138" spans="1:19" hidden="1" x14ac:dyDescent="0.35">
      <c r="A138" s="1">
        <v>42872</v>
      </c>
      <c r="B138">
        <v>27.6</v>
      </c>
      <c r="C138">
        <v>22.6</v>
      </c>
      <c r="D138">
        <v>36.4</v>
      </c>
      <c r="E138"/>
      <c r="I138"/>
    </row>
    <row r="139" spans="1:19" x14ac:dyDescent="0.35">
      <c r="A139" s="1">
        <v>42873</v>
      </c>
      <c r="B139" s="4">
        <v>26</v>
      </c>
      <c r="C139">
        <v>19.8</v>
      </c>
      <c r="D139">
        <v>34.5</v>
      </c>
      <c r="E139" s="4">
        <v>9.9</v>
      </c>
      <c r="F139" t="str">
        <f t="shared" ref="F139:F150" si="59">IF(OR(B139 &lt; $N$30, B139 &gt; $N$67), "Outlier", "OK")</f>
        <v>OK</v>
      </c>
      <c r="G139" t="str">
        <f t="shared" ref="G139:G150" si="60">IF(OR(C139 &lt; $O$30, C139 &gt; $O$67), "Outlier", "OK")</f>
        <v>OK</v>
      </c>
      <c r="H139" t="str">
        <f t="shared" ref="H139:H150" si="61">IF(OR(D139 &lt; $P$30, D139 &gt; $P$67), "Outlier", "OK")</f>
        <v>OK</v>
      </c>
      <c r="I139" s="4">
        <f t="shared" ref="I139:I150" si="62">YEAR(A139)</f>
        <v>2017</v>
      </c>
      <c r="J139">
        <f t="shared" ref="J139:J140" si="63">( 377.84*B139 + 3903.1)/550</f>
        <v>24.958072727272729</v>
      </c>
      <c r="K139">
        <f t="shared" ref="K139:K140" si="64" xml:space="preserve"> (59.02*E139 + 1383.4)/365</f>
        <v>5.3909534246575346</v>
      </c>
      <c r="R139" s="4">
        <f t="shared" ref="R139:R140" si="65">J139-B139</f>
        <v>-1.0419272727272713</v>
      </c>
      <c r="S139" s="4">
        <f t="shared" ref="S139:S140" si="66">K139-E139</f>
        <v>-4.5090465753424658</v>
      </c>
    </row>
    <row r="140" spans="1:19" x14ac:dyDescent="0.35">
      <c r="A140" s="1">
        <v>42874</v>
      </c>
      <c r="B140" s="4">
        <v>26.2</v>
      </c>
      <c r="C140">
        <v>19.399999999999999</v>
      </c>
      <c r="D140">
        <v>35.5</v>
      </c>
      <c r="E140" s="4">
        <v>20.100000000000001</v>
      </c>
      <c r="F140" t="str">
        <f t="shared" si="59"/>
        <v>OK</v>
      </c>
      <c r="G140" t="str">
        <f t="shared" si="60"/>
        <v>OK</v>
      </c>
      <c r="H140" t="str">
        <f t="shared" si="61"/>
        <v>OK</v>
      </c>
      <c r="I140" s="4">
        <f t="shared" si="62"/>
        <v>2017</v>
      </c>
      <c r="J140">
        <f t="shared" si="63"/>
        <v>25.095469090909091</v>
      </c>
      <c r="K140">
        <f t="shared" si="64"/>
        <v>7.0402794520547953</v>
      </c>
      <c r="R140" s="4">
        <f t="shared" si="65"/>
        <v>-1.1045309090909079</v>
      </c>
      <c r="S140" s="4">
        <f t="shared" si="66"/>
        <v>-13.059720547945206</v>
      </c>
    </row>
    <row r="141" spans="1:19" hidden="1" x14ac:dyDescent="0.35">
      <c r="A141" s="1">
        <v>42875</v>
      </c>
      <c r="B141" s="4">
        <v>26.8</v>
      </c>
      <c r="C141">
        <v>20.9</v>
      </c>
      <c r="D141">
        <v>34.4</v>
      </c>
      <c r="E141" s="4">
        <v>0</v>
      </c>
      <c r="F141" t="str">
        <f t="shared" si="59"/>
        <v>OK</v>
      </c>
      <c r="G141" t="str">
        <f t="shared" si="60"/>
        <v>OK</v>
      </c>
      <c r="H141" t="str">
        <f t="shared" si="61"/>
        <v>OK</v>
      </c>
      <c r="I141" s="4">
        <f t="shared" si="62"/>
        <v>2017</v>
      </c>
    </row>
    <row r="142" spans="1:19" x14ac:dyDescent="0.35">
      <c r="A142" s="1">
        <v>42876</v>
      </c>
      <c r="B142" s="4">
        <v>26.1</v>
      </c>
      <c r="C142">
        <v>19.899999999999999</v>
      </c>
      <c r="D142">
        <v>35.1</v>
      </c>
      <c r="E142" s="4">
        <v>40.9</v>
      </c>
      <c r="F142" t="str">
        <f t="shared" si="59"/>
        <v>OK</v>
      </c>
      <c r="G142" t="str">
        <f t="shared" si="60"/>
        <v>OK</v>
      </c>
      <c r="H142" t="str">
        <f t="shared" si="61"/>
        <v>OK</v>
      </c>
      <c r="I142" s="4">
        <f t="shared" si="62"/>
        <v>2017</v>
      </c>
      <c r="J142">
        <f>( 377.84*B142 + 3903.1)/550</f>
        <v>25.02677090909091</v>
      </c>
      <c r="K142">
        <f xml:space="preserve"> (59.02*E142 + 1383.4)/365</f>
        <v>10.40361095890411</v>
      </c>
      <c r="R142" s="4">
        <f>J142-B142</f>
        <v>-1.0732290909090914</v>
      </c>
      <c r="S142" s="4">
        <f>K142-E142</f>
        <v>-30.496389041095888</v>
      </c>
    </row>
    <row r="143" spans="1:19" hidden="1" x14ac:dyDescent="0.35">
      <c r="A143" s="1">
        <v>42877</v>
      </c>
      <c r="B143" s="4">
        <v>25.7</v>
      </c>
      <c r="C143">
        <v>23.2</v>
      </c>
      <c r="D143">
        <v>32</v>
      </c>
      <c r="E143" s="4">
        <v>0</v>
      </c>
      <c r="F143" t="str">
        <f t="shared" si="59"/>
        <v>OK</v>
      </c>
      <c r="G143" t="str">
        <f t="shared" si="60"/>
        <v>OK</v>
      </c>
      <c r="H143" t="str">
        <f t="shared" si="61"/>
        <v>OK</v>
      </c>
      <c r="I143" s="4">
        <f t="shared" si="62"/>
        <v>2017</v>
      </c>
    </row>
    <row r="144" spans="1:19" x14ac:dyDescent="0.35">
      <c r="A144" s="1">
        <v>42878</v>
      </c>
      <c r="B144" s="4">
        <v>26.7</v>
      </c>
      <c r="C144">
        <v>19.399999999999999</v>
      </c>
      <c r="D144">
        <v>32.9</v>
      </c>
      <c r="E144" s="4">
        <v>28.7</v>
      </c>
      <c r="F144" t="str">
        <f t="shared" si="59"/>
        <v>OK</v>
      </c>
      <c r="G144" t="str">
        <f t="shared" si="60"/>
        <v>OK</v>
      </c>
      <c r="H144" t="str">
        <f t="shared" si="61"/>
        <v>OK</v>
      </c>
      <c r="I144" s="4">
        <f t="shared" si="62"/>
        <v>2017</v>
      </c>
      <c r="J144">
        <f t="shared" ref="J144:J145" si="67">( 377.84*B144 + 3903.1)/550</f>
        <v>25.438959999999998</v>
      </c>
      <c r="K144">
        <f t="shared" ref="K144:K145" si="68" xml:space="preserve"> (59.02*E144 + 1383.4)/365</f>
        <v>8.4308876712328775</v>
      </c>
      <c r="R144" s="4">
        <f t="shared" ref="R144:R145" si="69">J144-B144</f>
        <v>-1.2610400000000013</v>
      </c>
      <c r="S144" s="4">
        <f t="shared" ref="S144:S145" si="70">K144-E144</f>
        <v>-20.269112328767122</v>
      </c>
    </row>
    <row r="145" spans="1:19" x14ac:dyDescent="0.35">
      <c r="A145" s="1">
        <v>42879</v>
      </c>
      <c r="B145" s="4">
        <v>26.4</v>
      </c>
      <c r="C145">
        <v>20.5</v>
      </c>
      <c r="D145">
        <v>33.5</v>
      </c>
      <c r="E145" s="4">
        <v>13</v>
      </c>
      <c r="F145" t="str">
        <f t="shared" si="59"/>
        <v>OK</v>
      </c>
      <c r="G145" t="str">
        <f t="shared" si="60"/>
        <v>OK</v>
      </c>
      <c r="H145" t="str">
        <f t="shared" si="61"/>
        <v>OK</v>
      </c>
      <c r="I145" s="4">
        <f t="shared" si="62"/>
        <v>2017</v>
      </c>
      <c r="J145">
        <f t="shared" si="67"/>
        <v>25.232865454545454</v>
      </c>
      <c r="K145">
        <f t="shared" si="68"/>
        <v>5.8922191780821915</v>
      </c>
      <c r="R145" s="4">
        <f t="shared" si="69"/>
        <v>-1.1671345454545445</v>
      </c>
      <c r="S145" s="4">
        <f t="shared" si="70"/>
        <v>-7.1077808219178085</v>
      </c>
    </row>
    <row r="146" spans="1:19" hidden="1" x14ac:dyDescent="0.35">
      <c r="A146" s="1">
        <v>42880</v>
      </c>
      <c r="B146" s="4">
        <v>27.6</v>
      </c>
      <c r="C146">
        <v>21.9</v>
      </c>
      <c r="D146">
        <v>34</v>
      </c>
      <c r="E146" s="4">
        <v>0</v>
      </c>
      <c r="F146" t="str">
        <f t="shared" si="59"/>
        <v>OK</v>
      </c>
      <c r="G146" t="str">
        <f t="shared" si="60"/>
        <v>OK</v>
      </c>
      <c r="H146" t="str">
        <f t="shared" si="61"/>
        <v>OK</v>
      </c>
      <c r="I146" s="4">
        <f t="shared" si="62"/>
        <v>2017</v>
      </c>
    </row>
    <row r="147" spans="1:19" hidden="1" x14ac:dyDescent="0.35">
      <c r="A147" s="1">
        <v>42881</v>
      </c>
      <c r="B147" s="4">
        <v>26.2</v>
      </c>
      <c r="C147">
        <v>20.9</v>
      </c>
      <c r="D147">
        <v>33.299999999999997</v>
      </c>
      <c r="E147" s="4">
        <v>0</v>
      </c>
      <c r="F147" t="str">
        <f t="shared" si="59"/>
        <v>OK</v>
      </c>
      <c r="G147" t="str">
        <f t="shared" si="60"/>
        <v>OK</v>
      </c>
      <c r="H147" t="str">
        <f t="shared" si="61"/>
        <v>OK</v>
      </c>
      <c r="I147" s="4">
        <f t="shared" si="62"/>
        <v>2017</v>
      </c>
    </row>
    <row r="148" spans="1:19" x14ac:dyDescent="0.35">
      <c r="A148" s="1">
        <v>42882</v>
      </c>
      <c r="B148" s="4">
        <v>23.1</v>
      </c>
      <c r="C148">
        <v>20</v>
      </c>
      <c r="D148">
        <v>33.1</v>
      </c>
      <c r="E148" s="4">
        <v>83.3</v>
      </c>
      <c r="F148" t="str">
        <f t="shared" si="59"/>
        <v>OK</v>
      </c>
      <c r="G148" t="str">
        <f t="shared" si="60"/>
        <v>OK</v>
      </c>
      <c r="H148" t="str">
        <f t="shared" si="61"/>
        <v>OK</v>
      </c>
      <c r="I148" s="4">
        <f t="shared" si="62"/>
        <v>2017</v>
      </c>
      <c r="J148">
        <f t="shared" ref="J148:J149" si="71">( 377.84*B148 + 3903.1)/550</f>
        <v>22.965825454545453</v>
      </c>
      <c r="K148">
        <f t="shared" ref="K148:K149" si="72" xml:space="preserve"> (59.02*E148 + 1383.4)/365</f>
        <v>17.259632876712327</v>
      </c>
      <c r="R148" s="4">
        <f t="shared" ref="R148:R149" si="73">J148-B148</f>
        <v>-0.13417454545454888</v>
      </c>
      <c r="S148" s="4">
        <f t="shared" ref="S148:S149" si="74">K148-E148</f>
        <v>-66.040367123287666</v>
      </c>
    </row>
    <row r="149" spans="1:19" x14ac:dyDescent="0.35">
      <c r="A149" s="1">
        <v>42883</v>
      </c>
      <c r="B149" s="4">
        <v>24.8</v>
      </c>
      <c r="C149">
        <v>20</v>
      </c>
      <c r="D149">
        <v>30</v>
      </c>
      <c r="E149" s="4">
        <v>39.9</v>
      </c>
      <c r="F149" t="str">
        <f t="shared" si="59"/>
        <v>OK</v>
      </c>
      <c r="G149" t="str">
        <f t="shared" si="60"/>
        <v>OK</v>
      </c>
      <c r="H149" t="str">
        <f t="shared" si="61"/>
        <v>OK</v>
      </c>
      <c r="I149" s="4">
        <f t="shared" si="62"/>
        <v>2017</v>
      </c>
      <c r="J149">
        <f t="shared" si="71"/>
        <v>24.133694545454546</v>
      </c>
      <c r="K149">
        <f t="shared" si="72"/>
        <v>10.241912328767125</v>
      </c>
      <c r="R149" s="4">
        <f t="shared" si="73"/>
        <v>-0.66630545454545498</v>
      </c>
      <c r="S149" s="4">
        <f t="shared" si="74"/>
        <v>-29.658087671232874</v>
      </c>
    </row>
    <row r="150" spans="1:19" hidden="1" x14ac:dyDescent="0.35">
      <c r="A150" s="1">
        <v>42884</v>
      </c>
      <c r="B150" s="4">
        <v>25.5</v>
      </c>
      <c r="C150">
        <v>21.3</v>
      </c>
      <c r="D150">
        <v>29.7</v>
      </c>
      <c r="E150" s="4">
        <v>0</v>
      </c>
      <c r="F150" t="str">
        <f t="shared" si="59"/>
        <v>OK</v>
      </c>
      <c r="G150" t="str">
        <f t="shared" si="60"/>
        <v>OK</v>
      </c>
      <c r="H150" t="str">
        <f t="shared" si="61"/>
        <v>OK</v>
      </c>
      <c r="I150" s="4">
        <f t="shared" si="62"/>
        <v>2017</v>
      </c>
    </row>
    <row r="151" spans="1:19" hidden="1" x14ac:dyDescent="0.35">
      <c r="A151" s="1">
        <v>42885</v>
      </c>
      <c r="B151">
        <v>25.2</v>
      </c>
      <c r="C151">
        <v>21.4</v>
      </c>
      <c r="D151">
        <v>30.4</v>
      </c>
      <c r="E151"/>
      <c r="I151"/>
    </row>
    <row r="152" spans="1:19" hidden="1" x14ac:dyDescent="0.35">
      <c r="A152" s="1">
        <v>42886</v>
      </c>
      <c r="B152" s="4">
        <v>24.9</v>
      </c>
      <c r="C152">
        <v>20.8</v>
      </c>
      <c r="D152">
        <v>31.2</v>
      </c>
      <c r="E152" s="4">
        <v>0</v>
      </c>
      <c r="F152" t="str">
        <f>IF(OR(B152 &lt; $N$30, B152 &gt; $N$67), "Outlier", "OK")</f>
        <v>OK</v>
      </c>
      <c r="G152" t="str">
        <f>IF(OR(C152 &lt; $O$30, C152 &gt; $O$67), "Outlier", "OK")</f>
        <v>OK</v>
      </c>
      <c r="H152" t="str">
        <f>IF(OR(D152 &lt; $P$30, D152 &gt; $P$67), "Outlier", "OK")</f>
        <v>OK</v>
      </c>
      <c r="I152" s="4">
        <f>YEAR(A152)</f>
        <v>2017</v>
      </c>
    </row>
    <row r="153" spans="1:19" hidden="1" x14ac:dyDescent="0.35">
      <c r="A153" s="1">
        <v>42887</v>
      </c>
      <c r="B153">
        <v>26.1</v>
      </c>
      <c r="C153">
        <v>20.8</v>
      </c>
      <c r="D153">
        <v>30.8</v>
      </c>
      <c r="E153"/>
      <c r="I153"/>
    </row>
    <row r="154" spans="1:19" hidden="1" x14ac:dyDescent="0.35">
      <c r="A154" s="1">
        <v>42888</v>
      </c>
      <c r="B154">
        <v>26.3</v>
      </c>
      <c r="C154">
        <v>21.8</v>
      </c>
      <c r="D154">
        <v>32.1</v>
      </c>
      <c r="E154"/>
      <c r="I154"/>
    </row>
    <row r="155" spans="1:19" hidden="1" x14ac:dyDescent="0.35">
      <c r="A155" s="1">
        <v>42889</v>
      </c>
      <c r="B155">
        <v>25.7</v>
      </c>
      <c r="C155">
        <v>20.9</v>
      </c>
      <c r="D155">
        <v>32.4</v>
      </c>
      <c r="E155"/>
      <c r="I155"/>
    </row>
    <row r="156" spans="1:19" hidden="1" x14ac:dyDescent="0.35">
      <c r="A156" s="1">
        <v>42890</v>
      </c>
      <c r="B156">
        <v>26.2</v>
      </c>
      <c r="C156">
        <v>20.7</v>
      </c>
      <c r="D156">
        <v>32.200000000000003</v>
      </c>
      <c r="E156"/>
      <c r="I156"/>
    </row>
    <row r="157" spans="1:19" hidden="1" x14ac:dyDescent="0.35">
      <c r="A157" s="1">
        <v>42891</v>
      </c>
      <c r="B157">
        <v>26.1</v>
      </c>
      <c r="C157">
        <v>21.7</v>
      </c>
      <c r="D157">
        <v>32</v>
      </c>
      <c r="E157"/>
      <c r="I157"/>
    </row>
    <row r="158" spans="1:19" hidden="1" x14ac:dyDescent="0.35">
      <c r="A158" s="1">
        <v>42892</v>
      </c>
      <c r="B158" s="4">
        <v>25.8</v>
      </c>
      <c r="C158">
        <v>21.8</v>
      </c>
      <c r="D158">
        <v>32</v>
      </c>
      <c r="E158" s="4">
        <v>0</v>
      </c>
      <c r="F158" t="str">
        <f t="shared" ref="F158:F167" si="75">IF(OR(B158 &lt; $N$30, B158 &gt; $N$67), "Outlier", "OK")</f>
        <v>OK</v>
      </c>
      <c r="G158" t="str">
        <f t="shared" ref="G158:G167" si="76">IF(OR(C158 &lt; $O$30, C158 &gt; $O$67), "Outlier", "OK")</f>
        <v>OK</v>
      </c>
      <c r="H158" t="str">
        <f t="shared" ref="H158:H167" si="77">IF(OR(D158 &lt; $P$30, D158 &gt; $P$67), "Outlier", "OK")</f>
        <v>OK</v>
      </c>
      <c r="I158" s="4">
        <f t="shared" ref="I158:I167" si="78">YEAR(A158)</f>
        <v>2017</v>
      </c>
    </row>
    <row r="159" spans="1:19" hidden="1" x14ac:dyDescent="0.35">
      <c r="A159" s="1">
        <v>42893</v>
      </c>
      <c r="B159" s="4">
        <v>23.9</v>
      </c>
      <c r="C159">
        <v>21.7</v>
      </c>
      <c r="D159">
        <v>31.2</v>
      </c>
      <c r="E159" s="4">
        <v>0</v>
      </c>
      <c r="F159" t="str">
        <f t="shared" si="75"/>
        <v>OK</v>
      </c>
      <c r="G159" t="str">
        <f t="shared" si="76"/>
        <v>OK</v>
      </c>
      <c r="H159" t="str">
        <f t="shared" si="77"/>
        <v>OK</v>
      </c>
      <c r="I159" s="4">
        <f t="shared" si="78"/>
        <v>2017</v>
      </c>
    </row>
    <row r="160" spans="1:19" x14ac:dyDescent="0.35">
      <c r="A160" s="1">
        <v>42894</v>
      </c>
      <c r="B160" s="4">
        <v>25</v>
      </c>
      <c r="C160">
        <v>21.5</v>
      </c>
      <c r="D160">
        <v>28.9</v>
      </c>
      <c r="E160" s="4">
        <v>0.8</v>
      </c>
      <c r="F160" t="str">
        <f t="shared" si="75"/>
        <v>OK</v>
      </c>
      <c r="G160" t="str">
        <f t="shared" si="76"/>
        <v>OK</v>
      </c>
      <c r="H160" t="str">
        <f t="shared" si="77"/>
        <v>OK</v>
      </c>
      <c r="I160" s="4">
        <f t="shared" si="78"/>
        <v>2017</v>
      </c>
      <c r="J160">
        <f>( 377.84*B160 + 3903.1)/550</f>
        <v>24.271090909090908</v>
      </c>
      <c r="K160">
        <f xml:space="preserve"> (59.02*E160 + 1383.4)/365</f>
        <v>3.9194958904109587</v>
      </c>
      <c r="R160" s="4">
        <f>J160-B160</f>
        <v>-0.72890909090909162</v>
      </c>
      <c r="S160" s="4">
        <f>K160-E160</f>
        <v>3.1194958904109589</v>
      </c>
    </row>
    <row r="161" spans="1:19" hidden="1" x14ac:dyDescent="0.35">
      <c r="A161" s="1">
        <v>42895</v>
      </c>
      <c r="B161" s="4">
        <v>23.3</v>
      </c>
      <c r="C161">
        <v>21.1</v>
      </c>
      <c r="D161">
        <v>29.6</v>
      </c>
      <c r="E161" s="4">
        <v>0</v>
      </c>
      <c r="F161" t="str">
        <f t="shared" si="75"/>
        <v>OK</v>
      </c>
      <c r="G161" t="str">
        <f t="shared" si="76"/>
        <v>OK</v>
      </c>
      <c r="H161" t="str">
        <f t="shared" si="77"/>
        <v>OK</v>
      </c>
      <c r="I161" s="4">
        <f t="shared" si="78"/>
        <v>2017</v>
      </c>
    </row>
    <row r="162" spans="1:19" x14ac:dyDescent="0.35">
      <c r="A162" s="1">
        <v>42896</v>
      </c>
      <c r="B162" s="4">
        <v>23.9</v>
      </c>
      <c r="C162">
        <v>20.7</v>
      </c>
      <c r="D162">
        <v>28.1</v>
      </c>
      <c r="E162" s="4">
        <v>8.6</v>
      </c>
      <c r="F162" t="str">
        <f t="shared" si="75"/>
        <v>OK</v>
      </c>
      <c r="G162" t="str">
        <f t="shared" si="76"/>
        <v>OK</v>
      </c>
      <c r="H162" t="str">
        <f t="shared" si="77"/>
        <v>OK</v>
      </c>
      <c r="I162" s="4">
        <f t="shared" si="78"/>
        <v>2017</v>
      </c>
      <c r="J162">
        <f>( 377.84*B162 + 3903.1)/550</f>
        <v>23.515410909090907</v>
      </c>
      <c r="K162">
        <f xml:space="preserve"> (59.02*E162 + 1383.4)/365</f>
        <v>5.1807452054794529</v>
      </c>
      <c r="R162" s="4">
        <f>J162-B162</f>
        <v>-0.38458909090909188</v>
      </c>
      <c r="S162" s="4">
        <f>K162-E162</f>
        <v>-3.4192547945205467</v>
      </c>
    </row>
    <row r="163" spans="1:19" hidden="1" x14ac:dyDescent="0.35">
      <c r="A163" s="1">
        <v>42897</v>
      </c>
      <c r="B163" s="4">
        <v>23.4</v>
      </c>
      <c r="C163">
        <v>20.8</v>
      </c>
      <c r="D163">
        <v>27.9</v>
      </c>
      <c r="E163" s="4">
        <v>0</v>
      </c>
      <c r="F163" t="str">
        <f t="shared" si="75"/>
        <v>OK</v>
      </c>
      <c r="G163" t="str">
        <f t="shared" si="76"/>
        <v>OK</v>
      </c>
      <c r="H163" t="str">
        <f t="shared" si="77"/>
        <v>OK</v>
      </c>
      <c r="I163" s="4">
        <f t="shared" si="78"/>
        <v>2017</v>
      </c>
    </row>
    <row r="164" spans="1:19" x14ac:dyDescent="0.35">
      <c r="A164" s="1">
        <v>42898</v>
      </c>
      <c r="B164" s="4">
        <v>22.3</v>
      </c>
      <c r="C164">
        <v>20.2</v>
      </c>
      <c r="D164">
        <v>28.3</v>
      </c>
      <c r="E164" s="4">
        <v>1.8</v>
      </c>
      <c r="F164" t="str">
        <f t="shared" si="75"/>
        <v>OK</v>
      </c>
      <c r="G164" t="str">
        <f t="shared" si="76"/>
        <v>OK</v>
      </c>
      <c r="H164" t="str">
        <f t="shared" si="77"/>
        <v>OK</v>
      </c>
      <c r="I164" s="4">
        <f t="shared" si="78"/>
        <v>2017</v>
      </c>
      <c r="J164">
        <f t="shared" ref="J164:J166" si="79">( 377.84*B164 + 3903.1)/550</f>
        <v>22.416240000000002</v>
      </c>
      <c r="K164">
        <f t="shared" ref="K164:K166" si="80" xml:space="preserve"> (59.02*E164 + 1383.4)/365</f>
        <v>4.0811945205479461</v>
      </c>
      <c r="R164" s="4">
        <f t="shared" ref="R164:R166" si="81">J164-B164</f>
        <v>0.11624000000000123</v>
      </c>
      <c r="S164" s="4">
        <f t="shared" ref="S164:S166" si="82">K164-E164</f>
        <v>2.2811945205479462</v>
      </c>
    </row>
    <row r="165" spans="1:19" x14ac:dyDescent="0.35">
      <c r="A165" s="1">
        <v>42899</v>
      </c>
      <c r="B165" s="4">
        <v>24.2</v>
      </c>
      <c r="C165">
        <v>20.7</v>
      </c>
      <c r="D165">
        <v>29.2</v>
      </c>
      <c r="E165" s="4">
        <v>1</v>
      </c>
      <c r="F165" t="str">
        <f t="shared" si="75"/>
        <v>OK</v>
      </c>
      <c r="G165" t="str">
        <f t="shared" si="76"/>
        <v>OK</v>
      </c>
      <c r="H165" t="str">
        <f t="shared" si="77"/>
        <v>OK</v>
      </c>
      <c r="I165" s="4">
        <f t="shared" si="78"/>
        <v>2017</v>
      </c>
      <c r="J165">
        <f t="shared" si="79"/>
        <v>23.721505454545454</v>
      </c>
      <c r="K165">
        <f t="shared" si="80"/>
        <v>3.9518356164383563</v>
      </c>
      <c r="R165" s="4">
        <f t="shared" si="81"/>
        <v>-0.47849454545454506</v>
      </c>
      <c r="S165" s="4">
        <f t="shared" si="82"/>
        <v>2.9518356164383563</v>
      </c>
    </row>
    <row r="166" spans="1:19" x14ac:dyDescent="0.35">
      <c r="A166" s="1">
        <v>42900</v>
      </c>
      <c r="B166" s="4">
        <v>25.8</v>
      </c>
      <c r="C166">
        <v>22</v>
      </c>
      <c r="D166">
        <v>30.9</v>
      </c>
      <c r="E166" s="4">
        <v>1</v>
      </c>
      <c r="F166" t="str">
        <f t="shared" si="75"/>
        <v>OK</v>
      </c>
      <c r="G166" t="str">
        <f t="shared" si="76"/>
        <v>OK</v>
      </c>
      <c r="H166" t="str">
        <f t="shared" si="77"/>
        <v>OK</v>
      </c>
      <c r="I166" s="4">
        <f t="shared" si="78"/>
        <v>2017</v>
      </c>
      <c r="J166">
        <f t="shared" si="79"/>
        <v>24.820676363636363</v>
      </c>
      <c r="K166">
        <f t="shared" si="80"/>
        <v>3.9518356164383563</v>
      </c>
      <c r="R166" s="4">
        <f t="shared" si="81"/>
        <v>-0.97932363636363817</v>
      </c>
      <c r="S166" s="4">
        <f t="shared" si="82"/>
        <v>2.9518356164383563</v>
      </c>
    </row>
    <row r="167" spans="1:19" hidden="1" x14ac:dyDescent="0.35">
      <c r="A167" s="1">
        <v>42901</v>
      </c>
      <c r="B167" s="4">
        <v>25.1</v>
      </c>
      <c r="C167">
        <v>21.5</v>
      </c>
      <c r="D167">
        <v>31.2</v>
      </c>
      <c r="E167" s="4">
        <v>0</v>
      </c>
      <c r="F167" t="str">
        <f t="shared" si="75"/>
        <v>OK</v>
      </c>
      <c r="G167" t="str">
        <f t="shared" si="76"/>
        <v>OK</v>
      </c>
      <c r="H167" t="str">
        <f t="shared" si="77"/>
        <v>OK</v>
      </c>
      <c r="I167" s="4">
        <f t="shared" si="78"/>
        <v>2017</v>
      </c>
    </row>
    <row r="168" spans="1:19" hidden="1" x14ac:dyDescent="0.35">
      <c r="A168" s="1">
        <v>42902</v>
      </c>
      <c r="B168">
        <v>22.9</v>
      </c>
      <c r="C168">
        <v>20</v>
      </c>
      <c r="D168">
        <v>29.5</v>
      </c>
      <c r="E168"/>
      <c r="I168"/>
    </row>
    <row r="169" spans="1:19" x14ac:dyDescent="0.35">
      <c r="A169" s="1">
        <v>42903</v>
      </c>
      <c r="B169" s="4">
        <v>23.1</v>
      </c>
      <c r="C169">
        <v>19.399999999999999</v>
      </c>
      <c r="D169">
        <v>28.4</v>
      </c>
      <c r="E169" s="4">
        <v>23.1</v>
      </c>
      <c r="F169" t="str">
        <f t="shared" ref="F169:F181" si="83">IF(OR(B169 &lt; $N$30, B169 &gt; $N$67), "Outlier", "OK")</f>
        <v>OK</v>
      </c>
      <c r="G169" t="str">
        <f t="shared" ref="G169:G181" si="84">IF(OR(C169 &lt; $O$30, C169 &gt; $O$67), "Outlier", "OK")</f>
        <v>OK</v>
      </c>
      <c r="H169" t="str">
        <f t="shared" ref="H169:H181" si="85">IF(OR(D169 &lt; $P$30, D169 &gt; $P$67), "Outlier", "OK")</f>
        <v>OK</v>
      </c>
      <c r="I169" s="4">
        <f t="shared" ref="I169:I181" si="86">YEAR(A169)</f>
        <v>2017</v>
      </c>
      <c r="J169">
        <f>( 377.84*B169 + 3903.1)/550</f>
        <v>22.965825454545453</v>
      </c>
      <c r="K169">
        <f xml:space="preserve"> (59.02*E169 + 1383.4)/365</f>
        <v>7.5253753424657539</v>
      </c>
      <c r="R169" s="4">
        <f>J169-B169</f>
        <v>-0.13417454545454888</v>
      </c>
      <c r="S169" s="4">
        <f>K169-E169</f>
        <v>-15.574624657534248</v>
      </c>
    </row>
    <row r="170" spans="1:19" hidden="1" x14ac:dyDescent="0.35">
      <c r="A170" s="1">
        <v>42904</v>
      </c>
      <c r="B170" s="4">
        <v>23.8</v>
      </c>
      <c r="C170">
        <v>20.2</v>
      </c>
      <c r="D170">
        <v>29.3</v>
      </c>
      <c r="E170" s="4">
        <v>0</v>
      </c>
      <c r="F170" t="str">
        <f t="shared" si="83"/>
        <v>OK</v>
      </c>
      <c r="G170" t="str">
        <f t="shared" si="84"/>
        <v>OK</v>
      </c>
      <c r="H170" t="str">
        <f t="shared" si="85"/>
        <v>OK</v>
      </c>
      <c r="I170" s="4">
        <f t="shared" si="86"/>
        <v>2017</v>
      </c>
    </row>
    <row r="171" spans="1:19" x14ac:dyDescent="0.35">
      <c r="A171" s="1">
        <v>42905</v>
      </c>
      <c r="B171" s="4">
        <v>23.4</v>
      </c>
      <c r="C171">
        <v>20</v>
      </c>
      <c r="D171">
        <v>29</v>
      </c>
      <c r="E171" s="4">
        <v>3.6</v>
      </c>
      <c r="F171" t="str">
        <f t="shared" si="83"/>
        <v>OK</v>
      </c>
      <c r="G171" t="str">
        <f t="shared" si="84"/>
        <v>OK</v>
      </c>
      <c r="H171" t="str">
        <f t="shared" si="85"/>
        <v>OK</v>
      </c>
      <c r="I171" s="4">
        <f t="shared" si="86"/>
        <v>2017</v>
      </c>
      <c r="J171">
        <f>( 377.84*B171 + 3903.1)/550</f>
        <v>23.171919999999997</v>
      </c>
      <c r="K171">
        <f xml:space="preserve"> (59.02*E171 + 1383.4)/365</f>
        <v>4.3722520547945205</v>
      </c>
      <c r="R171" s="4">
        <f>J171-B171</f>
        <v>-0.22808000000000206</v>
      </c>
      <c r="S171" s="4">
        <f>K171-E171</f>
        <v>0.77225205479452042</v>
      </c>
    </row>
    <row r="172" spans="1:19" hidden="1" x14ac:dyDescent="0.35">
      <c r="A172" s="1">
        <v>42906</v>
      </c>
      <c r="B172" s="4">
        <v>24.1</v>
      </c>
      <c r="C172">
        <v>21</v>
      </c>
      <c r="D172">
        <v>28</v>
      </c>
      <c r="E172" s="4">
        <v>0</v>
      </c>
      <c r="F172" t="str">
        <f t="shared" si="83"/>
        <v>OK</v>
      </c>
      <c r="G172" t="str">
        <f t="shared" si="84"/>
        <v>OK</v>
      </c>
      <c r="H172" t="str">
        <f t="shared" si="85"/>
        <v>OK</v>
      </c>
      <c r="I172" s="4">
        <f t="shared" si="86"/>
        <v>2017</v>
      </c>
    </row>
    <row r="173" spans="1:19" x14ac:dyDescent="0.35">
      <c r="A173" s="1">
        <v>42907</v>
      </c>
      <c r="B173" s="4">
        <v>24.6</v>
      </c>
      <c r="C173">
        <v>20.8</v>
      </c>
      <c r="D173">
        <v>29.8</v>
      </c>
      <c r="E173" s="4">
        <v>0.3</v>
      </c>
      <c r="F173" t="str">
        <f t="shared" si="83"/>
        <v>OK</v>
      </c>
      <c r="G173" t="str">
        <f t="shared" si="84"/>
        <v>OK</v>
      </c>
      <c r="H173" t="str">
        <f t="shared" si="85"/>
        <v>OK</v>
      </c>
      <c r="I173" s="4">
        <f t="shared" si="86"/>
        <v>2017</v>
      </c>
      <c r="J173">
        <f>( 377.84*B173 + 3903.1)/550</f>
        <v>23.996298181818183</v>
      </c>
      <c r="K173">
        <f xml:space="preserve"> (59.02*E173 + 1383.4)/365</f>
        <v>3.8386465753424659</v>
      </c>
      <c r="R173" s="4">
        <f>J173-B173</f>
        <v>-0.60370181818181834</v>
      </c>
      <c r="S173" s="4">
        <f>K173-E173</f>
        <v>3.5386465753424661</v>
      </c>
    </row>
    <row r="174" spans="1:19" hidden="1" x14ac:dyDescent="0.35">
      <c r="A174" s="1">
        <v>42908</v>
      </c>
      <c r="B174" s="4">
        <v>24.4</v>
      </c>
      <c r="C174">
        <v>20.5</v>
      </c>
      <c r="D174">
        <v>29.5</v>
      </c>
      <c r="E174" s="4">
        <v>0</v>
      </c>
      <c r="F174" t="str">
        <f t="shared" si="83"/>
        <v>OK</v>
      </c>
      <c r="G174" t="str">
        <f t="shared" si="84"/>
        <v>OK</v>
      </c>
      <c r="H174" t="str">
        <f t="shared" si="85"/>
        <v>OK</v>
      </c>
      <c r="I174" s="4">
        <f t="shared" si="86"/>
        <v>2017</v>
      </c>
    </row>
    <row r="175" spans="1:19" x14ac:dyDescent="0.35">
      <c r="A175" s="1">
        <v>42909</v>
      </c>
      <c r="B175" s="4">
        <v>24.9</v>
      </c>
      <c r="C175">
        <v>19.399999999999999</v>
      </c>
      <c r="D175">
        <v>30.6</v>
      </c>
      <c r="E175" s="4">
        <v>0.8</v>
      </c>
      <c r="F175" t="str">
        <f t="shared" si="83"/>
        <v>OK</v>
      </c>
      <c r="G175" t="str">
        <f t="shared" si="84"/>
        <v>OK</v>
      </c>
      <c r="H175" t="str">
        <f t="shared" si="85"/>
        <v>OK</v>
      </c>
      <c r="I175" s="4">
        <f t="shared" si="86"/>
        <v>2017</v>
      </c>
      <c r="J175">
        <f>( 377.84*B175 + 3903.1)/550</f>
        <v>24.202392727272724</v>
      </c>
      <c r="K175">
        <f xml:space="preserve"> (59.02*E175 + 1383.4)/365</f>
        <v>3.9194958904109587</v>
      </c>
      <c r="R175" s="4">
        <f>J175-B175</f>
        <v>-0.69760727272727507</v>
      </c>
      <c r="S175" s="4">
        <f>K175-E175</f>
        <v>3.1194958904109589</v>
      </c>
    </row>
    <row r="176" spans="1:19" hidden="1" x14ac:dyDescent="0.35">
      <c r="A176" s="1">
        <v>42910</v>
      </c>
      <c r="B176" s="4">
        <v>24.4</v>
      </c>
      <c r="C176">
        <v>21</v>
      </c>
      <c r="D176">
        <v>30.5</v>
      </c>
      <c r="E176" s="4">
        <v>0</v>
      </c>
      <c r="F176" t="str">
        <f t="shared" si="83"/>
        <v>OK</v>
      </c>
      <c r="G176" t="str">
        <f t="shared" si="84"/>
        <v>OK</v>
      </c>
      <c r="H176" t="str">
        <f t="shared" si="85"/>
        <v>OK</v>
      </c>
      <c r="I176" s="4">
        <f t="shared" si="86"/>
        <v>2017</v>
      </c>
    </row>
    <row r="177" spans="1:19" hidden="1" x14ac:dyDescent="0.35">
      <c r="A177" s="1">
        <v>42911</v>
      </c>
      <c r="B177" s="4">
        <v>23.8</v>
      </c>
      <c r="C177">
        <v>20.6</v>
      </c>
      <c r="D177">
        <v>29.4</v>
      </c>
      <c r="E177" s="4">
        <v>0</v>
      </c>
      <c r="F177" t="str">
        <f t="shared" si="83"/>
        <v>OK</v>
      </c>
      <c r="G177" t="str">
        <f t="shared" si="84"/>
        <v>OK</v>
      </c>
      <c r="H177" t="str">
        <f t="shared" si="85"/>
        <v>OK</v>
      </c>
      <c r="I177" s="4">
        <f t="shared" si="86"/>
        <v>2017</v>
      </c>
    </row>
    <row r="178" spans="1:19" hidden="1" x14ac:dyDescent="0.35">
      <c r="A178" s="1">
        <v>42912</v>
      </c>
      <c r="B178" s="4">
        <v>24</v>
      </c>
      <c r="C178">
        <v>20.399999999999999</v>
      </c>
      <c r="D178">
        <v>29</v>
      </c>
      <c r="E178" s="4">
        <v>0</v>
      </c>
      <c r="F178" t="str">
        <f t="shared" si="83"/>
        <v>OK</v>
      </c>
      <c r="G178" t="str">
        <f t="shared" si="84"/>
        <v>OK</v>
      </c>
      <c r="H178" t="str">
        <f t="shared" si="85"/>
        <v>OK</v>
      </c>
      <c r="I178" s="4">
        <f t="shared" si="86"/>
        <v>2017</v>
      </c>
    </row>
    <row r="179" spans="1:19" hidden="1" x14ac:dyDescent="0.35">
      <c r="A179" s="1">
        <v>42913</v>
      </c>
      <c r="B179" s="4">
        <v>23.6</v>
      </c>
      <c r="C179">
        <v>20.399999999999999</v>
      </c>
      <c r="D179">
        <v>30.6</v>
      </c>
      <c r="E179" s="4">
        <v>0</v>
      </c>
      <c r="F179" t="str">
        <f t="shared" si="83"/>
        <v>OK</v>
      </c>
      <c r="G179" t="str">
        <f t="shared" si="84"/>
        <v>OK</v>
      </c>
      <c r="H179" t="str">
        <f t="shared" si="85"/>
        <v>OK</v>
      </c>
      <c r="I179" s="4">
        <f t="shared" si="86"/>
        <v>2017</v>
      </c>
    </row>
    <row r="180" spans="1:19" hidden="1" x14ac:dyDescent="0.35">
      <c r="A180" s="1">
        <v>42914</v>
      </c>
      <c r="B180" s="4">
        <v>24.3</v>
      </c>
      <c r="C180">
        <v>20.3</v>
      </c>
      <c r="D180">
        <v>29.8</v>
      </c>
      <c r="E180" s="4">
        <v>0</v>
      </c>
      <c r="F180" t="str">
        <f t="shared" si="83"/>
        <v>OK</v>
      </c>
      <c r="G180" t="str">
        <f t="shared" si="84"/>
        <v>OK</v>
      </c>
      <c r="H180" t="str">
        <f t="shared" si="85"/>
        <v>OK</v>
      </c>
      <c r="I180" s="4">
        <f t="shared" si="86"/>
        <v>2017</v>
      </c>
    </row>
    <row r="181" spans="1:19" hidden="1" x14ac:dyDescent="0.35">
      <c r="A181" s="1">
        <v>42915</v>
      </c>
      <c r="B181" s="4">
        <v>24.3</v>
      </c>
      <c r="C181">
        <v>20.399999999999999</v>
      </c>
      <c r="D181">
        <v>29.1</v>
      </c>
      <c r="E181" s="4">
        <v>0</v>
      </c>
      <c r="F181" t="str">
        <f t="shared" si="83"/>
        <v>OK</v>
      </c>
      <c r="G181" t="str">
        <f t="shared" si="84"/>
        <v>OK</v>
      </c>
      <c r="H181" t="str">
        <f t="shared" si="85"/>
        <v>OK</v>
      </c>
      <c r="I181" s="4">
        <f t="shared" si="86"/>
        <v>2017</v>
      </c>
    </row>
    <row r="182" spans="1:19" hidden="1" x14ac:dyDescent="0.35">
      <c r="A182" s="1">
        <v>42916</v>
      </c>
      <c r="B182">
        <v>24.2</v>
      </c>
      <c r="C182">
        <v>20.8</v>
      </c>
      <c r="D182">
        <v>29</v>
      </c>
      <c r="E182"/>
      <c r="I182"/>
    </row>
    <row r="183" spans="1:19" hidden="1" x14ac:dyDescent="0.35">
      <c r="A183" s="1">
        <v>42917</v>
      </c>
      <c r="B183" s="4">
        <v>24.6</v>
      </c>
      <c r="C183">
        <v>19.3</v>
      </c>
      <c r="D183">
        <v>29.2</v>
      </c>
      <c r="E183" s="4">
        <v>0</v>
      </c>
      <c r="F183" t="str">
        <f t="shared" ref="F183:F184" si="87">IF(OR(B183 &lt; $N$30, B183 &gt; $N$67), "Outlier", "OK")</f>
        <v>OK</v>
      </c>
      <c r="G183" t="str">
        <f t="shared" ref="G183:G184" si="88">IF(OR(C183 &lt; $O$30, C183 &gt; $O$67), "Outlier", "OK")</f>
        <v>OK</v>
      </c>
      <c r="H183" t="str">
        <f t="shared" ref="H183:H184" si="89">IF(OR(D183 &lt; $P$30, D183 &gt; $P$67), "Outlier", "OK")</f>
        <v>OK</v>
      </c>
      <c r="I183" s="4">
        <f t="shared" ref="I183:I184" si="90">YEAR(A183)</f>
        <v>2017</v>
      </c>
    </row>
    <row r="184" spans="1:19" hidden="1" x14ac:dyDescent="0.35">
      <c r="A184" s="1">
        <v>42918</v>
      </c>
      <c r="B184" s="4">
        <v>25.2</v>
      </c>
      <c r="C184">
        <v>20.5</v>
      </c>
      <c r="D184">
        <v>30.3</v>
      </c>
      <c r="E184" s="4">
        <v>0</v>
      </c>
      <c r="F184" t="str">
        <f t="shared" si="87"/>
        <v>OK</v>
      </c>
      <c r="G184" t="str">
        <f t="shared" si="88"/>
        <v>OK</v>
      </c>
      <c r="H184" t="str">
        <f t="shared" si="89"/>
        <v>OK</v>
      </c>
      <c r="I184" s="4">
        <f t="shared" si="90"/>
        <v>2017</v>
      </c>
    </row>
    <row r="185" spans="1:19" hidden="1" x14ac:dyDescent="0.35">
      <c r="A185" s="1">
        <v>42919</v>
      </c>
      <c r="B185">
        <v>23.7</v>
      </c>
      <c r="C185">
        <v>20.9</v>
      </c>
      <c r="D185">
        <v>29.9</v>
      </c>
      <c r="E185"/>
      <c r="I185"/>
    </row>
    <row r="186" spans="1:19" x14ac:dyDescent="0.35">
      <c r="A186" s="1">
        <v>42920</v>
      </c>
      <c r="B186" s="4">
        <v>23.7</v>
      </c>
      <c r="C186">
        <v>20.399999999999999</v>
      </c>
      <c r="D186">
        <v>28.7</v>
      </c>
      <c r="E186" s="4">
        <v>3.8</v>
      </c>
      <c r="F186" t="str">
        <f t="shared" ref="F186:F191" si="91">IF(OR(B186 &lt; $N$30, B186 &gt; $N$67), "Outlier", "OK")</f>
        <v>OK</v>
      </c>
      <c r="G186" t="str">
        <f t="shared" ref="G186:G191" si="92">IF(OR(C186 &lt; $O$30, C186 &gt; $O$67), "Outlier", "OK")</f>
        <v>OK</v>
      </c>
      <c r="H186" t="str">
        <f t="shared" ref="H186:H191" si="93">IF(OR(D186 &lt; $P$30, D186 &gt; $P$67), "Outlier", "OK")</f>
        <v>OK</v>
      </c>
      <c r="I186" s="4">
        <f t="shared" ref="I186:I191" si="94">YEAR(A186)</f>
        <v>2017</v>
      </c>
      <c r="J186">
        <f t="shared" ref="J186:J189" si="95">( 377.84*B186 + 3903.1)/550</f>
        <v>23.378014545454544</v>
      </c>
      <c r="K186">
        <f t="shared" ref="K186:K189" si="96" xml:space="preserve"> (59.02*E186 + 1383.4)/365</f>
        <v>4.4045917808219182</v>
      </c>
      <c r="R186" s="4">
        <f t="shared" ref="R186:R189" si="97">J186-B186</f>
        <v>-0.32198545454545524</v>
      </c>
      <c r="S186" s="4">
        <f t="shared" ref="S186:S189" si="98">K186-E186</f>
        <v>0.60459178082191833</v>
      </c>
    </row>
    <row r="187" spans="1:19" x14ac:dyDescent="0.35">
      <c r="A187" s="1">
        <v>42921</v>
      </c>
      <c r="B187" s="4">
        <v>23.2</v>
      </c>
      <c r="C187">
        <v>20</v>
      </c>
      <c r="D187">
        <v>29.6</v>
      </c>
      <c r="E187" s="4">
        <v>2.2999999999999998</v>
      </c>
      <c r="F187" t="str">
        <f t="shared" si="91"/>
        <v>OK</v>
      </c>
      <c r="G187" t="str">
        <f t="shared" si="92"/>
        <v>OK</v>
      </c>
      <c r="H187" t="str">
        <f t="shared" si="93"/>
        <v>OK</v>
      </c>
      <c r="I187" s="4">
        <f t="shared" si="94"/>
        <v>2017</v>
      </c>
      <c r="J187">
        <f t="shared" si="95"/>
        <v>23.034523636363634</v>
      </c>
      <c r="K187">
        <f t="shared" si="96"/>
        <v>4.1620438356164389</v>
      </c>
      <c r="R187" s="4">
        <f t="shared" si="97"/>
        <v>-0.16547636363636542</v>
      </c>
      <c r="S187" s="4">
        <f t="shared" si="98"/>
        <v>1.862043835616439</v>
      </c>
    </row>
    <row r="188" spans="1:19" x14ac:dyDescent="0.35">
      <c r="A188" s="1">
        <v>42922</v>
      </c>
      <c r="B188" s="4">
        <v>23.7</v>
      </c>
      <c r="C188">
        <v>20.2</v>
      </c>
      <c r="D188">
        <v>29.2</v>
      </c>
      <c r="E188" s="4">
        <v>10.199999999999999</v>
      </c>
      <c r="F188" t="str">
        <f t="shared" si="91"/>
        <v>OK</v>
      </c>
      <c r="G188" t="str">
        <f t="shared" si="92"/>
        <v>OK</v>
      </c>
      <c r="H188" t="str">
        <f t="shared" si="93"/>
        <v>OK</v>
      </c>
      <c r="I188" s="4">
        <f t="shared" si="94"/>
        <v>2017</v>
      </c>
      <c r="J188">
        <f t="shared" si="95"/>
        <v>23.378014545454544</v>
      </c>
      <c r="K188">
        <f t="shared" si="96"/>
        <v>5.4394630136986297</v>
      </c>
      <c r="R188" s="4">
        <f t="shared" si="97"/>
        <v>-0.32198545454545524</v>
      </c>
      <c r="S188" s="4">
        <f t="shared" si="98"/>
        <v>-4.7605369863013696</v>
      </c>
    </row>
    <row r="189" spans="1:19" x14ac:dyDescent="0.35">
      <c r="A189" s="1">
        <v>42923</v>
      </c>
      <c r="B189" s="4">
        <v>23.2</v>
      </c>
      <c r="C189">
        <v>20.5</v>
      </c>
      <c r="D189">
        <v>29.3</v>
      </c>
      <c r="E189" s="4">
        <v>5.0999999999999996</v>
      </c>
      <c r="F189" t="str">
        <f t="shared" si="91"/>
        <v>OK</v>
      </c>
      <c r="G189" t="str">
        <f t="shared" si="92"/>
        <v>OK</v>
      </c>
      <c r="H189" t="str">
        <f t="shared" si="93"/>
        <v>OK</v>
      </c>
      <c r="I189" s="4">
        <f t="shared" si="94"/>
        <v>2017</v>
      </c>
      <c r="J189">
        <f t="shared" si="95"/>
        <v>23.034523636363634</v>
      </c>
      <c r="K189">
        <f t="shared" si="96"/>
        <v>4.6147999999999998</v>
      </c>
      <c r="R189" s="4">
        <f t="shared" si="97"/>
        <v>-0.16547636363636542</v>
      </c>
      <c r="S189" s="4">
        <f t="shared" si="98"/>
        <v>-0.48519999999999985</v>
      </c>
    </row>
    <row r="190" spans="1:19" hidden="1" x14ac:dyDescent="0.35">
      <c r="A190" s="1">
        <v>42924</v>
      </c>
      <c r="B190" s="4">
        <v>23.3</v>
      </c>
      <c r="C190">
        <v>20.399999999999999</v>
      </c>
      <c r="D190">
        <v>27.4</v>
      </c>
      <c r="E190" s="4">
        <v>0</v>
      </c>
      <c r="F190" t="str">
        <f t="shared" si="91"/>
        <v>OK</v>
      </c>
      <c r="G190" t="str">
        <f t="shared" si="92"/>
        <v>OK</v>
      </c>
      <c r="H190" t="str">
        <f t="shared" si="93"/>
        <v>OK</v>
      </c>
      <c r="I190" s="4">
        <f t="shared" si="94"/>
        <v>2017</v>
      </c>
    </row>
    <row r="191" spans="1:19" hidden="1" x14ac:dyDescent="0.35">
      <c r="A191" s="1">
        <v>42925</v>
      </c>
      <c r="B191" s="4">
        <v>24.5</v>
      </c>
      <c r="C191">
        <v>20.2</v>
      </c>
      <c r="D191">
        <v>30.3</v>
      </c>
      <c r="E191" s="4">
        <v>0</v>
      </c>
      <c r="F191" t="str">
        <f t="shared" si="91"/>
        <v>OK</v>
      </c>
      <c r="G191" t="str">
        <f t="shared" si="92"/>
        <v>OK</v>
      </c>
      <c r="H191" t="str">
        <f t="shared" si="93"/>
        <v>OK</v>
      </c>
      <c r="I191" s="4">
        <f t="shared" si="94"/>
        <v>2017</v>
      </c>
    </row>
    <row r="192" spans="1:19" hidden="1" x14ac:dyDescent="0.35">
      <c r="A192" s="1">
        <v>42926</v>
      </c>
      <c r="B192">
        <v>24.8</v>
      </c>
      <c r="C192">
        <v>20.5</v>
      </c>
      <c r="D192">
        <v>30.3</v>
      </c>
      <c r="E192"/>
      <c r="I192"/>
    </row>
    <row r="193" spans="1:19" hidden="1" x14ac:dyDescent="0.35">
      <c r="A193" s="1">
        <v>42927</v>
      </c>
      <c r="B193">
        <v>24.1</v>
      </c>
      <c r="C193">
        <v>20.8</v>
      </c>
      <c r="D193">
        <v>30</v>
      </c>
      <c r="E193"/>
      <c r="I193"/>
    </row>
    <row r="194" spans="1:19" hidden="1" x14ac:dyDescent="0.35">
      <c r="A194" s="1">
        <v>42928</v>
      </c>
      <c r="B194" s="4">
        <v>23.7</v>
      </c>
      <c r="C194">
        <v>21</v>
      </c>
      <c r="D194">
        <v>29.5</v>
      </c>
      <c r="E194" s="4">
        <v>0</v>
      </c>
      <c r="F194" t="str">
        <f t="shared" ref="F194:F204" si="99">IF(OR(B194 &lt; $N$30, B194 &gt; $N$67), "Outlier", "OK")</f>
        <v>OK</v>
      </c>
      <c r="G194" t="str">
        <f t="shared" ref="G194:G204" si="100">IF(OR(C194 &lt; $O$30, C194 &gt; $O$67), "Outlier", "OK")</f>
        <v>OK</v>
      </c>
      <c r="H194" t="str">
        <f t="shared" ref="H194:H204" si="101">IF(OR(D194 &lt; $P$30, D194 &gt; $P$67), "Outlier", "OK")</f>
        <v>OK</v>
      </c>
      <c r="I194" s="4">
        <f t="shared" ref="I194:I204" si="102">YEAR(A194)</f>
        <v>2017</v>
      </c>
    </row>
    <row r="195" spans="1:19" x14ac:dyDescent="0.35">
      <c r="A195" s="1">
        <v>42929</v>
      </c>
      <c r="B195" s="4">
        <v>22.8</v>
      </c>
      <c r="C195">
        <v>20</v>
      </c>
      <c r="D195">
        <v>28.5</v>
      </c>
      <c r="E195" s="4">
        <v>1.5</v>
      </c>
      <c r="F195" t="str">
        <f t="shared" si="99"/>
        <v>OK</v>
      </c>
      <c r="G195" t="str">
        <f t="shared" si="100"/>
        <v>OK</v>
      </c>
      <c r="H195" t="str">
        <f t="shared" si="101"/>
        <v>OK</v>
      </c>
      <c r="I195" s="4">
        <f t="shared" si="102"/>
        <v>2017</v>
      </c>
      <c r="J195">
        <f>( 377.84*B195 + 3903.1)/550</f>
        <v>22.759730909090912</v>
      </c>
      <c r="K195">
        <f xml:space="preserve"> (59.02*E195 + 1383.4)/365</f>
        <v>4.0326849315068491</v>
      </c>
      <c r="R195" s="4">
        <f>J195-B195</f>
        <v>-4.026909090908859E-2</v>
      </c>
      <c r="S195" s="4">
        <f>K195-E195</f>
        <v>2.5326849315068491</v>
      </c>
    </row>
    <row r="196" spans="1:19" hidden="1" x14ac:dyDescent="0.35">
      <c r="A196" s="1">
        <v>42930</v>
      </c>
      <c r="B196" s="4">
        <v>22.9</v>
      </c>
      <c r="C196">
        <v>20</v>
      </c>
      <c r="D196">
        <v>25.9</v>
      </c>
      <c r="E196" s="4">
        <v>0</v>
      </c>
      <c r="F196" t="str">
        <f t="shared" si="99"/>
        <v>OK</v>
      </c>
      <c r="G196" t="str">
        <f t="shared" si="100"/>
        <v>OK</v>
      </c>
      <c r="H196" t="str">
        <f t="shared" si="101"/>
        <v>OK</v>
      </c>
      <c r="I196" s="4">
        <f t="shared" si="102"/>
        <v>2017</v>
      </c>
    </row>
    <row r="197" spans="1:19" hidden="1" x14ac:dyDescent="0.35">
      <c r="A197" s="1">
        <v>42931</v>
      </c>
      <c r="B197" s="4">
        <v>22.2</v>
      </c>
      <c r="C197">
        <v>20.2</v>
      </c>
      <c r="D197">
        <v>27.2</v>
      </c>
      <c r="E197" s="4">
        <v>0</v>
      </c>
      <c r="F197" t="str">
        <f t="shared" si="99"/>
        <v>OK</v>
      </c>
      <c r="G197" t="str">
        <f t="shared" si="100"/>
        <v>OK</v>
      </c>
      <c r="H197" t="str">
        <f t="shared" si="101"/>
        <v>OK</v>
      </c>
      <c r="I197" s="4">
        <f t="shared" si="102"/>
        <v>2017</v>
      </c>
    </row>
    <row r="198" spans="1:19" hidden="1" x14ac:dyDescent="0.35">
      <c r="A198" s="1">
        <v>42932</v>
      </c>
      <c r="B198" s="4">
        <v>23.2</v>
      </c>
      <c r="C198">
        <v>19.7</v>
      </c>
      <c r="D198">
        <v>28.4</v>
      </c>
      <c r="E198" s="4">
        <v>0</v>
      </c>
      <c r="F198" t="str">
        <f t="shared" si="99"/>
        <v>OK</v>
      </c>
      <c r="G198" t="str">
        <f t="shared" si="100"/>
        <v>OK</v>
      </c>
      <c r="H198" t="str">
        <f t="shared" si="101"/>
        <v>OK</v>
      </c>
      <c r="I198" s="4">
        <f t="shared" si="102"/>
        <v>2017</v>
      </c>
    </row>
    <row r="199" spans="1:19" hidden="1" x14ac:dyDescent="0.35">
      <c r="A199" s="1">
        <v>42933</v>
      </c>
      <c r="B199" s="4">
        <v>23.8</v>
      </c>
      <c r="C199">
        <v>20</v>
      </c>
      <c r="D199">
        <v>28.8</v>
      </c>
      <c r="E199" s="4">
        <v>0</v>
      </c>
      <c r="F199" t="str">
        <f t="shared" si="99"/>
        <v>OK</v>
      </c>
      <c r="G199" t="str">
        <f t="shared" si="100"/>
        <v>OK</v>
      </c>
      <c r="H199" t="str">
        <f t="shared" si="101"/>
        <v>OK</v>
      </c>
      <c r="I199" s="4">
        <f t="shared" si="102"/>
        <v>2017</v>
      </c>
    </row>
    <row r="200" spans="1:19" hidden="1" x14ac:dyDescent="0.35">
      <c r="A200" s="1">
        <v>42934</v>
      </c>
      <c r="B200" s="4">
        <v>22.8</v>
      </c>
      <c r="C200">
        <v>20.7</v>
      </c>
      <c r="D200">
        <v>28.3</v>
      </c>
      <c r="E200" s="4">
        <v>0</v>
      </c>
      <c r="F200" t="str">
        <f t="shared" si="99"/>
        <v>OK</v>
      </c>
      <c r="G200" t="str">
        <f t="shared" si="100"/>
        <v>OK</v>
      </c>
      <c r="H200" t="str">
        <f t="shared" si="101"/>
        <v>OK</v>
      </c>
      <c r="I200" s="4">
        <f t="shared" si="102"/>
        <v>2017</v>
      </c>
    </row>
    <row r="201" spans="1:19" hidden="1" x14ac:dyDescent="0.35">
      <c r="A201" s="1">
        <v>42935</v>
      </c>
      <c r="B201" s="4">
        <v>22.2</v>
      </c>
      <c r="C201">
        <v>20.6</v>
      </c>
      <c r="D201">
        <v>26.6</v>
      </c>
      <c r="E201" s="4">
        <v>0</v>
      </c>
      <c r="F201" t="str">
        <f t="shared" si="99"/>
        <v>OK</v>
      </c>
      <c r="G201" t="str">
        <f t="shared" si="100"/>
        <v>OK</v>
      </c>
      <c r="H201" t="str">
        <f t="shared" si="101"/>
        <v>OK</v>
      </c>
      <c r="I201" s="4">
        <f t="shared" si="102"/>
        <v>2017</v>
      </c>
    </row>
    <row r="202" spans="1:19" x14ac:dyDescent="0.35">
      <c r="A202" s="1">
        <v>42936</v>
      </c>
      <c r="B202" s="4">
        <v>23.6</v>
      </c>
      <c r="C202">
        <v>20.6</v>
      </c>
      <c r="D202">
        <v>29.1</v>
      </c>
      <c r="E202" s="4">
        <v>9.4</v>
      </c>
      <c r="F202" t="str">
        <f t="shared" si="99"/>
        <v>OK</v>
      </c>
      <c r="G202" t="str">
        <f t="shared" si="100"/>
        <v>OK</v>
      </c>
      <c r="H202" t="str">
        <f t="shared" si="101"/>
        <v>OK</v>
      </c>
      <c r="I202" s="4">
        <f t="shared" si="102"/>
        <v>2017</v>
      </c>
      <c r="J202">
        <f t="shared" ref="J202:J203" si="103">( 377.84*B202 + 3903.1)/550</f>
        <v>23.309316363636363</v>
      </c>
      <c r="K202">
        <f t="shared" ref="K202:K203" si="104" xml:space="preserve"> (59.02*E202 + 1383.4)/365</f>
        <v>5.3101041095890418</v>
      </c>
      <c r="R202" s="4">
        <f t="shared" ref="R202:R203" si="105">J202-B202</f>
        <v>-0.2906836363636387</v>
      </c>
      <c r="S202" s="4">
        <f t="shared" ref="S202:S203" si="106">K202-E202</f>
        <v>-4.0898958904109586</v>
      </c>
    </row>
    <row r="203" spans="1:19" x14ac:dyDescent="0.35">
      <c r="A203" s="1">
        <v>42937</v>
      </c>
      <c r="B203" s="4">
        <v>23.8</v>
      </c>
      <c r="C203">
        <v>19.7</v>
      </c>
      <c r="D203">
        <v>28.7</v>
      </c>
      <c r="E203" s="4">
        <v>0.8</v>
      </c>
      <c r="F203" t="str">
        <f t="shared" si="99"/>
        <v>OK</v>
      </c>
      <c r="G203" t="str">
        <f t="shared" si="100"/>
        <v>OK</v>
      </c>
      <c r="H203" t="str">
        <f t="shared" si="101"/>
        <v>OK</v>
      </c>
      <c r="I203" s="4">
        <f t="shared" si="102"/>
        <v>2017</v>
      </c>
      <c r="J203">
        <f t="shared" si="103"/>
        <v>23.446712727272729</v>
      </c>
      <c r="K203">
        <f t="shared" si="104"/>
        <v>3.9194958904109587</v>
      </c>
      <c r="R203" s="4">
        <f t="shared" si="105"/>
        <v>-0.35328727272727178</v>
      </c>
      <c r="S203" s="4">
        <f t="shared" si="106"/>
        <v>3.1194958904109589</v>
      </c>
    </row>
    <row r="204" spans="1:19" hidden="1" x14ac:dyDescent="0.35">
      <c r="A204" s="1">
        <v>42938</v>
      </c>
      <c r="B204" s="4">
        <v>24.8</v>
      </c>
      <c r="C204">
        <v>20</v>
      </c>
      <c r="D204">
        <v>30.8</v>
      </c>
      <c r="E204" s="4">
        <v>0</v>
      </c>
      <c r="F204" t="str">
        <f t="shared" si="99"/>
        <v>OK</v>
      </c>
      <c r="G204" t="str">
        <f t="shared" si="100"/>
        <v>OK</v>
      </c>
      <c r="H204" t="str">
        <f t="shared" si="101"/>
        <v>OK</v>
      </c>
      <c r="I204" s="4">
        <f t="shared" si="102"/>
        <v>2017</v>
      </c>
    </row>
    <row r="205" spans="1:19" hidden="1" x14ac:dyDescent="0.35">
      <c r="A205" s="1">
        <v>42939</v>
      </c>
      <c r="B205">
        <v>24.3</v>
      </c>
      <c r="C205">
        <v>20.5</v>
      </c>
      <c r="D205">
        <v>30.5</v>
      </c>
      <c r="E205"/>
      <c r="I205"/>
    </row>
    <row r="206" spans="1:19" hidden="1" x14ac:dyDescent="0.35">
      <c r="A206" s="1">
        <v>42940</v>
      </c>
      <c r="B206">
        <v>24.8</v>
      </c>
      <c r="C206">
        <v>20.2</v>
      </c>
      <c r="D206">
        <v>30.3</v>
      </c>
      <c r="E206"/>
      <c r="I206"/>
    </row>
    <row r="207" spans="1:19" hidden="1" x14ac:dyDescent="0.35">
      <c r="A207" s="1">
        <v>42941</v>
      </c>
      <c r="B207" s="4">
        <v>25.2</v>
      </c>
      <c r="C207">
        <v>20.5</v>
      </c>
      <c r="D207">
        <v>30.3</v>
      </c>
      <c r="E207" s="4">
        <v>0</v>
      </c>
      <c r="F207" t="str">
        <f t="shared" ref="F207:F208" si="107">IF(OR(B207 &lt; $N$30, B207 &gt; $N$67), "Outlier", "OK")</f>
        <v>OK</v>
      </c>
      <c r="G207" t="str">
        <f t="shared" ref="G207:G208" si="108">IF(OR(C207 &lt; $O$30, C207 &gt; $O$67), "Outlier", "OK")</f>
        <v>OK</v>
      </c>
      <c r="H207" t="str">
        <f t="shared" ref="H207:H208" si="109">IF(OR(D207 &lt; $P$30, D207 &gt; $P$67), "Outlier", "OK")</f>
        <v>OK</v>
      </c>
      <c r="I207" s="4">
        <f t="shared" ref="I207:I208" si="110">YEAR(A207)</f>
        <v>2017</v>
      </c>
    </row>
    <row r="208" spans="1:19" hidden="1" x14ac:dyDescent="0.35">
      <c r="A208" s="1">
        <v>42942</v>
      </c>
      <c r="B208" s="4">
        <v>25.4</v>
      </c>
      <c r="C208">
        <v>20.5</v>
      </c>
      <c r="D208">
        <v>30.5</v>
      </c>
      <c r="E208" s="4">
        <v>0</v>
      </c>
      <c r="F208" t="str">
        <f t="shared" si="107"/>
        <v>OK</v>
      </c>
      <c r="G208" t="str">
        <f t="shared" si="108"/>
        <v>OK</v>
      </c>
      <c r="H208" t="str">
        <f t="shared" si="109"/>
        <v>OK</v>
      </c>
      <c r="I208" s="4">
        <f t="shared" si="110"/>
        <v>2017</v>
      </c>
    </row>
    <row r="209" spans="1:19" hidden="1" x14ac:dyDescent="0.35">
      <c r="A209" s="1">
        <v>42943</v>
      </c>
      <c r="B209">
        <v>24.5</v>
      </c>
      <c r="C209">
        <v>20.5</v>
      </c>
      <c r="D209">
        <v>31.6</v>
      </c>
      <c r="E209"/>
      <c r="I209"/>
    </row>
    <row r="210" spans="1:19" x14ac:dyDescent="0.35">
      <c r="A210" s="1">
        <v>42944</v>
      </c>
      <c r="B210" s="4">
        <v>24.7</v>
      </c>
      <c r="C210">
        <v>21</v>
      </c>
      <c r="D210">
        <v>31.1</v>
      </c>
      <c r="E210" s="4">
        <v>11.9</v>
      </c>
      <c r="F210" t="str">
        <f t="shared" ref="F210:F220" si="111">IF(OR(B210 &lt; $N$30, B210 &gt; $N$67), "Outlier", "OK")</f>
        <v>OK</v>
      </c>
      <c r="G210" t="str">
        <f t="shared" ref="G210:G220" si="112">IF(OR(C210 &lt; $O$30, C210 &gt; $O$67), "Outlier", "OK")</f>
        <v>OK</v>
      </c>
      <c r="H210" t="str">
        <f t="shared" ref="H210:H220" si="113">IF(OR(D210 &lt; $P$30, D210 &gt; $P$67), "Outlier", "OK")</f>
        <v>OK</v>
      </c>
      <c r="I210" s="4">
        <f t="shared" ref="I210:I220" si="114">YEAR(A210)</f>
        <v>2017</v>
      </c>
      <c r="J210">
        <f t="shared" ref="J210:J211" si="115">( 377.84*B210 + 3903.1)/550</f>
        <v>24.064996363636364</v>
      </c>
      <c r="K210">
        <f t="shared" ref="K210:K211" si="116" xml:space="preserve"> (59.02*E210 + 1383.4)/365</f>
        <v>5.7143506849315076</v>
      </c>
      <c r="R210" s="4">
        <f t="shared" ref="R210:R211" si="117">J210-B210</f>
        <v>-0.63500363636363488</v>
      </c>
      <c r="S210" s="4">
        <f t="shared" ref="S210:S211" si="118">K210-E210</f>
        <v>-6.1856493150684928</v>
      </c>
    </row>
    <row r="211" spans="1:19" x14ac:dyDescent="0.35">
      <c r="A211" s="1">
        <v>42945</v>
      </c>
      <c r="B211" s="4">
        <v>24.7</v>
      </c>
      <c r="C211">
        <v>20.6</v>
      </c>
      <c r="D211">
        <v>31.3</v>
      </c>
      <c r="E211" s="4">
        <v>10.7</v>
      </c>
      <c r="F211" t="str">
        <f t="shared" si="111"/>
        <v>OK</v>
      </c>
      <c r="G211" t="str">
        <f t="shared" si="112"/>
        <v>OK</v>
      </c>
      <c r="H211" t="str">
        <f t="shared" si="113"/>
        <v>OK</v>
      </c>
      <c r="I211" s="4">
        <f t="shared" si="114"/>
        <v>2017</v>
      </c>
      <c r="J211">
        <f t="shared" si="115"/>
        <v>24.064996363636364</v>
      </c>
      <c r="K211">
        <f t="shared" si="116"/>
        <v>5.5203123287671243</v>
      </c>
      <c r="R211" s="4">
        <f t="shared" si="117"/>
        <v>-0.63500363636363488</v>
      </c>
      <c r="S211" s="4">
        <f t="shared" si="118"/>
        <v>-5.179687671232875</v>
      </c>
    </row>
    <row r="212" spans="1:19" hidden="1" x14ac:dyDescent="0.35">
      <c r="A212" s="1">
        <v>42946</v>
      </c>
      <c r="B212" s="4">
        <v>25.2</v>
      </c>
      <c r="C212">
        <v>21.3</v>
      </c>
      <c r="D212">
        <v>30.7</v>
      </c>
      <c r="E212" s="4">
        <v>0</v>
      </c>
      <c r="F212" t="str">
        <f t="shared" si="111"/>
        <v>OK</v>
      </c>
      <c r="G212" t="str">
        <f t="shared" si="112"/>
        <v>OK</v>
      </c>
      <c r="H212" t="str">
        <f t="shared" si="113"/>
        <v>OK</v>
      </c>
      <c r="I212" s="4">
        <f t="shared" si="114"/>
        <v>2017</v>
      </c>
    </row>
    <row r="213" spans="1:19" x14ac:dyDescent="0.35">
      <c r="A213" s="1">
        <v>42947</v>
      </c>
      <c r="B213" s="4">
        <v>24.9</v>
      </c>
      <c r="C213">
        <v>22</v>
      </c>
      <c r="D213">
        <v>30.7</v>
      </c>
      <c r="E213" s="4">
        <v>1.3</v>
      </c>
      <c r="F213" t="str">
        <f t="shared" si="111"/>
        <v>OK</v>
      </c>
      <c r="G213" t="str">
        <f t="shared" si="112"/>
        <v>OK</v>
      </c>
      <c r="H213" t="str">
        <f t="shared" si="113"/>
        <v>OK</v>
      </c>
      <c r="I213" s="4">
        <f t="shared" si="114"/>
        <v>2017</v>
      </c>
      <c r="J213">
        <f t="shared" ref="J213:J215" si="119">( 377.84*B213 + 3903.1)/550</f>
        <v>24.202392727272724</v>
      </c>
      <c r="K213">
        <f t="shared" ref="K213:K215" si="120" xml:space="preserve"> (59.02*E213 + 1383.4)/365</f>
        <v>4.0003452054794524</v>
      </c>
      <c r="R213" s="4">
        <f t="shared" ref="R213:R215" si="121">J213-B213</f>
        <v>-0.69760727272727507</v>
      </c>
      <c r="S213" s="4">
        <f t="shared" ref="S213:S215" si="122">K213-E213</f>
        <v>2.7003452054794526</v>
      </c>
    </row>
    <row r="214" spans="1:19" x14ac:dyDescent="0.35">
      <c r="A214" s="1">
        <v>42948</v>
      </c>
      <c r="B214" s="4">
        <v>25.2</v>
      </c>
      <c r="C214">
        <v>21.4</v>
      </c>
      <c r="D214">
        <v>30.5</v>
      </c>
      <c r="E214" s="4">
        <v>8.4</v>
      </c>
      <c r="F214" t="str">
        <f t="shared" si="111"/>
        <v>OK</v>
      </c>
      <c r="G214" t="str">
        <f t="shared" si="112"/>
        <v>OK</v>
      </c>
      <c r="H214" t="str">
        <f t="shared" si="113"/>
        <v>OK</v>
      </c>
      <c r="I214" s="4">
        <f t="shared" si="114"/>
        <v>2017</v>
      </c>
      <c r="J214">
        <f t="shared" si="119"/>
        <v>24.408487272727271</v>
      </c>
      <c r="K214">
        <f t="shared" si="120"/>
        <v>5.1484054794520553</v>
      </c>
      <c r="R214" s="4">
        <f t="shared" si="121"/>
        <v>-0.79151272727272826</v>
      </c>
      <c r="S214" s="4">
        <f t="shared" si="122"/>
        <v>-3.2515945205479451</v>
      </c>
    </row>
    <row r="215" spans="1:19" x14ac:dyDescent="0.35">
      <c r="A215" s="1">
        <v>42949</v>
      </c>
      <c r="B215" s="4">
        <v>25.1</v>
      </c>
      <c r="C215">
        <v>21.6</v>
      </c>
      <c r="D215">
        <v>31.5</v>
      </c>
      <c r="E215" s="4">
        <v>1.8</v>
      </c>
      <c r="F215" t="str">
        <f t="shared" si="111"/>
        <v>OK</v>
      </c>
      <c r="G215" t="str">
        <f t="shared" si="112"/>
        <v>OK</v>
      </c>
      <c r="H215" t="str">
        <f t="shared" si="113"/>
        <v>OK</v>
      </c>
      <c r="I215" s="4">
        <f t="shared" si="114"/>
        <v>2017</v>
      </c>
      <c r="J215">
        <f t="shared" si="119"/>
        <v>24.33978909090909</v>
      </c>
      <c r="K215">
        <f t="shared" si="120"/>
        <v>4.0811945205479461</v>
      </c>
      <c r="R215" s="4">
        <f t="shared" si="121"/>
        <v>-0.76021090909091171</v>
      </c>
      <c r="S215" s="4">
        <f t="shared" si="122"/>
        <v>2.2811945205479462</v>
      </c>
    </row>
    <row r="216" spans="1:19" hidden="1" x14ac:dyDescent="0.35">
      <c r="A216" s="1">
        <v>42950</v>
      </c>
      <c r="B216" s="4">
        <v>24.3</v>
      </c>
      <c r="C216">
        <v>20.3</v>
      </c>
      <c r="D216">
        <v>31.2</v>
      </c>
      <c r="E216" s="4">
        <v>0</v>
      </c>
      <c r="F216" t="str">
        <f t="shared" si="111"/>
        <v>OK</v>
      </c>
      <c r="G216" t="str">
        <f t="shared" si="112"/>
        <v>OK</v>
      </c>
      <c r="H216" t="str">
        <f t="shared" si="113"/>
        <v>OK</v>
      </c>
      <c r="I216" s="4">
        <f t="shared" si="114"/>
        <v>2017</v>
      </c>
    </row>
    <row r="217" spans="1:19" hidden="1" x14ac:dyDescent="0.35">
      <c r="A217" s="1">
        <v>42951</v>
      </c>
      <c r="B217" s="4">
        <v>23.8</v>
      </c>
      <c r="C217">
        <v>20.3</v>
      </c>
      <c r="D217">
        <v>29.5</v>
      </c>
      <c r="E217" s="4">
        <v>0</v>
      </c>
      <c r="F217" t="str">
        <f t="shared" si="111"/>
        <v>OK</v>
      </c>
      <c r="G217" t="str">
        <f t="shared" si="112"/>
        <v>OK</v>
      </c>
      <c r="H217" t="str">
        <f t="shared" si="113"/>
        <v>OK</v>
      </c>
      <c r="I217" s="4">
        <f t="shared" si="114"/>
        <v>2017</v>
      </c>
    </row>
    <row r="218" spans="1:19" hidden="1" x14ac:dyDescent="0.35">
      <c r="A218" s="1">
        <v>42952</v>
      </c>
      <c r="B218" s="4">
        <v>24.4</v>
      </c>
      <c r="C218">
        <v>21.3</v>
      </c>
      <c r="D218">
        <v>29.5</v>
      </c>
      <c r="E218" s="4">
        <v>0</v>
      </c>
      <c r="F218" t="str">
        <f t="shared" si="111"/>
        <v>OK</v>
      </c>
      <c r="G218" t="str">
        <f t="shared" si="112"/>
        <v>OK</v>
      </c>
      <c r="H218" t="str">
        <f t="shared" si="113"/>
        <v>OK</v>
      </c>
      <c r="I218" s="4">
        <f t="shared" si="114"/>
        <v>2017</v>
      </c>
    </row>
    <row r="219" spans="1:19" hidden="1" x14ac:dyDescent="0.35">
      <c r="A219" s="1">
        <v>42953</v>
      </c>
      <c r="B219" s="4">
        <v>24.8</v>
      </c>
      <c r="C219">
        <v>21.3</v>
      </c>
      <c r="D219">
        <v>29.5</v>
      </c>
      <c r="E219" s="4">
        <v>0</v>
      </c>
      <c r="F219" t="str">
        <f t="shared" si="111"/>
        <v>OK</v>
      </c>
      <c r="G219" t="str">
        <f t="shared" si="112"/>
        <v>OK</v>
      </c>
      <c r="H219" t="str">
        <f t="shared" si="113"/>
        <v>OK</v>
      </c>
      <c r="I219" s="4">
        <f t="shared" si="114"/>
        <v>2017</v>
      </c>
    </row>
    <row r="220" spans="1:19" hidden="1" x14ac:dyDescent="0.35">
      <c r="A220" s="1">
        <v>42954</v>
      </c>
      <c r="B220" s="4">
        <v>25.7</v>
      </c>
      <c r="C220">
        <v>21.2</v>
      </c>
      <c r="D220">
        <v>30.2</v>
      </c>
      <c r="E220" s="4">
        <v>0</v>
      </c>
      <c r="F220" t="str">
        <f t="shared" si="111"/>
        <v>OK</v>
      </c>
      <c r="G220" t="str">
        <f t="shared" si="112"/>
        <v>OK</v>
      </c>
      <c r="H220" t="str">
        <f t="shared" si="113"/>
        <v>OK</v>
      </c>
      <c r="I220" s="4">
        <f t="shared" si="114"/>
        <v>2017</v>
      </c>
    </row>
    <row r="221" spans="1:19" hidden="1" x14ac:dyDescent="0.35">
      <c r="A221" s="1">
        <v>42955</v>
      </c>
      <c r="B221">
        <v>25.8</v>
      </c>
      <c r="C221">
        <v>22</v>
      </c>
      <c r="D221">
        <v>31.2</v>
      </c>
      <c r="E221"/>
      <c r="I221"/>
    </row>
    <row r="222" spans="1:19" x14ac:dyDescent="0.35">
      <c r="A222" s="1">
        <v>42956</v>
      </c>
      <c r="B222" s="4">
        <v>23.7</v>
      </c>
      <c r="C222">
        <v>21.9</v>
      </c>
      <c r="D222">
        <v>31.3</v>
      </c>
      <c r="E222" s="4">
        <v>1</v>
      </c>
      <c r="F222" t="str">
        <f t="shared" ref="F222:F255" si="123">IF(OR(B222 &lt; $N$30, B222 &gt; $N$67), "Outlier", "OK")</f>
        <v>OK</v>
      </c>
      <c r="G222" t="str">
        <f t="shared" ref="G222:G255" si="124">IF(OR(C222 &lt; $O$30, C222 &gt; $O$67), "Outlier", "OK")</f>
        <v>OK</v>
      </c>
      <c r="H222" t="str">
        <f t="shared" ref="H222:H255" si="125">IF(OR(D222 &lt; $P$30, D222 &gt; $P$67), "Outlier", "OK")</f>
        <v>OK</v>
      </c>
      <c r="I222" s="4">
        <f t="shared" ref="I222:I255" si="126">YEAR(A222)</f>
        <v>2017</v>
      </c>
      <c r="J222">
        <f t="shared" ref="J222:J225" si="127">( 377.84*B222 + 3903.1)/550</f>
        <v>23.378014545454544</v>
      </c>
      <c r="K222">
        <f t="shared" ref="K222:K225" si="128" xml:space="preserve"> (59.02*E222 + 1383.4)/365</f>
        <v>3.9518356164383563</v>
      </c>
      <c r="R222" s="4">
        <f t="shared" ref="R222:R225" si="129">J222-B222</f>
        <v>-0.32198545454545524</v>
      </c>
      <c r="S222" s="4">
        <f t="shared" ref="S222:S225" si="130">K222-E222</f>
        <v>2.9518356164383563</v>
      </c>
    </row>
    <row r="223" spans="1:19" x14ac:dyDescent="0.35">
      <c r="A223" s="1">
        <v>42957</v>
      </c>
      <c r="B223" s="4">
        <v>23.9</v>
      </c>
      <c r="C223">
        <v>20.7</v>
      </c>
      <c r="D223">
        <v>27.5</v>
      </c>
      <c r="E223" s="4">
        <v>13</v>
      </c>
      <c r="F223" t="str">
        <f t="shared" si="123"/>
        <v>OK</v>
      </c>
      <c r="G223" t="str">
        <f t="shared" si="124"/>
        <v>OK</v>
      </c>
      <c r="H223" t="str">
        <f t="shared" si="125"/>
        <v>OK</v>
      </c>
      <c r="I223" s="4">
        <f t="shared" si="126"/>
        <v>2017</v>
      </c>
      <c r="J223">
        <f t="shared" si="127"/>
        <v>23.515410909090907</v>
      </c>
      <c r="K223">
        <f t="shared" si="128"/>
        <v>5.8922191780821915</v>
      </c>
      <c r="R223" s="4">
        <f t="shared" si="129"/>
        <v>-0.38458909090909188</v>
      </c>
      <c r="S223" s="4">
        <f t="shared" si="130"/>
        <v>-7.1077808219178085</v>
      </c>
    </row>
    <row r="224" spans="1:19" x14ac:dyDescent="0.35">
      <c r="A224" s="1">
        <v>42958</v>
      </c>
      <c r="B224" s="4">
        <v>23.5</v>
      </c>
      <c r="C224">
        <v>19.8</v>
      </c>
      <c r="D224">
        <v>28</v>
      </c>
      <c r="E224" s="4">
        <v>4.0999999999999996</v>
      </c>
      <c r="F224" t="str">
        <f t="shared" si="123"/>
        <v>OK</v>
      </c>
      <c r="G224" t="str">
        <f t="shared" si="124"/>
        <v>OK</v>
      </c>
      <c r="H224" t="str">
        <f t="shared" si="125"/>
        <v>OK</v>
      </c>
      <c r="I224" s="4">
        <f t="shared" si="126"/>
        <v>2017</v>
      </c>
      <c r="J224">
        <f t="shared" si="127"/>
        <v>23.240618181818181</v>
      </c>
      <c r="K224">
        <f t="shared" si="128"/>
        <v>4.4531013698630142</v>
      </c>
      <c r="R224" s="4">
        <f t="shared" si="129"/>
        <v>-0.2593818181818186</v>
      </c>
      <c r="S224" s="4">
        <f t="shared" si="130"/>
        <v>0.35310136986301455</v>
      </c>
    </row>
    <row r="225" spans="1:19" x14ac:dyDescent="0.35">
      <c r="A225" s="1">
        <v>42959</v>
      </c>
      <c r="B225" s="4">
        <v>23.6</v>
      </c>
      <c r="C225">
        <v>20.5</v>
      </c>
      <c r="D225">
        <v>28.2</v>
      </c>
      <c r="E225" s="4">
        <v>16.5</v>
      </c>
      <c r="F225" t="str">
        <f t="shared" si="123"/>
        <v>OK</v>
      </c>
      <c r="G225" t="str">
        <f t="shared" si="124"/>
        <v>OK</v>
      </c>
      <c r="H225" t="str">
        <f t="shared" si="125"/>
        <v>OK</v>
      </c>
      <c r="I225" s="4">
        <f t="shared" si="126"/>
        <v>2017</v>
      </c>
      <c r="J225">
        <f t="shared" si="127"/>
        <v>23.309316363636363</v>
      </c>
      <c r="K225">
        <f t="shared" si="128"/>
        <v>6.4581643835616438</v>
      </c>
      <c r="R225" s="4">
        <f t="shared" si="129"/>
        <v>-0.2906836363636387</v>
      </c>
      <c r="S225" s="4">
        <f t="shared" si="130"/>
        <v>-10.041835616438355</v>
      </c>
    </row>
    <row r="226" spans="1:19" hidden="1" x14ac:dyDescent="0.35">
      <c r="A226" s="1">
        <v>42960</v>
      </c>
      <c r="B226" s="4">
        <v>23.3</v>
      </c>
      <c r="C226">
        <v>21.2</v>
      </c>
      <c r="D226">
        <v>27.6</v>
      </c>
      <c r="E226" s="4">
        <v>0</v>
      </c>
      <c r="F226" t="str">
        <f t="shared" si="123"/>
        <v>OK</v>
      </c>
      <c r="G226" t="str">
        <f t="shared" si="124"/>
        <v>OK</v>
      </c>
      <c r="H226" t="str">
        <f t="shared" si="125"/>
        <v>OK</v>
      </c>
      <c r="I226" s="4">
        <f t="shared" si="126"/>
        <v>2017</v>
      </c>
    </row>
    <row r="227" spans="1:19" hidden="1" x14ac:dyDescent="0.35">
      <c r="A227" s="1">
        <v>42961</v>
      </c>
      <c r="B227" s="4">
        <v>24.7</v>
      </c>
      <c r="C227">
        <v>21.6</v>
      </c>
      <c r="D227">
        <v>28.8</v>
      </c>
      <c r="E227" s="4">
        <v>0</v>
      </c>
      <c r="F227" t="str">
        <f t="shared" si="123"/>
        <v>OK</v>
      </c>
      <c r="G227" t="str">
        <f t="shared" si="124"/>
        <v>OK</v>
      </c>
      <c r="H227" t="str">
        <f t="shared" si="125"/>
        <v>OK</v>
      </c>
      <c r="I227" s="4">
        <f t="shared" si="126"/>
        <v>2017</v>
      </c>
    </row>
    <row r="228" spans="1:19" x14ac:dyDescent="0.35">
      <c r="A228" s="1">
        <v>42962</v>
      </c>
      <c r="B228" s="4">
        <v>22.6</v>
      </c>
      <c r="C228">
        <v>19.2</v>
      </c>
      <c r="D228">
        <v>28.3</v>
      </c>
      <c r="E228" s="4">
        <v>128.80000000000001</v>
      </c>
      <c r="F228" t="str">
        <f t="shared" si="123"/>
        <v>OK</v>
      </c>
      <c r="G228" t="str">
        <f t="shared" si="124"/>
        <v>OK</v>
      </c>
      <c r="H228" t="str">
        <f t="shared" si="125"/>
        <v>OK</v>
      </c>
      <c r="I228" s="4">
        <f t="shared" si="126"/>
        <v>2017</v>
      </c>
      <c r="J228">
        <f t="shared" ref="J228:J234" si="131">( 377.84*B228 + 3903.1)/550</f>
        <v>22.622334545454546</v>
      </c>
      <c r="K228">
        <f t="shared" ref="K228:K234" si="132" xml:space="preserve"> (59.02*E228 + 1383.4)/365</f>
        <v>24.61692054794521</v>
      </c>
      <c r="R228" s="4">
        <f t="shared" ref="R228:R234" si="133">J228-B228</f>
        <v>2.2334545454544497E-2</v>
      </c>
      <c r="S228" s="4">
        <f t="shared" ref="S228:S234" si="134">K228-E228</f>
        <v>-104.1830794520548</v>
      </c>
    </row>
    <row r="229" spans="1:19" x14ac:dyDescent="0.35">
      <c r="A229" s="1">
        <v>42963</v>
      </c>
      <c r="B229" s="4">
        <v>23</v>
      </c>
      <c r="C229">
        <v>20</v>
      </c>
      <c r="D229">
        <v>27.4</v>
      </c>
      <c r="E229" s="4">
        <v>30.5</v>
      </c>
      <c r="F229" t="str">
        <f t="shared" si="123"/>
        <v>OK</v>
      </c>
      <c r="G229" t="str">
        <f t="shared" si="124"/>
        <v>OK</v>
      </c>
      <c r="H229" t="str">
        <f t="shared" si="125"/>
        <v>OK</v>
      </c>
      <c r="I229" s="4">
        <f t="shared" si="126"/>
        <v>2017</v>
      </c>
      <c r="J229">
        <f t="shared" si="131"/>
        <v>22.897127272727271</v>
      </c>
      <c r="K229">
        <f t="shared" si="132"/>
        <v>8.721945205479452</v>
      </c>
      <c r="R229" s="4">
        <f t="shared" si="133"/>
        <v>-0.10287272727272878</v>
      </c>
      <c r="S229" s="4">
        <f t="shared" si="134"/>
        <v>-21.77805479452055</v>
      </c>
    </row>
    <row r="230" spans="1:19" x14ac:dyDescent="0.35">
      <c r="A230" s="1">
        <v>42964</v>
      </c>
      <c r="B230" s="4">
        <v>23.2</v>
      </c>
      <c r="C230">
        <v>19.8</v>
      </c>
      <c r="D230">
        <v>28.5</v>
      </c>
      <c r="E230" s="4">
        <v>26.4</v>
      </c>
      <c r="F230" t="str">
        <f t="shared" si="123"/>
        <v>OK</v>
      </c>
      <c r="G230" t="str">
        <f t="shared" si="124"/>
        <v>OK</v>
      </c>
      <c r="H230" t="str">
        <f t="shared" si="125"/>
        <v>OK</v>
      </c>
      <c r="I230" s="4">
        <f t="shared" si="126"/>
        <v>2017</v>
      </c>
      <c r="J230">
        <f t="shared" si="131"/>
        <v>23.034523636363634</v>
      </c>
      <c r="K230">
        <f t="shared" si="132"/>
        <v>8.0589808219178085</v>
      </c>
      <c r="R230" s="4">
        <f t="shared" si="133"/>
        <v>-0.16547636363636542</v>
      </c>
      <c r="S230" s="4">
        <f t="shared" si="134"/>
        <v>-18.341019178082192</v>
      </c>
    </row>
    <row r="231" spans="1:19" x14ac:dyDescent="0.35">
      <c r="A231" s="1">
        <v>42965</v>
      </c>
      <c r="B231" s="4">
        <v>23.2</v>
      </c>
      <c r="C231">
        <v>20.399999999999999</v>
      </c>
      <c r="D231">
        <v>29.2</v>
      </c>
      <c r="E231" s="4">
        <v>7.9</v>
      </c>
      <c r="F231" t="str">
        <f t="shared" si="123"/>
        <v>OK</v>
      </c>
      <c r="G231" t="str">
        <f t="shared" si="124"/>
        <v>OK</v>
      </c>
      <c r="H231" t="str">
        <f t="shared" si="125"/>
        <v>OK</v>
      </c>
      <c r="I231" s="4">
        <f t="shared" si="126"/>
        <v>2017</v>
      </c>
      <c r="J231">
        <f t="shared" si="131"/>
        <v>23.034523636363634</v>
      </c>
      <c r="K231">
        <f t="shared" si="132"/>
        <v>5.0675561643835616</v>
      </c>
      <c r="R231" s="4">
        <f t="shared" si="133"/>
        <v>-0.16547636363636542</v>
      </c>
      <c r="S231" s="4">
        <f t="shared" si="134"/>
        <v>-2.8324438356164388</v>
      </c>
    </row>
    <row r="232" spans="1:19" x14ac:dyDescent="0.35">
      <c r="A232" s="1">
        <v>42966</v>
      </c>
      <c r="B232" s="4">
        <v>22.6</v>
      </c>
      <c r="C232">
        <v>20.3</v>
      </c>
      <c r="D232">
        <v>28.9</v>
      </c>
      <c r="E232" s="4">
        <v>5.3</v>
      </c>
      <c r="F232" t="str">
        <f t="shared" si="123"/>
        <v>OK</v>
      </c>
      <c r="G232" t="str">
        <f t="shared" si="124"/>
        <v>OK</v>
      </c>
      <c r="H232" t="str">
        <f t="shared" si="125"/>
        <v>OK</v>
      </c>
      <c r="I232" s="4">
        <f t="shared" si="126"/>
        <v>2017</v>
      </c>
      <c r="J232">
        <f t="shared" si="131"/>
        <v>22.622334545454546</v>
      </c>
      <c r="K232">
        <f t="shared" si="132"/>
        <v>4.6471397260273974</v>
      </c>
      <c r="R232" s="4">
        <f t="shared" si="133"/>
        <v>2.2334545454544497E-2</v>
      </c>
      <c r="S232" s="4">
        <f t="shared" si="134"/>
        <v>-0.65286027397260238</v>
      </c>
    </row>
    <row r="233" spans="1:19" x14ac:dyDescent="0.35">
      <c r="A233" s="1">
        <v>42967</v>
      </c>
      <c r="B233" s="4">
        <v>22.3</v>
      </c>
      <c r="C233">
        <v>20.3</v>
      </c>
      <c r="D233">
        <v>28.6</v>
      </c>
      <c r="E233" s="4">
        <v>13.2</v>
      </c>
      <c r="F233" t="str">
        <f t="shared" si="123"/>
        <v>OK</v>
      </c>
      <c r="G233" t="str">
        <f t="shared" si="124"/>
        <v>OK</v>
      </c>
      <c r="H233" t="str">
        <f t="shared" si="125"/>
        <v>OK</v>
      </c>
      <c r="I233" s="4">
        <f t="shared" si="126"/>
        <v>2017</v>
      </c>
      <c r="J233">
        <f t="shared" si="131"/>
        <v>22.416240000000002</v>
      </c>
      <c r="K233">
        <f t="shared" si="132"/>
        <v>5.9245589041095892</v>
      </c>
      <c r="R233" s="4">
        <f t="shared" si="133"/>
        <v>0.11624000000000123</v>
      </c>
      <c r="S233" s="4">
        <f t="shared" si="134"/>
        <v>-7.2754410958904101</v>
      </c>
    </row>
    <row r="234" spans="1:19" x14ac:dyDescent="0.35">
      <c r="A234" s="1">
        <v>42968</v>
      </c>
      <c r="B234" s="4">
        <v>23.6</v>
      </c>
      <c r="C234">
        <v>20.3</v>
      </c>
      <c r="D234">
        <v>28.8</v>
      </c>
      <c r="E234" s="4">
        <v>3.3</v>
      </c>
      <c r="F234" t="str">
        <f t="shared" si="123"/>
        <v>OK</v>
      </c>
      <c r="G234" t="str">
        <f t="shared" si="124"/>
        <v>OK</v>
      </c>
      <c r="H234" t="str">
        <f t="shared" si="125"/>
        <v>OK</v>
      </c>
      <c r="I234" s="4">
        <f t="shared" si="126"/>
        <v>2017</v>
      </c>
      <c r="J234">
        <f t="shared" si="131"/>
        <v>23.309316363636363</v>
      </c>
      <c r="K234">
        <f t="shared" si="132"/>
        <v>4.3237424657534254</v>
      </c>
      <c r="R234" s="4">
        <f t="shared" si="133"/>
        <v>-0.2906836363636387</v>
      </c>
      <c r="S234" s="4">
        <f t="shared" si="134"/>
        <v>1.0237424657534255</v>
      </c>
    </row>
    <row r="235" spans="1:19" hidden="1" x14ac:dyDescent="0.35">
      <c r="A235" s="1">
        <v>42969</v>
      </c>
      <c r="B235" s="4">
        <v>23.4</v>
      </c>
      <c r="C235">
        <v>20.2</v>
      </c>
      <c r="D235">
        <v>28</v>
      </c>
      <c r="E235" s="4">
        <v>0</v>
      </c>
      <c r="F235" t="str">
        <f t="shared" si="123"/>
        <v>OK</v>
      </c>
      <c r="G235" t="str">
        <f t="shared" si="124"/>
        <v>OK</v>
      </c>
      <c r="H235" t="str">
        <f t="shared" si="125"/>
        <v>OK</v>
      </c>
      <c r="I235" s="4">
        <f t="shared" si="126"/>
        <v>2017</v>
      </c>
    </row>
    <row r="236" spans="1:19" x14ac:dyDescent="0.35">
      <c r="A236" s="1">
        <v>42970</v>
      </c>
      <c r="B236" s="4">
        <v>24</v>
      </c>
      <c r="C236">
        <v>20.6</v>
      </c>
      <c r="D236">
        <v>28</v>
      </c>
      <c r="E236" s="4">
        <v>10.9</v>
      </c>
      <c r="F236" t="str">
        <f t="shared" si="123"/>
        <v>OK</v>
      </c>
      <c r="G236" t="str">
        <f t="shared" si="124"/>
        <v>OK</v>
      </c>
      <c r="H236" t="str">
        <f t="shared" si="125"/>
        <v>OK</v>
      </c>
      <c r="I236" s="4">
        <f t="shared" si="126"/>
        <v>2017</v>
      </c>
      <c r="J236">
        <f t="shared" ref="J236:J241" si="135">( 377.84*B236 + 3903.1)/550</f>
        <v>23.584109090909092</v>
      </c>
      <c r="K236">
        <f t="shared" ref="K236:K241" si="136" xml:space="preserve"> (59.02*E236 + 1383.4)/365</f>
        <v>5.5526520547945211</v>
      </c>
      <c r="R236" s="4">
        <f t="shared" ref="R236:R241" si="137">J236-B236</f>
        <v>-0.41589090909090842</v>
      </c>
      <c r="S236" s="4">
        <f t="shared" ref="S236:S241" si="138">K236-E236</f>
        <v>-5.3473479452054793</v>
      </c>
    </row>
    <row r="237" spans="1:19" x14ac:dyDescent="0.35">
      <c r="A237" s="1">
        <v>42971</v>
      </c>
      <c r="B237" s="4">
        <v>23</v>
      </c>
      <c r="C237">
        <v>20.6</v>
      </c>
      <c r="D237">
        <v>28.6</v>
      </c>
      <c r="E237" s="4">
        <v>42.4</v>
      </c>
      <c r="F237" t="str">
        <f t="shared" si="123"/>
        <v>OK</v>
      </c>
      <c r="G237" t="str">
        <f t="shared" si="124"/>
        <v>OK</v>
      </c>
      <c r="H237" t="str">
        <f t="shared" si="125"/>
        <v>OK</v>
      </c>
      <c r="I237" s="4">
        <f t="shared" si="126"/>
        <v>2017</v>
      </c>
      <c r="J237">
        <f t="shared" si="135"/>
        <v>22.897127272727271</v>
      </c>
      <c r="K237">
        <f t="shared" si="136"/>
        <v>10.646158904109589</v>
      </c>
      <c r="R237" s="4">
        <f t="shared" si="137"/>
        <v>-0.10287272727272878</v>
      </c>
      <c r="S237" s="4">
        <f t="shared" si="138"/>
        <v>-31.753841095890408</v>
      </c>
    </row>
    <row r="238" spans="1:19" x14ac:dyDescent="0.35">
      <c r="A238" s="1">
        <v>42972</v>
      </c>
      <c r="B238" s="4">
        <v>22.8</v>
      </c>
      <c r="C238">
        <v>20.5</v>
      </c>
      <c r="D238">
        <v>26.8</v>
      </c>
      <c r="E238" s="4">
        <v>31.8</v>
      </c>
      <c r="F238" t="str">
        <f t="shared" si="123"/>
        <v>OK</v>
      </c>
      <c r="G238" t="str">
        <f t="shared" si="124"/>
        <v>OK</v>
      </c>
      <c r="H238" t="str">
        <f t="shared" si="125"/>
        <v>OK</v>
      </c>
      <c r="I238" s="4">
        <f t="shared" si="126"/>
        <v>2017</v>
      </c>
      <c r="J238">
        <f t="shared" si="135"/>
        <v>22.759730909090912</v>
      </c>
      <c r="K238">
        <f t="shared" si="136"/>
        <v>8.9321534246575354</v>
      </c>
      <c r="R238" s="4">
        <f t="shared" si="137"/>
        <v>-4.026909090908859E-2</v>
      </c>
      <c r="S238" s="4">
        <f t="shared" si="138"/>
        <v>-22.867846575342465</v>
      </c>
    </row>
    <row r="239" spans="1:19" x14ac:dyDescent="0.35">
      <c r="A239" s="1">
        <v>42973</v>
      </c>
      <c r="B239" s="4">
        <v>23.8</v>
      </c>
      <c r="C239">
        <v>20.8</v>
      </c>
      <c r="D239">
        <v>29.8</v>
      </c>
      <c r="E239" s="4">
        <v>0.3</v>
      </c>
      <c r="F239" t="str">
        <f t="shared" si="123"/>
        <v>OK</v>
      </c>
      <c r="G239" t="str">
        <f t="shared" si="124"/>
        <v>OK</v>
      </c>
      <c r="H239" t="str">
        <f t="shared" si="125"/>
        <v>OK</v>
      </c>
      <c r="I239" s="4">
        <f t="shared" si="126"/>
        <v>2017</v>
      </c>
      <c r="J239">
        <f t="shared" si="135"/>
        <v>23.446712727272729</v>
      </c>
      <c r="K239">
        <f t="shared" si="136"/>
        <v>3.8386465753424659</v>
      </c>
      <c r="R239" s="4">
        <f t="shared" si="137"/>
        <v>-0.35328727272727178</v>
      </c>
      <c r="S239" s="4">
        <f t="shared" si="138"/>
        <v>3.5386465753424661</v>
      </c>
    </row>
    <row r="240" spans="1:19" x14ac:dyDescent="0.35">
      <c r="A240" s="1">
        <v>42974</v>
      </c>
      <c r="B240" s="4">
        <v>22.3</v>
      </c>
      <c r="C240">
        <v>21</v>
      </c>
      <c r="D240">
        <v>28.5</v>
      </c>
      <c r="E240" s="4">
        <v>0.3</v>
      </c>
      <c r="F240" t="str">
        <f t="shared" si="123"/>
        <v>OK</v>
      </c>
      <c r="G240" t="str">
        <f t="shared" si="124"/>
        <v>OK</v>
      </c>
      <c r="H240" t="str">
        <f t="shared" si="125"/>
        <v>OK</v>
      </c>
      <c r="I240" s="4">
        <f t="shared" si="126"/>
        <v>2017</v>
      </c>
      <c r="J240">
        <f t="shared" si="135"/>
        <v>22.416240000000002</v>
      </c>
      <c r="K240">
        <f t="shared" si="136"/>
        <v>3.8386465753424659</v>
      </c>
      <c r="R240" s="4">
        <f t="shared" si="137"/>
        <v>0.11624000000000123</v>
      </c>
      <c r="S240" s="4">
        <f t="shared" si="138"/>
        <v>3.5386465753424661</v>
      </c>
    </row>
    <row r="241" spans="1:19" x14ac:dyDescent="0.35">
      <c r="A241" s="1">
        <v>42975</v>
      </c>
      <c r="B241" s="4">
        <v>22.8</v>
      </c>
      <c r="C241">
        <v>20.5</v>
      </c>
      <c r="D241">
        <v>26.5</v>
      </c>
      <c r="E241" s="4">
        <v>6.1</v>
      </c>
      <c r="F241" t="str">
        <f t="shared" si="123"/>
        <v>OK</v>
      </c>
      <c r="G241" t="str">
        <f t="shared" si="124"/>
        <v>OK</v>
      </c>
      <c r="H241" t="str">
        <f t="shared" si="125"/>
        <v>OK</v>
      </c>
      <c r="I241" s="4">
        <f t="shared" si="126"/>
        <v>2017</v>
      </c>
      <c r="J241">
        <f t="shared" si="135"/>
        <v>22.759730909090912</v>
      </c>
      <c r="K241">
        <f t="shared" si="136"/>
        <v>4.7764986301369863</v>
      </c>
      <c r="R241" s="4">
        <f t="shared" si="137"/>
        <v>-4.026909090908859E-2</v>
      </c>
      <c r="S241" s="4">
        <f t="shared" si="138"/>
        <v>-1.3235013698630134</v>
      </c>
    </row>
    <row r="242" spans="1:19" hidden="1" x14ac:dyDescent="0.35">
      <c r="A242" s="1">
        <v>42976</v>
      </c>
      <c r="B242" s="4">
        <v>22.4</v>
      </c>
      <c r="C242">
        <v>20.5</v>
      </c>
      <c r="D242">
        <v>26.2</v>
      </c>
      <c r="E242" s="4">
        <v>0</v>
      </c>
      <c r="F242" t="str">
        <f t="shared" si="123"/>
        <v>OK</v>
      </c>
      <c r="G242" t="str">
        <f t="shared" si="124"/>
        <v>OK</v>
      </c>
      <c r="H242" t="str">
        <f t="shared" si="125"/>
        <v>OK</v>
      </c>
      <c r="I242" s="4">
        <f t="shared" si="126"/>
        <v>2017</v>
      </c>
    </row>
    <row r="243" spans="1:19" hidden="1" x14ac:dyDescent="0.35">
      <c r="A243" s="1">
        <v>42977</v>
      </c>
      <c r="B243" s="4">
        <v>24.5</v>
      </c>
      <c r="C243">
        <v>21.1</v>
      </c>
      <c r="D243">
        <v>29.7</v>
      </c>
      <c r="E243" s="4">
        <v>0</v>
      </c>
      <c r="F243" t="str">
        <f t="shared" si="123"/>
        <v>OK</v>
      </c>
      <c r="G243" t="str">
        <f t="shared" si="124"/>
        <v>OK</v>
      </c>
      <c r="H243" t="str">
        <f t="shared" si="125"/>
        <v>OK</v>
      </c>
      <c r="I243" s="4">
        <f t="shared" si="126"/>
        <v>2017</v>
      </c>
    </row>
    <row r="244" spans="1:19" hidden="1" x14ac:dyDescent="0.35">
      <c r="A244" s="1">
        <v>42978</v>
      </c>
      <c r="B244" s="4">
        <v>24.8</v>
      </c>
      <c r="C244">
        <v>21</v>
      </c>
      <c r="D244">
        <v>29.9</v>
      </c>
      <c r="E244" s="4">
        <v>0</v>
      </c>
      <c r="F244" t="str">
        <f t="shared" si="123"/>
        <v>OK</v>
      </c>
      <c r="G244" t="str">
        <f t="shared" si="124"/>
        <v>OK</v>
      </c>
      <c r="H244" t="str">
        <f t="shared" si="125"/>
        <v>OK</v>
      </c>
      <c r="I244" s="4">
        <f t="shared" si="126"/>
        <v>2017</v>
      </c>
    </row>
    <row r="245" spans="1:19" x14ac:dyDescent="0.35">
      <c r="A245" s="1">
        <v>42979</v>
      </c>
      <c r="B245" s="4">
        <v>23.7</v>
      </c>
      <c r="C245">
        <v>19.8</v>
      </c>
      <c r="D245">
        <v>30.6</v>
      </c>
      <c r="E245" s="4">
        <v>71.900000000000006</v>
      </c>
      <c r="F245" t="str">
        <f t="shared" si="123"/>
        <v>OK</v>
      </c>
      <c r="G245" t="str">
        <f t="shared" si="124"/>
        <v>OK</v>
      </c>
      <c r="H245" t="str">
        <f t="shared" si="125"/>
        <v>OK</v>
      </c>
      <c r="I245" s="4">
        <f t="shared" si="126"/>
        <v>2017</v>
      </c>
      <c r="J245">
        <f t="shared" ref="J245:J254" si="139">( 377.84*B245 + 3903.1)/550</f>
        <v>23.378014545454544</v>
      </c>
      <c r="K245">
        <f t="shared" ref="K245:K254" si="140" xml:space="preserve"> (59.02*E245 + 1383.4)/365</f>
        <v>15.416268493150685</v>
      </c>
      <c r="R245" s="4">
        <f t="shared" ref="R245:R254" si="141">J245-B245</f>
        <v>-0.32198545454545524</v>
      </c>
      <c r="S245" s="4">
        <f t="shared" ref="S245:S254" si="142">K245-E245</f>
        <v>-56.483731506849324</v>
      </c>
    </row>
    <row r="246" spans="1:19" x14ac:dyDescent="0.35">
      <c r="A246" s="1">
        <v>42980</v>
      </c>
      <c r="B246" s="4">
        <v>22.5</v>
      </c>
      <c r="C246">
        <v>20.8</v>
      </c>
      <c r="D246">
        <v>27.8</v>
      </c>
      <c r="E246" s="4">
        <v>33</v>
      </c>
      <c r="F246" t="str">
        <f t="shared" si="123"/>
        <v>OK</v>
      </c>
      <c r="G246" t="str">
        <f t="shared" si="124"/>
        <v>OK</v>
      </c>
      <c r="H246" t="str">
        <f t="shared" si="125"/>
        <v>OK</v>
      </c>
      <c r="I246" s="4">
        <f t="shared" si="126"/>
        <v>2017</v>
      </c>
      <c r="J246">
        <f t="shared" si="139"/>
        <v>22.553636363636365</v>
      </c>
      <c r="K246">
        <f t="shared" si="140"/>
        <v>9.1261917808219195</v>
      </c>
      <c r="R246" s="4">
        <f t="shared" si="141"/>
        <v>5.3636363636364592E-2</v>
      </c>
      <c r="S246" s="4">
        <f t="shared" si="142"/>
        <v>-23.87380821917808</v>
      </c>
    </row>
    <row r="247" spans="1:19" x14ac:dyDescent="0.35">
      <c r="A247" s="1">
        <v>42981</v>
      </c>
      <c r="B247" s="4">
        <v>23.2</v>
      </c>
      <c r="C247">
        <v>19.899999999999999</v>
      </c>
      <c r="D247">
        <v>27.3</v>
      </c>
      <c r="E247" s="4">
        <v>21.8</v>
      </c>
      <c r="F247" t="str">
        <f t="shared" si="123"/>
        <v>OK</v>
      </c>
      <c r="G247" t="str">
        <f t="shared" si="124"/>
        <v>OK</v>
      </c>
      <c r="H247" t="str">
        <f t="shared" si="125"/>
        <v>OK</v>
      </c>
      <c r="I247" s="4">
        <f t="shared" si="126"/>
        <v>2017</v>
      </c>
      <c r="J247">
        <f t="shared" si="139"/>
        <v>23.034523636363634</v>
      </c>
      <c r="K247">
        <f t="shared" si="140"/>
        <v>7.3151671232876714</v>
      </c>
      <c r="R247" s="4">
        <f t="shared" si="141"/>
        <v>-0.16547636363636542</v>
      </c>
      <c r="S247" s="4">
        <f t="shared" si="142"/>
        <v>-14.484832876712328</v>
      </c>
    </row>
    <row r="248" spans="1:19" x14ac:dyDescent="0.35">
      <c r="A248" s="1">
        <v>42982</v>
      </c>
      <c r="B248" s="4">
        <v>24.7</v>
      </c>
      <c r="C248">
        <v>18.7</v>
      </c>
      <c r="D248">
        <v>29.8</v>
      </c>
      <c r="E248" s="4">
        <v>56.9</v>
      </c>
      <c r="F248" t="str">
        <f t="shared" si="123"/>
        <v>OK</v>
      </c>
      <c r="G248" t="str">
        <f t="shared" si="124"/>
        <v>OK</v>
      </c>
      <c r="H248" t="str">
        <f t="shared" si="125"/>
        <v>OK</v>
      </c>
      <c r="I248" s="4">
        <f t="shared" si="126"/>
        <v>2017</v>
      </c>
      <c r="J248">
        <f t="shared" si="139"/>
        <v>24.064996363636364</v>
      </c>
      <c r="K248">
        <f t="shared" si="140"/>
        <v>12.990789041095892</v>
      </c>
      <c r="R248" s="4">
        <f t="shared" si="141"/>
        <v>-0.63500363636363488</v>
      </c>
      <c r="S248" s="4">
        <f t="shared" si="142"/>
        <v>-43.909210958904104</v>
      </c>
    </row>
    <row r="249" spans="1:19" x14ac:dyDescent="0.35">
      <c r="A249" s="1">
        <v>42983</v>
      </c>
      <c r="B249" s="4">
        <v>24.8</v>
      </c>
      <c r="C249">
        <v>19.899999999999999</v>
      </c>
      <c r="D249">
        <v>30.2</v>
      </c>
      <c r="E249" s="4">
        <v>2.5</v>
      </c>
      <c r="F249" t="str">
        <f t="shared" si="123"/>
        <v>OK</v>
      </c>
      <c r="G249" t="str">
        <f t="shared" si="124"/>
        <v>OK</v>
      </c>
      <c r="H249" t="str">
        <f t="shared" si="125"/>
        <v>OK</v>
      </c>
      <c r="I249" s="4">
        <f t="shared" si="126"/>
        <v>2017</v>
      </c>
      <c r="J249">
        <f t="shared" si="139"/>
        <v>24.133694545454546</v>
      </c>
      <c r="K249">
        <f t="shared" si="140"/>
        <v>4.1943835616438356</v>
      </c>
      <c r="R249" s="4">
        <f t="shared" si="141"/>
        <v>-0.66630545454545498</v>
      </c>
      <c r="S249" s="4">
        <f t="shared" si="142"/>
        <v>1.6943835616438356</v>
      </c>
    </row>
    <row r="250" spans="1:19" x14ac:dyDescent="0.35">
      <c r="A250" s="1">
        <v>42984</v>
      </c>
      <c r="B250" s="4">
        <v>23</v>
      </c>
      <c r="C250">
        <v>19.8</v>
      </c>
      <c r="D250">
        <v>29.8</v>
      </c>
      <c r="E250" s="4">
        <v>15.5</v>
      </c>
      <c r="F250" t="str">
        <f t="shared" si="123"/>
        <v>OK</v>
      </c>
      <c r="G250" t="str">
        <f t="shared" si="124"/>
        <v>OK</v>
      </c>
      <c r="H250" t="str">
        <f t="shared" si="125"/>
        <v>OK</v>
      </c>
      <c r="I250" s="4">
        <f t="shared" si="126"/>
        <v>2017</v>
      </c>
      <c r="J250">
        <f t="shared" si="139"/>
        <v>22.897127272727271</v>
      </c>
      <c r="K250">
        <f t="shared" si="140"/>
        <v>6.2964657534246573</v>
      </c>
      <c r="R250" s="4">
        <f t="shared" si="141"/>
        <v>-0.10287272727272878</v>
      </c>
      <c r="S250" s="4">
        <f t="shared" si="142"/>
        <v>-9.2035342465753427</v>
      </c>
    </row>
    <row r="251" spans="1:19" x14ac:dyDescent="0.35">
      <c r="A251" s="1">
        <v>42985</v>
      </c>
      <c r="B251" s="4">
        <v>24.1</v>
      </c>
      <c r="C251">
        <v>21.3</v>
      </c>
      <c r="D251">
        <v>28.5</v>
      </c>
      <c r="E251" s="4">
        <v>6.6</v>
      </c>
      <c r="F251" t="str">
        <f t="shared" si="123"/>
        <v>OK</v>
      </c>
      <c r="G251" t="str">
        <f t="shared" si="124"/>
        <v>OK</v>
      </c>
      <c r="H251" t="str">
        <f t="shared" si="125"/>
        <v>OK</v>
      </c>
      <c r="I251" s="4">
        <f t="shared" si="126"/>
        <v>2017</v>
      </c>
      <c r="J251">
        <f t="shared" si="139"/>
        <v>23.652807272727273</v>
      </c>
      <c r="K251">
        <f t="shared" si="140"/>
        <v>4.8573479452054791</v>
      </c>
      <c r="R251" s="4">
        <f t="shared" si="141"/>
        <v>-0.44719272727272852</v>
      </c>
      <c r="S251" s="4">
        <f t="shared" si="142"/>
        <v>-1.7426520547945206</v>
      </c>
    </row>
    <row r="252" spans="1:19" x14ac:dyDescent="0.35">
      <c r="A252" s="1">
        <v>42986</v>
      </c>
      <c r="B252" s="4">
        <v>23.2</v>
      </c>
      <c r="C252">
        <v>19.8</v>
      </c>
      <c r="D252">
        <v>29.3</v>
      </c>
      <c r="E252" s="4">
        <v>1.3</v>
      </c>
      <c r="F252" t="str">
        <f t="shared" si="123"/>
        <v>OK</v>
      </c>
      <c r="G252" t="str">
        <f t="shared" si="124"/>
        <v>OK</v>
      </c>
      <c r="H252" t="str">
        <f t="shared" si="125"/>
        <v>OK</v>
      </c>
      <c r="I252" s="4">
        <f t="shared" si="126"/>
        <v>2017</v>
      </c>
      <c r="J252">
        <f t="shared" si="139"/>
        <v>23.034523636363634</v>
      </c>
      <c r="K252">
        <f t="shared" si="140"/>
        <v>4.0003452054794524</v>
      </c>
      <c r="R252" s="4">
        <f t="shared" si="141"/>
        <v>-0.16547636363636542</v>
      </c>
      <c r="S252" s="4">
        <f t="shared" si="142"/>
        <v>2.7003452054794526</v>
      </c>
    </row>
    <row r="253" spans="1:19" x14ac:dyDescent="0.35">
      <c r="A253" s="1">
        <v>42987</v>
      </c>
      <c r="B253" s="4">
        <v>23.6</v>
      </c>
      <c r="C253">
        <v>20</v>
      </c>
      <c r="D253">
        <v>28.2</v>
      </c>
      <c r="E253" s="4">
        <v>68.3</v>
      </c>
      <c r="F253" t="str">
        <f t="shared" si="123"/>
        <v>OK</v>
      </c>
      <c r="G253" t="str">
        <f t="shared" si="124"/>
        <v>OK</v>
      </c>
      <c r="H253" t="str">
        <f t="shared" si="125"/>
        <v>OK</v>
      </c>
      <c r="I253" s="4">
        <f t="shared" si="126"/>
        <v>2017</v>
      </c>
      <c r="J253">
        <f t="shared" si="139"/>
        <v>23.309316363636363</v>
      </c>
      <c r="K253">
        <f t="shared" si="140"/>
        <v>14.834153424657535</v>
      </c>
      <c r="R253" s="4">
        <f t="shared" si="141"/>
        <v>-0.2906836363636387</v>
      </c>
      <c r="S253" s="4">
        <f t="shared" si="142"/>
        <v>-53.465846575342461</v>
      </c>
    </row>
    <row r="254" spans="1:19" x14ac:dyDescent="0.35">
      <c r="A254" s="1">
        <v>42988</v>
      </c>
      <c r="B254" s="4">
        <v>24.1</v>
      </c>
      <c r="C254">
        <v>20.3</v>
      </c>
      <c r="D254">
        <v>28</v>
      </c>
      <c r="E254" s="4">
        <v>66</v>
      </c>
      <c r="F254" t="str">
        <f t="shared" si="123"/>
        <v>OK</v>
      </c>
      <c r="G254" t="str">
        <f t="shared" si="124"/>
        <v>OK</v>
      </c>
      <c r="H254" t="str">
        <f t="shared" si="125"/>
        <v>OK</v>
      </c>
      <c r="I254" s="4">
        <f t="shared" si="126"/>
        <v>2017</v>
      </c>
      <c r="J254">
        <f t="shared" si="139"/>
        <v>23.652807272727273</v>
      </c>
      <c r="K254">
        <f t="shared" si="140"/>
        <v>14.462246575342466</v>
      </c>
      <c r="R254" s="4">
        <f t="shared" si="141"/>
        <v>-0.44719272727272852</v>
      </c>
      <c r="S254" s="4">
        <f t="shared" si="142"/>
        <v>-51.537753424657538</v>
      </c>
    </row>
    <row r="255" spans="1:19" hidden="1" x14ac:dyDescent="0.35">
      <c r="A255" s="1">
        <v>42989</v>
      </c>
      <c r="B255" s="4">
        <v>24.8</v>
      </c>
      <c r="C255">
        <v>21.9</v>
      </c>
      <c r="D255">
        <v>27.8</v>
      </c>
      <c r="E255" s="4">
        <v>0</v>
      </c>
      <c r="F255" t="str">
        <f t="shared" si="123"/>
        <v>OK</v>
      </c>
      <c r="G255" t="str">
        <f t="shared" si="124"/>
        <v>OK</v>
      </c>
      <c r="H255" t="str">
        <f t="shared" si="125"/>
        <v>OK</v>
      </c>
      <c r="I255" s="4">
        <f t="shared" si="126"/>
        <v>2017</v>
      </c>
    </row>
    <row r="256" spans="1:19" hidden="1" x14ac:dyDescent="0.35">
      <c r="A256" s="1">
        <v>42990</v>
      </c>
      <c r="B256">
        <v>26</v>
      </c>
      <c r="C256">
        <v>22.1</v>
      </c>
      <c r="D256">
        <v>29.8</v>
      </c>
      <c r="E256"/>
      <c r="I256"/>
    </row>
    <row r="257" spans="1:19" hidden="1" x14ac:dyDescent="0.35">
      <c r="A257" s="1">
        <v>42991</v>
      </c>
      <c r="B257">
        <v>25.3</v>
      </c>
      <c r="C257">
        <v>22.2</v>
      </c>
      <c r="D257">
        <v>31</v>
      </c>
      <c r="E257"/>
      <c r="I257"/>
    </row>
    <row r="258" spans="1:19" hidden="1" x14ac:dyDescent="0.35">
      <c r="A258" s="1">
        <v>42992</v>
      </c>
      <c r="B258">
        <v>24.8</v>
      </c>
      <c r="C258">
        <v>20.2</v>
      </c>
      <c r="D258">
        <v>30.6</v>
      </c>
      <c r="E258"/>
      <c r="I258"/>
    </row>
    <row r="259" spans="1:19" x14ac:dyDescent="0.35">
      <c r="A259" s="1">
        <v>42993</v>
      </c>
      <c r="B259" s="4">
        <v>23.7</v>
      </c>
      <c r="C259">
        <v>21</v>
      </c>
      <c r="D259">
        <v>31.1</v>
      </c>
      <c r="E259" s="4">
        <v>2.2999999999999998</v>
      </c>
      <c r="F259" t="str">
        <f t="shared" ref="F259:F264" si="143">IF(OR(B259 &lt; $N$30, B259 &gt; $N$67), "Outlier", "OK")</f>
        <v>OK</v>
      </c>
      <c r="G259" t="str">
        <f t="shared" ref="G259:G264" si="144">IF(OR(C259 &lt; $O$30, C259 &gt; $O$67), "Outlier", "OK")</f>
        <v>OK</v>
      </c>
      <c r="H259" t="str">
        <f t="shared" ref="H259:H264" si="145">IF(OR(D259 &lt; $P$30, D259 &gt; $P$67), "Outlier", "OK")</f>
        <v>OK</v>
      </c>
      <c r="I259" s="4">
        <f t="shared" ref="I259:I264" si="146">YEAR(A259)</f>
        <v>2017</v>
      </c>
      <c r="J259">
        <f>( 377.84*B259 + 3903.1)/550</f>
        <v>23.378014545454544</v>
      </c>
      <c r="K259">
        <f xml:space="preserve"> (59.02*E259 + 1383.4)/365</f>
        <v>4.1620438356164389</v>
      </c>
      <c r="R259" s="4">
        <f>J259-B259</f>
        <v>-0.32198545454545524</v>
      </c>
      <c r="S259" s="4">
        <f>K259-E259</f>
        <v>1.862043835616439</v>
      </c>
    </row>
    <row r="260" spans="1:19" hidden="1" x14ac:dyDescent="0.35">
      <c r="A260" s="1">
        <v>42994</v>
      </c>
      <c r="B260" s="4">
        <v>23.7</v>
      </c>
      <c r="C260">
        <v>20.8</v>
      </c>
      <c r="D260">
        <v>29.4</v>
      </c>
      <c r="E260" s="4">
        <v>0</v>
      </c>
      <c r="F260" t="str">
        <f t="shared" si="143"/>
        <v>OK</v>
      </c>
      <c r="G260" t="str">
        <f t="shared" si="144"/>
        <v>OK</v>
      </c>
      <c r="H260" t="str">
        <f t="shared" si="145"/>
        <v>OK</v>
      </c>
      <c r="I260" s="4">
        <f t="shared" si="146"/>
        <v>2017</v>
      </c>
    </row>
    <row r="261" spans="1:19" x14ac:dyDescent="0.35">
      <c r="A261" s="1">
        <v>42995</v>
      </c>
      <c r="B261" s="4">
        <v>21.3</v>
      </c>
      <c r="C261">
        <v>19.8</v>
      </c>
      <c r="D261">
        <v>29.4</v>
      </c>
      <c r="E261" s="4">
        <v>17.3</v>
      </c>
      <c r="F261" t="str">
        <f t="shared" si="143"/>
        <v>OK</v>
      </c>
      <c r="G261" t="str">
        <f t="shared" si="144"/>
        <v>OK</v>
      </c>
      <c r="H261" t="str">
        <f t="shared" si="145"/>
        <v>OK</v>
      </c>
      <c r="I261" s="4">
        <f t="shared" si="146"/>
        <v>2017</v>
      </c>
      <c r="J261">
        <f t="shared" ref="J261:J262" si="147">( 377.84*B261 + 3903.1)/550</f>
        <v>21.729258181818182</v>
      </c>
      <c r="K261">
        <f t="shared" ref="K261:K262" si="148" xml:space="preserve"> (59.02*E261 + 1383.4)/365</f>
        <v>6.5875232876712326</v>
      </c>
      <c r="R261" s="4">
        <f t="shared" ref="R261:R262" si="149">J261-B261</f>
        <v>0.42925818181818087</v>
      </c>
      <c r="S261" s="4">
        <f t="shared" ref="S261:S262" si="150">K261-E261</f>
        <v>-10.712476712328769</v>
      </c>
    </row>
    <row r="262" spans="1:19" x14ac:dyDescent="0.35">
      <c r="A262" s="1">
        <v>42996</v>
      </c>
      <c r="B262" s="4">
        <v>22.6</v>
      </c>
      <c r="C262">
        <v>19.3</v>
      </c>
      <c r="D262">
        <v>27.3</v>
      </c>
      <c r="E262" s="4">
        <v>0.5</v>
      </c>
      <c r="F262" t="str">
        <f t="shared" si="143"/>
        <v>OK</v>
      </c>
      <c r="G262" t="str">
        <f t="shared" si="144"/>
        <v>OK</v>
      </c>
      <c r="H262" t="str">
        <f t="shared" si="145"/>
        <v>OK</v>
      </c>
      <c r="I262" s="4">
        <f t="shared" si="146"/>
        <v>2017</v>
      </c>
      <c r="J262">
        <f t="shared" si="147"/>
        <v>22.622334545454546</v>
      </c>
      <c r="K262">
        <f t="shared" si="148"/>
        <v>3.8709863013698631</v>
      </c>
      <c r="R262" s="4">
        <f t="shared" si="149"/>
        <v>2.2334545454544497E-2</v>
      </c>
      <c r="S262" s="4">
        <f t="shared" si="150"/>
        <v>3.3709863013698631</v>
      </c>
    </row>
    <row r="263" spans="1:19" hidden="1" x14ac:dyDescent="0.35">
      <c r="A263" s="1">
        <v>42997</v>
      </c>
      <c r="B263" s="4">
        <v>23.1</v>
      </c>
      <c r="C263">
        <v>20.399999999999999</v>
      </c>
      <c r="D263">
        <v>28.3</v>
      </c>
      <c r="E263" s="4">
        <v>0</v>
      </c>
      <c r="F263" t="str">
        <f t="shared" si="143"/>
        <v>OK</v>
      </c>
      <c r="G263" t="str">
        <f t="shared" si="144"/>
        <v>OK</v>
      </c>
      <c r="H263" t="str">
        <f t="shared" si="145"/>
        <v>OK</v>
      </c>
      <c r="I263" s="4">
        <f t="shared" si="146"/>
        <v>2017</v>
      </c>
    </row>
    <row r="264" spans="1:19" hidden="1" x14ac:dyDescent="0.35">
      <c r="A264" s="1">
        <v>42998</v>
      </c>
      <c r="B264" s="4">
        <v>23.2</v>
      </c>
      <c r="C264">
        <v>19.399999999999999</v>
      </c>
      <c r="D264">
        <v>28.8</v>
      </c>
      <c r="E264" s="4">
        <v>0</v>
      </c>
      <c r="F264" t="str">
        <f t="shared" si="143"/>
        <v>OK</v>
      </c>
      <c r="G264" t="str">
        <f t="shared" si="144"/>
        <v>OK</v>
      </c>
      <c r="H264" t="str">
        <f t="shared" si="145"/>
        <v>OK</v>
      </c>
      <c r="I264" s="4">
        <f t="shared" si="146"/>
        <v>2017</v>
      </c>
    </row>
    <row r="265" spans="1:19" hidden="1" x14ac:dyDescent="0.35">
      <c r="A265" s="1">
        <v>42999</v>
      </c>
      <c r="B265">
        <v>22.8</v>
      </c>
      <c r="C265">
        <v>19.3</v>
      </c>
      <c r="D265">
        <v>28.5</v>
      </c>
      <c r="E265"/>
      <c r="I265"/>
    </row>
    <row r="266" spans="1:19" hidden="1" x14ac:dyDescent="0.35">
      <c r="A266" s="1">
        <v>43000</v>
      </c>
      <c r="B266" s="4">
        <v>24.3</v>
      </c>
      <c r="C266">
        <v>20.5</v>
      </c>
      <c r="D266">
        <v>28.4</v>
      </c>
      <c r="E266" s="4">
        <v>0</v>
      </c>
      <c r="F266" t="str">
        <f t="shared" ref="F266:F291" si="151">IF(OR(B266 &lt; $N$30, B266 &gt; $N$67), "Outlier", "OK")</f>
        <v>OK</v>
      </c>
      <c r="G266" t="str">
        <f t="shared" ref="G266:G291" si="152">IF(OR(C266 &lt; $O$30, C266 &gt; $O$67), "Outlier", "OK")</f>
        <v>OK</v>
      </c>
      <c r="H266" t="str">
        <f t="shared" ref="H266:H291" si="153">IF(OR(D266 &lt; $P$30, D266 &gt; $P$67), "Outlier", "OK")</f>
        <v>OK</v>
      </c>
      <c r="I266" s="4">
        <f t="shared" ref="I266:I291" si="154">YEAR(A266)</f>
        <v>2017</v>
      </c>
    </row>
    <row r="267" spans="1:19" hidden="1" x14ac:dyDescent="0.35">
      <c r="A267" s="1">
        <v>43001</v>
      </c>
      <c r="B267" s="4">
        <v>25.6</v>
      </c>
      <c r="C267">
        <v>20.6</v>
      </c>
      <c r="D267">
        <v>29.4</v>
      </c>
      <c r="E267" s="4">
        <v>0</v>
      </c>
      <c r="F267" t="str">
        <f t="shared" si="151"/>
        <v>OK</v>
      </c>
      <c r="G267" t="str">
        <f t="shared" si="152"/>
        <v>OK</v>
      </c>
      <c r="H267" t="str">
        <f t="shared" si="153"/>
        <v>OK</v>
      </c>
      <c r="I267" s="4">
        <f t="shared" si="154"/>
        <v>2017</v>
      </c>
    </row>
    <row r="268" spans="1:19" hidden="1" x14ac:dyDescent="0.35">
      <c r="A268" s="1">
        <v>43002</v>
      </c>
      <c r="B268" s="4">
        <v>24.2</v>
      </c>
      <c r="C268">
        <v>20.9</v>
      </c>
      <c r="D268">
        <v>30.5</v>
      </c>
      <c r="E268" s="4">
        <v>0</v>
      </c>
      <c r="F268" t="str">
        <f t="shared" si="151"/>
        <v>OK</v>
      </c>
      <c r="G268" t="str">
        <f t="shared" si="152"/>
        <v>OK</v>
      </c>
      <c r="H268" t="str">
        <f t="shared" si="153"/>
        <v>OK</v>
      </c>
      <c r="I268" s="4">
        <f t="shared" si="154"/>
        <v>2017</v>
      </c>
    </row>
    <row r="269" spans="1:19" x14ac:dyDescent="0.35">
      <c r="A269" s="1">
        <v>43003</v>
      </c>
      <c r="B269" s="4">
        <v>22.8</v>
      </c>
      <c r="C269">
        <v>19.399999999999999</v>
      </c>
      <c r="D269">
        <v>29</v>
      </c>
      <c r="E269" s="4">
        <v>54.4</v>
      </c>
      <c r="F269" t="str">
        <f t="shared" si="151"/>
        <v>OK</v>
      </c>
      <c r="G269" t="str">
        <f t="shared" si="152"/>
        <v>OK</v>
      </c>
      <c r="H269" t="str">
        <f t="shared" si="153"/>
        <v>OK</v>
      </c>
      <c r="I269" s="4">
        <f t="shared" si="154"/>
        <v>2017</v>
      </c>
      <c r="J269">
        <f t="shared" ref="J269:J276" si="155">( 377.84*B269 + 3903.1)/550</f>
        <v>22.759730909090912</v>
      </c>
      <c r="K269">
        <f t="shared" ref="K269:K276" si="156" xml:space="preserve"> (59.02*E269 + 1383.4)/365</f>
        <v>12.586542465753423</v>
      </c>
      <c r="R269" s="4">
        <f t="shared" ref="R269:R276" si="157">J269-B269</f>
        <v>-4.026909090908859E-2</v>
      </c>
      <c r="S269" s="4">
        <f t="shared" ref="S269:S276" si="158">K269-E269</f>
        <v>-41.813457534246574</v>
      </c>
    </row>
    <row r="270" spans="1:19" x14ac:dyDescent="0.35">
      <c r="A270" s="1">
        <v>43004</v>
      </c>
      <c r="B270" s="4">
        <v>23.8</v>
      </c>
      <c r="C270">
        <v>19.8</v>
      </c>
      <c r="D270">
        <v>27.6</v>
      </c>
      <c r="E270" s="4">
        <v>9.1</v>
      </c>
      <c r="F270" t="str">
        <f t="shared" si="151"/>
        <v>OK</v>
      </c>
      <c r="G270" t="str">
        <f t="shared" si="152"/>
        <v>OK</v>
      </c>
      <c r="H270" t="str">
        <f t="shared" si="153"/>
        <v>OK</v>
      </c>
      <c r="I270" s="4">
        <f t="shared" si="154"/>
        <v>2017</v>
      </c>
      <c r="J270">
        <f t="shared" si="155"/>
        <v>23.446712727272729</v>
      </c>
      <c r="K270">
        <f t="shared" si="156"/>
        <v>5.2615945205479449</v>
      </c>
      <c r="R270" s="4">
        <f t="shared" si="157"/>
        <v>-0.35328727272727178</v>
      </c>
      <c r="S270" s="4">
        <f t="shared" si="158"/>
        <v>-3.8384054794520548</v>
      </c>
    </row>
    <row r="271" spans="1:19" x14ac:dyDescent="0.35">
      <c r="A271" s="1">
        <v>43005</v>
      </c>
      <c r="B271" s="4">
        <v>21.9</v>
      </c>
      <c r="C271">
        <v>20</v>
      </c>
      <c r="D271">
        <v>28.1</v>
      </c>
      <c r="E271" s="4">
        <v>55.9</v>
      </c>
      <c r="F271" t="str">
        <f t="shared" si="151"/>
        <v>OK</v>
      </c>
      <c r="G271" t="str">
        <f t="shared" si="152"/>
        <v>OK</v>
      </c>
      <c r="H271" t="str">
        <f t="shared" si="153"/>
        <v>OK</v>
      </c>
      <c r="I271" s="4">
        <f t="shared" si="154"/>
        <v>2017</v>
      </c>
      <c r="J271">
        <f t="shared" si="155"/>
        <v>22.14144727272727</v>
      </c>
      <c r="K271">
        <f t="shared" si="156"/>
        <v>12.829090410958905</v>
      </c>
      <c r="R271" s="4">
        <f t="shared" si="157"/>
        <v>0.24144727272727096</v>
      </c>
      <c r="S271" s="4">
        <f t="shared" si="158"/>
        <v>-43.070909589041094</v>
      </c>
    </row>
    <row r="272" spans="1:19" x14ac:dyDescent="0.35">
      <c r="A272" s="1">
        <v>43006</v>
      </c>
      <c r="B272" s="4">
        <v>22.5</v>
      </c>
      <c r="C272">
        <v>19.399999999999999</v>
      </c>
      <c r="D272">
        <v>26.8</v>
      </c>
      <c r="E272" s="4">
        <v>1.8</v>
      </c>
      <c r="F272" t="str">
        <f t="shared" si="151"/>
        <v>OK</v>
      </c>
      <c r="G272" t="str">
        <f t="shared" si="152"/>
        <v>OK</v>
      </c>
      <c r="H272" t="str">
        <f t="shared" si="153"/>
        <v>OK</v>
      </c>
      <c r="I272" s="4">
        <f t="shared" si="154"/>
        <v>2017</v>
      </c>
      <c r="J272">
        <f t="shared" si="155"/>
        <v>22.553636363636365</v>
      </c>
      <c r="K272">
        <f t="shared" si="156"/>
        <v>4.0811945205479461</v>
      </c>
      <c r="R272" s="4">
        <f t="shared" si="157"/>
        <v>5.3636363636364592E-2</v>
      </c>
      <c r="S272" s="4">
        <f t="shared" si="158"/>
        <v>2.2811945205479462</v>
      </c>
    </row>
    <row r="273" spans="1:19" x14ac:dyDescent="0.35">
      <c r="A273" s="1">
        <v>43007</v>
      </c>
      <c r="B273" s="4">
        <v>22.7</v>
      </c>
      <c r="C273">
        <v>20.3</v>
      </c>
      <c r="D273">
        <v>26.2</v>
      </c>
      <c r="E273" s="4">
        <v>0.5</v>
      </c>
      <c r="F273" t="str">
        <f t="shared" si="151"/>
        <v>OK</v>
      </c>
      <c r="G273" t="str">
        <f t="shared" si="152"/>
        <v>OK</v>
      </c>
      <c r="H273" t="str">
        <f t="shared" si="153"/>
        <v>OK</v>
      </c>
      <c r="I273" s="4">
        <f t="shared" si="154"/>
        <v>2017</v>
      </c>
      <c r="J273">
        <f t="shared" si="155"/>
        <v>22.691032727272727</v>
      </c>
      <c r="K273">
        <f t="shared" si="156"/>
        <v>3.8709863013698631</v>
      </c>
      <c r="R273" s="4">
        <f t="shared" si="157"/>
        <v>-8.9672727272720465E-3</v>
      </c>
      <c r="S273" s="4">
        <f t="shared" si="158"/>
        <v>3.3709863013698631</v>
      </c>
    </row>
    <row r="274" spans="1:19" x14ac:dyDescent="0.35">
      <c r="A274" s="1">
        <v>43008</v>
      </c>
      <c r="B274" s="4">
        <v>22.7</v>
      </c>
      <c r="C274">
        <v>20.399999999999999</v>
      </c>
      <c r="D274">
        <v>27</v>
      </c>
      <c r="E274" s="4">
        <v>15.2</v>
      </c>
      <c r="F274" t="str">
        <f t="shared" si="151"/>
        <v>OK</v>
      </c>
      <c r="G274" t="str">
        <f t="shared" si="152"/>
        <v>OK</v>
      </c>
      <c r="H274" t="str">
        <f t="shared" si="153"/>
        <v>OK</v>
      </c>
      <c r="I274" s="4">
        <f t="shared" si="154"/>
        <v>2017</v>
      </c>
      <c r="J274">
        <f t="shared" si="155"/>
        <v>22.691032727272727</v>
      </c>
      <c r="K274">
        <f t="shared" si="156"/>
        <v>6.2479561643835613</v>
      </c>
      <c r="R274" s="4">
        <f t="shared" si="157"/>
        <v>-8.9672727272720465E-3</v>
      </c>
      <c r="S274" s="4">
        <f t="shared" si="158"/>
        <v>-8.952043835616438</v>
      </c>
    </row>
    <row r="275" spans="1:19" x14ac:dyDescent="0.35">
      <c r="A275" s="1">
        <v>43009</v>
      </c>
      <c r="B275" s="4">
        <v>23.1</v>
      </c>
      <c r="C275">
        <v>20.3</v>
      </c>
      <c r="D275">
        <v>28.6</v>
      </c>
      <c r="E275" s="4">
        <v>0.5</v>
      </c>
      <c r="F275" t="str">
        <f t="shared" si="151"/>
        <v>OK</v>
      </c>
      <c r="G275" t="str">
        <f t="shared" si="152"/>
        <v>OK</v>
      </c>
      <c r="H275" t="str">
        <f t="shared" si="153"/>
        <v>OK</v>
      </c>
      <c r="I275" s="4">
        <f t="shared" si="154"/>
        <v>2017</v>
      </c>
      <c r="J275">
        <f t="shared" si="155"/>
        <v>22.965825454545453</v>
      </c>
      <c r="K275">
        <f t="shared" si="156"/>
        <v>3.8709863013698631</v>
      </c>
      <c r="R275" s="4">
        <f t="shared" si="157"/>
        <v>-0.13417454545454888</v>
      </c>
      <c r="S275" s="4">
        <f t="shared" si="158"/>
        <v>3.3709863013698631</v>
      </c>
    </row>
    <row r="276" spans="1:19" x14ac:dyDescent="0.35">
      <c r="A276" s="1">
        <v>43010</v>
      </c>
      <c r="B276" s="4">
        <v>23.3</v>
      </c>
      <c r="C276">
        <v>19.399999999999999</v>
      </c>
      <c r="D276">
        <v>28.4</v>
      </c>
      <c r="E276" s="4">
        <v>46</v>
      </c>
      <c r="F276" t="str">
        <f t="shared" si="151"/>
        <v>OK</v>
      </c>
      <c r="G276" t="str">
        <f t="shared" si="152"/>
        <v>OK</v>
      </c>
      <c r="H276" t="str">
        <f t="shared" si="153"/>
        <v>OK</v>
      </c>
      <c r="I276" s="4">
        <f t="shared" si="154"/>
        <v>2017</v>
      </c>
      <c r="J276">
        <f t="shared" si="155"/>
        <v>23.103221818181819</v>
      </c>
      <c r="K276">
        <f t="shared" si="156"/>
        <v>11.228273972602739</v>
      </c>
      <c r="R276" s="4">
        <f t="shared" si="157"/>
        <v>-0.19677818181818196</v>
      </c>
      <c r="S276" s="4">
        <f t="shared" si="158"/>
        <v>-34.771726027397264</v>
      </c>
    </row>
    <row r="277" spans="1:19" hidden="1" x14ac:dyDescent="0.35">
      <c r="A277" s="1">
        <v>43011</v>
      </c>
      <c r="B277" s="4">
        <v>24.9</v>
      </c>
      <c r="C277">
        <v>20.6</v>
      </c>
      <c r="D277">
        <v>28.8</v>
      </c>
      <c r="E277" s="4">
        <v>0</v>
      </c>
      <c r="F277" t="str">
        <f t="shared" si="151"/>
        <v>OK</v>
      </c>
      <c r="G277" t="str">
        <f t="shared" si="152"/>
        <v>OK</v>
      </c>
      <c r="H277" t="str">
        <f t="shared" si="153"/>
        <v>OK</v>
      </c>
      <c r="I277" s="4">
        <f t="shared" si="154"/>
        <v>2017</v>
      </c>
    </row>
    <row r="278" spans="1:19" hidden="1" x14ac:dyDescent="0.35">
      <c r="A278" s="1">
        <v>43012</v>
      </c>
      <c r="B278" s="4">
        <v>24.3</v>
      </c>
      <c r="C278">
        <v>20.5</v>
      </c>
      <c r="D278">
        <v>29.3</v>
      </c>
      <c r="E278" s="4">
        <v>0</v>
      </c>
      <c r="F278" t="str">
        <f t="shared" si="151"/>
        <v>OK</v>
      </c>
      <c r="G278" t="str">
        <f t="shared" si="152"/>
        <v>OK</v>
      </c>
      <c r="H278" t="str">
        <f t="shared" si="153"/>
        <v>OK</v>
      </c>
      <c r="I278" s="4">
        <f t="shared" si="154"/>
        <v>2017</v>
      </c>
    </row>
    <row r="279" spans="1:19" x14ac:dyDescent="0.35">
      <c r="A279" s="1">
        <v>43013</v>
      </c>
      <c r="B279" s="4">
        <v>22</v>
      </c>
      <c r="C279">
        <v>20.100000000000001</v>
      </c>
      <c r="D279">
        <v>29.6</v>
      </c>
      <c r="E279" s="4">
        <v>18.5</v>
      </c>
      <c r="F279" t="str">
        <f t="shared" si="151"/>
        <v>OK</v>
      </c>
      <c r="G279" t="str">
        <f t="shared" si="152"/>
        <v>OK</v>
      </c>
      <c r="H279" t="str">
        <f t="shared" si="153"/>
        <v>OK</v>
      </c>
      <c r="I279" s="4">
        <f t="shared" si="154"/>
        <v>2017</v>
      </c>
      <c r="J279">
        <f t="shared" ref="J279:J289" si="159">( 377.84*B279 + 3903.1)/550</f>
        <v>22.210145454545454</v>
      </c>
      <c r="K279">
        <f t="shared" ref="K279:K289" si="160" xml:space="preserve"> (59.02*E279 + 1383.4)/365</f>
        <v>6.7815616438356177</v>
      </c>
      <c r="R279" s="4">
        <f t="shared" ref="R279:R289" si="161">J279-B279</f>
        <v>0.21014545454545441</v>
      </c>
      <c r="S279" s="4">
        <f t="shared" ref="S279:S289" si="162">K279-E279</f>
        <v>-11.718438356164382</v>
      </c>
    </row>
    <row r="280" spans="1:19" x14ac:dyDescent="0.35">
      <c r="A280" s="1">
        <v>43014</v>
      </c>
      <c r="B280" s="4">
        <v>23.1</v>
      </c>
      <c r="C280">
        <v>20.7</v>
      </c>
      <c r="D280">
        <v>28.8</v>
      </c>
      <c r="E280" s="4">
        <v>76.7</v>
      </c>
      <c r="F280" t="str">
        <f t="shared" si="151"/>
        <v>OK</v>
      </c>
      <c r="G280" t="str">
        <f t="shared" si="152"/>
        <v>OK</v>
      </c>
      <c r="H280" t="str">
        <f t="shared" si="153"/>
        <v>OK</v>
      </c>
      <c r="I280" s="4">
        <f t="shared" si="154"/>
        <v>2017</v>
      </c>
      <c r="J280">
        <f t="shared" si="159"/>
        <v>22.965825454545453</v>
      </c>
      <c r="K280">
        <f t="shared" si="160"/>
        <v>16.192421917808222</v>
      </c>
      <c r="R280" s="4">
        <f t="shared" si="161"/>
        <v>-0.13417454545454888</v>
      </c>
      <c r="S280" s="4">
        <f t="shared" si="162"/>
        <v>-60.507578082191785</v>
      </c>
    </row>
    <row r="281" spans="1:19" x14ac:dyDescent="0.35">
      <c r="A281" s="1">
        <v>43015</v>
      </c>
      <c r="B281" s="4">
        <v>23.7</v>
      </c>
      <c r="C281">
        <v>21.2</v>
      </c>
      <c r="D281">
        <v>29</v>
      </c>
      <c r="E281" s="4">
        <v>14.5</v>
      </c>
      <c r="F281" t="str">
        <f t="shared" si="151"/>
        <v>OK</v>
      </c>
      <c r="G281" t="str">
        <f t="shared" si="152"/>
        <v>OK</v>
      </c>
      <c r="H281" t="str">
        <f t="shared" si="153"/>
        <v>OK</v>
      </c>
      <c r="I281" s="4">
        <f t="shared" si="154"/>
        <v>2017</v>
      </c>
      <c r="J281">
        <f t="shared" si="159"/>
        <v>23.378014545454544</v>
      </c>
      <c r="K281">
        <f t="shared" si="160"/>
        <v>6.1347671232876717</v>
      </c>
      <c r="R281" s="4">
        <f t="shared" si="161"/>
        <v>-0.32198545454545524</v>
      </c>
      <c r="S281" s="4">
        <f t="shared" si="162"/>
        <v>-8.3652328767123283</v>
      </c>
    </row>
    <row r="282" spans="1:19" x14ac:dyDescent="0.35">
      <c r="A282" s="1">
        <v>43016</v>
      </c>
      <c r="B282" s="4">
        <v>24.6</v>
      </c>
      <c r="C282">
        <v>21.3</v>
      </c>
      <c r="D282">
        <v>28.8</v>
      </c>
      <c r="E282" s="4">
        <v>48</v>
      </c>
      <c r="F282" t="str">
        <f t="shared" si="151"/>
        <v>OK</v>
      </c>
      <c r="G282" t="str">
        <f t="shared" si="152"/>
        <v>OK</v>
      </c>
      <c r="H282" t="str">
        <f t="shared" si="153"/>
        <v>OK</v>
      </c>
      <c r="I282" s="4">
        <f t="shared" si="154"/>
        <v>2017</v>
      </c>
      <c r="J282">
        <f t="shared" si="159"/>
        <v>23.996298181818183</v>
      </c>
      <c r="K282">
        <f t="shared" si="160"/>
        <v>11.551671232876714</v>
      </c>
      <c r="R282" s="4">
        <f t="shared" si="161"/>
        <v>-0.60370181818181834</v>
      </c>
      <c r="S282" s="4">
        <f t="shared" si="162"/>
        <v>-36.448328767123286</v>
      </c>
    </row>
    <row r="283" spans="1:19" x14ac:dyDescent="0.35">
      <c r="A283" s="1">
        <v>43017</v>
      </c>
      <c r="B283" s="4">
        <v>24.8</v>
      </c>
      <c r="C283">
        <v>21.5</v>
      </c>
      <c r="D283">
        <v>29</v>
      </c>
      <c r="E283" s="4">
        <v>2</v>
      </c>
      <c r="F283" t="str">
        <f t="shared" si="151"/>
        <v>OK</v>
      </c>
      <c r="G283" t="str">
        <f t="shared" si="152"/>
        <v>OK</v>
      </c>
      <c r="H283" t="str">
        <f t="shared" si="153"/>
        <v>OK</v>
      </c>
      <c r="I283" s="4">
        <f t="shared" si="154"/>
        <v>2017</v>
      </c>
      <c r="J283">
        <f t="shared" si="159"/>
        <v>24.133694545454546</v>
      </c>
      <c r="K283">
        <f t="shared" si="160"/>
        <v>4.1135342465753428</v>
      </c>
      <c r="R283" s="4">
        <f t="shared" si="161"/>
        <v>-0.66630545454545498</v>
      </c>
      <c r="S283" s="4">
        <f t="shared" si="162"/>
        <v>2.1135342465753428</v>
      </c>
    </row>
    <row r="284" spans="1:19" x14ac:dyDescent="0.35">
      <c r="A284" s="1">
        <v>43018</v>
      </c>
      <c r="B284" s="4">
        <v>24.5</v>
      </c>
      <c r="C284">
        <v>19.600000000000001</v>
      </c>
      <c r="D284">
        <v>29.3</v>
      </c>
      <c r="E284" s="4">
        <v>9.1</v>
      </c>
      <c r="F284" t="str">
        <f t="shared" si="151"/>
        <v>OK</v>
      </c>
      <c r="G284" t="str">
        <f t="shared" si="152"/>
        <v>OK</v>
      </c>
      <c r="H284" t="str">
        <f t="shared" si="153"/>
        <v>OK</v>
      </c>
      <c r="I284" s="4">
        <f t="shared" si="154"/>
        <v>2017</v>
      </c>
      <c r="J284">
        <f t="shared" si="159"/>
        <v>23.927600000000002</v>
      </c>
      <c r="K284">
        <f t="shared" si="160"/>
        <v>5.2615945205479449</v>
      </c>
      <c r="R284" s="4">
        <f t="shared" si="161"/>
        <v>-0.57239999999999824</v>
      </c>
      <c r="S284" s="4">
        <f t="shared" si="162"/>
        <v>-3.8384054794520548</v>
      </c>
    </row>
    <row r="285" spans="1:19" x14ac:dyDescent="0.35">
      <c r="A285" s="1">
        <v>43019</v>
      </c>
      <c r="B285" s="4">
        <v>23.8</v>
      </c>
      <c r="C285">
        <v>20.2</v>
      </c>
      <c r="D285">
        <v>29.9</v>
      </c>
      <c r="E285" s="4">
        <v>5.3</v>
      </c>
      <c r="F285" t="str">
        <f t="shared" si="151"/>
        <v>OK</v>
      </c>
      <c r="G285" t="str">
        <f t="shared" si="152"/>
        <v>OK</v>
      </c>
      <c r="H285" t="str">
        <f t="shared" si="153"/>
        <v>OK</v>
      </c>
      <c r="I285" s="4">
        <f t="shared" si="154"/>
        <v>2017</v>
      </c>
      <c r="J285">
        <f t="shared" si="159"/>
        <v>23.446712727272729</v>
      </c>
      <c r="K285">
        <f t="shared" si="160"/>
        <v>4.6471397260273974</v>
      </c>
      <c r="R285" s="4">
        <f t="shared" si="161"/>
        <v>-0.35328727272727178</v>
      </c>
      <c r="S285" s="4">
        <f t="shared" si="162"/>
        <v>-0.65286027397260238</v>
      </c>
    </row>
    <row r="286" spans="1:19" x14ac:dyDescent="0.35">
      <c r="A286" s="1">
        <v>43020</v>
      </c>
      <c r="B286" s="4">
        <v>23.2</v>
      </c>
      <c r="C286">
        <v>20.5</v>
      </c>
      <c r="D286">
        <v>30.7</v>
      </c>
      <c r="E286" s="4">
        <v>22.4</v>
      </c>
      <c r="F286" t="str">
        <f t="shared" si="151"/>
        <v>OK</v>
      </c>
      <c r="G286" t="str">
        <f t="shared" si="152"/>
        <v>OK</v>
      </c>
      <c r="H286" t="str">
        <f t="shared" si="153"/>
        <v>OK</v>
      </c>
      <c r="I286" s="4">
        <f t="shared" si="154"/>
        <v>2017</v>
      </c>
      <c r="J286">
        <f t="shared" si="159"/>
        <v>23.034523636363634</v>
      </c>
      <c r="K286">
        <f t="shared" si="160"/>
        <v>7.4121863013698635</v>
      </c>
      <c r="R286" s="4">
        <f t="shared" si="161"/>
        <v>-0.16547636363636542</v>
      </c>
      <c r="S286" s="4">
        <f t="shared" si="162"/>
        <v>-14.987813698630134</v>
      </c>
    </row>
    <row r="287" spans="1:19" x14ac:dyDescent="0.35">
      <c r="A287" s="1">
        <v>43021</v>
      </c>
      <c r="B287" s="4">
        <v>22.9</v>
      </c>
      <c r="C287">
        <v>20.5</v>
      </c>
      <c r="D287">
        <v>27.5</v>
      </c>
      <c r="E287" s="4">
        <v>68.099999999999994</v>
      </c>
      <c r="F287" t="str">
        <f t="shared" si="151"/>
        <v>OK</v>
      </c>
      <c r="G287" t="str">
        <f t="shared" si="152"/>
        <v>OK</v>
      </c>
      <c r="H287" t="str">
        <f t="shared" si="153"/>
        <v>OK</v>
      </c>
      <c r="I287" s="4">
        <f t="shared" si="154"/>
        <v>2017</v>
      </c>
      <c r="J287">
        <f t="shared" si="159"/>
        <v>22.82842909090909</v>
      </c>
      <c r="K287">
        <f t="shared" si="160"/>
        <v>14.801813698630138</v>
      </c>
      <c r="R287" s="4">
        <f t="shared" si="161"/>
        <v>-7.1570909090908685E-2</v>
      </c>
      <c r="S287" s="4">
        <f t="shared" si="162"/>
        <v>-53.298186301369853</v>
      </c>
    </row>
    <row r="288" spans="1:19" x14ac:dyDescent="0.35">
      <c r="A288" s="1">
        <v>43022</v>
      </c>
      <c r="B288" s="4">
        <v>22.1</v>
      </c>
      <c r="C288">
        <v>20.399999999999999</v>
      </c>
      <c r="D288">
        <v>27.6</v>
      </c>
      <c r="E288" s="4">
        <v>34</v>
      </c>
      <c r="F288" t="str">
        <f t="shared" si="151"/>
        <v>OK</v>
      </c>
      <c r="G288" t="str">
        <f t="shared" si="152"/>
        <v>OK</v>
      </c>
      <c r="H288" t="str">
        <f t="shared" si="153"/>
        <v>OK</v>
      </c>
      <c r="I288" s="4">
        <f t="shared" si="154"/>
        <v>2017</v>
      </c>
      <c r="J288">
        <f t="shared" si="159"/>
        <v>22.278843636363636</v>
      </c>
      <c r="K288">
        <f t="shared" si="160"/>
        <v>9.2878904109589033</v>
      </c>
      <c r="R288" s="4">
        <f t="shared" si="161"/>
        <v>0.17884363636363432</v>
      </c>
      <c r="S288" s="4">
        <f t="shared" si="162"/>
        <v>-24.712109589041098</v>
      </c>
    </row>
    <row r="289" spans="1:19" x14ac:dyDescent="0.35">
      <c r="A289" s="1">
        <v>43023</v>
      </c>
      <c r="B289" s="4">
        <v>22.3</v>
      </c>
      <c r="C289">
        <v>19.600000000000001</v>
      </c>
      <c r="D289">
        <v>26.8</v>
      </c>
      <c r="E289" s="4">
        <v>40.4</v>
      </c>
      <c r="F289" t="str">
        <f t="shared" si="151"/>
        <v>OK</v>
      </c>
      <c r="G289" t="str">
        <f t="shared" si="152"/>
        <v>OK</v>
      </c>
      <c r="H289" t="str">
        <f t="shared" si="153"/>
        <v>OK</v>
      </c>
      <c r="I289" s="4">
        <f t="shared" si="154"/>
        <v>2017</v>
      </c>
      <c r="J289">
        <f t="shared" si="159"/>
        <v>22.416240000000002</v>
      </c>
      <c r="K289">
        <f t="shared" si="160"/>
        <v>10.322761643835616</v>
      </c>
      <c r="R289" s="4">
        <f t="shared" si="161"/>
        <v>0.11624000000000123</v>
      </c>
      <c r="S289" s="4">
        <f t="shared" si="162"/>
        <v>-30.077238356164383</v>
      </c>
    </row>
    <row r="290" spans="1:19" hidden="1" x14ac:dyDescent="0.35">
      <c r="A290" s="1">
        <v>43024</v>
      </c>
      <c r="B290" s="4">
        <v>22.4</v>
      </c>
      <c r="C290">
        <v>19.8</v>
      </c>
      <c r="D290">
        <v>26</v>
      </c>
      <c r="E290" s="4">
        <v>0</v>
      </c>
      <c r="F290" t="str">
        <f t="shared" si="151"/>
        <v>OK</v>
      </c>
      <c r="G290" t="str">
        <f t="shared" si="152"/>
        <v>OK</v>
      </c>
      <c r="H290" t="str">
        <f t="shared" si="153"/>
        <v>OK</v>
      </c>
      <c r="I290" s="4">
        <f t="shared" si="154"/>
        <v>2017</v>
      </c>
    </row>
    <row r="291" spans="1:19" hidden="1" x14ac:dyDescent="0.35">
      <c r="A291" s="1">
        <v>43025</v>
      </c>
      <c r="B291" s="4">
        <v>23.1</v>
      </c>
      <c r="C291">
        <v>20.9</v>
      </c>
      <c r="D291">
        <v>26.8</v>
      </c>
      <c r="E291" s="4">
        <v>0</v>
      </c>
      <c r="F291" t="str">
        <f t="shared" si="151"/>
        <v>OK</v>
      </c>
      <c r="G291" t="str">
        <f t="shared" si="152"/>
        <v>OK</v>
      </c>
      <c r="H291" t="str">
        <f t="shared" si="153"/>
        <v>OK</v>
      </c>
      <c r="I291" s="4">
        <f t="shared" si="154"/>
        <v>2017</v>
      </c>
    </row>
    <row r="292" spans="1:19" hidden="1" x14ac:dyDescent="0.35">
      <c r="A292" s="1">
        <v>43026</v>
      </c>
      <c r="B292">
        <v>23.3</v>
      </c>
      <c r="C292">
        <v>21</v>
      </c>
      <c r="D292">
        <v>27</v>
      </c>
      <c r="E292"/>
      <c r="I292"/>
    </row>
    <row r="293" spans="1:19" hidden="1" x14ac:dyDescent="0.35">
      <c r="A293" s="1">
        <v>43027</v>
      </c>
      <c r="B293" s="4">
        <v>23.7</v>
      </c>
      <c r="C293">
        <v>20.100000000000001</v>
      </c>
      <c r="D293">
        <v>29.8</v>
      </c>
      <c r="E293" s="4">
        <v>0</v>
      </c>
      <c r="F293" t="str">
        <f>IF(OR(B293 &lt; $N$30, B293 &gt; $N$67), "Outlier", "OK")</f>
        <v>OK</v>
      </c>
      <c r="G293" t="str">
        <f>IF(OR(C293 &lt; $O$30, C293 &gt; $O$67), "Outlier", "OK")</f>
        <v>OK</v>
      </c>
      <c r="H293" t="str">
        <f>IF(OR(D293 &lt; $P$30, D293 &gt; $P$67), "Outlier", "OK")</f>
        <v>OK</v>
      </c>
      <c r="I293" s="4">
        <f>YEAR(A293)</f>
        <v>2017</v>
      </c>
    </row>
    <row r="294" spans="1:19" hidden="1" x14ac:dyDescent="0.35">
      <c r="A294" s="1">
        <v>43028</v>
      </c>
      <c r="B294">
        <v>24.4</v>
      </c>
      <c r="C294">
        <v>20.399999999999999</v>
      </c>
      <c r="D294">
        <v>29.8</v>
      </c>
      <c r="E294"/>
      <c r="I294"/>
    </row>
    <row r="295" spans="1:19" hidden="1" x14ac:dyDescent="0.35">
      <c r="A295" s="1">
        <v>43029</v>
      </c>
      <c r="B295">
        <v>24.8</v>
      </c>
      <c r="C295">
        <v>20.399999999999999</v>
      </c>
      <c r="D295">
        <v>30.6</v>
      </c>
      <c r="E295"/>
      <c r="I295"/>
    </row>
    <row r="296" spans="1:19" hidden="1" x14ac:dyDescent="0.35">
      <c r="A296" s="1">
        <v>43030</v>
      </c>
      <c r="B296">
        <v>23.9</v>
      </c>
      <c r="C296">
        <v>20.399999999999999</v>
      </c>
      <c r="D296">
        <v>30.5</v>
      </c>
      <c r="E296"/>
      <c r="I296"/>
    </row>
    <row r="297" spans="1:19" hidden="1" x14ac:dyDescent="0.35">
      <c r="A297" s="1">
        <v>43031</v>
      </c>
      <c r="B297">
        <v>24.1</v>
      </c>
      <c r="C297">
        <v>19.2</v>
      </c>
      <c r="D297">
        <v>30.5</v>
      </c>
      <c r="E297"/>
      <c r="I297"/>
    </row>
    <row r="298" spans="1:19" hidden="1" x14ac:dyDescent="0.35">
      <c r="A298" s="1">
        <v>43032</v>
      </c>
      <c r="B298">
        <v>25</v>
      </c>
      <c r="C298">
        <v>18.399999999999999</v>
      </c>
      <c r="D298">
        <v>31</v>
      </c>
      <c r="E298"/>
      <c r="I298"/>
    </row>
    <row r="299" spans="1:19" hidden="1" x14ac:dyDescent="0.35">
      <c r="A299" s="1">
        <v>43033</v>
      </c>
      <c r="B299">
        <v>25.2</v>
      </c>
      <c r="C299">
        <v>20.8</v>
      </c>
      <c r="D299">
        <v>31.3</v>
      </c>
      <c r="E299"/>
      <c r="I299"/>
    </row>
    <row r="300" spans="1:19" hidden="1" x14ac:dyDescent="0.35">
      <c r="A300" s="1">
        <v>43034</v>
      </c>
      <c r="B300">
        <v>23.7</v>
      </c>
      <c r="C300">
        <v>20.2</v>
      </c>
      <c r="D300">
        <v>29.6</v>
      </c>
      <c r="E300"/>
      <c r="I300"/>
    </row>
    <row r="301" spans="1:19" hidden="1" x14ac:dyDescent="0.35">
      <c r="A301" s="1">
        <v>43035</v>
      </c>
      <c r="B301" s="4">
        <v>23.9</v>
      </c>
      <c r="C301">
        <v>20.2</v>
      </c>
      <c r="D301">
        <v>28.1</v>
      </c>
      <c r="E301" s="4">
        <v>0</v>
      </c>
      <c r="F301" t="str">
        <f t="shared" ref="F301:F302" si="163">IF(OR(B301 &lt; $N$30, B301 &gt; $N$67), "Outlier", "OK")</f>
        <v>OK</v>
      </c>
      <c r="G301" t="str">
        <f t="shared" ref="G301:G302" si="164">IF(OR(C301 &lt; $O$30, C301 &gt; $O$67), "Outlier", "OK")</f>
        <v>OK</v>
      </c>
      <c r="H301" t="str">
        <f t="shared" ref="H301:H302" si="165">IF(OR(D301 &lt; $P$30, D301 &gt; $P$67), "Outlier", "OK")</f>
        <v>OK</v>
      </c>
      <c r="I301" s="4">
        <f t="shared" ref="I301:I302" si="166">YEAR(A301)</f>
        <v>2017</v>
      </c>
    </row>
    <row r="302" spans="1:19" hidden="1" x14ac:dyDescent="0.35">
      <c r="A302" s="1">
        <v>43036</v>
      </c>
      <c r="B302" s="4">
        <v>23.9</v>
      </c>
      <c r="C302">
        <v>19.8</v>
      </c>
      <c r="D302">
        <v>30</v>
      </c>
      <c r="E302" s="4">
        <v>0</v>
      </c>
      <c r="F302" t="str">
        <f t="shared" si="163"/>
        <v>OK</v>
      </c>
      <c r="G302" t="str">
        <f t="shared" si="164"/>
        <v>OK</v>
      </c>
      <c r="H302" t="str">
        <f t="shared" si="165"/>
        <v>OK</v>
      </c>
      <c r="I302" s="4">
        <f t="shared" si="166"/>
        <v>2017</v>
      </c>
    </row>
    <row r="303" spans="1:19" hidden="1" x14ac:dyDescent="0.35">
      <c r="A303" s="1">
        <v>43037</v>
      </c>
      <c r="B303">
        <v>24.2</v>
      </c>
      <c r="C303">
        <v>20.3</v>
      </c>
      <c r="D303">
        <v>28.8</v>
      </c>
      <c r="E303"/>
      <c r="I303"/>
    </row>
    <row r="304" spans="1:19" hidden="1" x14ac:dyDescent="0.35">
      <c r="A304" s="1">
        <v>43038</v>
      </c>
      <c r="B304">
        <v>21.6</v>
      </c>
      <c r="C304">
        <v>19.3</v>
      </c>
      <c r="D304">
        <v>29.6</v>
      </c>
      <c r="E304"/>
      <c r="I304"/>
    </row>
    <row r="305" spans="1:19" hidden="1" x14ac:dyDescent="0.35">
      <c r="A305" s="1">
        <v>43039</v>
      </c>
      <c r="B305" s="4">
        <v>22.2</v>
      </c>
      <c r="C305">
        <v>19.399999999999999</v>
      </c>
      <c r="D305">
        <v>26.7</v>
      </c>
      <c r="E305" s="4">
        <v>0</v>
      </c>
      <c r="F305" t="str">
        <f t="shared" ref="F305:F308" si="167">IF(OR(B305 &lt; $N$30, B305 &gt; $N$67), "Outlier", "OK")</f>
        <v>OK</v>
      </c>
      <c r="G305" t="str">
        <f t="shared" ref="G305:G308" si="168">IF(OR(C305 &lt; $O$30, C305 &gt; $O$67), "Outlier", "OK")</f>
        <v>OK</v>
      </c>
      <c r="H305" t="str">
        <f t="shared" ref="H305:H308" si="169">IF(OR(D305 &lt; $P$30, D305 &gt; $P$67), "Outlier", "OK")</f>
        <v>OK</v>
      </c>
      <c r="I305" s="4">
        <f t="shared" ref="I305:I308" si="170">YEAR(A305)</f>
        <v>2017</v>
      </c>
    </row>
    <row r="306" spans="1:19" hidden="1" x14ac:dyDescent="0.35">
      <c r="A306" s="1">
        <v>43040</v>
      </c>
      <c r="B306" s="4">
        <v>21.7</v>
      </c>
      <c r="C306">
        <v>19.899999999999999</v>
      </c>
      <c r="D306">
        <v>25</v>
      </c>
      <c r="E306" s="4">
        <v>0</v>
      </c>
      <c r="F306" t="str">
        <f t="shared" si="167"/>
        <v>OK</v>
      </c>
      <c r="G306" t="str">
        <f t="shared" si="168"/>
        <v>OK</v>
      </c>
      <c r="H306" t="str">
        <f t="shared" si="169"/>
        <v>OK</v>
      </c>
      <c r="I306" s="4">
        <f t="shared" si="170"/>
        <v>2017</v>
      </c>
    </row>
    <row r="307" spans="1:19" x14ac:dyDescent="0.35">
      <c r="A307" s="1">
        <v>43041</v>
      </c>
      <c r="B307" s="4">
        <v>22.9</v>
      </c>
      <c r="C307">
        <v>18.8</v>
      </c>
      <c r="D307">
        <v>26.8</v>
      </c>
      <c r="E307" s="4">
        <v>0.3</v>
      </c>
      <c r="F307" t="str">
        <f t="shared" si="167"/>
        <v>OK</v>
      </c>
      <c r="G307" t="str">
        <f t="shared" si="168"/>
        <v>OK</v>
      </c>
      <c r="H307" t="str">
        <f t="shared" si="169"/>
        <v>OK</v>
      </c>
      <c r="I307" s="4">
        <f t="shared" si="170"/>
        <v>2017</v>
      </c>
      <c r="J307">
        <f>( 377.84*B307 + 3903.1)/550</f>
        <v>22.82842909090909</v>
      </c>
      <c r="K307">
        <f xml:space="preserve"> (59.02*E307 + 1383.4)/365</f>
        <v>3.8386465753424659</v>
      </c>
      <c r="R307" s="4">
        <f>J307-B307</f>
        <v>-7.1570909090908685E-2</v>
      </c>
      <c r="S307" s="4">
        <f>K307-E307</f>
        <v>3.5386465753424661</v>
      </c>
    </row>
    <row r="308" spans="1:19" hidden="1" x14ac:dyDescent="0.35">
      <c r="A308" s="1">
        <v>43042</v>
      </c>
      <c r="B308" s="4">
        <v>23.2</v>
      </c>
      <c r="C308">
        <v>19.3</v>
      </c>
      <c r="D308">
        <v>27.8</v>
      </c>
      <c r="E308" s="4">
        <v>0</v>
      </c>
      <c r="F308" t="str">
        <f t="shared" si="167"/>
        <v>OK</v>
      </c>
      <c r="G308" t="str">
        <f t="shared" si="168"/>
        <v>OK</v>
      </c>
      <c r="H308" t="str">
        <f t="shared" si="169"/>
        <v>OK</v>
      </c>
      <c r="I308" s="4">
        <f t="shared" si="170"/>
        <v>2017</v>
      </c>
    </row>
    <row r="309" spans="1:19" hidden="1" x14ac:dyDescent="0.35">
      <c r="A309" s="1">
        <v>43043</v>
      </c>
      <c r="B309">
        <v>22.1</v>
      </c>
      <c r="C309">
        <v>19</v>
      </c>
      <c r="D309">
        <v>28</v>
      </c>
      <c r="E309"/>
      <c r="I309"/>
    </row>
    <row r="310" spans="1:19" x14ac:dyDescent="0.35">
      <c r="A310" s="1">
        <v>43044</v>
      </c>
      <c r="B310" s="4">
        <v>21.5</v>
      </c>
      <c r="C310">
        <v>19.3</v>
      </c>
      <c r="D310">
        <v>25.6</v>
      </c>
      <c r="E310" s="4">
        <v>2</v>
      </c>
      <c r="F310" t="str">
        <f t="shared" ref="F310:F314" si="171">IF(OR(B310 &lt; $N$30, B310 &gt; $N$67), "Outlier", "OK")</f>
        <v>OK</v>
      </c>
      <c r="G310" t="str">
        <f t="shared" ref="G310:G314" si="172">IF(OR(C310 &lt; $O$30, C310 &gt; $O$67), "Outlier", "OK")</f>
        <v>OK</v>
      </c>
      <c r="H310" t="str">
        <f t="shared" ref="H310:H314" si="173">IF(OR(D310 &lt; $P$30, D310 &gt; $P$67), "Outlier", "OK")</f>
        <v>OK</v>
      </c>
      <c r="I310" s="4">
        <f t="shared" ref="I310:I314" si="174">YEAR(A310)</f>
        <v>2017</v>
      </c>
      <c r="J310">
        <f t="shared" ref="J310:J313" si="175">( 377.84*B310 + 3903.1)/550</f>
        <v>21.866654545454544</v>
      </c>
      <c r="K310">
        <f t="shared" ref="K310:K313" si="176" xml:space="preserve"> (59.02*E310 + 1383.4)/365</f>
        <v>4.1135342465753428</v>
      </c>
      <c r="R310" s="4">
        <f t="shared" ref="R310:R313" si="177">J310-B310</f>
        <v>0.36665454545454423</v>
      </c>
      <c r="S310" s="4">
        <f t="shared" ref="S310:S313" si="178">K310-E310</f>
        <v>2.1135342465753428</v>
      </c>
    </row>
    <row r="311" spans="1:19" x14ac:dyDescent="0.35">
      <c r="A311" s="1">
        <v>43045</v>
      </c>
      <c r="B311" s="4">
        <v>21.7</v>
      </c>
      <c r="C311">
        <v>19.7</v>
      </c>
      <c r="D311">
        <v>25.4</v>
      </c>
      <c r="E311" s="4">
        <v>3.3</v>
      </c>
      <c r="F311" t="str">
        <f t="shared" si="171"/>
        <v>OK</v>
      </c>
      <c r="G311" t="str">
        <f t="shared" si="172"/>
        <v>OK</v>
      </c>
      <c r="H311" t="str">
        <f t="shared" si="173"/>
        <v>OK</v>
      </c>
      <c r="I311" s="4">
        <f t="shared" si="174"/>
        <v>2017</v>
      </c>
      <c r="J311">
        <f t="shared" si="175"/>
        <v>22.004050909090907</v>
      </c>
      <c r="K311">
        <f t="shared" si="176"/>
        <v>4.3237424657534254</v>
      </c>
      <c r="R311" s="4">
        <f t="shared" si="177"/>
        <v>0.3040509090909076</v>
      </c>
      <c r="S311" s="4">
        <f t="shared" si="178"/>
        <v>1.0237424657534255</v>
      </c>
    </row>
    <row r="312" spans="1:19" x14ac:dyDescent="0.35">
      <c r="A312" s="1">
        <v>43046</v>
      </c>
      <c r="B312" s="4">
        <v>21.5</v>
      </c>
      <c r="C312">
        <v>18.899999999999999</v>
      </c>
      <c r="D312">
        <v>25.6</v>
      </c>
      <c r="E312" s="4">
        <v>1.5</v>
      </c>
      <c r="F312" t="str">
        <f t="shared" si="171"/>
        <v>OK</v>
      </c>
      <c r="G312" t="str">
        <f t="shared" si="172"/>
        <v>OK</v>
      </c>
      <c r="H312" t="str">
        <f t="shared" si="173"/>
        <v>OK</v>
      </c>
      <c r="I312" s="4">
        <f t="shared" si="174"/>
        <v>2017</v>
      </c>
      <c r="J312">
        <f t="shared" si="175"/>
        <v>21.866654545454544</v>
      </c>
      <c r="K312">
        <f t="shared" si="176"/>
        <v>4.0326849315068491</v>
      </c>
      <c r="R312" s="4">
        <f t="shared" si="177"/>
        <v>0.36665454545454423</v>
      </c>
      <c r="S312" s="4">
        <f t="shared" si="178"/>
        <v>2.5326849315068491</v>
      </c>
    </row>
    <row r="313" spans="1:19" x14ac:dyDescent="0.35">
      <c r="A313" s="1">
        <v>43047</v>
      </c>
      <c r="B313" s="4">
        <v>22</v>
      </c>
      <c r="C313">
        <v>18.3</v>
      </c>
      <c r="D313">
        <v>26</v>
      </c>
      <c r="E313" s="4">
        <v>13.5</v>
      </c>
      <c r="F313" t="str">
        <f t="shared" si="171"/>
        <v>OK</v>
      </c>
      <c r="G313" t="str">
        <f t="shared" si="172"/>
        <v>OK</v>
      </c>
      <c r="H313" t="str">
        <f t="shared" si="173"/>
        <v>OK</v>
      </c>
      <c r="I313" s="4">
        <f t="shared" si="174"/>
        <v>2017</v>
      </c>
      <c r="J313">
        <f t="shared" si="175"/>
        <v>22.210145454545454</v>
      </c>
      <c r="K313">
        <f t="shared" si="176"/>
        <v>5.9730684931506852</v>
      </c>
      <c r="R313" s="4">
        <f t="shared" si="177"/>
        <v>0.21014545454545441</v>
      </c>
      <c r="S313" s="4">
        <f t="shared" si="178"/>
        <v>-7.5269315068493148</v>
      </c>
    </row>
    <row r="314" spans="1:19" hidden="1" x14ac:dyDescent="0.35">
      <c r="A314" s="1">
        <v>43048</v>
      </c>
      <c r="B314" s="4">
        <v>22.5</v>
      </c>
      <c r="C314">
        <v>18.600000000000001</v>
      </c>
      <c r="D314">
        <v>27</v>
      </c>
      <c r="E314" s="4">
        <v>0</v>
      </c>
      <c r="F314" t="str">
        <f t="shared" si="171"/>
        <v>OK</v>
      </c>
      <c r="G314" t="str">
        <f t="shared" si="172"/>
        <v>OK</v>
      </c>
      <c r="H314" t="str">
        <f t="shared" si="173"/>
        <v>OK</v>
      </c>
      <c r="I314" s="4">
        <f t="shared" si="174"/>
        <v>2017</v>
      </c>
    </row>
    <row r="315" spans="1:19" hidden="1" x14ac:dyDescent="0.35">
      <c r="A315" s="1">
        <v>43049</v>
      </c>
      <c r="B315">
        <v>22.5</v>
      </c>
      <c r="C315">
        <v>17.899999999999999</v>
      </c>
      <c r="D315">
        <v>27.8</v>
      </c>
      <c r="E315"/>
      <c r="I315"/>
    </row>
    <row r="316" spans="1:19" hidden="1" x14ac:dyDescent="0.35">
      <c r="A316" s="1">
        <v>43050</v>
      </c>
      <c r="B316">
        <v>20.7</v>
      </c>
      <c r="C316">
        <v>17.8</v>
      </c>
      <c r="D316">
        <v>28.6</v>
      </c>
      <c r="E316"/>
      <c r="I316"/>
    </row>
    <row r="317" spans="1:19" hidden="1" x14ac:dyDescent="0.35">
      <c r="A317" s="1">
        <v>43051</v>
      </c>
      <c r="B317">
        <v>21.9</v>
      </c>
      <c r="C317">
        <v>15.8</v>
      </c>
      <c r="D317">
        <v>26.9</v>
      </c>
      <c r="E317"/>
      <c r="I317"/>
    </row>
    <row r="318" spans="1:19" hidden="1" x14ac:dyDescent="0.35">
      <c r="A318" s="1">
        <v>43052</v>
      </c>
      <c r="B318">
        <v>23.6</v>
      </c>
      <c r="C318">
        <v>19.3</v>
      </c>
      <c r="D318">
        <v>28.2</v>
      </c>
      <c r="E318"/>
      <c r="I318"/>
    </row>
    <row r="319" spans="1:19" hidden="1" x14ac:dyDescent="0.35">
      <c r="A319" s="1">
        <v>43053</v>
      </c>
      <c r="B319">
        <v>23.5</v>
      </c>
      <c r="C319">
        <v>19.399999999999999</v>
      </c>
      <c r="D319">
        <v>29.1</v>
      </c>
      <c r="E319"/>
      <c r="I319"/>
    </row>
    <row r="320" spans="1:19" hidden="1" x14ac:dyDescent="0.35">
      <c r="A320" s="1">
        <v>43054</v>
      </c>
      <c r="B320">
        <v>24.4</v>
      </c>
      <c r="C320">
        <v>21</v>
      </c>
      <c r="D320">
        <v>29.3</v>
      </c>
      <c r="E320"/>
      <c r="I320"/>
    </row>
    <row r="321" spans="1:19" hidden="1" x14ac:dyDescent="0.35">
      <c r="A321" s="1">
        <v>43055</v>
      </c>
      <c r="B321">
        <v>24.2</v>
      </c>
      <c r="C321">
        <v>19.600000000000001</v>
      </c>
      <c r="D321">
        <v>29.2</v>
      </c>
      <c r="E321"/>
      <c r="I321"/>
    </row>
    <row r="322" spans="1:19" hidden="1" x14ac:dyDescent="0.35">
      <c r="A322" s="1">
        <v>43056</v>
      </c>
      <c r="B322" s="4">
        <v>23.8</v>
      </c>
      <c r="C322">
        <v>21.3</v>
      </c>
      <c r="D322">
        <v>29.2</v>
      </c>
      <c r="E322" s="4">
        <v>0</v>
      </c>
      <c r="F322" t="str">
        <f>IF(OR(B322 &lt; $N$30, B322 &gt; $N$67), "Outlier", "OK")</f>
        <v>OK</v>
      </c>
      <c r="G322" t="str">
        <f>IF(OR(C322 &lt; $O$30, C322 &gt; $O$67), "Outlier", "OK")</f>
        <v>OK</v>
      </c>
      <c r="H322" t="str">
        <f>IF(OR(D322 &lt; $P$30, D322 &gt; $P$67), "Outlier", "OK")</f>
        <v>OK</v>
      </c>
      <c r="I322" s="4">
        <f>YEAR(A322)</f>
        <v>2017</v>
      </c>
    </row>
    <row r="323" spans="1:19" hidden="1" x14ac:dyDescent="0.35">
      <c r="A323" s="1">
        <v>43057</v>
      </c>
      <c r="B323">
        <v>24</v>
      </c>
      <c r="C323">
        <v>20.9</v>
      </c>
      <c r="D323">
        <v>29.6</v>
      </c>
      <c r="E323"/>
      <c r="I323"/>
    </row>
    <row r="324" spans="1:19" hidden="1" x14ac:dyDescent="0.35">
      <c r="A324" s="1">
        <v>43058</v>
      </c>
      <c r="B324">
        <v>24.1</v>
      </c>
      <c r="C324">
        <v>20.5</v>
      </c>
      <c r="D324">
        <v>30</v>
      </c>
      <c r="E324"/>
      <c r="I324"/>
    </row>
    <row r="325" spans="1:19" hidden="1" x14ac:dyDescent="0.35">
      <c r="A325" s="1">
        <v>43059</v>
      </c>
      <c r="B325">
        <v>24.2</v>
      </c>
      <c r="C325">
        <v>20.7</v>
      </c>
      <c r="D325">
        <v>29</v>
      </c>
      <c r="E325"/>
      <c r="I325"/>
    </row>
    <row r="326" spans="1:19" hidden="1" x14ac:dyDescent="0.35">
      <c r="A326" s="1">
        <v>43060</v>
      </c>
      <c r="B326">
        <v>23.8</v>
      </c>
      <c r="C326">
        <v>20.2</v>
      </c>
      <c r="D326">
        <v>29.6</v>
      </c>
      <c r="E326"/>
      <c r="I326"/>
    </row>
    <row r="327" spans="1:19" hidden="1" x14ac:dyDescent="0.35">
      <c r="A327" s="1">
        <v>43061</v>
      </c>
      <c r="B327">
        <v>23.1</v>
      </c>
      <c r="C327">
        <v>19.5</v>
      </c>
      <c r="D327">
        <v>29.1</v>
      </c>
      <c r="E327"/>
      <c r="I327"/>
    </row>
    <row r="328" spans="1:19" hidden="1" x14ac:dyDescent="0.35">
      <c r="A328" s="1">
        <v>43062</v>
      </c>
      <c r="B328">
        <v>23.7</v>
      </c>
      <c r="C328">
        <v>18.100000000000001</v>
      </c>
      <c r="D328">
        <v>29.3</v>
      </c>
      <c r="E328"/>
      <c r="I328"/>
    </row>
    <row r="329" spans="1:19" hidden="1" x14ac:dyDescent="0.35">
      <c r="A329" s="1">
        <v>43063</v>
      </c>
      <c r="B329">
        <v>24.2</v>
      </c>
      <c r="C329">
        <v>18.7</v>
      </c>
      <c r="D329">
        <v>29.7</v>
      </c>
      <c r="E329"/>
      <c r="I329"/>
    </row>
    <row r="330" spans="1:19" hidden="1" x14ac:dyDescent="0.35">
      <c r="A330" s="1">
        <v>43064</v>
      </c>
      <c r="B330">
        <v>22.7</v>
      </c>
      <c r="C330">
        <v>16.899999999999999</v>
      </c>
      <c r="D330">
        <v>30</v>
      </c>
      <c r="E330"/>
      <c r="I330"/>
    </row>
    <row r="331" spans="1:19" hidden="1" x14ac:dyDescent="0.35">
      <c r="A331" s="1">
        <v>43065</v>
      </c>
      <c r="B331">
        <v>22.2</v>
      </c>
      <c r="C331">
        <v>17.399999999999999</v>
      </c>
      <c r="D331">
        <v>28</v>
      </c>
      <c r="E331"/>
      <c r="I331"/>
    </row>
    <row r="332" spans="1:19" hidden="1" x14ac:dyDescent="0.35">
      <c r="A332" s="1">
        <v>43066</v>
      </c>
      <c r="B332">
        <v>22.4</v>
      </c>
      <c r="C332">
        <v>19.2</v>
      </c>
      <c r="D332">
        <v>26.8</v>
      </c>
      <c r="E332"/>
      <c r="I332"/>
    </row>
    <row r="333" spans="1:19" hidden="1" x14ac:dyDescent="0.35">
      <c r="A333" s="1">
        <v>43067</v>
      </c>
      <c r="B333">
        <v>23</v>
      </c>
      <c r="C333">
        <v>18.2</v>
      </c>
      <c r="D333">
        <v>28</v>
      </c>
      <c r="E333"/>
      <c r="I333"/>
    </row>
    <row r="334" spans="1:19" hidden="1" x14ac:dyDescent="0.35">
      <c r="A334" s="1">
        <v>43068</v>
      </c>
      <c r="B334">
        <v>22.8</v>
      </c>
      <c r="C334">
        <v>18.3</v>
      </c>
      <c r="D334">
        <v>29.6</v>
      </c>
      <c r="E334"/>
      <c r="I334"/>
    </row>
    <row r="335" spans="1:19" hidden="1" x14ac:dyDescent="0.35">
      <c r="A335" s="1">
        <v>43069</v>
      </c>
      <c r="B335" s="4">
        <v>21.3</v>
      </c>
      <c r="C335">
        <v>19.3</v>
      </c>
      <c r="D335">
        <v>27.6</v>
      </c>
      <c r="E335" s="4">
        <v>0</v>
      </c>
      <c r="F335" t="str">
        <f t="shared" ref="F335:F338" si="179">IF(OR(B335 &lt; $N$30, B335 &gt; $N$67), "Outlier", "OK")</f>
        <v>OK</v>
      </c>
      <c r="G335" t="str">
        <f t="shared" ref="G335:G338" si="180">IF(OR(C335 &lt; $O$30, C335 &gt; $O$67), "Outlier", "OK")</f>
        <v>OK</v>
      </c>
      <c r="H335" t="str">
        <f t="shared" ref="H335:H338" si="181">IF(OR(D335 &lt; $P$30, D335 &gt; $P$67), "Outlier", "OK")</f>
        <v>OK</v>
      </c>
      <c r="I335" s="4">
        <f t="shared" ref="I335:I338" si="182">YEAR(A335)</f>
        <v>2017</v>
      </c>
    </row>
    <row r="336" spans="1:19" x14ac:dyDescent="0.35">
      <c r="A336" s="1">
        <v>43070</v>
      </c>
      <c r="B336" s="4">
        <v>19.8</v>
      </c>
      <c r="C336">
        <v>18.399999999999999</v>
      </c>
      <c r="D336">
        <v>24.7</v>
      </c>
      <c r="E336" s="4">
        <v>10.7</v>
      </c>
      <c r="F336" t="str">
        <f t="shared" si="179"/>
        <v>OK</v>
      </c>
      <c r="G336" t="str">
        <f t="shared" si="180"/>
        <v>OK</v>
      </c>
      <c r="H336" t="str">
        <f t="shared" si="181"/>
        <v>OK</v>
      </c>
      <c r="I336" s="4">
        <f t="shared" si="182"/>
        <v>2017</v>
      </c>
      <c r="J336">
        <f t="shared" ref="J336:J337" si="183">( 377.84*B336 + 3903.1)/550</f>
        <v>20.698785454545455</v>
      </c>
      <c r="K336">
        <f t="shared" ref="K336:K337" si="184" xml:space="preserve"> (59.02*E336 + 1383.4)/365</f>
        <v>5.5203123287671243</v>
      </c>
      <c r="R336" s="4">
        <f t="shared" ref="R336:R337" si="185">J336-B336</f>
        <v>0.89878545454545389</v>
      </c>
      <c r="S336" s="4">
        <f t="shared" ref="S336:S337" si="186">K336-E336</f>
        <v>-5.179687671232875</v>
      </c>
    </row>
    <row r="337" spans="1:19" x14ac:dyDescent="0.35">
      <c r="A337" s="1">
        <v>43071</v>
      </c>
      <c r="B337" s="4">
        <v>19.8</v>
      </c>
      <c r="C337">
        <v>18.2</v>
      </c>
      <c r="D337">
        <v>22.2</v>
      </c>
      <c r="E337" s="4">
        <v>8.9</v>
      </c>
      <c r="F337" t="str">
        <f t="shared" si="179"/>
        <v>OK</v>
      </c>
      <c r="G337" t="str">
        <f t="shared" si="180"/>
        <v>OK</v>
      </c>
      <c r="H337" t="str">
        <f t="shared" si="181"/>
        <v>OK</v>
      </c>
      <c r="I337" s="4">
        <f t="shared" si="182"/>
        <v>2017</v>
      </c>
      <c r="J337">
        <f t="shared" si="183"/>
        <v>20.698785454545455</v>
      </c>
      <c r="K337">
        <f t="shared" si="184"/>
        <v>5.2292547945205481</v>
      </c>
      <c r="R337" s="4">
        <f t="shared" si="185"/>
        <v>0.89878545454545389</v>
      </c>
      <c r="S337" s="4">
        <f t="shared" si="186"/>
        <v>-3.6707452054794523</v>
      </c>
    </row>
    <row r="338" spans="1:19" hidden="1" x14ac:dyDescent="0.35">
      <c r="A338" s="1">
        <v>43072</v>
      </c>
      <c r="B338" s="4">
        <v>20.8</v>
      </c>
      <c r="C338">
        <v>18.3</v>
      </c>
      <c r="D338">
        <v>24.2</v>
      </c>
      <c r="E338" s="4">
        <v>0</v>
      </c>
      <c r="F338" t="str">
        <f t="shared" si="179"/>
        <v>OK</v>
      </c>
      <c r="G338" t="str">
        <f t="shared" si="180"/>
        <v>OK</v>
      </c>
      <c r="H338" t="str">
        <f t="shared" si="181"/>
        <v>OK</v>
      </c>
      <c r="I338" s="4">
        <f t="shared" si="182"/>
        <v>2017</v>
      </c>
    </row>
    <row r="339" spans="1:19" hidden="1" x14ac:dyDescent="0.35">
      <c r="A339" s="1">
        <v>43073</v>
      </c>
      <c r="B339">
        <v>21.2</v>
      </c>
      <c r="C339">
        <v>18.399999999999999</v>
      </c>
      <c r="D339">
        <v>25.7</v>
      </c>
      <c r="E339"/>
      <c r="I339"/>
    </row>
    <row r="340" spans="1:19" hidden="1" x14ac:dyDescent="0.35">
      <c r="A340" s="1">
        <v>43074</v>
      </c>
      <c r="B340">
        <v>21.4</v>
      </c>
      <c r="C340">
        <v>19</v>
      </c>
      <c r="D340">
        <v>25.8</v>
      </c>
      <c r="E340"/>
      <c r="I340"/>
    </row>
    <row r="341" spans="1:19" hidden="1" x14ac:dyDescent="0.35">
      <c r="A341" s="1">
        <v>43075</v>
      </c>
      <c r="B341">
        <v>22.9</v>
      </c>
      <c r="C341">
        <v>19</v>
      </c>
      <c r="D341">
        <v>27.4</v>
      </c>
      <c r="E341"/>
      <c r="I341"/>
    </row>
    <row r="342" spans="1:19" hidden="1" x14ac:dyDescent="0.35">
      <c r="A342" s="1">
        <v>43076</v>
      </c>
      <c r="B342">
        <v>22.7</v>
      </c>
      <c r="C342">
        <v>18.100000000000001</v>
      </c>
      <c r="D342">
        <v>29.2</v>
      </c>
      <c r="E342"/>
      <c r="I342"/>
    </row>
    <row r="343" spans="1:19" hidden="1" x14ac:dyDescent="0.35">
      <c r="A343" s="1">
        <v>43077</v>
      </c>
      <c r="B343">
        <v>22.6</v>
      </c>
      <c r="C343">
        <v>15.9</v>
      </c>
      <c r="D343">
        <v>29.5</v>
      </c>
      <c r="E343"/>
      <c r="I343"/>
    </row>
    <row r="344" spans="1:19" hidden="1" x14ac:dyDescent="0.35">
      <c r="A344" s="1">
        <v>43078</v>
      </c>
      <c r="B344">
        <v>22.6</v>
      </c>
      <c r="C344">
        <v>16.8</v>
      </c>
      <c r="D344">
        <v>30.8</v>
      </c>
      <c r="E344"/>
      <c r="I344"/>
    </row>
    <row r="345" spans="1:19" hidden="1" x14ac:dyDescent="0.35">
      <c r="A345" s="1">
        <v>43079</v>
      </c>
      <c r="B345">
        <v>22.4</v>
      </c>
      <c r="C345">
        <v>17.7</v>
      </c>
      <c r="D345">
        <v>29.8</v>
      </c>
      <c r="E345"/>
      <c r="I345"/>
    </row>
    <row r="346" spans="1:19" hidden="1" x14ac:dyDescent="0.35">
      <c r="A346" s="1">
        <v>43080</v>
      </c>
      <c r="B346">
        <v>23.3</v>
      </c>
      <c r="C346">
        <v>17.100000000000001</v>
      </c>
      <c r="D346">
        <v>29.5</v>
      </c>
      <c r="E346"/>
      <c r="I346"/>
    </row>
    <row r="347" spans="1:19" hidden="1" x14ac:dyDescent="0.35">
      <c r="A347" s="1">
        <v>43081</v>
      </c>
      <c r="B347">
        <v>23.1</v>
      </c>
      <c r="C347">
        <v>18.5</v>
      </c>
      <c r="D347">
        <v>30</v>
      </c>
      <c r="E347"/>
      <c r="I347"/>
    </row>
    <row r="348" spans="1:19" hidden="1" x14ac:dyDescent="0.35">
      <c r="A348" s="1">
        <v>43082</v>
      </c>
      <c r="B348" s="4">
        <v>22.7</v>
      </c>
      <c r="C348">
        <v>18.100000000000001</v>
      </c>
      <c r="D348">
        <v>28.1</v>
      </c>
      <c r="E348" s="4">
        <v>0</v>
      </c>
      <c r="F348" t="str">
        <f>IF(OR(B348 &lt; $N$30, B348 &gt; $N$67), "Outlier", "OK")</f>
        <v>OK</v>
      </c>
      <c r="G348" t="str">
        <f>IF(OR(C348 &lt; $O$30, C348 &gt; $O$67), "Outlier", "OK")</f>
        <v>OK</v>
      </c>
      <c r="H348" t="str">
        <f>IF(OR(D348 &lt; $P$30, D348 &gt; $P$67), "Outlier", "OK")</f>
        <v>OK</v>
      </c>
      <c r="I348" s="4">
        <f>YEAR(A348)</f>
        <v>2017</v>
      </c>
    </row>
    <row r="349" spans="1:19" hidden="1" x14ac:dyDescent="0.35">
      <c r="A349" s="1">
        <v>43083</v>
      </c>
      <c r="B349">
        <v>22.6</v>
      </c>
      <c r="C349">
        <v>18.399999999999999</v>
      </c>
      <c r="D349">
        <v>28.4</v>
      </c>
      <c r="E349"/>
      <c r="I349"/>
    </row>
    <row r="350" spans="1:19" hidden="1" x14ac:dyDescent="0.35">
      <c r="A350" s="1">
        <v>43084</v>
      </c>
      <c r="B350">
        <v>22.3</v>
      </c>
      <c r="C350">
        <v>17.100000000000001</v>
      </c>
      <c r="D350">
        <v>29.3</v>
      </c>
      <c r="E350"/>
      <c r="I350"/>
    </row>
    <row r="351" spans="1:19" hidden="1" x14ac:dyDescent="0.35">
      <c r="A351" s="1">
        <v>43085</v>
      </c>
      <c r="B351">
        <v>21.3</v>
      </c>
      <c r="C351">
        <v>17.5</v>
      </c>
      <c r="D351">
        <v>28.4</v>
      </c>
      <c r="E351"/>
      <c r="I351"/>
    </row>
    <row r="352" spans="1:19" hidden="1" x14ac:dyDescent="0.35">
      <c r="A352" s="1">
        <v>43086</v>
      </c>
      <c r="B352">
        <v>20.9</v>
      </c>
      <c r="C352">
        <v>17</v>
      </c>
      <c r="D352">
        <v>26.7</v>
      </c>
      <c r="E352"/>
      <c r="I352"/>
    </row>
    <row r="353" spans="1:4" customFormat="1" hidden="1" x14ac:dyDescent="0.35">
      <c r="A353" s="1">
        <v>43087</v>
      </c>
      <c r="B353">
        <v>20.5</v>
      </c>
      <c r="C353">
        <v>16</v>
      </c>
      <c r="D353">
        <v>26.7</v>
      </c>
    </row>
    <row r="354" spans="1:4" customFormat="1" hidden="1" x14ac:dyDescent="0.35">
      <c r="A354" s="1">
        <v>43088</v>
      </c>
      <c r="B354">
        <v>21</v>
      </c>
      <c r="C354">
        <v>15.3</v>
      </c>
      <c r="D354">
        <v>26.6</v>
      </c>
    </row>
    <row r="355" spans="1:4" customFormat="1" hidden="1" x14ac:dyDescent="0.35">
      <c r="A355" s="1">
        <v>43089</v>
      </c>
      <c r="B355">
        <v>22.1</v>
      </c>
      <c r="C355">
        <v>16.2</v>
      </c>
      <c r="D355">
        <v>27.5</v>
      </c>
    </row>
    <row r="356" spans="1:4" customFormat="1" hidden="1" x14ac:dyDescent="0.35">
      <c r="A356" s="1">
        <v>43090</v>
      </c>
      <c r="B356">
        <v>22</v>
      </c>
      <c r="C356">
        <v>16</v>
      </c>
      <c r="D356">
        <v>28.8</v>
      </c>
    </row>
    <row r="357" spans="1:4" customFormat="1" hidden="1" x14ac:dyDescent="0.35">
      <c r="A357" s="1">
        <v>43091</v>
      </c>
      <c r="B357">
        <v>21.8</v>
      </c>
      <c r="C357">
        <v>16.8</v>
      </c>
      <c r="D357">
        <v>28.3</v>
      </c>
    </row>
    <row r="358" spans="1:4" customFormat="1" hidden="1" x14ac:dyDescent="0.35">
      <c r="A358" s="1">
        <v>43092</v>
      </c>
      <c r="B358">
        <v>21.1</v>
      </c>
      <c r="C358">
        <v>17.399999999999999</v>
      </c>
      <c r="D358">
        <v>28.2</v>
      </c>
    </row>
    <row r="359" spans="1:4" customFormat="1" hidden="1" x14ac:dyDescent="0.35">
      <c r="A359" s="1">
        <v>43093</v>
      </c>
      <c r="B359">
        <v>21.4</v>
      </c>
      <c r="C359">
        <v>15</v>
      </c>
      <c r="D359">
        <v>27.1</v>
      </c>
    </row>
    <row r="360" spans="1:4" customFormat="1" hidden="1" x14ac:dyDescent="0.35">
      <c r="A360" s="1">
        <v>43094</v>
      </c>
      <c r="B360">
        <v>20.399999999999999</v>
      </c>
      <c r="C360">
        <v>16.600000000000001</v>
      </c>
      <c r="D360">
        <v>28.5</v>
      </c>
    </row>
    <row r="361" spans="1:4" customFormat="1" hidden="1" x14ac:dyDescent="0.35">
      <c r="A361" s="1">
        <v>43095</v>
      </c>
      <c r="B361">
        <v>21.6</v>
      </c>
      <c r="C361">
        <v>16.2</v>
      </c>
      <c r="D361">
        <v>27.9</v>
      </c>
    </row>
    <row r="362" spans="1:4" customFormat="1" hidden="1" x14ac:dyDescent="0.35">
      <c r="A362" s="1">
        <v>43096</v>
      </c>
      <c r="B362">
        <v>20.6</v>
      </c>
      <c r="C362">
        <v>15.5</v>
      </c>
      <c r="D362">
        <v>29.2</v>
      </c>
    </row>
    <row r="363" spans="1:4" customFormat="1" hidden="1" x14ac:dyDescent="0.35">
      <c r="A363" s="1">
        <v>43097</v>
      </c>
      <c r="B363">
        <v>19.7</v>
      </c>
      <c r="C363">
        <v>15.2</v>
      </c>
      <c r="D363">
        <v>28.1</v>
      </c>
    </row>
    <row r="364" spans="1:4" customFormat="1" hidden="1" x14ac:dyDescent="0.35">
      <c r="A364" s="1">
        <v>43098</v>
      </c>
      <c r="B364">
        <v>20.5</v>
      </c>
      <c r="C364">
        <v>14.2</v>
      </c>
      <c r="D364">
        <v>25.8</v>
      </c>
    </row>
    <row r="365" spans="1:4" customFormat="1" hidden="1" x14ac:dyDescent="0.35">
      <c r="A365" s="1">
        <v>43099</v>
      </c>
      <c r="B365">
        <v>20.7</v>
      </c>
      <c r="C365">
        <v>15.3</v>
      </c>
      <c r="D365">
        <v>27.3</v>
      </c>
    </row>
    <row r="366" spans="1:4" customFormat="1" hidden="1" x14ac:dyDescent="0.35">
      <c r="A366" s="1">
        <v>43100</v>
      </c>
      <c r="B366">
        <v>21.6</v>
      </c>
      <c r="C366">
        <v>16.100000000000001</v>
      </c>
      <c r="D366">
        <v>26.9</v>
      </c>
    </row>
    <row r="367" spans="1:4" customFormat="1" hidden="1" x14ac:dyDescent="0.35">
      <c r="A367" s="1">
        <v>43101</v>
      </c>
      <c r="B367">
        <v>22.2</v>
      </c>
      <c r="C367">
        <v>16.600000000000001</v>
      </c>
      <c r="D367">
        <v>28.4</v>
      </c>
    </row>
    <row r="368" spans="1:4" customFormat="1" hidden="1" x14ac:dyDescent="0.35">
      <c r="A368" s="1">
        <v>43102</v>
      </c>
      <c r="B368">
        <v>22.1</v>
      </c>
      <c r="C368">
        <v>17.8</v>
      </c>
      <c r="D368">
        <v>28.9</v>
      </c>
    </row>
    <row r="369" spans="1:4" customFormat="1" hidden="1" x14ac:dyDescent="0.35">
      <c r="A369" s="1">
        <v>43103</v>
      </c>
      <c r="B369">
        <v>22.2</v>
      </c>
      <c r="C369">
        <v>18.399999999999999</v>
      </c>
      <c r="D369">
        <v>29</v>
      </c>
    </row>
    <row r="370" spans="1:4" customFormat="1" hidden="1" x14ac:dyDescent="0.35">
      <c r="A370" s="1">
        <v>43104</v>
      </c>
      <c r="B370">
        <v>21.6</v>
      </c>
      <c r="C370">
        <v>17</v>
      </c>
      <c r="D370">
        <v>27.6</v>
      </c>
    </row>
    <row r="371" spans="1:4" customFormat="1" hidden="1" x14ac:dyDescent="0.35">
      <c r="A371" s="1">
        <v>43105</v>
      </c>
      <c r="B371">
        <v>20.7</v>
      </c>
      <c r="C371">
        <v>15.5</v>
      </c>
      <c r="D371">
        <v>28.3</v>
      </c>
    </row>
    <row r="372" spans="1:4" customFormat="1" hidden="1" x14ac:dyDescent="0.35">
      <c r="A372" s="1">
        <v>43106</v>
      </c>
      <c r="B372">
        <v>20.2</v>
      </c>
      <c r="C372">
        <v>14.7</v>
      </c>
      <c r="D372">
        <v>27.2</v>
      </c>
    </row>
    <row r="373" spans="1:4" customFormat="1" hidden="1" x14ac:dyDescent="0.35">
      <c r="A373" s="1">
        <v>43107</v>
      </c>
      <c r="B373">
        <v>20.399999999999999</v>
      </c>
      <c r="C373">
        <v>15.2</v>
      </c>
      <c r="D373">
        <v>27.2</v>
      </c>
    </row>
    <row r="374" spans="1:4" customFormat="1" hidden="1" x14ac:dyDescent="0.35">
      <c r="A374" s="1">
        <v>43108</v>
      </c>
      <c r="B374">
        <v>20.100000000000001</v>
      </c>
      <c r="C374">
        <v>14.8</v>
      </c>
      <c r="D374">
        <v>27.2</v>
      </c>
    </row>
    <row r="375" spans="1:4" customFormat="1" hidden="1" x14ac:dyDescent="0.35">
      <c r="A375" s="1">
        <v>43109</v>
      </c>
      <c r="B375">
        <v>21.2</v>
      </c>
      <c r="C375">
        <v>15.5</v>
      </c>
      <c r="D375">
        <v>26.6</v>
      </c>
    </row>
    <row r="376" spans="1:4" customFormat="1" hidden="1" x14ac:dyDescent="0.35">
      <c r="A376" s="1">
        <v>43110</v>
      </c>
      <c r="B376">
        <v>21.8</v>
      </c>
      <c r="C376">
        <v>18.2</v>
      </c>
      <c r="D376">
        <v>27.1</v>
      </c>
    </row>
    <row r="377" spans="1:4" customFormat="1" hidden="1" x14ac:dyDescent="0.35">
      <c r="A377" s="1">
        <v>43111</v>
      </c>
      <c r="B377">
        <v>22.8</v>
      </c>
      <c r="C377">
        <v>17.3</v>
      </c>
      <c r="D377">
        <v>28.3</v>
      </c>
    </row>
    <row r="378" spans="1:4" customFormat="1" hidden="1" x14ac:dyDescent="0.35">
      <c r="A378" s="1">
        <v>43112</v>
      </c>
      <c r="B378">
        <v>23</v>
      </c>
      <c r="C378">
        <v>18.7</v>
      </c>
      <c r="D378">
        <v>29.4</v>
      </c>
    </row>
    <row r="379" spans="1:4" customFormat="1" hidden="1" x14ac:dyDescent="0.35">
      <c r="A379" s="1">
        <v>43113</v>
      </c>
      <c r="B379">
        <v>23.4</v>
      </c>
      <c r="C379">
        <v>17.600000000000001</v>
      </c>
      <c r="D379">
        <v>29.8</v>
      </c>
    </row>
    <row r="380" spans="1:4" customFormat="1" hidden="1" x14ac:dyDescent="0.35">
      <c r="A380" s="1">
        <v>43114</v>
      </c>
      <c r="B380">
        <v>23.3</v>
      </c>
      <c r="C380">
        <v>16.3</v>
      </c>
      <c r="D380">
        <v>31</v>
      </c>
    </row>
    <row r="381" spans="1:4" customFormat="1" hidden="1" x14ac:dyDescent="0.35">
      <c r="A381" s="1">
        <v>43115</v>
      </c>
      <c r="B381">
        <v>22.3</v>
      </c>
      <c r="C381">
        <v>16.3</v>
      </c>
      <c r="D381">
        <v>30.7</v>
      </c>
    </row>
    <row r="382" spans="1:4" customFormat="1" hidden="1" x14ac:dyDescent="0.35">
      <c r="A382" s="1">
        <v>43116</v>
      </c>
      <c r="B382">
        <v>22.8</v>
      </c>
      <c r="C382">
        <v>17.100000000000001</v>
      </c>
      <c r="D382">
        <v>30.5</v>
      </c>
    </row>
    <row r="383" spans="1:4" customFormat="1" hidden="1" x14ac:dyDescent="0.35">
      <c r="A383" s="1">
        <v>43117</v>
      </c>
      <c r="B383">
        <v>21.8</v>
      </c>
      <c r="C383">
        <v>16.8</v>
      </c>
      <c r="D383">
        <v>29.9</v>
      </c>
    </row>
    <row r="384" spans="1:4" customFormat="1" hidden="1" x14ac:dyDescent="0.35">
      <c r="A384" s="1">
        <v>43118</v>
      </c>
      <c r="B384">
        <v>21.2</v>
      </c>
      <c r="C384">
        <v>15.3</v>
      </c>
      <c r="D384">
        <v>28.6</v>
      </c>
    </row>
    <row r="385" spans="1:4" customFormat="1" hidden="1" x14ac:dyDescent="0.35">
      <c r="A385" s="1">
        <v>43119</v>
      </c>
      <c r="B385">
        <v>20.8</v>
      </c>
      <c r="C385">
        <v>14.3</v>
      </c>
      <c r="D385">
        <v>28.7</v>
      </c>
    </row>
    <row r="386" spans="1:4" customFormat="1" hidden="1" x14ac:dyDescent="0.35">
      <c r="A386" s="1">
        <v>43120</v>
      </c>
      <c r="B386">
        <v>20.399999999999999</v>
      </c>
      <c r="C386">
        <v>14.2</v>
      </c>
      <c r="D386">
        <v>28</v>
      </c>
    </row>
    <row r="387" spans="1:4" customFormat="1" hidden="1" x14ac:dyDescent="0.35">
      <c r="A387" s="1">
        <v>43121</v>
      </c>
      <c r="B387">
        <v>20.9</v>
      </c>
      <c r="C387">
        <v>14.3</v>
      </c>
      <c r="D387">
        <v>28.5</v>
      </c>
    </row>
    <row r="388" spans="1:4" customFormat="1" hidden="1" x14ac:dyDescent="0.35">
      <c r="A388" s="1">
        <v>43122</v>
      </c>
      <c r="B388">
        <v>20.399999999999999</v>
      </c>
      <c r="C388">
        <v>14.4</v>
      </c>
      <c r="D388">
        <v>29</v>
      </c>
    </row>
    <row r="389" spans="1:4" customFormat="1" hidden="1" x14ac:dyDescent="0.35">
      <c r="A389" s="1">
        <v>43123</v>
      </c>
      <c r="B389">
        <v>22.1</v>
      </c>
      <c r="C389">
        <v>15.3</v>
      </c>
      <c r="D389">
        <v>28.8</v>
      </c>
    </row>
    <row r="390" spans="1:4" customFormat="1" hidden="1" x14ac:dyDescent="0.35">
      <c r="A390" s="1">
        <v>43124</v>
      </c>
      <c r="B390">
        <v>22.5</v>
      </c>
      <c r="C390">
        <v>17.2</v>
      </c>
      <c r="D390">
        <v>29.7</v>
      </c>
    </row>
    <row r="391" spans="1:4" customFormat="1" hidden="1" x14ac:dyDescent="0.35">
      <c r="A391" s="1">
        <v>43125</v>
      </c>
      <c r="B391">
        <v>22.7</v>
      </c>
      <c r="C391">
        <v>17.100000000000001</v>
      </c>
      <c r="D391">
        <v>29.1</v>
      </c>
    </row>
    <row r="392" spans="1:4" customFormat="1" hidden="1" x14ac:dyDescent="0.35">
      <c r="A392" s="1">
        <v>43126</v>
      </c>
      <c r="B392">
        <v>21.9</v>
      </c>
      <c r="C392">
        <v>16.2</v>
      </c>
      <c r="D392">
        <v>29.8</v>
      </c>
    </row>
    <row r="393" spans="1:4" customFormat="1" hidden="1" x14ac:dyDescent="0.35">
      <c r="A393" s="1">
        <v>43127</v>
      </c>
      <c r="B393">
        <v>21.4</v>
      </c>
      <c r="C393">
        <v>16</v>
      </c>
      <c r="D393">
        <v>29</v>
      </c>
    </row>
    <row r="394" spans="1:4" customFormat="1" hidden="1" x14ac:dyDescent="0.35">
      <c r="A394" s="1">
        <v>43128</v>
      </c>
      <c r="B394">
        <v>21.9</v>
      </c>
      <c r="C394">
        <v>14</v>
      </c>
      <c r="D394">
        <v>28.2</v>
      </c>
    </row>
    <row r="395" spans="1:4" customFormat="1" hidden="1" x14ac:dyDescent="0.35">
      <c r="A395" s="1">
        <v>43129</v>
      </c>
      <c r="B395">
        <v>22</v>
      </c>
      <c r="C395">
        <v>16</v>
      </c>
      <c r="D395">
        <v>29.2</v>
      </c>
    </row>
    <row r="396" spans="1:4" customFormat="1" hidden="1" x14ac:dyDescent="0.35">
      <c r="A396" s="1">
        <v>43130</v>
      </c>
      <c r="B396">
        <v>21.5</v>
      </c>
      <c r="C396">
        <v>15.7</v>
      </c>
      <c r="D396">
        <v>29.5</v>
      </c>
    </row>
    <row r="397" spans="1:4" customFormat="1" hidden="1" x14ac:dyDescent="0.35">
      <c r="A397" s="1">
        <v>43131</v>
      </c>
      <c r="B397">
        <v>21.4</v>
      </c>
      <c r="C397">
        <v>15</v>
      </c>
      <c r="D397">
        <v>29.2</v>
      </c>
    </row>
    <row r="398" spans="1:4" customFormat="1" hidden="1" x14ac:dyDescent="0.35">
      <c r="A398" s="1">
        <v>43132</v>
      </c>
      <c r="B398">
        <v>21.9</v>
      </c>
      <c r="C398">
        <v>13.2</v>
      </c>
      <c r="D398">
        <v>29.6</v>
      </c>
    </row>
    <row r="399" spans="1:4" customFormat="1" hidden="1" x14ac:dyDescent="0.35">
      <c r="A399" s="1">
        <v>43133</v>
      </c>
      <c r="B399">
        <v>22.6</v>
      </c>
      <c r="C399">
        <v>15.9</v>
      </c>
      <c r="D399">
        <v>30.4</v>
      </c>
    </row>
    <row r="400" spans="1:4" customFormat="1" hidden="1" x14ac:dyDescent="0.35">
      <c r="A400" s="1">
        <v>43134</v>
      </c>
      <c r="B400">
        <v>21.7</v>
      </c>
      <c r="C400">
        <v>15.8</v>
      </c>
      <c r="D400">
        <v>30.1</v>
      </c>
    </row>
    <row r="401" spans="1:19" hidden="1" x14ac:dyDescent="0.35">
      <c r="A401" s="1">
        <v>43135</v>
      </c>
      <c r="B401">
        <v>21.2</v>
      </c>
      <c r="C401">
        <v>13.4</v>
      </c>
      <c r="D401">
        <v>29.4</v>
      </c>
      <c r="E401"/>
      <c r="I401"/>
    </row>
    <row r="402" spans="1:19" hidden="1" x14ac:dyDescent="0.35">
      <c r="A402" s="1">
        <v>43136</v>
      </c>
      <c r="B402">
        <v>21.9</v>
      </c>
      <c r="C402">
        <v>13.7</v>
      </c>
      <c r="D402">
        <v>30</v>
      </c>
      <c r="E402"/>
      <c r="I402"/>
    </row>
    <row r="403" spans="1:19" hidden="1" x14ac:dyDescent="0.35">
      <c r="A403" s="1">
        <v>43137</v>
      </c>
      <c r="B403">
        <v>24.4</v>
      </c>
      <c r="C403">
        <v>18</v>
      </c>
      <c r="D403">
        <v>30.4</v>
      </c>
      <c r="E403"/>
      <c r="I403"/>
    </row>
    <row r="404" spans="1:19" hidden="1" x14ac:dyDescent="0.35">
      <c r="A404" s="1">
        <v>43138</v>
      </c>
      <c r="B404">
        <v>23.3</v>
      </c>
      <c r="C404">
        <v>20.2</v>
      </c>
      <c r="D404">
        <v>32.299999999999997</v>
      </c>
      <c r="E404"/>
      <c r="I404"/>
    </row>
    <row r="405" spans="1:19" x14ac:dyDescent="0.35">
      <c r="A405" s="1">
        <v>43139</v>
      </c>
      <c r="B405" s="4">
        <v>23.3</v>
      </c>
      <c r="C405">
        <v>19.2</v>
      </c>
      <c r="D405">
        <v>30</v>
      </c>
      <c r="E405" s="4">
        <v>1.5</v>
      </c>
      <c r="F405" t="str">
        <f>IF(OR(B405 &lt; $N$30, B405 &gt; $N$67), "Outlier", "OK")</f>
        <v>OK</v>
      </c>
      <c r="G405" t="str">
        <f>IF(OR(C405 &lt; $O$30, C405 &gt; $O$67), "Outlier", "OK")</f>
        <v>OK</v>
      </c>
      <c r="H405" t="str">
        <f>IF(OR(D405 &lt; $P$30, D405 &gt; $P$67), "Outlier", "OK")</f>
        <v>OK</v>
      </c>
      <c r="I405" s="4">
        <f>YEAR(A405)</f>
        <v>2018</v>
      </c>
      <c r="J405">
        <f>( 377.84*B405 + 3903.1)/550</f>
        <v>23.103221818181819</v>
      </c>
      <c r="K405">
        <f xml:space="preserve"> (59.02*E405 + 1383.4)/365</f>
        <v>4.0326849315068491</v>
      </c>
      <c r="R405" s="4">
        <f>J405-B405</f>
        <v>-0.19677818181818196</v>
      </c>
      <c r="S405" s="4">
        <f>K405-E405</f>
        <v>2.5326849315068491</v>
      </c>
    </row>
    <row r="406" spans="1:19" hidden="1" x14ac:dyDescent="0.35">
      <c r="A406" s="1">
        <v>43140</v>
      </c>
      <c r="B406">
        <v>24.4</v>
      </c>
      <c r="C406">
        <v>19.7</v>
      </c>
      <c r="D406">
        <v>30.6</v>
      </c>
      <c r="E406">
        <v>0</v>
      </c>
      <c r="F406" t="str">
        <f t="shared" ref="F406:F408" si="187">IF(OR(B385 &lt; $N$30, B385 &gt; $N$67), "Outlier", "OK")</f>
        <v>OK</v>
      </c>
      <c r="G406" t="str">
        <f t="shared" ref="G406:G408" si="188">IF(OR(C385 &lt; $O$30, C385 &gt; $O$67), "Outlier", "OK")</f>
        <v>Outlier</v>
      </c>
      <c r="H406" t="str">
        <f t="shared" ref="H406:H408" si="189">IF(OR(D385 &lt; $P$30, D385 &gt; $P$67), "Outlier", "OK")</f>
        <v>OK</v>
      </c>
      <c r="I406"/>
    </row>
    <row r="407" spans="1:19" hidden="1" x14ac:dyDescent="0.35">
      <c r="A407" s="1">
        <v>43141</v>
      </c>
      <c r="B407">
        <v>24.2</v>
      </c>
      <c r="C407">
        <v>19.7</v>
      </c>
      <c r="D407">
        <v>31.6</v>
      </c>
      <c r="E407">
        <v>1.5</v>
      </c>
      <c r="F407" t="str">
        <f t="shared" si="187"/>
        <v>OK</v>
      </c>
      <c r="G407" t="str">
        <f t="shared" si="188"/>
        <v>Outlier</v>
      </c>
      <c r="H407" t="str">
        <f t="shared" si="189"/>
        <v>OK</v>
      </c>
      <c r="I407"/>
    </row>
    <row r="408" spans="1:19" hidden="1" x14ac:dyDescent="0.35">
      <c r="A408" s="1">
        <v>43142</v>
      </c>
      <c r="B408">
        <v>24</v>
      </c>
      <c r="C408">
        <v>17.7</v>
      </c>
      <c r="D408">
        <v>30.7</v>
      </c>
      <c r="E408">
        <v>0</v>
      </c>
      <c r="F408" t="str">
        <f t="shared" si="187"/>
        <v>OK</v>
      </c>
      <c r="G408" t="str">
        <f t="shared" si="188"/>
        <v>Outlier</v>
      </c>
      <c r="H408" t="str">
        <f t="shared" si="189"/>
        <v>OK</v>
      </c>
      <c r="I408"/>
    </row>
    <row r="409" spans="1:19" hidden="1" x14ac:dyDescent="0.35">
      <c r="A409" s="1">
        <v>43143</v>
      </c>
      <c r="B409">
        <v>23.3</v>
      </c>
      <c r="C409">
        <v>18</v>
      </c>
      <c r="D409">
        <v>30.8</v>
      </c>
      <c r="E409"/>
      <c r="I409"/>
    </row>
    <row r="410" spans="1:19" hidden="1" x14ac:dyDescent="0.35">
      <c r="A410" s="1">
        <v>43144</v>
      </c>
      <c r="B410">
        <v>23.5</v>
      </c>
      <c r="C410">
        <v>18.5</v>
      </c>
      <c r="D410">
        <v>30.2</v>
      </c>
      <c r="E410"/>
      <c r="I410"/>
    </row>
    <row r="411" spans="1:19" hidden="1" x14ac:dyDescent="0.35">
      <c r="A411" s="1">
        <v>43145</v>
      </c>
      <c r="B411">
        <v>23.3</v>
      </c>
      <c r="C411">
        <v>17.899999999999999</v>
      </c>
      <c r="D411">
        <v>29.9</v>
      </c>
      <c r="E411"/>
      <c r="I411"/>
    </row>
    <row r="412" spans="1:19" hidden="1" x14ac:dyDescent="0.35">
      <c r="A412" s="1">
        <v>43146</v>
      </c>
      <c r="B412">
        <v>23.4</v>
      </c>
      <c r="C412">
        <v>17.399999999999999</v>
      </c>
      <c r="D412">
        <v>30.7</v>
      </c>
      <c r="E412"/>
      <c r="I412"/>
    </row>
    <row r="413" spans="1:19" hidden="1" x14ac:dyDescent="0.35">
      <c r="A413" s="1">
        <v>43147</v>
      </c>
      <c r="B413">
        <v>23.7</v>
      </c>
      <c r="C413">
        <v>17.600000000000001</v>
      </c>
      <c r="D413">
        <v>31</v>
      </c>
      <c r="E413"/>
      <c r="I413"/>
    </row>
    <row r="414" spans="1:19" hidden="1" x14ac:dyDescent="0.35">
      <c r="A414" s="1">
        <v>43148</v>
      </c>
      <c r="B414">
        <v>23.8</v>
      </c>
      <c r="C414">
        <v>17.5</v>
      </c>
      <c r="D414">
        <v>31.3</v>
      </c>
      <c r="E414"/>
      <c r="I414"/>
    </row>
    <row r="415" spans="1:19" hidden="1" x14ac:dyDescent="0.35">
      <c r="A415" s="1">
        <v>43149</v>
      </c>
      <c r="B415">
        <v>24</v>
      </c>
      <c r="C415">
        <v>17.7</v>
      </c>
      <c r="D415">
        <v>31.9</v>
      </c>
      <c r="E415"/>
      <c r="I415"/>
    </row>
    <row r="416" spans="1:19" hidden="1" x14ac:dyDescent="0.35">
      <c r="A416" s="1">
        <v>43150</v>
      </c>
      <c r="B416">
        <v>24.3</v>
      </c>
      <c r="C416">
        <v>16.8</v>
      </c>
      <c r="D416">
        <v>32.1</v>
      </c>
      <c r="E416"/>
      <c r="I416"/>
    </row>
    <row r="417" spans="1:4" customFormat="1" hidden="1" x14ac:dyDescent="0.35">
      <c r="A417" s="1">
        <v>43151</v>
      </c>
      <c r="B417">
        <v>22.8</v>
      </c>
      <c r="C417">
        <v>17.399999999999999</v>
      </c>
      <c r="D417">
        <v>32.200000000000003</v>
      </c>
    </row>
    <row r="418" spans="1:4" customFormat="1" hidden="1" x14ac:dyDescent="0.35">
      <c r="A418" s="1">
        <v>43152</v>
      </c>
      <c r="B418">
        <v>24.2</v>
      </c>
      <c r="C418">
        <v>17.5</v>
      </c>
      <c r="D418">
        <v>31.5</v>
      </c>
    </row>
    <row r="419" spans="1:4" customFormat="1" hidden="1" x14ac:dyDescent="0.35">
      <c r="A419" s="1">
        <v>43153</v>
      </c>
      <c r="B419">
        <v>24.9</v>
      </c>
      <c r="C419">
        <v>17.8</v>
      </c>
      <c r="D419">
        <v>31.5</v>
      </c>
    </row>
    <row r="420" spans="1:4" customFormat="1" hidden="1" x14ac:dyDescent="0.35">
      <c r="A420" s="1">
        <v>43154</v>
      </c>
      <c r="B420">
        <v>24.3</v>
      </c>
      <c r="C420">
        <v>18.399999999999999</v>
      </c>
      <c r="D420">
        <v>32.4</v>
      </c>
    </row>
    <row r="421" spans="1:4" customFormat="1" hidden="1" x14ac:dyDescent="0.35">
      <c r="A421" s="1">
        <v>43155</v>
      </c>
      <c r="B421">
        <v>23.2</v>
      </c>
      <c r="C421">
        <v>15.6</v>
      </c>
      <c r="D421">
        <v>31.2</v>
      </c>
    </row>
    <row r="422" spans="1:4" customFormat="1" hidden="1" x14ac:dyDescent="0.35">
      <c r="A422" s="1">
        <v>43156</v>
      </c>
      <c r="B422">
        <v>24.7</v>
      </c>
      <c r="C422">
        <v>17.3</v>
      </c>
      <c r="D422">
        <v>31.2</v>
      </c>
    </row>
    <row r="423" spans="1:4" customFormat="1" hidden="1" x14ac:dyDescent="0.35">
      <c r="A423" s="1">
        <v>43157</v>
      </c>
      <c r="B423">
        <v>25</v>
      </c>
      <c r="C423">
        <v>17.8</v>
      </c>
      <c r="D423">
        <v>32</v>
      </c>
    </row>
    <row r="424" spans="1:4" customFormat="1" hidden="1" x14ac:dyDescent="0.35">
      <c r="A424" s="1">
        <v>43158</v>
      </c>
      <c r="B424">
        <v>25.2</v>
      </c>
      <c r="C424">
        <v>18.2</v>
      </c>
      <c r="D424">
        <v>32.700000000000003</v>
      </c>
    </row>
    <row r="425" spans="1:4" customFormat="1" hidden="1" x14ac:dyDescent="0.35">
      <c r="A425" s="1">
        <v>43159</v>
      </c>
      <c r="B425">
        <v>25</v>
      </c>
      <c r="C425">
        <v>16.7</v>
      </c>
      <c r="D425">
        <v>33</v>
      </c>
    </row>
    <row r="426" spans="1:4" customFormat="1" hidden="1" x14ac:dyDescent="0.35">
      <c r="A426" s="1">
        <v>43160</v>
      </c>
      <c r="B426">
        <v>25.2</v>
      </c>
      <c r="C426">
        <v>18.2</v>
      </c>
      <c r="D426">
        <v>33.200000000000003</v>
      </c>
    </row>
    <row r="427" spans="1:4" customFormat="1" hidden="1" x14ac:dyDescent="0.35">
      <c r="A427" s="1">
        <v>43161</v>
      </c>
      <c r="B427">
        <v>25.5</v>
      </c>
      <c r="C427">
        <v>18.3</v>
      </c>
      <c r="D427">
        <v>32.5</v>
      </c>
    </row>
    <row r="428" spans="1:4" customFormat="1" hidden="1" x14ac:dyDescent="0.35">
      <c r="A428" s="1">
        <v>43162</v>
      </c>
      <c r="B428">
        <v>25.7</v>
      </c>
      <c r="C428">
        <v>17.5</v>
      </c>
      <c r="D428">
        <v>33.200000000000003</v>
      </c>
    </row>
    <row r="429" spans="1:4" customFormat="1" hidden="1" x14ac:dyDescent="0.35">
      <c r="A429" s="1">
        <v>43163</v>
      </c>
      <c r="B429">
        <v>26.1</v>
      </c>
      <c r="C429">
        <v>18.3</v>
      </c>
      <c r="D429">
        <v>34.4</v>
      </c>
    </row>
    <row r="430" spans="1:4" customFormat="1" hidden="1" x14ac:dyDescent="0.35">
      <c r="A430" s="1">
        <v>43164</v>
      </c>
      <c r="B430">
        <v>26.3</v>
      </c>
      <c r="C430">
        <v>18.3</v>
      </c>
      <c r="D430">
        <v>34</v>
      </c>
    </row>
    <row r="431" spans="1:4" customFormat="1" hidden="1" x14ac:dyDescent="0.35">
      <c r="A431" s="1">
        <v>43165</v>
      </c>
      <c r="B431">
        <v>25.9</v>
      </c>
      <c r="C431">
        <v>17.5</v>
      </c>
      <c r="D431">
        <v>34.4</v>
      </c>
    </row>
    <row r="432" spans="1:4" customFormat="1" hidden="1" x14ac:dyDescent="0.35">
      <c r="A432" s="1">
        <v>43166</v>
      </c>
      <c r="B432">
        <v>25.5</v>
      </c>
      <c r="C432">
        <v>16.5</v>
      </c>
      <c r="D432">
        <v>34.6</v>
      </c>
    </row>
    <row r="433" spans="1:19" hidden="1" x14ac:dyDescent="0.35">
      <c r="A433" s="1">
        <v>43167</v>
      </c>
      <c r="B433">
        <v>25.4</v>
      </c>
      <c r="C433">
        <v>18.5</v>
      </c>
      <c r="D433">
        <v>33.5</v>
      </c>
      <c r="E433"/>
      <c r="I433"/>
    </row>
    <row r="434" spans="1:19" hidden="1" x14ac:dyDescent="0.35">
      <c r="A434" s="1">
        <v>43168</v>
      </c>
      <c r="B434">
        <v>26.2</v>
      </c>
      <c r="C434">
        <v>17.8</v>
      </c>
      <c r="D434">
        <v>33.299999999999997</v>
      </c>
      <c r="E434"/>
      <c r="I434"/>
    </row>
    <row r="435" spans="1:19" hidden="1" x14ac:dyDescent="0.35">
      <c r="A435" s="1">
        <v>43169</v>
      </c>
      <c r="B435">
        <v>25.7</v>
      </c>
      <c r="C435">
        <v>18.5</v>
      </c>
      <c r="D435">
        <v>33.5</v>
      </c>
      <c r="E435"/>
      <c r="I435"/>
    </row>
    <row r="436" spans="1:19" hidden="1" x14ac:dyDescent="0.35">
      <c r="A436" s="1">
        <v>43170</v>
      </c>
      <c r="B436">
        <v>26.2</v>
      </c>
      <c r="C436">
        <v>19.7</v>
      </c>
      <c r="D436">
        <v>33.1</v>
      </c>
      <c r="E436"/>
      <c r="I436"/>
    </row>
    <row r="437" spans="1:19" hidden="1" x14ac:dyDescent="0.35">
      <c r="A437" s="1">
        <v>43171</v>
      </c>
      <c r="B437">
        <v>25.4</v>
      </c>
      <c r="C437">
        <v>19.5</v>
      </c>
      <c r="D437">
        <v>33.799999999999997</v>
      </c>
      <c r="E437"/>
      <c r="I437"/>
    </row>
    <row r="438" spans="1:19" hidden="1" x14ac:dyDescent="0.35">
      <c r="A438" s="1">
        <v>43172</v>
      </c>
      <c r="B438">
        <v>25.8</v>
      </c>
      <c r="C438">
        <v>20.100000000000001</v>
      </c>
      <c r="D438">
        <v>32.5</v>
      </c>
      <c r="E438"/>
      <c r="I438"/>
    </row>
    <row r="439" spans="1:19" hidden="1" x14ac:dyDescent="0.35">
      <c r="A439" s="1">
        <v>43173</v>
      </c>
      <c r="B439" s="4">
        <v>26.5</v>
      </c>
      <c r="C439">
        <v>22.4</v>
      </c>
      <c r="D439">
        <v>31.6</v>
      </c>
      <c r="E439" s="4">
        <v>0</v>
      </c>
      <c r="F439" t="str">
        <f t="shared" ref="F439:F443" si="190">IF(OR(B439 &lt; $N$30, B439 &gt; $N$67), "Outlier", "OK")</f>
        <v>OK</v>
      </c>
      <c r="G439" t="str">
        <f t="shared" ref="G439:G443" si="191">IF(OR(C439 &lt; $O$30, C439 &gt; $O$67), "Outlier", "OK")</f>
        <v>OK</v>
      </c>
      <c r="H439" t="str">
        <f t="shared" ref="H439:H443" si="192">IF(OR(D439 &lt; $P$30, D439 &gt; $P$67), "Outlier", "OK")</f>
        <v>OK</v>
      </c>
      <c r="I439" s="4">
        <f t="shared" ref="I439:I443" si="193">YEAR(A439)</f>
        <v>2018</v>
      </c>
    </row>
    <row r="440" spans="1:19" hidden="1" x14ac:dyDescent="0.35">
      <c r="A440" s="1">
        <v>43174</v>
      </c>
      <c r="B440" s="4">
        <v>25.8</v>
      </c>
      <c r="C440">
        <v>21.9</v>
      </c>
      <c r="D440">
        <v>32.1</v>
      </c>
      <c r="E440" s="4">
        <v>0</v>
      </c>
      <c r="F440" t="str">
        <f t="shared" si="190"/>
        <v>OK</v>
      </c>
      <c r="G440" t="str">
        <f t="shared" si="191"/>
        <v>OK</v>
      </c>
      <c r="H440" t="str">
        <f t="shared" si="192"/>
        <v>OK</v>
      </c>
      <c r="I440" s="4">
        <f t="shared" si="193"/>
        <v>2018</v>
      </c>
    </row>
    <row r="441" spans="1:19" x14ac:dyDescent="0.35">
      <c r="A441" s="1">
        <v>43175</v>
      </c>
      <c r="B441" s="4">
        <v>24.1</v>
      </c>
      <c r="C441">
        <v>19.8</v>
      </c>
      <c r="D441">
        <v>32.5</v>
      </c>
      <c r="E441" s="4">
        <v>31</v>
      </c>
      <c r="F441" t="str">
        <f t="shared" si="190"/>
        <v>OK</v>
      </c>
      <c r="G441" t="str">
        <f t="shared" si="191"/>
        <v>OK</v>
      </c>
      <c r="H441" t="str">
        <f t="shared" si="192"/>
        <v>OK</v>
      </c>
      <c r="I441" s="4">
        <f t="shared" si="193"/>
        <v>2018</v>
      </c>
      <c r="J441">
        <f>( 377.84*B441 + 3903.1)/550</f>
        <v>23.652807272727273</v>
      </c>
      <c r="K441">
        <f xml:space="preserve"> (59.02*E441 + 1383.4)/365</f>
        <v>8.8027945205479465</v>
      </c>
      <c r="R441" s="4">
        <f>J441-B441</f>
        <v>-0.44719272727272852</v>
      </c>
      <c r="S441" s="4">
        <f>K441-E441</f>
        <v>-22.197205479452052</v>
      </c>
    </row>
    <row r="442" spans="1:19" hidden="1" x14ac:dyDescent="0.35">
      <c r="A442" s="1">
        <v>43176</v>
      </c>
      <c r="B442" s="4">
        <v>23.7</v>
      </c>
      <c r="C442">
        <v>18.899999999999999</v>
      </c>
      <c r="D442">
        <v>32</v>
      </c>
      <c r="E442" s="4">
        <v>0</v>
      </c>
      <c r="F442" t="str">
        <f t="shared" si="190"/>
        <v>OK</v>
      </c>
      <c r="G442" t="str">
        <f t="shared" si="191"/>
        <v>OK</v>
      </c>
      <c r="H442" t="str">
        <f t="shared" si="192"/>
        <v>OK</v>
      </c>
      <c r="I442" s="4">
        <f t="shared" si="193"/>
        <v>2018</v>
      </c>
    </row>
    <row r="443" spans="1:19" hidden="1" x14ac:dyDescent="0.35">
      <c r="A443" s="1">
        <v>43177</v>
      </c>
      <c r="B443" s="4">
        <v>24.7</v>
      </c>
      <c r="C443">
        <v>20.3</v>
      </c>
      <c r="D443">
        <v>29.1</v>
      </c>
      <c r="E443" s="4">
        <v>0</v>
      </c>
      <c r="F443" t="str">
        <f t="shared" si="190"/>
        <v>OK</v>
      </c>
      <c r="G443" t="str">
        <f t="shared" si="191"/>
        <v>OK</v>
      </c>
      <c r="H443" t="str">
        <f t="shared" si="192"/>
        <v>OK</v>
      </c>
      <c r="I443" s="4">
        <f t="shared" si="193"/>
        <v>2018</v>
      </c>
    </row>
    <row r="444" spans="1:19" hidden="1" x14ac:dyDescent="0.35">
      <c r="A444" s="1">
        <v>43178</v>
      </c>
      <c r="B444">
        <v>25.6</v>
      </c>
      <c r="C444">
        <v>17.399999999999999</v>
      </c>
      <c r="D444">
        <v>31.1</v>
      </c>
      <c r="E444"/>
      <c r="I444"/>
    </row>
    <row r="445" spans="1:19" hidden="1" x14ac:dyDescent="0.35">
      <c r="A445" s="1">
        <v>43179</v>
      </c>
      <c r="B445">
        <v>26.7</v>
      </c>
      <c r="C445">
        <v>19.5</v>
      </c>
      <c r="D445">
        <v>32.4</v>
      </c>
      <c r="E445"/>
      <c r="I445"/>
    </row>
    <row r="446" spans="1:19" hidden="1" x14ac:dyDescent="0.35">
      <c r="A446" s="1">
        <v>43180</v>
      </c>
      <c r="B446">
        <v>27.4</v>
      </c>
      <c r="C446">
        <v>21.4</v>
      </c>
      <c r="D446">
        <v>33.700000000000003</v>
      </c>
      <c r="E446"/>
      <c r="I446"/>
    </row>
    <row r="447" spans="1:19" hidden="1" x14ac:dyDescent="0.35">
      <c r="A447" s="1">
        <v>43181</v>
      </c>
      <c r="B447">
        <v>27.4</v>
      </c>
      <c r="C447">
        <v>22.6</v>
      </c>
      <c r="D447">
        <v>34.1</v>
      </c>
      <c r="E447"/>
      <c r="I447"/>
    </row>
    <row r="448" spans="1:19" hidden="1" x14ac:dyDescent="0.35">
      <c r="A448" s="1">
        <v>43182</v>
      </c>
      <c r="B448">
        <v>28.2</v>
      </c>
      <c r="C448">
        <v>22.3</v>
      </c>
      <c r="D448">
        <v>34</v>
      </c>
      <c r="E448"/>
      <c r="I448"/>
    </row>
    <row r="449" spans="1:19" hidden="1" x14ac:dyDescent="0.35">
      <c r="A449" s="1">
        <v>43183</v>
      </c>
      <c r="B449">
        <v>27.6</v>
      </c>
      <c r="C449">
        <v>21.4</v>
      </c>
      <c r="D449">
        <v>35.1</v>
      </c>
      <c r="E449"/>
      <c r="I449"/>
    </row>
    <row r="450" spans="1:19" hidden="1" x14ac:dyDescent="0.35">
      <c r="A450" s="1">
        <v>43184</v>
      </c>
      <c r="B450">
        <v>27.3</v>
      </c>
      <c r="C450">
        <v>21.7</v>
      </c>
      <c r="D450">
        <v>33.200000000000003</v>
      </c>
      <c r="E450"/>
      <c r="I450"/>
    </row>
    <row r="451" spans="1:19" hidden="1" x14ac:dyDescent="0.35">
      <c r="A451" s="1">
        <v>43185</v>
      </c>
      <c r="B451">
        <v>27.1</v>
      </c>
      <c r="C451">
        <v>20.8</v>
      </c>
      <c r="D451">
        <v>34.1</v>
      </c>
      <c r="E451"/>
      <c r="I451"/>
    </row>
    <row r="452" spans="1:19" hidden="1" x14ac:dyDescent="0.35">
      <c r="A452" s="1">
        <v>43186</v>
      </c>
      <c r="B452">
        <v>27.4</v>
      </c>
      <c r="C452">
        <v>21.5</v>
      </c>
      <c r="D452">
        <v>34.4</v>
      </c>
      <c r="E452"/>
      <c r="I452"/>
    </row>
    <row r="453" spans="1:19" hidden="1" x14ac:dyDescent="0.35">
      <c r="A453" s="1">
        <v>43187</v>
      </c>
      <c r="B453">
        <v>27.5</v>
      </c>
      <c r="C453">
        <v>22.3</v>
      </c>
      <c r="D453">
        <v>34.4</v>
      </c>
      <c r="E453"/>
      <c r="I453"/>
    </row>
    <row r="454" spans="1:19" hidden="1" x14ac:dyDescent="0.35">
      <c r="A454" s="1">
        <v>43188</v>
      </c>
      <c r="B454">
        <v>27.5</v>
      </c>
      <c r="C454">
        <v>22.7</v>
      </c>
      <c r="D454">
        <v>33.9</v>
      </c>
      <c r="E454"/>
      <c r="I454"/>
    </row>
    <row r="455" spans="1:19" hidden="1" x14ac:dyDescent="0.35">
      <c r="A455" s="1">
        <v>43189</v>
      </c>
      <c r="B455" s="4">
        <v>25.7</v>
      </c>
      <c r="C455">
        <v>21.4</v>
      </c>
      <c r="D455">
        <v>34</v>
      </c>
      <c r="E455" s="4">
        <v>0</v>
      </c>
      <c r="F455" t="str">
        <f t="shared" ref="F455:F457" si="194">IF(OR(B455 &lt; $N$30, B455 &gt; $N$67), "Outlier", "OK")</f>
        <v>OK</v>
      </c>
      <c r="G455" t="str">
        <f t="shared" ref="G455:G457" si="195">IF(OR(C455 &lt; $O$30, C455 &gt; $O$67), "Outlier", "OK")</f>
        <v>OK</v>
      </c>
      <c r="H455" t="str">
        <f t="shared" ref="H455:H457" si="196">IF(OR(D455 &lt; $P$30, D455 &gt; $P$67), "Outlier", "OK")</f>
        <v>OK</v>
      </c>
      <c r="I455" s="4">
        <f t="shared" ref="I455:I457" si="197">YEAR(A455)</f>
        <v>2018</v>
      </c>
    </row>
    <row r="456" spans="1:19" x14ac:dyDescent="0.35">
      <c r="A456" s="1">
        <v>43190</v>
      </c>
      <c r="B456" s="4">
        <v>25.9</v>
      </c>
      <c r="C456">
        <v>21.1</v>
      </c>
      <c r="D456">
        <v>34.799999999999997</v>
      </c>
      <c r="E456" s="4">
        <v>3.3</v>
      </c>
      <c r="F456" t="str">
        <f t="shared" si="194"/>
        <v>OK</v>
      </c>
      <c r="G456" t="str">
        <f t="shared" si="195"/>
        <v>OK</v>
      </c>
      <c r="H456" t="str">
        <f t="shared" si="196"/>
        <v>OK</v>
      </c>
      <c r="I456" s="4">
        <f t="shared" si="197"/>
        <v>2018</v>
      </c>
      <c r="J456">
        <f>( 377.84*B456 + 3903.1)/550</f>
        <v>24.889374545454544</v>
      </c>
      <c r="K456">
        <f xml:space="preserve"> (59.02*E456 + 1383.4)/365</f>
        <v>4.3237424657534254</v>
      </c>
      <c r="R456" s="4">
        <f>J456-B456</f>
        <v>-1.0106254545454547</v>
      </c>
      <c r="S456" s="4">
        <f>K456-E456</f>
        <v>1.0237424657534255</v>
      </c>
    </row>
    <row r="457" spans="1:19" hidden="1" x14ac:dyDescent="0.35">
      <c r="A457" s="1">
        <v>43191</v>
      </c>
      <c r="B457" s="4">
        <v>27.6</v>
      </c>
      <c r="C457">
        <v>21.2</v>
      </c>
      <c r="D457">
        <v>33.200000000000003</v>
      </c>
      <c r="E457" s="4">
        <v>0</v>
      </c>
      <c r="F457" t="str">
        <f t="shared" si="194"/>
        <v>OK</v>
      </c>
      <c r="G457" t="str">
        <f t="shared" si="195"/>
        <v>OK</v>
      </c>
      <c r="H457" t="str">
        <f t="shared" si="196"/>
        <v>OK</v>
      </c>
      <c r="I457" s="4">
        <f t="shared" si="197"/>
        <v>2018</v>
      </c>
    </row>
    <row r="458" spans="1:19" hidden="1" x14ac:dyDescent="0.35">
      <c r="A458" s="1">
        <v>43192</v>
      </c>
      <c r="B458">
        <v>24.7</v>
      </c>
      <c r="C458">
        <v>19.899999999999999</v>
      </c>
      <c r="D458">
        <v>33.5</v>
      </c>
      <c r="E458"/>
      <c r="I458"/>
    </row>
    <row r="459" spans="1:19" x14ac:dyDescent="0.35">
      <c r="A459" s="1">
        <v>43193</v>
      </c>
      <c r="B459" s="4">
        <v>26.1</v>
      </c>
      <c r="C459">
        <v>19.8</v>
      </c>
      <c r="D459">
        <v>33.1</v>
      </c>
      <c r="E459" s="4">
        <v>13.7</v>
      </c>
      <c r="F459" t="str">
        <f t="shared" ref="F459:F460" si="198">IF(OR(B459 &lt; $N$30, B459 &gt; $N$67), "Outlier", "OK")</f>
        <v>OK</v>
      </c>
      <c r="G459" t="str">
        <f t="shared" ref="G459:G460" si="199">IF(OR(C459 &lt; $O$30, C459 &gt; $O$67), "Outlier", "OK")</f>
        <v>OK</v>
      </c>
      <c r="H459" t="str">
        <f t="shared" ref="H459:H460" si="200">IF(OR(D459 &lt; $P$30, D459 &gt; $P$67), "Outlier", "OK")</f>
        <v>OK</v>
      </c>
      <c r="I459" s="4">
        <f t="shared" ref="I459:I460" si="201">YEAR(A459)</f>
        <v>2018</v>
      </c>
      <c r="J459">
        <f>( 377.84*B459 + 3903.1)/550</f>
        <v>25.02677090909091</v>
      </c>
      <c r="K459">
        <f xml:space="preserve"> (59.02*E459 + 1383.4)/365</f>
        <v>6.0054082191780829</v>
      </c>
      <c r="R459" s="4">
        <f>J459-B459</f>
        <v>-1.0732290909090914</v>
      </c>
      <c r="S459" s="4">
        <f>K459-E459</f>
        <v>-7.6945917808219164</v>
      </c>
    </row>
    <row r="460" spans="1:19" hidden="1" x14ac:dyDescent="0.35">
      <c r="A460" s="1">
        <v>43194</v>
      </c>
      <c r="B460" s="4">
        <v>26.2</v>
      </c>
      <c r="C460">
        <v>21.4</v>
      </c>
      <c r="D460">
        <v>31.5</v>
      </c>
      <c r="E460" s="4">
        <v>0</v>
      </c>
      <c r="F460" t="str">
        <f t="shared" si="198"/>
        <v>OK</v>
      </c>
      <c r="G460" t="str">
        <f t="shared" si="199"/>
        <v>OK</v>
      </c>
      <c r="H460" t="str">
        <f t="shared" si="200"/>
        <v>OK</v>
      </c>
      <c r="I460" s="4">
        <f t="shared" si="201"/>
        <v>2018</v>
      </c>
    </row>
    <row r="461" spans="1:19" hidden="1" x14ac:dyDescent="0.35">
      <c r="A461" s="1">
        <v>43195</v>
      </c>
      <c r="B461">
        <v>26.4</v>
      </c>
      <c r="C461">
        <v>21</v>
      </c>
      <c r="D461">
        <v>32.700000000000003</v>
      </c>
      <c r="E461"/>
      <c r="I461"/>
    </row>
    <row r="462" spans="1:19" hidden="1" x14ac:dyDescent="0.35">
      <c r="A462" s="1">
        <v>43196</v>
      </c>
      <c r="B462">
        <v>27.4</v>
      </c>
      <c r="C462">
        <v>21.3</v>
      </c>
      <c r="D462">
        <v>33.200000000000003</v>
      </c>
      <c r="E462"/>
      <c r="I462"/>
    </row>
    <row r="463" spans="1:19" hidden="1" x14ac:dyDescent="0.35">
      <c r="A463" s="1">
        <v>43197</v>
      </c>
      <c r="B463">
        <v>26.7</v>
      </c>
      <c r="C463">
        <v>21.6</v>
      </c>
      <c r="D463">
        <v>33.5</v>
      </c>
      <c r="E463"/>
      <c r="I463"/>
    </row>
    <row r="464" spans="1:19" hidden="1" x14ac:dyDescent="0.35">
      <c r="A464" s="1">
        <v>43198</v>
      </c>
      <c r="B464">
        <v>26.4</v>
      </c>
      <c r="C464">
        <v>21</v>
      </c>
      <c r="D464">
        <v>32.6</v>
      </c>
      <c r="E464"/>
      <c r="I464"/>
    </row>
    <row r="465" spans="1:19" hidden="1" x14ac:dyDescent="0.35">
      <c r="A465" s="1">
        <v>43199</v>
      </c>
      <c r="B465">
        <v>26.2</v>
      </c>
      <c r="C465">
        <v>21</v>
      </c>
      <c r="D465">
        <v>32.700000000000003</v>
      </c>
      <c r="E465"/>
      <c r="I465"/>
    </row>
    <row r="466" spans="1:19" hidden="1" x14ac:dyDescent="0.35">
      <c r="A466" s="1">
        <v>43200</v>
      </c>
      <c r="B466">
        <v>26.5</v>
      </c>
      <c r="C466">
        <v>20.7</v>
      </c>
      <c r="D466">
        <v>32.4</v>
      </c>
      <c r="E466"/>
      <c r="I466"/>
    </row>
    <row r="467" spans="1:19" hidden="1" x14ac:dyDescent="0.35">
      <c r="A467" s="1">
        <v>43201</v>
      </c>
      <c r="B467">
        <v>26.2</v>
      </c>
      <c r="C467">
        <v>21.8</v>
      </c>
      <c r="D467">
        <v>32.200000000000003</v>
      </c>
      <c r="E467"/>
      <c r="I467"/>
    </row>
    <row r="468" spans="1:19" hidden="1" x14ac:dyDescent="0.35">
      <c r="A468" s="1">
        <v>43202</v>
      </c>
      <c r="B468">
        <v>27.5</v>
      </c>
      <c r="C468">
        <v>21.9</v>
      </c>
      <c r="D468">
        <v>33.200000000000003</v>
      </c>
      <c r="E468"/>
      <c r="I468"/>
    </row>
    <row r="469" spans="1:19" hidden="1" x14ac:dyDescent="0.35">
      <c r="A469" s="1">
        <v>43203</v>
      </c>
      <c r="B469">
        <v>27.6</v>
      </c>
      <c r="C469">
        <v>21.7</v>
      </c>
      <c r="D469">
        <v>33.5</v>
      </c>
      <c r="E469"/>
      <c r="I469"/>
    </row>
    <row r="470" spans="1:19" hidden="1" x14ac:dyDescent="0.35">
      <c r="A470" s="1">
        <v>43204</v>
      </c>
      <c r="B470">
        <v>28.3</v>
      </c>
      <c r="C470">
        <v>23.1</v>
      </c>
      <c r="D470">
        <v>34.200000000000003</v>
      </c>
      <c r="E470"/>
      <c r="I470"/>
    </row>
    <row r="471" spans="1:19" hidden="1" x14ac:dyDescent="0.35">
      <c r="A471" s="1">
        <v>43205</v>
      </c>
      <c r="B471">
        <v>28.2</v>
      </c>
      <c r="C471">
        <v>23.9</v>
      </c>
      <c r="D471">
        <v>34.6</v>
      </c>
      <c r="E471"/>
      <c r="I471"/>
    </row>
    <row r="472" spans="1:19" hidden="1" x14ac:dyDescent="0.35">
      <c r="A472" s="1">
        <v>43206</v>
      </c>
      <c r="B472">
        <v>27.2</v>
      </c>
      <c r="C472">
        <v>22.6</v>
      </c>
      <c r="D472">
        <v>33.700000000000003</v>
      </c>
      <c r="E472"/>
      <c r="I472"/>
    </row>
    <row r="473" spans="1:19" x14ac:dyDescent="0.35">
      <c r="A473" s="1">
        <v>43207</v>
      </c>
      <c r="B473" s="4">
        <v>28.2</v>
      </c>
      <c r="C473">
        <v>22.3</v>
      </c>
      <c r="D473">
        <v>34.6</v>
      </c>
      <c r="E473" s="4">
        <v>11.7</v>
      </c>
      <c r="F473" t="str">
        <f t="shared" ref="F473:F474" si="202">IF(OR(B473 &lt; $N$30, B473 &gt; $N$67), "Outlier", "OK")</f>
        <v>OK</v>
      </c>
      <c r="G473" t="str">
        <f t="shared" ref="G473:G474" si="203">IF(OR(C473 &lt; $O$30, C473 &gt; $O$67), "Outlier", "OK")</f>
        <v>OK</v>
      </c>
      <c r="H473" t="str">
        <f t="shared" ref="H473:H474" si="204">IF(OR(D473 &lt; $P$30, D473 &gt; $P$67), "Outlier", "OK")</f>
        <v>OK</v>
      </c>
      <c r="I473" s="4">
        <f t="shared" ref="I473:I474" si="205">YEAR(A473)</f>
        <v>2018</v>
      </c>
      <c r="J473">
        <f>( 377.84*B473 + 3903.1)/550</f>
        <v>26.469432727272729</v>
      </c>
      <c r="K473">
        <f xml:space="preserve"> (59.02*E473 + 1383.4)/365</f>
        <v>5.6820109589041099</v>
      </c>
      <c r="R473" s="4">
        <f>J473-B473</f>
        <v>-1.7305672727272707</v>
      </c>
      <c r="S473" s="4">
        <f>K473-E473</f>
        <v>-6.0179890410958894</v>
      </c>
    </row>
    <row r="474" spans="1:19" hidden="1" x14ac:dyDescent="0.35">
      <c r="A474" s="1">
        <v>43208</v>
      </c>
      <c r="B474" s="4">
        <v>29</v>
      </c>
      <c r="C474">
        <v>23.5</v>
      </c>
      <c r="D474">
        <v>34.9</v>
      </c>
      <c r="E474" s="4">
        <v>0</v>
      </c>
      <c r="F474" t="str">
        <f t="shared" si="202"/>
        <v>OK</v>
      </c>
      <c r="G474" t="str">
        <f t="shared" si="203"/>
        <v>OK</v>
      </c>
      <c r="H474" t="str">
        <f t="shared" si="204"/>
        <v>OK</v>
      </c>
      <c r="I474" s="4">
        <f t="shared" si="205"/>
        <v>2018</v>
      </c>
    </row>
    <row r="475" spans="1:19" hidden="1" x14ac:dyDescent="0.35">
      <c r="A475" s="1">
        <v>43209</v>
      </c>
      <c r="B475">
        <v>27.9</v>
      </c>
      <c r="C475">
        <v>23.9</v>
      </c>
      <c r="D475">
        <v>34.799999999999997</v>
      </c>
      <c r="E475"/>
      <c r="I475"/>
    </row>
    <row r="476" spans="1:19" hidden="1" x14ac:dyDescent="0.35">
      <c r="A476" s="1">
        <v>43210</v>
      </c>
      <c r="B476">
        <v>25.5</v>
      </c>
      <c r="C476">
        <v>22.9</v>
      </c>
      <c r="D476">
        <v>34</v>
      </c>
      <c r="E476"/>
      <c r="I476"/>
    </row>
    <row r="477" spans="1:19" x14ac:dyDescent="0.35">
      <c r="A477" s="1">
        <v>43211</v>
      </c>
      <c r="B477" s="4">
        <v>28.2</v>
      </c>
      <c r="C477">
        <v>22.2</v>
      </c>
      <c r="D477">
        <v>34.799999999999997</v>
      </c>
      <c r="E477" s="4">
        <v>19.100000000000001</v>
      </c>
      <c r="F477" t="str">
        <f t="shared" ref="F477:F484" si="206">IF(OR(B477 &lt; $N$30, B477 &gt; $N$67), "Outlier", "OK")</f>
        <v>OK</v>
      </c>
      <c r="G477" t="str">
        <f t="shared" ref="G477:G484" si="207">IF(OR(C477 &lt; $O$30, C477 &gt; $O$67), "Outlier", "OK")</f>
        <v>OK</v>
      </c>
      <c r="H477" t="str">
        <f t="shared" ref="H477:H484" si="208">IF(OR(D477 &lt; $P$30, D477 &gt; $P$67), "Outlier", "OK")</f>
        <v>OK</v>
      </c>
      <c r="I477" s="4">
        <f t="shared" ref="I477:I484" si="209">YEAR(A477)</f>
        <v>2018</v>
      </c>
      <c r="J477">
        <f>( 377.84*B477 + 3903.1)/550</f>
        <v>26.469432727272729</v>
      </c>
      <c r="K477">
        <f xml:space="preserve"> (59.02*E477 + 1383.4)/365</f>
        <v>6.8785808219178088</v>
      </c>
      <c r="R477" s="4">
        <f>J477-B477</f>
        <v>-1.7305672727272707</v>
      </c>
      <c r="S477" s="4">
        <f>K477-E477</f>
        <v>-12.221419178082193</v>
      </c>
    </row>
    <row r="478" spans="1:19" hidden="1" x14ac:dyDescent="0.35">
      <c r="A478" s="1">
        <v>43212</v>
      </c>
      <c r="B478" s="4">
        <v>26.1</v>
      </c>
      <c r="C478">
        <v>23.4</v>
      </c>
      <c r="D478">
        <v>34.799999999999997</v>
      </c>
      <c r="E478" s="4">
        <v>0</v>
      </c>
      <c r="F478" t="str">
        <f t="shared" si="206"/>
        <v>OK</v>
      </c>
      <c r="G478" t="str">
        <f t="shared" si="207"/>
        <v>OK</v>
      </c>
      <c r="H478" t="str">
        <f t="shared" si="208"/>
        <v>OK</v>
      </c>
      <c r="I478" s="4">
        <f t="shared" si="209"/>
        <v>2018</v>
      </c>
    </row>
    <row r="479" spans="1:19" x14ac:dyDescent="0.35">
      <c r="A479" s="1">
        <v>43213</v>
      </c>
      <c r="B479" s="4">
        <v>27.2</v>
      </c>
      <c r="C479">
        <v>22</v>
      </c>
      <c r="D479">
        <v>33.799999999999997</v>
      </c>
      <c r="E479" s="4">
        <v>4.8</v>
      </c>
      <c r="F479" t="str">
        <f t="shared" si="206"/>
        <v>OK</v>
      </c>
      <c r="G479" t="str">
        <f t="shared" si="207"/>
        <v>OK</v>
      </c>
      <c r="H479" t="str">
        <f t="shared" si="208"/>
        <v>OK</v>
      </c>
      <c r="I479" s="4">
        <f t="shared" si="209"/>
        <v>2018</v>
      </c>
      <c r="J479">
        <f>( 377.84*B479 + 3903.1)/550</f>
        <v>25.782450909090908</v>
      </c>
      <c r="K479">
        <f xml:space="preserve"> (59.02*E479 + 1383.4)/365</f>
        <v>4.5662904109589046</v>
      </c>
      <c r="R479" s="4">
        <f>J479-B479</f>
        <v>-1.4175490909090911</v>
      </c>
      <c r="S479" s="4">
        <f>K479-E479</f>
        <v>-0.23370958904109518</v>
      </c>
    </row>
    <row r="480" spans="1:19" hidden="1" x14ac:dyDescent="0.35">
      <c r="A480" s="1">
        <v>43214</v>
      </c>
      <c r="B480" s="4">
        <v>25.1</v>
      </c>
      <c r="C480">
        <v>22.4</v>
      </c>
      <c r="D480">
        <v>34.200000000000003</v>
      </c>
      <c r="E480" s="4">
        <v>0</v>
      </c>
      <c r="F480" t="str">
        <f t="shared" si="206"/>
        <v>OK</v>
      </c>
      <c r="G480" t="str">
        <f t="shared" si="207"/>
        <v>OK</v>
      </c>
      <c r="H480" t="str">
        <f t="shared" si="208"/>
        <v>OK</v>
      </c>
      <c r="I480" s="4">
        <f t="shared" si="209"/>
        <v>2018</v>
      </c>
    </row>
    <row r="481" spans="1:19" x14ac:dyDescent="0.35">
      <c r="A481" s="1">
        <v>43215</v>
      </c>
      <c r="B481" s="4">
        <v>26.6</v>
      </c>
      <c r="C481">
        <v>22.2</v>
      </c>
      <c r="D481">
        <v>34</v>
      </c>
      <c r="E481" s="4">
        <v>3.8</v>
      </c>
      <c r="F481" t="str">
        <f t="shared" si="206"/>
        <v>OK</v>
      </c>
      <c r="G481" t="str">
        <f t="shared" si="207"/>
        <v>OK</v>
      </c>
      <c r="H481" t="str">
        <f t="shared" si="208"/>
        <v>OK</v>
      </c>
      <c r="I481" s="4">
        <f t="shared" si="209"/>
        <v>2018</v>
      </c>
      <c r="J481">
        <f t="shared" ref="J481:J483" si="210">( 377.84*B481 + 3903.1)/550</f>
        <v>25.37026181818182</v>
      </c>
      <c r="K481">
        <f t="shared" ref="K481:K483" si="211" xml:space="preserve"> (59.02*E481 + 1383.4)/365</f>
        <v>4.4045917808219182</v>
      </c>
      <c r="R481" s="4">
        <f t="shared" ref="R481:R483" si="212">J481-B481</f>
        <v>-1.2297381818181812</v>
      </c>
      <c r="S481" s="4">
        <f t="shared" ref="S481:S483" si="213">K481-E481</f>
        <v>0.60459178082191833</v>
      </c>
    </row>
    <row r="482" spans="1:19" x14ac:dyDescent="0.35">
      <c r="A482" s="1">
        <v>43216</v>
      </c>
      <c r="B482" s="4">
        <v>27.2</v>
      </c>
      <c r="C482">
        <v>22.8</v>
      </c>
      <c r="D482">
        <v>34.4</v>
      </c>
      <c r="E482" s="4">
        <v>0.5</v>
      </c>
      <c r="F482" t="str">
        <f t="shared" si="206"/>
        <v>OK</v>
      </c>
      <c r="G482" t="str">
        <f t="shared" si="207"/>
        <v>OK</v>
      </c>
      <c r="H482" t="str">
        <f t="shared" si="208"/>
        <v>OK</v>
      </c>
      <c r="I482" s="4">
        <f t="shared" si="209"/>
        <v>2018</v>
      </c>
      <c r="J482">
        <f t="shared" si="210"/>
        <v>25.782450909090908</v>
      </c>
      <c r="K482">
        <f t="shared" si="211"/>
        <v>3.8709863013698631</v>
      </c>
      <c r="R482" s="4">
        <f t="shared" si="212"/>
        <v>-1.4175490909090911</v>
      </c>
      <c r="S482" s="4">
        <f t="shared" si="213"/>
        <v>3.3709863013698631</v>
      </c>
    </row>
    <row r="483" spans="1:19" x14ac:dyDescent="0.35">
      <c r="A483" s="1">
        <v>43217</v>
      </c>
      <c r="B483" s="4">
        <v>28.3</v>
      </c>
      <c r="C483">
        <v>22</v>
      </c>
      <c r="D483">
        <v>34.700000000000003</v>
      </c>
      <c r="E483" s="4">
        <v>0.5</v>
      </c>
      <c r="F483" t="str">
        <f t="shared" si="206"/>
        <v>OK</v>
      </c>
      <c r="G483" t="str">
        <f t="shared" si="207"/>
        <v>OK</v>
      </c>
      <c r="H483" t="str">
        <f t="shared" si="208"/>
        <v>OK</v>
      </c>
      <c r="I483" s="4">
        <f t="shared" si="209"/>
        <v>2018</v>
      </c>
      <c r="J483">
        <f t="shared" si="210"/>
        <v>26.53813090909091</v>
      </c>
      <c r="K483">
        <f t="shared" si="211"/>
        <v>3.8709863013698631</v>
      </c>
      <c r="R483" s="4">
        <f t="shared" si="212"/>
        <v>-1.7618690909090908</v>
      </c>
      <c r="S483" s="4">
        <f t="shared" si="213"/>
        <v>3.3709863013698631</v>
      </c>
    </row>
    <row r="484" spans="1:19" hidden="1" x14ac:dyDescent="0.35">
      <c r="A484" s="1">
        <v>43218</v>
      </c>
      <c r="B484" s="4">
        <v>27.7</v>
      </c>
      <c r="C484">
        <v>22.5</v>
      </c>
      <c r="D484">
        <v>34.200000000000003</v>
      </c>
      <c r="E484" s="4">
        <v>0</v>
      </c>
      <c r="F484" t="str">
        <f t="shared" si="206"/>
        <v>OK</v>
      </c>
      <c r="G484" t="str">
        <f t="shared" si="207"/>
        <v>OK</v>
      </c>
      <c r="H484" t="str">
        <f t="shared" si="208"/>
        <v>OK</v>
      </c>
      <c r="I484" s="4">
        <f t="shared" si="209"/>
        <v>2018</v>
      </c>
    </row>
    <row r="485" spans="1:19" hidden="1" x14ac:dyDescent="0.35">
      <c r="A485" s="1">
        <v>43219</v>
      </c>
      <c r="B485">
        <v>28.3</v>
      </c>
      <c r="C485">
        <v>23.8</v>
      </c>
      <c r="D485">
        <v>34</v>
      </c>
      <c r="E485"/>
      <c r="I485"/>
    </row>
    <row r="486" spans="1:19" x14ac:dyDescent="0.35">
      <c r="A486" s="1">
        <v>43220</v>
      </c>
      <c r="B486" s="4">
        <v>27</v>
      </c>
      <c r="C486">
        <v>23.2</v>
      </c>
      <c r="D486">
        <v>34.9</v>
      </c>
      <c r="E486" s="4">
        <v>0.3</v>
      </c>
      <c r="F486" t="str">
        <f t="shared" ref="F486:F491" si="214">IF(OR(B486 &lt; $N$30, B486 &gt; $N$67), "Outlier", "OK")</f>
        <v>OK</v>
      </c>
      <c r="G486" t="str">
        <f t="shared" ref="G486:G491" si="215">IF(OR(C486 &lt; $O$30, C486 &gt; $O$67), "Outlier", "OK")</f>
        <v>OK</v>
      </c>
      <c r="H486" t="str">
        <f t="shared" ref="H486:H491" si="216">IF(OR(D486 &lt; $P$30, D486 &gt; $P$67), "Outlier", "OK")</f>
        <v>OK</v>
      </c>
      <c r="I486" s="4">
        <f t="shared" ref="I486:I491" si="217">YEAR(A486)</f>
        <v>2018</v>
      </c>
      <c r="J486">
        <f t="shared" ref="J486:J487" si="218">( 377.84*B486 + 3903.1)/550</f>
        <v>25.645054545454542</v>
      </c>
      <c r="K486">
        <f t="shared" ref="K486:K487" si="219" xml:space="preserve"> (59.02*E486 + 1383.4)/365</f>
        <v>3.8386465753424659</v>
      </c>
      <c r="R486" s="4">
        <f t="shared" ref="R486:R487" si="220">J486-B486</f>
        <v>-1.354945454545458</v>
      </c>
      <c r="S486" s="4">
        <f t="shared" ref="S486:S487" si="221">K486-E486</f>
        <v>3.5386465753424661</v>
      </c>
    </row>
    <row r="487" spans="1:19" x14ac:dyDescent="0.35">
      <c r="A487" s="1">
        <v>43221</v>
      </c>
      <c r="B487" s="4">
        <v>26.9</v>
      </c>
      <c r="C487">
        <v>21.4</v>
      </c>
      <c r="D487">
        <v>35.200000000000003</v>
      </c>
      <c r="E487" s="4">
        <v>5.6</v>
      </c>
      <c r="F487" t="str">
        <f t="shared" si="214"/>
        <v>OK</v>
      </c>
      <c r="G487" t="str">
        <f t="shared" si="215"/>
        <v>OK</v>
      </c>
      <c r="H487" t="str">
        <f t="shared" si="216"/>
        <v>OK</v>
      </c>
      <c r="I487" s="4">
        <f t="shared" si="217"/>
        <v>2018</v>
      </c>
      <c r="J487">
        <f t="shared" si="218"/>
        <v>25.576356363636361</v>
      </c>
      <c r="K487">
        <f t="shared" si="219"/>
        <v>4.6956493150684935</v>
      </c>
      <c r="R487" s="4">
        <f t="shared" si="220"/>
        <v>-1.3236436363636379</v>
      </c>
      <c r="S487" s="4">
        <f t="shared" si="221"/>
        <v>-0.90435068493150617</v>
      </c>
    </row>
    <row r="488" spans="1:19" hidden="1" x14ac:dyDescent="0.35">
      <c r="A488" s="1">
        <v>43222</v>
      </c>
      <c r="B488" s="4">
        <v>26.5</v>
      </c>
      <c r="C488">
        <v>23.3</v>
      </c>
      <c r="D488">
        <v>33</v>
      </c>
      <c r="E488" s="4">
        <v>0</v>
      </c>
      <c r="F488" t="str">
        <f t="shared" si="214"/>
        <v>OK</v>
      </c>
      <c r="G488" t="str">
        <f t="shared" si="215"/>
        <v>OK</v>
      </c>
      <c r="H488" t="str">
        <f t="shared" si="216"/>
        <v>OK</v>
      </c>
      <c r="I488" s="4">
        <f t="shared" si="217"/>
        <v>2018</v>
      </c>
    </row>
    <row r="489" spans="1:19" x14ac:dyDescent="0.35">
      <c r="A489" s="1">
        <v>43223</v>
      </c>
      <c r="B489" s="4">
        <v>25.9</v>
      </c>
      <c r="C489">
        <v>18.899999999999999</v>
      </c>
      <c r="D489">
        <v>34</v>
      </c>
      <c r="E489" s="4">
        <v>0.8</v>
      </c>
      <c r="F489" t="str">
        <f t="shared" si="214"/>
        <v>OK</v>
      </c>
      <c r="G489" t="str">
        <f t="shared" si="215"/>
        <v>OK</v>
      </c>
      <c r="H489" t="str">
        <f t="shared" si="216"/>
        <v>OK</v>
      </c>
      <c r="I489" s="4">
        <f t="shared" si="217"/>
        <v>2018</v>
      </c>
      <c r="J489">
        <f t="shared" ref="J489:J490" si="222">( 377.84*B489 + 3903.1)/550</f>
        <v>24.889374545454544</v>
      </c>
      <c r="K489">
        <f t="shared" ref="K489:K490" si="223" xml:space="preserve"> (59.02*E489 + 1383.4)/365</f>
        <v>3.9194958904109587</v>
      </c>
      <c r="R489" s="4">
        <f t="shared" ref="R489:R490" si="224">J489-B489</f>
        <v>-1.0106254545454547</v>
      </c>
      <c r="S489" s="4">
        <f t="shared" ref="S489:S490" si="225">K489-E489</f>
        <v>3.1194958904109589</v>
      </c>
    </row>
    <row r="490" spans="1:19" x14ac:dyDescent="0.35">
      <c r="A490" s="1">
        <v>43224</v>
      </c>
      <c r="B490" s="4">
        <v>26.1</v>
      </c>
      <c r="C490">
        <v>19.2</v>
      </c>
      <c r="D490">
        <v>33.200000000000003</v>
      </c>
      <c r="E490" s="4">
        <v>39.4</v>
      </c>
      <c r="F490" t="str">
        <f t="shared" si="214"/>
        <v>OK</v>
      </c>
      <c r="G490" t="str">
        <f t="shared" si="215"/>
        <v>OK</v>
      </c>
      <c r="H490" t="str">
        <f t="shared" si="216"/>
        <v>OK</v>
      </c>
      <c r="I490" s="4">
        <f t="shared" si="217"/>
        <v>2018</v>
      </c>
      <c r="J490">
        <f t="shared" si="222"/>
        <v>25.02677090909091</v>
      </c>
      <c r="K490">
        <f t="shared" si="223"/>
        <v>10.16106301369863</v>
      </c>
      <c r="R490" s="4">
        <f t="shared" si="224"/>
        <v>-1.0732290909090914</v>
      </c>
      <c r="S490" s="4">
        <f t="shared" si="225"/>
        <v>-29.238936986301368</v>
      </c>
    </row>
    <row r="491" spans="1:19" hidden="1" x14ac:dyDescent="0.35">
      <c r="A491" s="1">
        <v>43225</v>
      </c>
      <c r="B491" s="4">
        <v>27</v>
      </c>
      <c r="C491">
        <v>23.1</v>
      </c>
      <c r="D491">
        <v>32</v>
      </c>
      <c r="E491" s="4">
        <v>0</v>
      </c>
      <c r="F491" t="str">
        <f t="shared" si="214"/>
        <v>OK</v>
      </c>
      <c r="G491" t="str">
        <f t="shared" si="215"/>
        <v>OK</v>
      </c>
      <c r="H491" t="str">
        <f t="shared" si="216"/>
        <v>OK</v>
      </c>
      <c r="I491" s="4">
        <f t="shared" si="217"/>
        <v>2018</v>
      </c>
    </row>
    <row r="492" spans="1:19" hidden="1" x14ac:dyDescent="0.35">
      <c r="A492" s="1">
        <v>43226</v>
      </c>
      <c r="B492">
        <v>27.9</v>
      </c>
      <c r="C492">
        <v>22.7</v>
      </c>
      <c r="D492">
        <v>32.4</v>
      </c>
      <c r="E492"/>
      <c r="I492"/>
    </row>
    <row r="493" spans="1:19" hidden="1" x14ac:dyDescent="0.35">
      <c r="A493" s="1">
        <v>43227</v>
      </c>
      <c r="B493">
        <v>27.8</v>
      </c>
      <c r="C493">
        <v>23.4</v>
      </c>
      <c r="D493">
        <v>33.5</v>
      </c>
      <c r="E493"/>
      <c r="I493"/>
    </row>
    <row r="494" spans="1:19" hidden="1" x14ac:dyDescent="0.35">
      <c r="A494" s="1">
        <v>43228</v>
      </c>
      <c r="B494">
        <v>25.9</v>
      </c>
      <c r="C494">
        <v>22.9</v>
      </c>
      <c r="D494">
        <v>33.5</v>
      </c>
      <c r="E494"/>
      <c r="I494"/>
    </row>
    <row r="495" spans="1:19" hidden="1" x14ac:dyDescent="0.35">
      <c r="A495" s="1">
        <v>43229</v>
      </c>
      <c r="B495" s="4">
        <v>27.2</v>
      </c>
      <c r="C495">
        <v>21.8</v>
      </c>
      <c r="D495">
        <v>32.799999999999997</v>
      </c>
      <c r="E495" s="4">
        <v>0</v>
      </c>
      <c r="F495" t="str">
        <f>IF(OR(B495 &lt; $N$30, B495 &gt; $N$67), "Outlier", "OK")</f>
        <v>OK</v>
      </c>
      <c r="G495" t="str">
        <f>IF(OR(C495 &lt; $O$30, C495 &gt; $O$67), "Outlier", "OK")</f>
        <v>OK</v>
      </c>
      <c r="H495" t="str">
        <f>IF(OR(D495 &lt; $P$30, D495 &gt; $P$67), "Outlier", "OK")</f>
        <v>OK</v>
      </c>
      <c r="I495" s="4">
        <f>YEAR(A495)</f>
        <v>2018</v>
      </c>
    </row>
    <row r="496" spans="1:19" hidden="1" x14ac:dyDescent="0.35">
      <c r="A496" s="1">
        <v>43230</v>
      </c>
      <c r="B496">
        <v>25.7</v>
      </c>
      <c r="C496">
        <v>20.9</v>
      </c>
      <c r="D496">
        <v>32.6</v>
      </c>
      <c r="E496"/>
      <c r="I496"/>
    </row>
    <row r="497" spans="1:19" hidden="1" x14ac:dyDescent="0.35">
      <c r="A497" s="1">
        <v>43231</v>
      </c>
      <c r="B497">
        <v>24.4</v>
      </c>
      <c r="C497">
        <v>19.399999999999999</v>
      </c>
      <c r="D497">
        <v>34</v>
      </c>
      <c r="E497"/>
      <c r="I497"/>
    </row>
    <row r="498" spans="1:19" x14ac:dyDescent="0.35">
      <c r="A498" s="1">
        <v>43232</v>
      </c>
      <c r="B498" s="4">
        <v>25.7</v>
      </c>
      <c r="C498">
        <v>19.8</v>
      </c>
      <c r="D498">
        <v>32.200000000000003</v>
      </c>
      <c r="E498" s="4">
        <v>34.299999999999997</v>
      </c>
      <c r="F498" t="str">
        <f t="shared" ref="F498:F503" si="226">IF(OR(B498 &lt; $N$30, B498 &gt; $N$67), "Outlier", "OK")</f>
        <v>OK</v>
      </c>
      <c r="G498" t="str">
        <f t="shared" ref="G498:G503" si="227">IF(OR(C498 &lt; $O$30, C498 &gt; $O$67), "Outlier", "OK")</f>
        <v>OK</v>
      </c>
      <c r="H498" t="str">
        <f t="shared" ref="H498:H503" si="228">IF(OR(D498 &lt; $P$30, D498 &gt; $P$67), "Outlier", "OK")</f>
        <v>OK</v>
      </c>
      <c r="I498" s="4">
        <f t="shared" ref="I498:I503" si="229">YEAR(A498)</f>
        <v>2018</v>
      </c>
      <c r="J498">
        <f>( 377.84*B498 + 3903.1)/550</f>
        <v>24.751978181818181</v>
      </c>
      <c r="K498">
        <f xml:space="preserve"> (59.02*E498 + 1383.4)/365</f>
        <v>9.3363999999999994</v>
      </c>
      <c r="R498" s="4">
        <f>J498-B498</f>
        <v>-0.94802181818181808</v>
      </c>
      <c r="S498" s="4">
        <f>K498-E498</f>
        <v>-24.9636</v>
      </c>
    </row>
    <row r="499" spans="1:19" hidden="1" x14ac:dyDescent="0.35">
      <c r="A499" s="1">
        <v>43233</v>
      </c>
      <c r="B499" s="4">
        <v>24.9</v>
      </c>
      <c r="C499">
        <v>20.8</v>
      </c>
      <c r="D499">
        <v>32</v>
      </c>
      <c r="E499" s="4">
        <v>0</v>
      </c>
      <c r="F499" t="str">
        <f t="shared" si="226"/>
        <v>OK</v>
      </c>
      <c r="G499" t="str">
        <f t="shared" si="227"/>
        <v>OK</v>
      </c>
      <c r="H499" t="str">
        <f t="shared" si="228"/>
        <v>OK</v>
      </c>
      <c r="I499" s="4">
        <f t="shared" si="229"/>
        <v>2018</v>
      </c>
    </row>
    <row r="500" spans="1:19" x14ac:dyDescent="0.35">
      <c r="A500" s="1">
        <v>43234</v>
      </c>
      <c r="B500" s="4">
        <v>23.8</v>
      </c>
      <c r="C500">
        <v>21</v>
      </c>
      <c r="D500">
        <v>32</v>
      </c>
      <c r="E500" s="4">
        <v>17.8</v>
      </c>
      <c r="F500" t="str">
        <f t="shared" si="226"/>
        <v>OK</v>
      </c>
      <c r="G500" t="str">
        <f t="shared" si="227"/>
        <v>OK</v>
      </c>
      <c r="H500" t="str">
        <f t="shared" si="228"/>
        <v>OK</v>
      </c>
      <c r="I500" s="4">
        <f t="shared" si="229"/>
        <v>2018</v>
      </c>
      <c r="J500">
        <f t="shared" ref="J500:J502" si="230">( 377.84*B500 + 3903.1)/550</f>
        <v>23.446712727272729</v>
      </c>
      <c r="K500">
        <f t="shared" ref="K500:K502" si="231" xml:space="preserve"> (59.02*E500 + 1383.4)/365</f>
        <v>6.6683726027397263</v>
      </c>
      <c r="R500" s="4">
        <f t="shared" ref="R500:R502" si="232">J500-B500</f>
        <v>-0.35328727272727178</v>
      </c>
      <c r="S500" s="4">
        <f t="shared" ref="S500:S502" si="233">K500-E500</f>
        <v>-11.131627397260274</v>
      </c>
    </row>
    <row r="501" spans="1:19" x14ac:dyDescent="0.35">
      <c r="A501" s="1">
        <v>43235</v>
      </c>
      <c r="B501" s="4">
        <v>24.8</v>
      </c>
      <c r="C501">
        <v>20.6</v>
      </c>
      <c r="D501">
        <v>31.4</v>
      </c>
      <c r="E501" s="4">
        <v>16.5</v>
      </c>
      <c r="F501" t="str">
        <f t="shared" si="226"/>
        <v>OK</v>
      </c>
      <c r="G501" t="str">
        <f t="shared" si="227"/>
        <v>OK</v>
      </c>
      <c r="H501" t="str">
        <f t="shared" si="228"/>
        <v>OK</v>
      </c>
      <c r="I501" s="4">
        <f t="shared" si="229"/>
        <v>2018</v>
      </c>
      <c r="J501">
        <f t="shared" si="230"/>
        <v>24.133694545454546</v>
      </c>
      <c r="K501">
        <f t="shared" si="231"/>
        <v>6.4581643835616438</v>
      </c>
      <c r="R501" s="4">
        <f t="shared" si="232"/>
        <v>-0.66630545454545498</v>
      </c>
      <c r="S501" s="4">
        <f t="shared" si="233"/>
        <v>-10.041835616438355</v>
      </c>
    </row>
    <row r="502" spans="1:19" x14ac:dyDescent="0.35">
      <c r="A502" s="1">
        <v>43236</v>
      </c>
      <c r="B502" s="4">
        <v>26.2</v>
      </c>
      <c r="C502">
        <v>20.7</v>
      </c>
      <c r="D502">
        <v>32.4</v>
      </c>
      <c r="E502" s="4">
        <v>4.3</v>
      </c>
      <c r="F502" t="str">
        <f t="shared" si="226"/>
        <v>OK</v>
      </c>
      <c r="G502" t="str">
        <f t="shared" si="227"/>
        <v>OK</v>
      </c>
      <c r="H502" t="str">
        <f t="shared" si="228"/>
        <v>OK</v>
      </c>
      <c r="I502" s="4">
        <f t="shared" si="229"/>
        <v>2018</v>
      </c>
      <c r="J502">
        <f t="shared" si="230"/>
        <v>25.095469090909091</v>
      </c>
      <c r="K502">
        <f t="shared" si="231"/>
        <v>4.485441095890411</v>
      </c>
      <c r="R502" s="4">
        <f t="shared" si="232"/>
        <v>-1.1045309090909079</v>
      </c>
      <c r="S502" s="4">
        <f t="shared" si="233"/>
        <v>0.18544109589041113</v>
      </c>
    </row>
    <row r="503" spans="1:19" hidden="1" x14ac:dyDescent="0.35">
      <c r="A503" s="1">
        <v>43237</v>
      </c>
      <c r="B503" s="4">
        <v>26.7</v>
      </c>
      <c r="C503">
        <v>21.9</v>
      </c>
      <c r="D503">
        <v>31</v>
      </c>
      <c r="E503" s="4">
        <v>0</v>
      </c>
      <c r="F503" t="str">
        <f t="shared" si="226"/>
        <v>OK</v>
      </c>
      <c r="G503" t="str">
        <f t="shared" si="227"/>
        <v>OK</v>
      </c>
      <c r="H503" t="str">
        <f t="shared" si="228"/>
        <v>OK</v>
      </c>
      <c r="I503" s="4">
        <f t="shared" si="229"/>
        <v>2018</v>
      </c>
    </row>
    <row r="504" spans="1:19" hidden="1" x14ac:dyDescent="0.35">
      <c r="A504" s="1">
        <v>43238</v>
      </c>
      <c r="B504">
        <v>24.2</v>
      </c>
      <c r="C504">
        <v>21.9</v>
      </c>
      <c r="D504">
        <v>31.7</v>
      </c>
      <c r="E504"/>
      <c r="I504"/>
    </row>
    <row r="505" spans="1:19" x14ac:dyDescent="0.35">
      <c r="A505" s="1">
        <v>43239</v>
      </c>
      <c r="B505" s="4">
        <v>25.9</v>
      </c>
      <c r="C505">
        <v>21.4</v>
      </c>
      <c r="D505">
        <v>32.799999999999997</v>
      </c>
      <c r="E505" s="4">
        <v>19.100000000000001</v>
      </c>
      <c r="F505" t="str">
        <f t="shared" ref="F505:F508" si="234">IF(OR(B505 &lt; $N$30, B505 &gt; $N$67), "Outlier", "OK")</f>
        <v>OK</v>
      </c>
      <c r="G505" t="str">
        <f t="shared" ref="G505:G508" si="235">IF(OR(C505 &lt; $O$30, C505 &gt; $O$67), "Outlier", "OK")</f>
        <v>OK</v>
      </c>
      <c r="H505" t="str">
        <f t="shared" ref="H505:H508" si="236">IF(OR(D505 &lt; $P$30, D505 &gt; $P$67), "Outlier", "OK")</f>
        <v>OK</v>
      </c>
      <c r="I505" s="4">
        <f t="shared" ref="I505:I508" si="237">YEAR(A505)</f>
        <v>2018</v>
      </c>
      <c r="J505">
        <f t="shared" ref="J505:J506" si="238">( 377.84*B505 + 3903.1)/550</f>
        <v>24.889374545454544</v>
      </c>
      <c r="K505">
        <f t="shared" ref="K505:K506" si="239" xml:space="preserve"> (59.02*E505 + 1383.4)/365</f>
        <v>6.8785808219178088</v>
      </c>
      <c r="R505" s="4">
        <f t="shared" ref="R505:R506" si="240">J505-B505</f>
        <v>-1.0106254545454547</v>
      </c>
      <c r="S505" s="4">
        <f t="shared" ref="S505:S506" si="241">K505-E505</f>
        <v>-12.221419178082193</v>
      </c>
    </row>
    <row r="506" spans="1:19" x14ac:dyDescent="0.35">
      <c r="A506" s="1">
        <v>43240</v>
      </c>
      <c r="B506" s="4">
        <v>25.2</v>
      </c>
      <c r="C506">
        <v>20.5</v>
      </c>
      <c r="D506">
        <v>32.4</v>
      </c>
      <c r="E506" s="4">
        <v>8.6</v>
      </c>
      <c r="F506" t="str">
        <f t="shared" si="234"/>
        <v>OK</v>
      </c>
      <c r="G506" t="str">
        <f t="shared" si="235"/>
        <v>OK</v>
      </c>
      <c r="H506" t="str">
        <f t="shared" si="236"/>
        <v>OK</v>
      </c>
      <c r="I506" s="4">
        <f t="shared" si="237"/>
        <v>2018</v>
      </c>
      <c r="J506">
        <f t="shared" si="238"/>
        <v>24.408487272727271</v>
      </c>
      <c r="K506">
        <f t="shared" si="239"/>
        <v>5.1807452054794529</v>
      </c>
      <c r="R506" s="4">
        <f t="shared" si="240"/>
        <v>-0.79151272727272826</v>
      </c>
      <c r="S506" s="4">
        <f t="shared" si="241"/>
        <v>-3.4192547945205467</v>
      </c>
    </row>
    <row r="507" spans="1:19" hidden="1" x14ac:dyDescent="0.35">
      <c r="A507" s="1">
        <v>43241</v>
      </c>
      <c r="B507" s="4">
        <v>24</v>
      </c>
      <c r="C507">
        <v>21.6</v>
      </c>
      <c r="D507">
        <v>32.4</v>
      </c>
      <c r="E507" s="4">
        <v>0</v>
      </c>
      <c r="F507" t="str">
        <f t="shared" si="234"/>
        <v>OK</v>
      </c>
      <c r="G507" t="str">
        <f t="shared" si="235"/>
        <v>OK</v>
      </c>
      <c r="H507" t="str">
        <f t="shared" si="236"/>
        <v>OK</v>
      </c>
      <c r="I507" s="4">
        <f t="shared" si="237"/>
        <v>2018</v>
      </c>
    </row>
    <row r="508" spans="1:19" x14ac:dyDescent="0.35">
      <c r="A508" s="1">
        <v>43242</v>
      </c>
      <c r="B508" s="4">
        <v>26.3</v>
      </c>
      <c r="C508">
        <v>20.5</v>
      </c>
      <c r="D508">
        <v>31.8</v>
      </c>
      <c r="E508" s="4">
        <v>9.4</v>
      </c>
      <c r="F508" t="str">
        <f t="shared" si="234"/>
        <v>OK</v>
      </c>
      <c r="G508" t="str">
        <f t="shared" si="235"/>
        <v>OK</v>
      </c>
      <c r="H508" t="str">
        <f t="shared" si="236"/>
        <v>OK</v>
      </c>
      <c r="I508" s="4">
        <f t="shared" si="237"/>
        <v>2018</v>
      </c>
      <c r="J508">
        <f>( 377.84*B508 + 3903.1)/550</f>
        <v>25.164167272727273</v>
      </c>
      <c r="K508">
        <f xml:space="preserve"> (59.02*E508 + 1383.4)/365</f>
        <v>5.3101041095890418</v>
      </c>
      <c r="R508" s="4">
        <f>J508-B508</f>
        <v>-1.135832727272728</v>
      </c>
      <c r="S508" s="4">
        <f>K508-E508</f>
        <v>-4.0898958904109586</v>
      </c>
    </row>
    <row r="509" spans="1:19" hidden="1" x14ac:dyDescent="0.35">
      <c r="A509" s="1">
        <v>43243</v>
      </c>
      <c r="B509">
        <v>23.7</v>
      </c>
      <c r="D509">
        <v>31.6</v>
      </c>
      <c r="E509">
        <v>24.9</v>
      </c>
      <c r="I509"/>
    </row>
    <row r="510" spans="1:19" x14ac:dyDescent="0.35">
      <c r="A510" s="1">
        <v>43244</v>
      </c>
      <c r="B510" s="4">
        <v>26.3</v>
      </c>
      <c r="C510">
        <v>20.399999999999999</v>
      </c>
      <c r="D510">
        <v>31.9</v>
      </c>
      <c r="E510" s="4">
        <v>24.9</v>
      </c>
      <c r="F510" t="str">
        <f t="shared" ref="F510:F514" si="242">IF(OR(B510 &lt; $N$30, B510 &gt; $N$67), "Outlier", "OK")</f>
        <v>OK</v>
      </c>
      <c r="G510" t="str">
        <f t="shared" ref="G510:G514" si="243">IF(OR(C510 &lt; $O$30, C510 &gt; $O$67), "Outlier", "OK")</f>
        <v>OK</v>
      </c>
      <c r="H510" t="str">
        <f t="shared" ref="H510:H514" si="244">IF(OR(D510 &lt; $P$30, D510 &gt; $P$67), "Outlier", "OK")</f>
        <v>OK</v>
      </c>
      <c r="I510" s="4">
        <f t="shared" ref="I510:I514" si="245">YEAR(A510)</f>
        <v>2018</v>
      </c>
      <c r="J510">
        <f t="shared" ref="J510:J512" si="246">( 377.84*B510 + 3903.1)/550</f>
        <v>25.164167272727273</v>
      </c>
      <c r="K510">
        <f t="shared" ref="K510:K512" si="247" xml:space="preserve"> (59.02*E510 + 1383.4)/365</f>
        <v>7.8164328767123292</v>
      </c>
      <c r="R510" s="4">
        <f t="shared" ref="R510:R512" si="248">J510-B510</f>
        <v>-1.135832727272728</v>
      </c>
      <c r="S510" s="4">
        <f t="shared" ref="S510:S512" si="249">K510-E510</f>
        <v>-17.083567123287668</v>
      </c>
    </row>
    <row r="511" spans="1:19" x14ac:dyDescent="0.35">
      <c r="A511" s="1">
        <v>43245</v>
      </c>
      <c r="B511" s="4">
        <v>23.5</v>
      </c>
      <c r="C511">
        <v>21.9</v>
      </c>
      <c r="D511">
        <v>32</v>
      </c>
      <c r="E511" s="4">
        <v>33</v>
      </c>
      <c r="F511" t="str">
        <f t="shared" si="242"/>
        <v>OK</v>
      </c>
      <c r="G511" t="str">
        <f t="shared" si="243"/>
        <v>OK</v>
      </c>
      <c r="H511" t="str">
        <f t="shared" si="244"/>
        <v>OK</v>
      </c>
      <c r="I511" s="4">
        <f t="shared" si="245"/>
        <v>2018</v>
      </c>
      <c r="J511">
        <f t="shared" si="246"/>
        <v>23.240618181818181</v>
      </c>
      <c r="K511">
        <f t="shared" si="247"/>
        <v>9.1261917808219195</v>
      </c>
      <c r="R511" s="4">
        <f t="shared" si="248"/>
        <v>-0.2593818181818186</v>
      </c>
      <c r="S511" s="4">
        <f t="shared" si="249"/>
        <v>-23.87380821917808</v>
      </c>
    </row>
    <row r="512" spans="1:19" x14ac:dyDescent="0.35">
      <c r="A512" s="1">
        <v>43246</v>
      </c>
      <c r="B512" s="4">
        <v>25</v>
      </c>
      <c r="C512">
        <v>21.1</v>
      </c>
      <c r="D512">
        <v>29.8</v>
      </c>
      <c r="E512" s="4">
        <v>14</v>
      </c>
      <c r="F512" t="str">
        <f t="shared" si="242"/>
        <v>OK</v>
      </c>
      <c r="G512" t="str">
        <f t="shared" si="243"/>
        <v>OK</v>
      </c>
      <c r="H512" t="str">
        <f t="shared" si="244"/>
        <v>OK</v>
      </c>
      <c r="I512" s="4">
        <f t="shared" si="245"/>
        <v>2018</v>
      </c>
      <c r="J512">
        <f t="shared" si="246"/>
        <v>24.271090909090908</v>
      </c>
      <c r="K512">
        <f t="shared" si="247"/>
        <v>6.0539178082191789</v>
      </c>
      <c r="R512" s="4">
        <f t="shared" si="248"/>
        <v>-0.72890909090909162</v>
      </c>
      <c r="S512" s="4">
        <f t="shared" si="249"/>
        <v>-7.9460821917808211</v>
      </c>
    </row>
    <row r="513" spans="1:19" hidden="1" x14ac:dyDescent="0.35">
      <c r="A513" s="1">
        <v>43247</v>
      </c>
      <c r="B513" s="4">
        <v>26</v>
      </c>
      <c r="C513">
        <v>22.2</v>
      </c>
      <c r="D513">
        <v>30.8</v>
      </c>
      <c r="E513" s="4">
        <v>0</v>
      </c>
      <c r="F513" t="str">
        <f t="shared" si="242"/>
        <v>OK</v>
      </c>
      <c r="G513" t="str">
        <f t="shared" si="243"/>
        <v>OK</v>
      </c>
      <c r="H513" t="str">
        <f t="shared" si="244"/>
        <v>OK</v>
      </c>
      <c r="I513" s="4">
        <f t="shared" si="245"/>
        <v>2018</v>
      </c>
    </row>
    <row r="514" spans="1:19" hidden="1" x14ac:dyDescent="0.35">
      <c r="A514" s="1">
        <v>43248</v>
      </c>
      <c r="B514" s="4">
        <v>26.3</v>
      </c>
      <c r="C514">
        <v>22.3</v>
      </c>
      <c r="D514">
        <v>32</v>
      </c>
      <c r="E514" s="4">
        <v>0</v>
      </c>
      <c r="F514" t="str">
        <f t="shared" si="242"/>
        <v>OK</v>
      </c>
      <c r="G514" t="str">
        <f t="shared" si="243"/>
        <v>OK</v>
      </c>
      <c r="H514" t="str">
        <f t="shared" si="244"/>
        <v>OK</v>
      </c>
      <c r="I514" s="4">
        <f t="shared" si="245"/>
        <v>2018</v>
      </c>
    </row>
    <row r="515" spans="1:19" hidden="1" x14ac:dyDescent="0.35">
      <c r="A515" s="1">
        <v>43249</v>
      </c>
      <c r="B515">
        <v>25.6</v>
      </c>
      <c r="C515">
        <v>22.4</v>
      </c>
      <c r="D515">
        <v>32.200000000000003</v>
      </c>
      <c r="E515"/>
      <c r="I515"/>
    </row>
    <row r="516" spans="1:19" hidden="1" x14ac:dyDescent="0.35">
      <c r="A516" s="1">
        <v>43250</v>
      </c>
      <c r="B516" s="4">
        <v>24.5</v>
      </c>
      <c r="C516">
        <v>20.9</v>
      </c>
      <c r="D516">
        <v>30.5</v>
      </c>
      <c r="E516" s="4">
        <v>0</v>
      </c>
      <c r="F516" t="str">
        <f t="shared" ref="F516:F528" si="250">IF(OR(B516 &lt; $N$30, B516 &gt; $N$67), "Outlier", "OK")</f>
        <v>OK</v>
      </c>
      <c r="G516" t="str">
        <f t="shared" ref="G516:G528" si="251">IF(OR(C516 &lt; $O$30, C516 &gt; $O$67), "Outlier", "OK")</f>
        <v>OK</v>
      </c>
      <c r="H516" t="str">
        <f t="shared" ref="H516:H528" si="252">IF(OR(D516 &lt; $P$30, D516 &gt; $P$67), "Outlier", "OK")</f>
        <v>OK</v>
      </c>
      <c r="I516" s="4">
        <f t="shared" ref="I516:I528" si="253">YEAR(A516)</f>
        <v>2018</v>
      </c>
    </row>
    <row r="517" spans="1:19" x14ac:dyDescent="0.35">
      <c r="A517" s="1">
        <v>43251</v>
      </c>
      <c r="B517" s="4">
        <v>25.6</v>
      </c>
      <c r="C517">
        <v>20.9</v>
      </c>
      <c r="D517">
        <v>29.7</v>
      </c>
      <c r="E517" s="4">
        <v>10.4</v>
      </c>
      <c r="F517" t="str">
        <f t="shared" si="250"/>
        <v>OK</v>
      </c>
      <c r="G517" t="str">
        <f t="shared" si="251"/>
        <v>OK</v>
      </c>
      <c r="H517" t="str">
        <f t="shared" si="252"/>
        <v>OK</v>
      </c>
      <c r="I517" s="4">
        <f t="shared" si="253"/>
        <v>2018</v>
      </c>
      <c r="J517">
        <f>( 377.84*B517 + 3903.1)/550</f>
        <v>24.68328</v>
      </c>
      <c r="K517">
        <f xml:space="preserve"> (59.02*E517 + 1383.4)/365</f>
        <v>5.4718027397260274</v>
      </c>
      <c r="R517" s="4">
        <f>J517-B517</f>
        <v>-0.91672000000000153</v>
      </c>
      <c r="S517" s="4">
        <f>K517-E517</f>
        <v>-4.928197260273973</v>
      </c>
    </row>
    <row r="518" spans="1:19" hidden="1" x14ac:dyDescent="0.35">
      <c r="A518" s="1">
        <v>43252</v>
      </c>
      <c r="B518" s="4">
        <v>24.4</v>
      </c>
      <c r="C518">
        <v>21.9</v>
      </c>
      <c r="D518">
        <v>30.3</v>
      </c>
      <c r="E518" s="4">
        <v>0</v>
      </c>
      <c r="F518" t="str">
        <f t="shared" si="250"/>
        <v>OK</v>
      </c>
      <c r="G518" t="str">
        <f t="shared" si="251"/>
        <v>OK</v>
      </c>
      <c r="H518" t="str">
        <f t="shared" si="252"/>
        <v>OK</v>
      </c>
      <c r="I518" s="4">
        <f t="shared" si="253"/>
        <v>2018</v>
      </c>
    </row>
    <row r="519" spans="1:19" x14ac:dyDescent="0.35">
      <c r="A519" s="1">
        <v>43253</v>
      </c>
      <c r="B519" s="4">
        <v>23.8</v>
      </c>
      <c r="C519">
        <v>20.9</v>
      </c>
      <c r="D519">
        <v>31</v>
      </c>
      <c r="E519" s="4">
        <v>1.5</v>
      </c>
      <c r="F519" t="str">
        <f t="shared" si="250"/>
        <v>OK</v>
      </c>
      <c r="G519" t="str">
        <f t="shared" si="251"/>
        <v>OK</v>
      </c>
      <c r="H519" t="str">
        <f t="shared" si="252"/>
        <v>OK</v>
      </c>
      <c r="I519" s="4">
        <f t="shared" si="253"/>
        <v>2018</v>
      </c>
      <c r="J519">
        <f t="shared" ref="J519:J521" si="254">( 377.84*B519 + 3903.1)/550</f>
        <v>23.446712727272729</v>
      </c>
      <c r="K519">
        <f t="shared" ref="K519:K521" si="255" xml:space="preserve"> (59.02*E519 + 1383.4)/365</f>
        <v>4.0326849315068491</v>
      </c>
      <c r="R519" s="4">
        <f t="shared" ref="R519:R521" si="256">J519-B519</f>
        <v>-0.35328727272727178</v>
      </c>
      <c r="S519" s="4">
        <f t="shared" ref="S519:S521" si="257">K519-E519</f>
        <v>2.5326849315068491</v>
      </c>
    </row>
    <row r="520" spans="1:19" x14ac:dyDescent="0.35">
      <c r="A520" s="1">
        <v>43254</v>
      </c>
      <c r="B520" s="4">
        <v>23.7</v>
      </c>
      <c r="C520">
        <v>20.8</v>
      </c>
      <c r="D520">
        <v>30.3</v>
      </c>
      <c r="E520" s="4">
        <v>1.8</v>
      </c>
      <c r="F520" t="str">
        <f t="shared" si="250"/>
        <v>OK</v>
      </c>
      <c r="G520" t="str">
        <f t="shared" si="251"/>
        <v>OK</v>
      </c>
      <c r="H520" t="str">
        <f t="shared" si="252"/>
        <v>OK</v>
      </c>
      <c r="I520" s="4">
        <f t="shared" si="253"/>
        <v>2018</v>
      </c>
      <c r="J520">
        <f t="shared" si="254"/>
        <v>23.378014545454544</v>
      </c>
      <c r="K520">
        <f t="shared" si="255"/>
        <v>4.0811945205479461</v>
      </c>
      <c r="R520" s="4">
        <f t="shared" si="256"/>
        <v>-0.32198545454545524</v>
      </c>
      <c r="S520" s="4">
        <f t="shared" si="257"/>
        <v>2.2811945205479462</v>
      </c>
    </row>
    <row r="521" spans="1:19" x14ac:dyDescent="0.35">
      <c r="A521" s="1">
        <v>43255</v>
      </c>
      <c r="B521" s="4">
        <v>23.8</v>
      </c>
      <c r="C521">
        <v>21</v>
      </c>
      <c r="D521">
        <v>30.4</v>
      </c>
      <c r="E521" s="4">
        <v>6.1</v>
      </c>
      <c r="F521" t="str">
        <f t="shared" si="250"/>
        <v>OK</v>
      </c>
      <c r="G521" t="str">
        <f t="shared" si="251"/>
        <v>OK</v>
      </c>
      <c r="H521" t="str">
        <f t="shared" si="252"/>
        <v>OK</v>
      </c>
      <c r="I521" s="4">
        <f t="shared" si="253"/>
        <v>2018</v>
      </c>
      <c r="J521">
        <f t="shared" si="254"/>
        <v>23.446712727272729</v>
      </c>
      <c r="K521">
        <f t="shared" si="255"/>
        <v>4.7764986301369863</v>
      </c>
      <c r="R521" s="4">
        <f t="shared" si="256"/>
        <v>-0.35328727272727178</v>
      </c>
      <c r="S521" s="4">
        <f t="shared" si="257"/>
        <v>-1.3235013698630134</v>
      </c>
    </row>
    <row r="522" spans="1:19" hidden="1" x14ac:dyDescent="0.35">
      <c r="A522" s="1">
        <v>43256</v>
      </c>
      <c r="B522" s="4">
        <v>24.8</v>
      </c>
      <c r="C522">
        <v>21.2</v>
      </c>
      <c r="D522">
        <v>30</v>
      </c>
      <c r="E522" s="4">
        <v>0</v>
      </c>
      <c r="F522" t="str">
        <f t="shared" si="250"/>
        <v>OK</v>
      </c>
      <c r="G522" t="str">
        <f t="shared" si="251"/>
        <v>OK</v>
      </c>
      <c r="H522" t="str">
        <f t="shared" si="252"/>
        <v>OK</v>
      </c>
      <c r="I522" s="4">
        <f t="shared" si="253"/>
        <v>2018</v>
      </c>
    </row>
    <row r="523" spans="1:19" hidden="1" x14ac:dyDescent="0.35">
      <c r="A523" s="1">
        <v>43257</v>
      </c>
      <c r="B523" s="4">
        <v>25.6</v>
      </c>
      <c r="C523">
        <v>21.9</v>
      </c>
      <c r="D523">
        <v>29.7</v>
      </c>
      <c r="E523" s="4">
        <v>0</v>
      </c>
      <c r="F523" t="str">
        <f t="shared" si="250"/>
        <v>OK</v>
      </c>
      <c r="G523" t="str">
        <f t="shared" si="251"/>
        <v>OK</v>
      </c>
      <c r="H523" t="str">
        <f t="shared" si="252"/>
        <v>OK</v>
      </c>
      <c r="I523" s="4">
        <f t="shared" si="253"/>
        <v>2018</v>
      </c>
    </row>
    <row r="524" spans="1:19" hidden="1" x14ac:dyDescent="0.35">
      <c r="A524" s="1">
        <v>43258</v>
      </c>
      <c r="B524" s="4">
        <v>23.9</v>
      </c>
      <c r="C524">
        <v>21.7</v>
      </c>
      <c r="D524">
        <v>30.1</v>
      </c>
      <c r="E524" s="4">
        <v>0</v>
      </c>
      <c r="F524" t="str">
        <f t="shared" si="250"/>
        <v>OK</v>
      </c>
      <c r="G524" t="str">
        <f t="shared" si="251"/>
        <v>OK</v>
      </c>
      <c r="H524" t="str">
        <f t="shared" si="252"/>
        <v>OK</v>
      </c>
      <c r="I524" s="4">
        <f t="shared" si="253"/>
        <v>2018</v>
      </c>
    </row>
    <row r="525" spans="1:19" hidden="1" x14ac:dyDescent="0.35">
      <c r="A525" s="1">
        <v>43259</v>
      </c>
      <c r="B525" s="4">
        <v>23.3</v>
      </c>
      <c r="C525">
        <v>21</v>
      </c>
      <c r="D525">
        <v>29</v>
      </c>
      <c r="E525" s="4">
        <v>0</v>
      </c>
      <c r="F525" t="str">
        <f t="shared" si="250"/>
        <v>OK</v>
      </c>
      <c r="G525" t="str">
        <f t="shared" si="251"/>
        <v>OK</v>
      </c>
      <c r="H525" t="str">
        <f t="shared" si="252"/>
        <v>OK</v>
      </c>
      <c r="I525" s="4">
        <f t="shared" si="253"/>
        <v>2018</v>
      </c>
    </row>
    <row r="526" spans="1:19" x14ac:dyDescent="0.35">
      <c r="A526" s="1">
        <v>43260</v>
      </c>
      <c r="B526" s="4">
        <v>22</v>
      </c>
      <c r="C526">
        <v>20.7</v>
      </c>
      <c r="D526">
        <v>25.8</v>
      </c>
      <c r="E526" s="4">
        <v>3.8</v>
      </c>
      <c r="F526" t="str">
        <f t="shared" si="250"/>
        <v>OK</v>
      </c>
      <c r="G526" t="str">
        <f t="shared" si="251"/>
        <v>OK</v>
      </c>
      <c r="H526" t="str">
        <f t="shared" si="252"/>
        <v>OK</v>
      </c>
      <c r="I526" s="4">
        <f t="shared" si="253"/>
        <v>2018</v>
      </c>
      <c r="J526">
        <f t="shared" ref="J526:J528" si="258">( 377.84*B526 + 3903.1)/550</f>
        <v>22.210145454545454</v>
      </c>
      <c r="K526">
        <f t="shared" ref="K526:K528" si="259" xml:space="preserve"> (59.02*E526 + 1383.4)/365</f>
        <v>4.4045917808219182</v>
      </c>
      <c r="R526" s="4">
        <f t="shared" ref="R526:R528" si="260">J526-B526</f>
        <v>0.21014545454545441</v>
      </c>
      <c r="S526" s="4">
        <f t="shared" ref="S526:S528" si="261">K526-E526</f>
        <v>0.60459178082191833</v>
      </c>
    </row>
    <row r="527" spans="1:19" x14ac:dyDescent="0.35">
      <c r="A527" s="1">
        <v>43261</v>
      </c>
      <c r="B527" s="4">
        <v>22.7</v>
      </c>
      <c r="C527">
        <v>20.5</v>
      </c>
      <c r="D527">
        <v>27</v>
      </c>
      <c r="E527" s="4">
        <v>1.3</v>
      </c>
      <c r="F527" t="str">
        <f t="shared" si="250"/>
        <v>OK</v>
      </c>
      <c r="G527" t="str">
        <f t="shared" si="251"/>
        <v>OK</v>
      </c>
      <c r="H527" t="str">
        <f t="shared" si="252"/>
        <v>OK</v>
      </c>
      <c r="I527" s="4">
        <f t="shared" si="253"/>
        <v>2018</v>
      </c>
      <c r="J527">
        <f t="shared" si="258"/>
        <v>22.691032727272727</v>
      </c>
      <c r="K527">
        <f t="shared" si="259"/>
        <v>4.0003452054794524</v>
      </c>
      <c r="R527" s="4">
        <f t="shared" si="260"/>
        <v>-8.9672727272720465E-3</v>
      </c>
      <c r="S527" s="4">
        <f t="shared" si="261"/>
        <v>2.7003452054794526</v>
      </c>
    </row>
    <row r="528" spans="1:19" x14ac:dyDescent="0.35">
      <c r="A528" s="1">
        <v>43262</v>
      </c>
      <c r="B528" s="4">
        <v>23.7</v>
      </c>
      <c r="C528">
        <v>21</v>
      </c>
      <c r="D528">
        <v>26.9</v>
      </c>
      <c r="E528" s="4">
        <v>2</v>
      </c>
      <c r="F528" t="str">
        <f t="shared" si="250"/>
        <v>OK</v>
      </c>
      <c r="G528" t="str">
        <f t="shared" si="251"/>
        <v>OK</v>
      </c>
      <c r="H528" t="str">
        <f t="shared" si="252"/>
        <v>OK</v>
      </c>
      <c r="I528" s="4">
        <f t="shared" si="253"/>
        <v>2018</v>
      </c>
      <c r="J528">
        <f t="shared" si="258"/>
        <v>23.378014545454544</v>
      </c>
      <c r="K528">
        <f t="shared" si="259"/>
        <v>4.1135342465753428</v>
      </c>
      <c r="R528" s="4">
        <f t="shared" si="260"/>
        <v>-0.32198545454545524</v>
      </c>
      <c r="S528" s="4">
        <f t="shared" si="261"/>
        <v>2.1135342465753428</v>
      </c>
    </row>
    <row r="529" spans="1:19" hidden="1" x14ac:dyDescent="0.35">
      <c r="A529" s="1">
        <v>43263</v>
      </c>
      <c r="B529">
        <v>24.2</v>
      </c>
      <c r="C529">
        <v>21</v>
      </c>
      <c r="E529">
        <v>0</v>
      </c>
      <c r="I529"/>
    </row>
    <row r="530" spans="1:19" hidden="1" x14ac:dyDescent="0.35">
      <c r="A530" s="1">
        <v>43264</v>
      </c>
      <c r="B530">
        <v>24.1</v>
      </c>
      <c r="C530">
        <v>20.8</v>
      </c>
      <c r="D530">
        <v>28.3</v>
      </c>
      <c r="E530"/>
      <c r="I530"/>
    </row>
    <row r="531" spans="1:19" hidden="1" x14ac:dyDescent="0.35">
      <c r="A531" s="1">
        <v>43265</v>
      </c>
      <c r="B531" s="4">
        <v>23.2</v>
      </c>
      <c r="C531">
        <v>21</v>
      </c>
      <c r="D531">
        <v>27.9</v>
      </c>
      <c r="E531" s="4">
        <v>0</v>
      </c>
      <c r="F531" t="str">
        <f t="shared" ref="F531:F534" si="262">IF(OR(B531 &lt; $N$30, B531 &gt; $N$67), "Outlier", "OK")</f>
        <v>OK</v>
      </c>
      <c r="G531" t="str">
        <f t="shared" ref="G531:G534" si="263">IF(OR(C531 &lt; $O$30, C531 &gt; $O$67), "Outlier", "OK")</f>
        <v>OK</v>
      </c>
      <c r="H531" t="str">
        <f t="shared" ref="H531:H534" si="264">IF(OR(D531 &lt; $P$30, D531 &gt; $P$67), "Outlier", "OK")</f>
        <v>OK</v>
      </c>
      <c r="I531" s="4">
        <f t="shared" ref="I531:I534" si="265">YEAR(A531)</f>
        <v>2018</v>
      </c>
    </row>
    <row r="532" spans="1:19" x14ac:dyDescent="0.35">
      <c r="A532" s="1">
        <v>43266</v>
      </c>
      <c r="B532" s="4">
        <v>23.8</v>
      </c>
      <c r="C532">
        <v>20.5</v>
      </c>
      <c r="D532">
        <v>31.2</v>
      </c>
      <c r="E532" s="4">
        <v>3</v>
      </c>
      <c r="F532" t="str">
        <f t="shared" si="262"/>
        <v>OK</v>
      </c>
      <c r="G532" t="str">
        <f t="shared" si="263"/>
        <v>OK</v>
      </c>
      <c r="H532" t="str">
        <f t="shared" si="264"/>
        <v>OK</v>
      </c>
      <c r="I532" s="4">
        <f t="shared" si="265"/>
        <v>2018</v>
      </c>
      <c r="J532">
        <f t="shared" ref="J532:J533" si="266">( 377.84*B532 + 3903.1)/550</f>
        <v>23.446712727272729</v>
      </c>
      <c r="K532">
        <f t="shared" ref="K532:K533" si="267" xml:space="preserve"> (59.02*E532 + 1383.4)/365</f>
        <v>4.2752328767123284</v>
      </c>
      <c r="R532" s="4">
        <f t="shared" ref="R532:R533" si="268">J532-B532</f>
        <v>-0.35328727272727178</v>
      </c>
      <c r="S532" s="4">
        <f t="shared" ref="S532:S533" si="269">K532-E532</f>
        <v>1.2752328767123284</v>
      </c>
    </row>
    <row r="533" spans="1:19" x14ac:dyDescent="0.35">
      <c r="A533" s="1">
        <v>43267</v>
      </c>
      <c r="B533" s="4">
        <v>24.1</v>
      </c>
      <c r="C533">
        <v>20.100000000000001</v>
      </c>
      <c r="D533">
        <v>31</v>
      </c>
      <c r="E533" s="4">
        <v>5.6</v>
      </c>
      <c r="F533" t="str">
        <f t="shared" si="262"/>
        <v>OK</v>
      </c>
      <c r="G533" t="str">
        <f t="shared" si="263"/>
        <v>OK</v>
      </c>
      <c r="H533" t="str">
        <f t="shared" si="264"/>
        <v>OK</v>
      </c>
      <c r="I533" s="4">
        <f t="shared" si="265"/>
        <v>2018</v>
      </c>
      <c r="J533">
        <f t="shared" si="266"/>
        <v>23.652807272727273</v>
      </c>
      <c r="K533">
        <f t="shared" si="267"/>
        <v>4.6956493150684935</v>
      </c>
      <c r="R533" s="4">
        <f t="shared" si="268"/>
        <v>-0.44719272727272852</v>
      </c>
      <c r="S533" s="4">
        <f t="shared" si="269"/>
        <v>-0.90435068493150617</v>
      </c>
    </row>
    <row r="534" spans="1:19" hidden="1" x14ac:dyDescent="0.35">
      <c r="A534" s="1">
        <v>43268</v>
      </c>
      <c r="B534" s="4">
        <v>23.6</v>
      </c>
      <c r="C534">
        <v>20.9</v>
      </c>
      <c r="D534">
        <v>30</v>
      </c>
      <c r="E534" s="4">
        <v>0</v>
      </c>
      <c r="F534" t="str">
        <f t="shared" si="262"/>
        <v>OK</v>
      </c>
      <c r="G534" t="str">
        <f t="shared" si="263"/>
        <v>OK</v>
      </c>
      <c r="H534" t="str">
        <f t="shared" si="264"/>
        <v>OK</v>
      </c>
      <c r="I534" s="4">
        <f t="shared" si="265"/>
        <v>2018</v>
      </c>
    </row>
    <row r="535" spans="1:19" hidden="1" x14ac:dyDescent="0.35">
      <c r="A535" s="1">
        <v>43269</v>
      </c>
      <c r="B535">
        <v>23.5</v>
      </c>
      <c r="C535">
        <v>20.3</v>
      </c>
      <c r="D535">
        <v>28.7</v>
      </c>
      <c r="E535"/>
      <c r="I535"/>
    </row>
    <row r="536" spans="1:19" x14ac:dyDescent="0.35">
      <c r="A536" s="1">
        <v>43270</v>
      </c>
      <c r="B536" s="4">
        <v>23.8</v>
      </c>
      <c r="C536">
        <v>20.100000000000001</v>
      </c>
      <c r="D536">
        <v>28.9</v>
      </c>
      <c r="E536" s="4">
        <v>7.1</v>
      </c>
      <c r="F536" t="str">
        <f t="shared" ref="F536:F537" si="270">IF(OR(B536 &lt; $N$30, B536 &gt; $N$67), "Outlier", "OK")</f>
        <v>OK</v>
      </c>
      <c r="G536" t="str">
        <f t="shared" ref="G536:G537" si="271">IF(OR(C536 &lt; $O$30, C536 &gt; $O$67), "Outlier", "OK")</f>
        <v>OK</v>
      </c>
      <c r="H536" t="str">
        <f t="shared" ref="H536:H537" si="272">IF(OR(D536 &lt; $P$30, D536 &gt; $P$67), "Outlier", "OK")</f>
        <v>OK</v>
      </c>
      <c r="I536" s="4">
        <f t="shared" ref="I536:I537" si="273">YEAR(A536)</f>
        <v>2018</v>
      </c>
      <c r="J536">
        <f>( 377.84*B536 + 3903.1)/550</f>
        <v>23.446712727272729</v>
      </c>
      <c r="K536">
        <f xml:space="preserve"> (59.02*E536 + 1383.4)/365</f>
        <v>4.9381972602739728</v>
      </c>
      <c r="R536" s="4">
        <f>J536-B536</f>
        <v>-0.35328727272727178</v>
      </c>
      <c r="S536" s="4">
        <f>K536-E536</f>
        <v>-2.1618027397260269</v>
      </c>
    </row>
    <row r="537" spans="1:19" hidden="1" x14ac:dyDescent="0.35">
      <c r="A537" s="1">
        <v>43271</v>
      </c>
      <c r="B537" s="4">
        <v>23.4</v>
      </c>
      <c r="C537">
        <v>20.7</v>
      </c>
      <c r="D537">
        <v>29.1</v>
      </c>
      <c r="E537" s="4">
        <v>0</v>
      </c>
      <c r="F537" t="str">
        <f t="shared" si="270"/>
        <v>OK</v>
      </c>
      <c r="G537" t="str">
        <f t="shared" si="271"/>
        <v>OK</v>
      </c>
      <c r="H537" t="str">
        <f t="shared" si="272"/>
        <v>OK</v>
      </c>
      <c r="I537" s="4">
        <f t="shared" si="273"/>
        <v>2018</v>
      </c>
    </row>
    <row r="538" spans="1:19" hidden="1" x14ac:dyDescent="0.35">
      <c r="A538" s="1">
        <v>43272</v>
      </c>
      <c r="B538">
        <v>23.5</v>
      </c>
      <c r="C538">
        <v>20.9</v>
      </c>
      <c r="D538">
        <v>28</v>
      </c>
      <c r="E538"/>
      <c r="I538"/>
    </row>
    <row r="539" spans="1:19" hidden="1" x14ac:dyDescent="0.35">
      <c r="A539" s="1">
        <v>43273</v>
      </c>
      <c r="B539" s="4">
        <v>23.2</v>
      </c>
      <c r="C539">
        <v>19.7</v>
      </c>
      <c r="D539">
        <v>28</v>
      </c>
      <c r="E539" s="4">
        <v>0</v>
      </c>
      <c r="F539" t="str">
        <f t="shared" ref="F539:F543" si="274">IF(OR(B539 &lt; $N$30, B539 &gt; $N$67), "Outlier", "OK")</f>
        <v>OK</v>
      </c>
      <c r="G539" t="str">
        <f t="shared" ref="G539:G543" si="275">IF(OR(C539 &lt; $O$30, C539 &gt; $O$67), "Outlier", "OK")</f>
        <v>OK</v>
      </c>
      <c r="H539" t="str">
        <f t="shared" ref="H539:H543" si="276">IF(OR(D539 &lt; $P$30, D539 &gt; $P$67), "Outlier", "OK")</f>
        <v>OK</v>
      </c>
      <c r="I539" s="4">
        <f t="shared" ref="I539:I543" si="277">YEAR(A539)</f>
        <v>2018</v>
      </c>
    </row>
    <row r="540" spans="1:19" x14ac:dyDescent="0.35">
      <c r="A540" s="1">
        <v>43274</v>
      </c>
      <c r="B540" s="4">
        <v>22.5</v>
      </c>
      <c r="C540">
        <v>20.3</v>
      </c>
      <c r="D540">
        <v>28</v>
      </c>
      <c r="E540" s="4">
        <v>1</v>
      </c>
      <c r="F540" t="str">
        <f t="shared" si="274"/>
        <v>OK</v>
      </c>
      <c r="G540" t="str">
        <f t="shared" si="275"/>
        <v>OK</v>
      </c>
      <c r="H540" t="str">
        <f t="shared" si="276"/>
        <v>OK</v>
      </c>
      <c r="I540" s="4">
        <f t="shared" si="277"/>
        <v>2018</v>
      </c>
      <c r="J540">
        <f t="shared" ref="J540:J541" si="278">( 377.84*B540 + 3903.1)/550</f>
        <v>22.553636363636365</v>
      </c>
      <c r="K540">
        <f t="shared" ref="K540:K541" si="279" xml:space="preserve"> (59.02*E540 + 1383.4)/365</f>
        <v>3.9518356164383563</v>
      </c>
      <c r="R540" s="4">
        <f t="shared" ref="R540:R541" si="280">J540-B540</f>
        <v>5.3636363636364592E-2</v>
      </c>
      <c r="S540" s="4">
        <f t="shared" ref="S540:S541" si="281">K540-E540</f>
        <v>2.9518356164383563</v>
      </c>
    </row>
    <row r="541" spans="1:19" x14ac:dyDescent="0.35">
      <c r="A541" s="1">
        <v>43275</v>
      </c>
      <c r="B541" s="4">
        <v>23.2</v>
      </c>
      <c r="C541">
        <v>19.7</v>
      </c>
      <c r="D541">
        <v>27.8</v>
      </c>
      <c r="E541" s="4">
        <v>12.2</v>
      </c>
      <c r="F541" t="str">
        <f t="shared" si="274"/>
        <v>OK</v>
      </c>
      <c r="G541" t="str">
        <f t="shared" si="275"/>
        <v>OK</v>
      </c>
      <c r="H541" t="str">
        <f t="shared" si="276"/>
        <v>OK</v>
      </c>
      <c r="I541" s="4">
        <f t="shared" si="277"/>
        <v>2018</v>
      </c>
      <c r="J541">
        <f t="shared" si="278"/>
        <v>23.034523636363634</v>
      </c>
      <c r="K541">
        <f t="shared" si="279"/>
        <v>5.7628602739726027</v>
      </c>
      <c r="R541" s="4">
        <f t="shared" si="280"/>
        <v>-0.16547636363636542</v>
      </c>
      <c r="S541" s="4">
        <f t="shared" si="281"/>
        <v>-6.4371397260273966</v>
      </c>
    </row>
    <row r="542" spans="1:19" hidden="1" x14ac:dyDescent="0.35">
      <c r="A542" s="1">
        <v>43276</v>
      </c>
      <c r="B542" s="4">
        <v>23.5</v>
      </c>
      <c r="C542">
        <v>20.100000000000001</v>
      </c>
      <c r="D542">
        <v>27.8</v>
      </c>
      <c r="E542" s="4">
        <v>0</v>
      </c>
      <c r="F542" t="str">
        <f t="shared" si="274"/>
        <v>OK</v>
      </c>
      <c r="G542" t="str">
        <f t="shared" si="275"/>
        <v>OK</v>
      </c>
      <c r="H542" t="str">
        <f t="shared" si="276"/>
        <v>OK</v>
      </c>
      <c r="I542" s="4">
        <f t="shared" si="277"/>
        <v>2018</v>
      </c>
    </row>
    <row r="543" spans="1:19" hidden="1" x14ac:dyDescent="0.35">
      <c r="A543" s="1">
        <v>43277</v>
      </c>
      <c r="B543" s="4">
        <v>23.1</v>
      </c>
      <c r="C543">
        <v>20.2</v>
      </c>
      <c r="D543">
        <v>28.1</v>
      </c>
      <c r="E543" s="4">
        <v>0</v>
      </c>
      <c r="F543" t="str">
        <f t="shared" si="274"/>
        <v>OK</v>
      </c>
      <c r="G543" t="str">
        <f t="shared" si="275"/>
        <v>OK</v>
      </c>
      <c r="H543" t="str">
        <f t="shared" si="276"/>
        <v>OK</v>
      </c>
      <c r="I543" s="4">
        <f t="shared" si="277"/>
        <v>2018</v>
      </c>
    </row>
    <row r="544" spans="1:19" hidden="1" x14ac:dyDescent="0.35">
      <c r="A544" s="1">
        <v>43278</v>
      </c>
      <c r="B544">
        <v>21.9</v>
      </c>
      <c r="C544">
        <v>20.100000000000001</v>
      </c>
      <c r="D544">
        <v>28</v>
      </c>
      <c r="E544"/>
      <c r="I544"/>
    </row>
    <row r="545" spans="1:19" x14ac:dyDescent="0.35">
      <c r="A545" s="1">
        <v>43279</v>
      </c>
      <c r="B545" s="4">
        <v>22.4</v>
      </c>
      <c r="C545">
        <v>20</v>
      </c>
      <c r="D545">
        <v>26.2</v>
      </c>
      <c r="E545" s="4">
        <v>4.5999999999999996</v>
      </c>
      <c r="F545" t="str">
        <f t="shared" ref="F545:F549" si="282">IF(OR(B545 &lt; $N$30, B545 &gt; $N$67), "Outlier", "OK")</f>
        <v>OK</v>
      </c>
      <c r="G545" t="str">
        <f t="shared" ref="G545:G549" si="283">IF(OR(C545 &lt; $O$30, C545 &gt; $O$67), "Outlier", "OK")</f>
        <v>OK</v>
      </c>
      <c r="H545" t="str">
        <f t="shared" ref="H545:H549" si="284">IF(OR(D545 &lt; $P$30, D545 &gt; $P$67), "Outlier", "OK")</f>
        <v>OK</v>
      </c>
      <c r="I545" s="4">
        <f t="shared" ref="I545:I549" si="285">YEAR(A545)</f>
        <v>2018</v>
      </c>
      <c r="J545">
        <f>( 377.84*B545 + 3903.1)/550</f>
        <v>22.48493818181818</v>
      </c>
      <c r="K545">
        <f xml:space="preserve"> (59.02*E545 + 1383.4)/365</f>
        <v>4.533950684931507</v>
      </c>
      <c r="R545" s="4">
        <f>J545-B545</f>
        <v>8.4938181818181135E-2</v>
      </c>
      <c r="S545" s="4">
        <f>K545-E545</f>
        <v>-6.6049315068492653E-2</v>
      </c>
    </row>
    <row r="546" spans="1:19" hidden="1" x14ac:dyDescent="0.35">
      <c r="A546" s="1">
        <v>43280</v>
      </c>
      <c r="B546" s="4">
        <v>23.1</v>
      </c>
      <c r="C546">
        <v>20.100000000000001</v>
      </c>
      <c r="D546">
        <v>28.2</v>
      </c>
      <c r="E546" s="4">
        <v>0</v>
      </c>
      <c r="F546" t="str">
        <f t="shared" si="282"/>
        <v>OK</v>
      </c>
      <c r="G546" t="str">
        <f t="shared" si="283"/>
        <v>OK</v>
      </c>
      <c r="H546" t="str">
        <f t="shared" si="284"/>
        <v>OK</v>
      </c>
      <c r="I546" s="4">
        <f t="shared" si="285"/>
        <v>2018</v>
      </c>
    </row>
    <row r="547" spans="1:19" hidden="1" x14ac:dyDescent="0.35">
      <c r="A547" s="1">
        <v>43281</v>
      </c>
      <c r="B547" s="4">
        <v>23.8</v>
      </c>
      <c r="C547">
        <v>19.5</v>
      </c>
      <c r="D547">
        <v>29.3</v>
      </c>
      <c r="E547" s="4">
        <v>0</v>
      </c>
      <c r="F547" t="str">
        <f t="shared" si="282"/>
        <v>OK</v>
      </c>
      <c r="G547" t="str">
        <f t="shared" si="283"/>
        <v>OK</v>
      </c>
      <c r="H547" t="str">
        <f t="shared" si="284"/>
        <v>OK</v>
      </c>
      <c r="I547" s="4">
        <f t="shared" si="285"/>
        <v>2018</v>
      </c>
    </row>
    <row r="548" spans="1:19" x14ac:dyDescent="0.35">
      <c r="A548" s="1">
        <v>43282</v>
      </c>
      <c r="B548" s="4">
        <v>24.2</v>
      </c>
      <c r="C548">
        <v>20.6</v>
      </c>
      <c r="D548">
        <v>29.5</v>
      </c>
      <c r="E548" s="4">
        <v>0.5</v>
      </c>
      <c r="F548" t="str">
        <f t="shared" si="282"/>
        <v>OK</v>
      </c>
      <c r="G548" t="str">
        <f t="shared" si="283"/>
        <v>OK</v>
      </c>
      <c r="H548" t="str">
        <f t="shared" si="284"/>
        <v>OK</v>
      </c>
      <c r="I548" s="4">
        <f t="shared" si="285"/>
        <v>2018</v>
      </c>
      <c r="J548">
        <f>( 377.84*B548 + 3903.1)/550</f>
        <v>23.721505454545454</v>
      </c>
      <c r="K548">
        <f xml:space="preserve"> (59.02*E548 + 1383.4)/365</f>
        <v>3.8709863013698631</v>
      </c>
      <c r="R548" s="4">
        <f>J548-B548</f>
        <v>-0.47849454545454506</v>
      </c>
      <c r="S548" s="4">
        <f>K548-E548</f>
        <v>3.3709863013698631</v>
      </c>
    </row>
    <row r="549" spans="1:19" hidden="1" x14ac:dyDescent="0.35">
      <c r="A549" s="1">
        <v>43283</v>
      </c>
      <c r="B549" s="4">
        <v>24.8</v>
      </c>
      <c r="C549">
        <v>20.9</v>
      </c>
      <c r="D549">
        <v>30.7</v>
      </c>
      <c r="E549" s="4">
        <v>0</v>
      </c>
      <c r="F549" t="str">
        <f t="shared" si="282"/>
        <v>OK</v>
      </c>
      <c r="G549" t="str">
        <f t="shared" si="283"/>
        <v>OK</v>
      </c>
      <c r="H549" t="str">
        <f t="shared" si="284"/>
        <v>OK</v>
      </c>
      <c r="I549" s="4">
        <f t="shared" si="285"/>
        <v>2018</v>
      </c>
    </row>
    <row r="550" spans="1:19" hidden="1" x14ac:dyDescent="0.35">
      <c r="A550" s="1">
        <v>43284</v>
      </c>
      <c r="B550">
        <v>24.4</v>
      </c>
      <c r="C550">
        <v>20.7</v>
      </c>
      <c r="D550">
        <v>30.2</v>
      </c>
      <c r="E550">
        <v>0.5</v>
      </c>
      <c r="F550" t="str">
        <f t="shared" ref="F550" si="286">IF(OR(B529 &lt; $N$30, B529 &gt; $N$67), "Outlier", "OK")</f>
        <v>OK</v>
      </c>
      <c r="G550" t="str">
        <f t="shared" ref="G550" si="287">IF(OR(C529 &lt; $O$30, C529 &gt; $O$67), "Outlier", "OK")</f>
        <v>OK</v>
      </c>
      <c r="H550" t="str">
        <f t="shared" ref="H550" si="288">IF(OR(D529 &lt; $P$30, D529 &gt; $P$67), "Outlier", "OK")</f>
        <v>Outlier</v>
      </c>
      <c r="I550"/>
    </row>
    <row r="551" spans="1:19" hidden="1" x14ac:dyDescent="0.35">
      <c r="A551" s="1">
        <v>43285</v>
      </c>
      <c r="B551" s="4">
        <v>24.1</v>
      </c>
      <c r="C551">
        <v>20.5</v>
      </c>
      <c r="D551">
        <v>29</v>
      </c>
      <c r="E551" s="4">
        <v>0</v>
      </c>
      <c r="F551" t="str">
        <f>IF(OR(B551 &lt; $N$30, B551 &gt; $N$67), "Outlier", "OK")</f>
        <v>OK</v>
      </c>
      <c r="G551" t="str">
        <f>IF(OR(C551 &lt; $O$30, C551 &gt; $O$67), "Outlier", "OK")</f>
        <v>OK</v>
      </c>
      <c r="H551" t="str">
        <f>IF(OR(D551 &lt; $P$30, D551 &gt; $P$67), "Outlier", "OK")</f>
        <v>OK</v>
      </c>
      <c r="I551" s="4">
        <f>YEAR(A551)</f>
        <v>2018</v>
      </c>
    </row>
    <row r="552" spans="1:19" hidden="1" x14ac:dyDescent="0.35">
      <c r="A552" s="1">
        <v>43286</v>
      </c>
      <c r="B552">
        <v>24.5</v>
      </c>
      <c r="C552">
        <v>19.7</v>
      </c>
      <c r="D552">
        <v>29.6</v>
      </c>
      <c r="E552"/>
      <c r="I552"/>
    </row>
    <row r="553" spans="1:19" hidden="1" x14ac:dyDescent="0.35">
      <c r="A553" s="1">
        <v>43287</v>
      </c>
      <c r="B553">
        <v>22.8</v>
      </c>
      <c r="C553">
        <v>20</v>
      </c>
      <c r="D553">
        <v>29.6</v>
      </c>
      <c r="E553"/>
      <c r="I553"/>
    </row>
    <row r="554" spans="1:19" x14ac:dyDescent="0.35">
      <c r="A554" s="1">
        <v>43288</v>
      </c>
      <c r="B554" s="4">
        <v>22.9</v>
      </c>
      <c r="C554">
        <v>20.5</v>
      </c>
      <c r="D554">
        <v>26.3</v>
      </c>
      <c r="E554" s="4">
        <v>0.3</v>
      </c>
      <c r="F554" t="str">
        <f t="shared" ref="F554:F565" si="289">IF(OR(B554 &lt; $N$30, B554 &gt; $N$67), "Outlier", "OK")</f>
        <v>OK</v>
      </c>
      <c r="G554" t="str">
        <f t="shared" ref="G554:G565" si="290">IF(OR(C554 &lt; $O$30, C554 &gt; $O$67), "Outlier", "OK")</f>
        <v>OK</v>
      </c>
      <c r="H554" t="str">
        <f t="shared" ref="H554:H565" si="291">IF(OR(D554 &lt; $P$30, D554 &gt; $P$67), "Outlier", "OK")</f>
        <v>OK</v>
      </c>
      <c r="I554" s="4">
        <f t="shared" ref="I554:I565" si="292">YEAR(A554)</f>
        <v>2018</v>
      </c>
      <c r="J554">
        <f>( 377.84*B554 + 3903.1)/550</f>
        <v>22.82842909090909</v>
      </c>
      <c r="K554">
        <f xml:space="preserve"> (59.02*E554 + 1383.4)/365</f>
        <v>3.8386465753424659</v>
      </c>
      <c r="R554" s="4">
        <f>J554-B554</f>
        <v>-7.1570909090908685E-2</v>
      </c>
      <c r="S554" s="4">
        <f>K554-E554</f>
        <v>3.5386465753424661</v>
      </c>
    </row>
    <row r="555" spans="1:19" hidden="1" x14ac:dyDescent="0.35">
      <c r="A555" s="1">
        <v>43289</v>
      </c>
      <c r="B555" s="4">
        <v>22.4</v>
      </c>
      <c r="C555">
        <v>20.3</v>
      </c>
      <c r="D555">
        <v>26.4</v>
      </c>
      <c r="E555" s="4">
        <v>0</v>
      </c>
      <c r="F555" t="str">
        <f t="shared" si="289"/>
        <v>OK</v>
      </c>
      <c r="G555" t="str">
        <f t="shared" si="290"/>
        <v>OK</v>
      </c>
      <c r="H555" t="str">
        <f t="shared" si="291"/>
        <v>OK</v>
      </c>
      <c r="I555" s="4">
        <f t="shared" si="292"/>
        <v>2018</v>
      </c>
    </row>
    <row r="556" spans="1:19" x14ac:dyDescent="0.35">
      <c r="A556" s="1">
        <v>43290</v>
      </c>
      <c r="B556" s="4">
        <v>22.8</v>
      </c>
      <c r="C556">
        <v>20.7</v>
      </c>
      <c r="D556">
        <v>26.4</v>
      </c>
      <c r="E556" s="4">
        <v>1</v>
      </c>
      <c r="F556" t="str">
        <f t="shared" si="289"/>
        <v>OK</v>
      </c>
      <c r="G556" t="str">
        <f t="shared" si="290"/>
        <v>OK</v>
      </c>
      <c r="H556" t="str">
        <f t="shared" si="291"/>
        <v>OK</v>
      </c>
      <c r="I556" s="4">
        <f t="shared" si="292"/>
        <v>2018</v>
      </c>
      <c r="J556">
        <f t="shared" ref="J556:J559" si="293">( 377.84*B556 + 3903.1)/550</f>
        <v>22.759730909090912</v>
      </c>
      <c r="K556">
        <f t="shared" ref="K556:K559" si="294" xml:space="preserve"> (59.02*E556 + 1383.4)/365</f>
        <v>3.9518356164383563</v>
      </c>
      <c r="R556" s="4">
        <f t="shared" ref="R556:R559" si="295">J556-B556</f>
        <v>-4.026909090908859E-2</v>
      </c>
      <c r="S556" s="4">
        <f t="shared" ref="S556:S559" si="296">K556-E556</f>
        <v>2.9518356164383563</v>
      </c>
    </row>
    <row r="557" spans="1:19" x14ac:dyDescent="0.35">
      <c r="A557" s="1">
        <v>43291</v>
      </c>
      <c r="B557" s="4">
        <v>22.7</v>
      </c>
      <c r="C557">
        <v>20.6</v>
      </c>
      <c r="D557">
        <v>26.9</v>
      </c>
      <c r="E557" s="4">
        <v>2</v>
      </c>
      <c r="F557" t="str">
        <f t="shared" si="289"/>
        <v>OK</v>
      </c>
      <c r="G557" t="str">
        <f t="shared" si="290"/>
        <v>OK</v>
      </c>
      <c r="H557" t="str">
        <f t="shared" si="291"/>
        <v>OK</v>
      </c>
      <c r="I557" s="4">
        <f t="shared" si="292"/>
        <v>2018</v>
      </c>
      <c r="J557">
        <f t="shared" si="293"/>
        <v>22.691032727272727</v>
      </c>
      <c r="K557">
        <f t="shared" si="294"/>
        <v>4.1135342465753428</v>
      </c>
      <c r="R557" s="4">
        <f t="shared" si="295"/>
        <v>-8.9672727272720465E-3</v>
      </c>
      <c r="S557" s="4">
        <f t="shared" si="296"/>
        <v>2.1135342465753428</v>
      </c>
    </row>
    <row r="558" spans="1:19" x14ac:dyDescent="0.35">
      <c r="A558" s="1">
        <v>43292</v>
      </c>
      <c r="B558" s="4">
        <v>22.5</v>
      </c>
      <c r="C558">
        <v>20.3</v>
      </c>
      <c r="D558">
        <v>27</v>
      </c>
      <c r="E558" s="4">
        <v>32.299999999999997</v>
      </c>
      <c r="F558" t="str">
        <f t="shared" si="289"/>
        <v>OK</v>
      </c>
      <c r="G558" t="str">
        <f t="shared" si="290"/>
        <v>OK</v>
      </c>
      <c r="H558" t="str">
        <f t="shared" si="291"/>
        <v>OK</v>
      </c>
      <c r="I558" s="4">
        <f t="shared" si="292"/>
        <v>2018</v>
      </c>
      <c r="J558">
        <f t="shared" si="293"/>
        <v>22.553636363636365</v>
      </c>
      <c r="K558">
        <f t="shared" si="294"/>
        <v>9.0130027397260282</v>
      </c>
      <c r="R558" s="4">
        <f t="shared" si="295"/>
        <v>5.3636363636364592E-2</v>
      </c>
      <c r="S558" s="4">
        <f t="shared" si="296"/>
        <v>-23.286997260273971</v>
      </c>
    </row>
    <row r="559" spans="1:19" x14ac:dyDescent="0.35">
      <c r="A559" s="1">
        <v>43293</v>
      </c>
      <c r="B559" s="4">
        <v>22.8</v>
      </c>
      <c r="C559">
        <v>20.100000000000001</v>
      </c>
      <c r="D559">
        <v>27.3</v>
      </c>
      <c r="E559" s="4">
        <v>4.3</v>
      </c>
      <c r="F559" t="str">
        <f t="shared" si="289"/>
        <v>OK</v>
      </c>
      <c r="G559" t="str">
        <f t="shared" si="290"/>
        <v>OK</v>
      </c>
      <c r="H559" t="str">
        <f t="shared" si="291"/>
        <v>OK</v>
      </c>
      <c r="I559" s="4">
        <f t="shared" si="292"/>
        <v>2018</v>
      </c>
      <c r="J559">
        <f t="shared" si="293"/>
        <v>22.759730909090912</v>
      </c>
      <c r="K559">
        <f t="shared" si="294"/>
        <v>4.485441095890411</v>
      </c>
      <c r="R559" s="4">
        <f t="shared" si="295"/>
        <v>-4.026909090908859E-2</v>
      </c>
      <c r="S559" s="4">
        <f t="shared" si="296"/>
        <v>0.18544109589041113</v>
      </c>
    </row>
    <row r="560" spans="1:19" hidden="1" x14ac:dyDescent="0.35">
      <c r="A560" s="1">
        <v>43294</v>
      </c>
      <c r="B560" s="4">
        <v>22.2</v>
      </c>
      <c r="C560">
        <v>20.5</v>
      </c>
      <c r="D560">
        <v>27.4</v>
      </c>
      <c r="E560" s="4">
        <v>0</v>
      </c>
      <c r="F560" t="str">
        <f t="shared" si="289"/>
        <v>OK</v>
      </c>
      <c r="G560" t="str">
        <f t="shared" si="290"/>
        <v>OK</v>
      </c>
      <c r="H560" t="str">
        <f t="shared" si="291"/>
        <v>OK</v>
      </c>
      <c r="I560" s="4">
        <f t="shared" si="292"/>
        <v>2018</v>
      </c>
    </row>
    <row r="561" spans="1:19" x14ac:dyDescent="0.35">
      <c r="A561" s="1">
        <v>43295</v>
      </c>
      <c r="B561" s="4">
        <v>22.4</v>
      </c>
      <c r="C561">
        <v>20.3</v>
      </c>
      <c r="D561">
        <v>26.5</v>
      </c>
      <c r="E561" s="4">
        <v>4.5999999999999996</v>
      </c>
      <c r="F561" t="str">
        <f t="shared" si="289"/>
        <v>OK</v>
      </c>
      <c r="G561" t="str">
        <f t="shared" si="290"/>
        <v>OK</v>
      </c>
      <c r="H561" t="str">
        <f t="shared" si="291"/>
        <v>OK</v>
      </c>
      <c r="I561" s="4">
        <f t="shared" si="292"/>
        <v>2018</v>
      </c>
      <c r="J561">
        <f t="shared" ref="J561:J562" si="297">( 377.84*B561 + 3903.1)/550</f>
        <v>22.48493818181818</v>
      </c>
      <c r="K561">
        <f t="shared" ref="K561:K562" si="298" xml:space="preserve"> (59.02*E561 + 1383.4)/365</f>
        <v>4.533950684931507</v>
      </c>
      <c r="R561" s="4">
        <f t="shared" ref="R561:R562" si="299">J561-B561</f>
        <v>8.4938181818181135E-2</v>
      </c>
      <c r="S561" s="4">
        <f t="shared" ref="S561:S562" si="300">K561-E561</f>
        <v>-6.6049315068492653E-2</v>
      </c>
    </row>
    <row r="562" spans="1:19" x14ac:dyDescent="0.35">
      <c r="A562" s="1">
        <v>43296</v>
      </c>
      <c r="B562" s="4">
        <v>23.6</v>
      </c>
      <c r="C562">
        <v>20.399999999999999</v>
      </c>
      <c r="D562">
        <v>28.2</v>
      </c>
      <c r="E562" s="4">
        <v>1.8</v>
      </c>
      <c r="F562" t="str">
        <f t="shared" si="289"/>
        <v>OK</v>
      </c>
      <c r="G562" t="str">
        <f t="shared" si="290"/>
        <v>OK</v>
      </c>
      <c r="H562" t="str">
        <f t="shared" si="291"/>
        <v>OK</v>
      </c>
      <c r="I562" s="4">
        <f t="shared" si="292"/>
        <v>2018</v>
      </c>
      <c r="J562">
        <f t="shared" si="297"/>
        <v>23.309316363636363</v>
      </c>
      <c r="K562">
        <f t="shared" si="298"/>
        <v>4.0811945205479461</v>
      </c>
      <c r="R562" s="4">
        <f t="shared" si="299"/>
        <v>-0.2906836363636387</v>
      </c>
      <c r="S562" s="4">
        <f t="shared" si="300"/>
        <v>2.2811945205479462</v>
      </c>
    </row>
    <row r="563" spans="1:19" hidden="1" x14ac:dyDescent="0.35">
      <c r="A563" s="1">
        <v>43297</v>
      </c>
      <c r="B563" s="4">
        <v>22.2</v>
      </c>
      <c r="C563">
        <v>20.2</v>
      </c>
      <c r="D563">
        <v>28.4</v>
      </c>
      <c r="E563" s="4">
        <v>0</v>
      </c>
      <c r="F563" t="str">
        <f t="shared" si="289"/>
        <v>OK</v>
      </c>
      <c r="G563" t="str">
        <f t="shared" si="290"/>
        <v>OK</v>
      </c>
      <c r="H563" t="str">
        <f t="shared" si="291"/>
        <v>OK</v>
      </c>
      <c r="I563" s="4">
        <f t="shared" si="292"/>
        <v>2018</v>
      </c>
    </row>
    <row r="564" spans="1:19" x14ac:dyDescent="0.35">
      <c r="A564" s="1">
        <v>43298</v>
      </c>
      <c r="B564" s="4">
        <v>22.5</v>
      </c>
      <c r="C564">
        <v>19.2</v>
      </c>
      <c r="D564">
        <v>26.2</v>
      </c>
      <c r="E564" s="4">
        <v>1.5</v>
      </c>
      <c r="F564" t="str">
        <f t="shared" si="289"/>
        <v>OK</v>
      </c>
      <c r="G564" t="str">
        <f t="shared" si="290"/>
        <v>OK</v>
      </c>
      <c r="H564" t="str">
        <f t="shared" si="291"/>
        <v>OK</v>
      </c>
      <c r="I564" s="4">
        <f t="shared" si="292"/>
        <v>2018</v>
      </c>
      <c r="J564">
        <f>( 377.84*B564 + 3903.1)/550</f>
        <v>22.553636363636365</v>
      </c>
      <c r="K564">
        <f xml:space="preserve"> (59.02*E564 + 1383.4)/365</f>
        <v>4.0326849315068491</v>
      </c>
      <c r="R564" s="4">
        <f>J564-B564</f>
        <v>5.3636363636364592E-2</v>
      </c>
      <c r="S564" s="4">
        <f>K564-E564</f>
        <v>2.5326849315068491</v>
      </c>
    </row>
    <row r="565" spans="1:19" hidden="1" x14ac:dyDescent="0.35">
      <c r="A565" s="1">
        <v>43299</v>
      </c>
      <c r="B565" s="4">
        <v>23.8</v>
      </c>
      <c r="C565">
        <v>19.7</v>
      </c>
      <c r="D565">
        <v>29.2</v>
      </c>
      <c r="E565" s="4">
        <v>0</v>
      </c>
      <c r="F565" t="str">
        <f t="shared" si="289"/>
        <v>OK</v>
      </c>
      <c r="G565" t="str">
        <f t="shared" si="290"/>
        <v>OK</v>
      </c>
      <c r="H565" t="str">
        <f t="shared" si="291"/>
        <v>OK</v>
      </c>
      <c r="I565" s="4">
        <f t="shared" si="292"/>
        <v>2018</v>
      </c>
    </row>
    <row r="566" spans="1:19" hidden="1" x14ac:dyDescent="0.35">
      <c r="A566" s="1">
        <v>43300</v>
      </c>
      <c r="B566">
        <v>23</v>
      </c>
      <c r="C566">
        <v>20.6</v>
      </c>
      <c r="D566">
        <v>28.6</v>
      </c>
      <c r="E566"/>
      <c r="I566"/>
    </row>
    <row r="567" spans="1:19" hidden="1" x14ac:dyDescent="0.35">
      <c r="A567" s="1">
        <v>43301</v>
      </c>
      <c r="B567" s="4">
        <v>23</v>
      </c>
      <c r="C567">
        <v>20.399999999999999</v>
      </c>
      <c r="D567">
        <v>27</v>
      </c>
      <c r="E567" s="4">
        <v>0</v>
      </c>
      <c r="F567" t="str">
        <f t="shared" ref="F567:F612" si="301">IF(OR(B567 &lt; $N$30, B567 &gt; $N$67), "Outlier", "OK")</f>
        <v>OK</v>
      </c>
      <c r="G567" t="str">
        <f t="shared" ref="G567:G612" si="302">IF(OR(C567 &lt; $O$30, C567 &gt; $O$67), "Outlier", "OK")</f>
        <v>OK</v>
      </c>
      <c r="H567" t="str">
        <f t="shared" ref="H567:H612" si="303">IF(OR(D567 &lt; $P$30, D567 &gt; $P$67), "Outlier", "OK")</f>
        <v>OK</v>
      </c>
      <c r="I567" s="4">
        <f t="shared" ref="I567:I612" si="304">YEAR(A567)</f>
        <v>2018</v>
      </c>
    </row>
    <row r="568" spans="1:19" hidden="1" x14ac:dyDescent="0.35">
      <c r="A568" s="1">
        <v>43302</v>
      </c>
      <c r="B568" s="4">
        <v>22.7</v>
      </c>
      <c r="C568">
        <v>20.3</v>
      </c>
      <c r="D568">
        <v>26.9</v>
      </c>
      <c r="E568" s="4">
        <v>0</v>
      </c>
      <c r="F568" t="str">
        <f t="shared" si="301"/>
        <v>OK</v>
      </c>
      <c r="G568" t="str">
        <f t="shared" si="302"/>
        <v>OK</v>
      </c>
      <c r="H568" t="str">
        <f t="shared" si="303"/>
        <v>OK</v>
      </c>
      <c r="I568" s="4">
        <f t="shared" si="304"/>
        <v>2018</v>
      </c>
    </row>
    <row r="569" spans="1:19" x14ac:dyDescent="0.35">
      <c r="A569" s="1">
        <v>43303</v>
      </c>
      <c r="B569" s="4">
        <v>23.6</v>
      </c>
      <c r="C569">
        <v>20.3</v>
      </c>
      <c r="D569">
        <v>28.9</v>
      </c>
      <c r="E569" s="4">
        <v>0.3</v>
      </c>
      <c r="F569" t="str">
        <f t="shared" si="301"/>
        <v>OK</v>
      </c>
      <c r="G569" t="str">
        <f t="shared" si="302"/>
        <v>OK</v>
      </c>
      <c r="H569" t="str">
        <f t="shared" si="303"/>
        <v>OK</v>
      </c>
      <c r="I569" s="4">
        <f t="shared" si="304"/>
        <v>2018</v>
      </c>
      <c r="J569">
        <f>( 377.84*B569 + 3903.1)/550</f>
        <v>23.309316363636363</v>
      </c>
      <c r="K569">
        <f xml:space="preserve"> (59.02*E569 + 1383.4)/365</f>
        <v>3.8386465753424659</v>
      </c>
      <c r="R569" s="4">
        <f>J569-B569</f>
        <v>-0.2906836363636387</v>
      </c>
      <c r="S569" s="4">
        <f>K569-E569</f>
        <v>3.5386465753424661</v>
      </c>
    </row>
    <row r="570" spans="1:19" hidden="1" x14ac:dyDescent="0.35">
      <c r="A570" s="1">
        <v>43304</v>
      </c>
      <c r="B570" s="4">
        <v>22.7</v>
      </c>
      <c r="C570">
        <v>20.2</v>
      </c>
      <c r="D570">
        <v>28.3</v>
      </c>
      <c r="E570" s="4">
        <v>0</v>
      </c>
      <c r="F570" t="str">
        <f t="shared" si="301"/>
        <v>OK</v>
      </c>
      <c r="G570" t="str">
        <f t="shared" si="302"/>
        <v>OK</v>
      </c>
      <c r="H570" t="str">
        <f t="shared" si="303"/>
        <v>OK</v>
      </c>
      <c r="I570" s="4">
        <f t="shared" si="304"/>
        <v>2018</v>
      </c>
    </row>
    <row r="571" spans="1:19" x14ac:dyDescent="0.35">
      <c r="A571" s="1">
        <v>43305</v>
      </c>
      <c r="B571" s="4">
        <v>23.1</v>
      </c>
      <c r="C571">
        <v>20.3</v>
      </c>
      <c r="D571">
        <v>28.6</v>
      </c>
      <c r="E571" s="4">
        <v>14.2</v>
      </c>
      <c r="F571" t="str">
        <f t="shared" si="301"/>
        <v>OK</v>
      </c>
      <c r="G571" t="str">
        <f t="shared" si="302"/>
        <v>OK</v>
      </c>
      <c r="H571" t="str">
        <f t="shared" si="303"/>
        <v>OK</v>
      </c>
      <c r="I571" s="4">
        <f t="shared" si="304"/>
        <v>2018</v>
      </c>
      <c r="J571">
        <f t="shared" ref="J571:J573" si="305">( 377.84*B571 + 3903.1)/550</f>
        <v>22.965825454545453</v>
      </c>
      <c r="K571">
        <f t="shared" ref="K571:K573" si="306" xml:space="preserve"> (59.02*E571 + 1383.4)/365</f>
        <v>6.0862575342465748</v>
      </c>
      <c r="R571" s="4">
        <f t="shared" ref="R571:R573" si="307">J571-B571</f>
        <v>-0.13417454545454888</v>
      </c>
      <c r="S571" s="4">
        <f t="shared" ref="S571:S573" si="308">K571-E571</f>
        <v>-8.1137424657534254</v>
      </c>
    </row>
    <row r="572" spans="1:19" x14ac:dyDescent="0.35">
      <c r="A572" s="1">
        <v>43306</v>
      </c>
      <c r="B572" s="4">
        <v>23.3</v>
      </c>
      <c r="C572">
        <v>20.2</v>
      </c>
      <c r="D572">
        <v>28.2</v>
      </c>
      <c r="E572" s="4">
        <v>2</v>
      </c>
      <c r="F572" t="str">
        <f t="shared" si="301"/>
        <v>OK</v>
      </c>
      <c r="G572" t="str">
        <f t="shared" si="302"/>
        <v>OK</v>
      </c>
      <c r="H572" t="str">
        <f t="shared" si="303"/>
        <v>OK</v>
      </c>
      <c r="I572" s="4">
        <f t="shared" si="304"/>
        <v>2018</v>
      </c>
      <c r="J572">
        <f t="shared" si="305"/>
        <v>23.103221818181819</v>
      </c>
      <c r="K572">
        <f t="shared" si="306"/>
        <v>4.1135342465753428</v>
      </c>
      <c r="R572" s="4">
        <f t="shared" si="307"/>
        <v>-0.19677818181818196</v>
      </c>
      <c r="S572" s="4">
        <f t="shared" si="308"/>
        <v>2.1135342465753428</v>
      </c>
    </row>
    <row r="573" spans="1:19" x14ac:dyDescent="0.35">
      <c r="A573" s="1">
        <v>43307</v>
      </c>
      <c r="B573" s="4">
        <v>23.7</v>
      </c>
      <c r="C573">
        <v>20.6</v>
      </c>
      <c r="D573">
        <v>28.8</v>
      </c>
      <c r="E573" s="4">
        <v>0.8</v>
      </c>
      <c r="F573" t="str">
        <f t="shared" si="301"/>
        <v>OK</v>
      </c>
      <c r="G573" t="str">
        <f t="shared" si="302"/>
        <v>OK</v>
      </c>
      <c r="H573" t="str">
        <f t="shared" si="303"/>
        <v>OK</v>
      </c>
      <c r="I573" s="4">
        <f t="shared" si="304"/>
        <v>2018</v>
      </c>
      <c r="J573">
        <f t="shared" si="305"/>
        <v>23.378014545454544</v>
      </c>
      <c r="K573">
        <f t="shared" si="306"/>
        <v>3.9194958904109587</v>
      </c>
      <c r="R573" s="4">
        <f t="shared" si="307"/>
        <v>-0.32198545454545524</v>
      </c>
      <c r="S573" s="4">
        <f t="shared" si="308"/>
        <v>3.1194958904109589</v>
      </c>
    </row>
    <row r="574" spans="1:19" hidden="1" x14ac:dyDescent="0.35">
      <c r="A574" s="1">
        <v>43308</v>
      </c>
      <c r="B574" s="4">
        <v>23.3</v>
      </c>
      <c r="C574">
        <v>20.5</v>
      </c>
      <c r="D574">
        <v>27.3</v>
      </c>
      <c r="E574" s="4">
        <v>0</v>
      </c>
      <c r="F574" t="str">
        <f t="shared" si="301"/>
        <v>OK</v>
      </c>
      <c r="G574" t="str">
        <f t="shared" si="302"/>
        <v>OK</v>
      </c>
      <c r="H574" t="str">
        <f t="shared" si="303"/>
        <v>OK</v>
      </c>
      <c r="I574" s="4">
        <f t="shared" si="304"/>
        <v>2018</v>
      </c>
    </row>
    <row r="575" spans="1:19" x14ac:dyDescent="0.35">
      <c r="A575" s="1">
        <v>43309</v>
      </c>
      <c r="B575" s="4">
        <v>23.5</v>
      </c>
      <c r="C575">
        <v>20</v>
      </c>
      <c r="D575">
        <v>27.3</v>
      </c>
      <c r="E575" s="4">
        <v>0.3</v>
      </c>
      <c r="F575" t="str">
        <f t="shared" si="301"/>
        <v>OK</v>
      </c>
      <c r="G575" t="str">
        <f t="shared" si="302"/>
        <v>OK</v>
      </c>
      <c r="H575" t="str">
        <f t="shared" si="303"/>
        <v>OK</v>
      </c>
      <c r="I575" s="4">
        <f t="shared" si="304"/>
        <v>2018</v>
      </c>
      <c r="J575">
        <f t="shared" ref="J575:J580" si="309">( 377.84*B575 + 3903.1)/550</f>
        <v>23.240618181818181</v>
      </c>
      <c r="K575">
        <f t="shared" ref="K575:K580" si="310" xml:space="preserve"> (59.02*E575 + 1383.4)/365</f>
        <v>3.8386465753424659</v>
      </c>
      <c r="R575" s="4">
        <f t="shared" ref="R575:R580" si="311">J575-B575</f>
        <v>-0.2593818181818186</v>
      </c>
      <c r="S575" s="4">
        <f t="shared" ref="S575:S580" si="312">K575-E575</f>
        <v>3.5386465753424661</v>
      </c>
    </row>
    <row r="576" spans="1:19" x14ac:dyDescent="0.35">
      <c r="A576" s="1">
        <v>43310</v>
      </c>
      <c r="B576" s="4">
        <v>23.8</v>
      </c>
      <c r="C576">
        <v>20.7</v>
      </c>
      <c r="D576">
        <v>27.4</v>
      </c>
      <c r="E576" s="4">
        <v>11.9</v>
      </c>
      <c r="F576" t="str">
        <f t="shared" si="301"/>
        <v>OK</v>
      </c>
      <c r="G576" t="str">
        <f t="shared" si="302"/>
        <v>OK</v>
      </c>
      <c r="H576" t="str">
        <f t="shared" si="303"/>
        <v>OK</v>
      </c>
      <c r="I576" s="4">
        <f t="shared" si="304"/>
        <v>2018</v>
      </c>
      <c r="J576">
        <f t="shared" si="309"/>
        <v>23.446712727272729</v>
      </c>
      <c r="K576">
        <f t="shared" si="310"/>
        <v>5.7143506849315076</v>
      </c>
      <c r="R576" s="4">
        <f t="shared" si="311"/>
        <v>-0.35328727272727178</v>
      </c>
      <c r="S576" s="4">
        <f t="shared" si="312"/>
        <v>-6.1856493150684928</v>
      </c>
    </row>
    <row r="577" spans="1:19" x14ac:dyDescent="0.35">
      <c r="A577" s="1">
        <v>43311</v>
      </c>
      <c r="B577" s="4">
        <v>23.8</v>
      </c>
      <c r="C577">
        <v>20.5</v>
      </c>
      <c r="D577">
        <v>27.8</v>
      </c>
      <c r="E577" s="4">
        <v>0.5</v>
      </c>
      <c r="F577" t="str">
        <f t="shared" si="301"/>
        <v>OK</v>
      </c>
      <c r="G577" t="str">
        <f t="shared" si="302"/>
        <v>OK</v>
      </c>
      <c r="H577" t="str">
        <f t="shared" si="303"/>
        <v>OK</v>
      </c>
      <c r="I577" s="4">
        <f t="shared" si="304"/>
        <v>2018</v>
      </c>
      <c r="J577">
        <f t="shared" si="309"/>
        <v>23.446712727272729</v>
      </c>
      <c r="K577">
        <f t="shared" si="310"/>
        <v>3.8709863013698631</v>
      </c>
      <c r="R577" s="4">
        <f t="shared" si="311"/>
        <v>-0.35328727272727178</v>
      </c>
      <c r="S577" s="4">
        <f t="shared" si="312"/>
        <v>3.3709863013698631</v>
      </c>
    </row>
    <row r="578" spans="1:19" x14ac:dyDescent="0.35">
      <c r="A578" s="1">
        <v>43312</v>
      </c>
      <c r="B578" s="4">
        <v>23.1</v>
      </c>
      <c r="C578">
        <v>20.3</v>
      </c>
      <c r="D578">
        <v>28.3</v>
      </c>
      <c r="E578" s="4">
        <v>4.8</v>
      </c>
      <c r="F578" t="str">
        <f t="shared" si="301"/>
        <v>OK</v>
      </c>
      <c r="G578" t="str">
        <f t="shared" si="302"/>
        <v>OK</v>
      </c>
      <c r="H578" t="str">
        <f t="shared" si="303"/>
        <v>OK</v>
      </c>
      <c r="I578" s="4">
        <f t="shared" si="304"/>
        <v>2018</v>
      </c>
      <c r="J578">
        <f t="shared" si="309"/>
        <v>22.965825454545453</v>
      </c>
      <c r="K578">
        <f t="shared" si="310"/>
        <v>4.5662904109589046</v>
      </c>
      <c r="R578" s="4">
        <f t="shared" si="311"/>
        <v>-0.13417454545454888</v>
      </c>
      <c r="S578" s="4">
        <f t="shared" si="312"/>
        <v>-0.23370958904109518</v>
      </c>
    </row>
    <row r="579" spans="1:19" x14ac:dyDescent="0.35">
      <c r="A579" s="1">
        <v>43313</v>
      </c>
      <c r="B579" s="4">
        <v>21.9</v>
      </c>
      <c r="C579">
        <v>19.399999999999999</v>
      </c>
      <c r="D579">
        <v>27.2</v>
      </c>
      <c r="E579" s="4">
        <v>5.3</v>
      </c>
      <c r="F579" t="str">
        <f t="shared" si="301"/>
        <v>OK</v>
      </c>
      <c r="G579" t="str">
        <f t="shared" si="302"/>
        <v>OK</v>
      </c>
      <c r="H579" t="str">
        <f t="shared" si="303"/>
        <v>OK</v>
      </c>
      <c r="I579" s="4">
        <f t="shared" si="304"/>
        <v>2018</v>
      </c>
      <c r="J579">
        <f t="shared" si="309"/>
        <v>22.14144727272727</v>
      </c>
      <c r="K579">
        <f t="shared" si="310"/>
        <v>4.6471397260273974</v>
      </c>
      <c r="R579" s="4">
        <f t="shared" si="311"/>
        <v>0.24144727272727096</v>
      </c>
      <c r="S579" s="4">
        <f t="shared" si="312"/>
        <v>-0.65286027397260238</v>
      </c>
    </row>
    <row r="580" spans="1:19" x14ac:dyDescent="0.35">
      <c r="A580" s="1">
        <v>43314</v>
      </c>
      <c r="B580" s="4">
        <v>23.6</v>
      </c>
      <c r="C580">
        <v>18.7</v>
      </c>
      <c r="D580">
        <v>29.4</v>
      </c>
      <c r="E580" s="4">
        <v>15</v>
      </c>
      <c r="F580" t="str">
        <f t="shared" si="301"/>
        <v>OK</v>
      </c>
      <c r="G580" t="str">
        <f t="shared" si="302"/>
        <v>OK</v>
      </c>
      <c r="H580" t="str">
        <f t="shared" si="303"/>
        <v>OK</v>
      </c>
      <c r="I580" s="4">
        <f t="shared" si="304"/>
        <v>2018</v>
      </c>
      <c r="J580">
        <f t="shared" si="309"/>
        <v>23.309316363636363</v>
      </c>
      <c r="K580">
        <f t="shared" si="310"/>
        <v>6.2156164383561654</v>
      </c>
      <c r="R580" s="4">
        <f t="shared" si="311"/>
        <v>-0.2906836363636387</v>
      </c>
      <c r="S580" s="4">
        <f t="shared" si="312"/>
        <v>-8.7843835616438355</v>
      </c>
    </row>
    <row r="581" spans="1:19" hidden="1" x14ac:dyDescent="0.35">
      <c r="A581" s="1">
        <v>43315</v>
      </c>
      <c r="B581" s="4">
        <v>23.3</v>
      </c>
      <c r="C581">
        <v>20.8</v>
      </c>
      <c r="D581">
        <v>28.6</v>
      </c>
      <c r="E581" s="4">
        <v>0</v>
      </c>
      <c r="F581" t="str">
        <f t="shared" si="301"/>
        <v>OK</v>
      </c>
      <c r="G581" t="str">
        <f t="shared" si="302"/>
        <v>OK</v>
      </c>
      <c r="H581" t="str">
        <f t="shared" si="303"/>
        <v>OK</v>
      </c>
      <c r="I581" s="4">
        <f t="shared" si="304"/>
        <v>2018</v>
      </c>
    </row>
    <row r="582" spans="1:19" x14ac:dyDescent="0.35">
      <c r="A582" s="1">
        <v>43316</v>
      </c>
      <c r="B582" s="4">
        <v>22.8</v>
      </c>
      <c r="C582">
        <v>20.100000000000001</v>
      </c>
      <c r="D582">
        <v>28.8</v>
      </c>
      <c r="E582" s="4">
        <v>2.5</v>
      </c>
      <c r="F582" t="str">
        <f t="shared" si="301"/>
        <v>OK</v>
      </c>
      <c r="G582" t="str">
        <f t="shared" si="302"/>
        <v>OK</v>
      </c>
      <c r="H582" t="str">
        <f t="shared" si="303"/>
        <v>OK</v>
      </c>
      <c r="I582" s="4">
        <f t="shared" si="304"/>
        <v>2018</v>
      </c>
      <c r="J582">
        <f>( 377.84*B582 + 3903.1)/550</f>
        <v>22.759730909090912</v>
      </c>
      <c r="K582">
        <f xml:space="preserve"> (59.02*E582 + 1383.4)/365</f>
        <v>4.1943835616438356</v>
      </c>
      <c r="R582" s="4">
        <f>J582-B582</f>
        <v>-4.026909090908859E-2</v>
      </c>
      <c r="S582" s="4">
        <f>K582-E582</f>
        <v>1.6943835616438356</v>
      </c>
    </row>
    <row r="583" spans="1:19" hidden="1" x14ac:dyDescent="0.35">
      <c r="A583" s="1">
        <v>43317</v>
      </c>
      <c r="B583" s="4">
        <v>23.8</v>
      </c>
      <c r="C583">
        <v>20.3</v>
      </c>
      <c r="D583">
        <v>27.8</v>
      </c>
      <c r="E583" s="4">
        <v>0</v>
      </c>
      <c r="F583" t="str">
        <f t="shared" si="301"/>
        <v>OK</v>
      </c>
      <c r="G583" t="str">
        <f t="shared" si="302"/>
        <v>OK</v>
      </c>
      <c r="H583" t="str">
        <f t="shared" si="303"/>
        <v>OK</v>
      </c>
      <c r="I583" s="4">
        <f t="shared" si="304"/>
        <v>2018</v>
      </c>
    </row>
    <row r="584" spans="1:19" x14ac:dyDescent="0.35">
      <c r="A584" s="1">
        <v>43318</v>
      </c>
      <c r="B584" s="4">
        <v>22.7</v>
      </c>
      <c r="C584">
        <v>20.2</v>
      </c>
      <c r="D584">
        <v>28.1</v>
      </c>
      <c r="E584" s="4">
        <v>0.5</v>
      </c>
      <c r="F584" t="str">
        <f t="shared" si="301"/>
        <v>OK</v>
      </c>
      <c r="G584" t="str">
        <f t="shared" si="302"/>
        <v>OK</v>
      </c>
      <c r="H584" t="str">
        <f t="shared" si="303"/>
        <v>OK</v>
      </c>
      <c r="I584" s="4">
        <f t="shared" si="304"/>
        <v>2018</v>
      </c>
      <c r="J584">
        <f t="shared" ref="J584:J587" si="313">( 377.84*B584 + 3903.1)/550</f>
        <v>22.691032727272727</v>
      </c>
      <c r="K584">
        <f t="shared" ref="K584:K587" si="314" xml:space="preserve"> (59.02*E584 + 1383.4)/365</f>
        <v>3.8709863013698631</v>
      </c>
      <c r="R584" s="4">
        <f t="shared" ref="R584:R587" si="315">J584-B584</f>
        <v>-8.9672727272720465E-3</v>
      </c>
      <c r="S584" s="4">
        <f t="shared" ref="S584:S587" si="316">K584-E584</f>
        <v>3.3709863013698631</v>
      </c>
    </row>
    <row r="585" spans="1:19" x14ac:dyDescent="0.35">
      <c r="A585" s="1">
        <v>43319</v>
      </c>
      <c r="B585" s="4">
        <v>21.9</v>
      </c>
      <c r="C585">
        <v>19.7</v>
      </c>
      <c r="D585">
        <v>27.7</v>
      </c>
      <c r="E585" s="4">
        <v>11.4</v>
      </c>
      <c r="F585" t="str">
        <f t="shared" si="301"/>
        <v>OK</v>
      </c>
      <c r="G585" t="str">
        <f t="shared" si="302"/>
        <v>OK</v>
      </c>
      <c r="H585" t="str">
        <f t="shared" si="303"/>
        <v>OK</v>
      </c>
      <c r="I585" s="4">
        <f t="shared" si="304"/>
        <v>2018</v>
      </c>
      <c r="J585">
        <f t="shared" si="313"/>
        <v>22.14144727272727</v>
      </c>
      <c r="K585">
        <f t="shared" si="314"/>
        <v>5.6335013698630139</v>
      </c>
      <c r="R585" s="4">
        <f t="shared" si="315"/>
        <v>0.24144727272727096</v>
      </c>
      <c r="S585" s="4">
        <f t="shared" si="316"/>
        <v>-5.7664986301369865</v>
      </c>
    </row>
    <row r="586" spans="1:19" x14ac:dyDescent="0.35">
      <c r="A586" s="1">
        <v>43320</v>
      </c>
      <c r="B586" s="4">
        <v>22</v>
      </c>
      <c r="C586">
        <v>20</v>
      </c>
      <c r="D586">
        <v>25.4</v>
      </c>
      <c r="E586" s="4">
        <v>3.6</v>
      </c>
      <c r="F586" t="str">
        <f t="shared" si="301"/>
        <v>OK</v>
      </c>
      <c r="G586" t="str">
        <f t="shared" si="302"/>
        <v>OK</v>
      </c>
      <c r="H586" t="str">
        <f t="shared" si="303"/>
        <v>OK</v>
      </c>
      <c r="I586" s="4">
        <f t="shared" si="304"/>
        <v>2018</v>
      </c>
      <c r="J586">
        <f t="shared" si="313"/>
        <v>22.210145454545454</v>
      </c>
      <c r="K586">
        <f t="shared" si="314"/>
        <v>4.3722520547945205</v>
      </c>
      <c r="R586" s="4">
        <f t="shared" si="315"/>
        <v>0.21014545454545441</v>
      </c>
      <c r="S586" s="4">
        <f t="shared" si="316"/>
        <v>0.77225205479452042</v>
      </c>
    </row>
    <row r="587" spans="1:19" x14ac:dyDescent="0.35">
      <c r="A587" s="1">
        <v>43321</v>
      </c>
      <c r="B587" s="4">
        <v>23.4</v>
      </c>
      <c r="C587">
        <v>20.2</v>
      </c>
      <c r="D587">
        <v>28.7</v>
      </c>
      <c r="E587" s="4">
        <v>8.9</v>
      </c>
      <c r="F587" t="str">
        <f t="shared" si="301"/>
        <v>OK</v>
      </c>
      <c r="G587" t="str">
        <f t="shared" si="302"/>
        <v>OK</v>
      </c>
      <c r="H587" t="str">
        <f t="shared" si="303"/>
        <v>OK</v>
      </c>
      <c r="I587" s="4">
        <f t="shared" si="304"/>
        <v>2018</v>
      </c>
      <c r="J587">
        <f t="shared" si="313"/>
        <v>23.171919999999997</v>
      </c>
      <c r="K587">
        <f t="shared" si="314"/>
        <v>5.2292547945205481</v>
      </c>
      <c r="R587" s="4">
        <f t="shared" si="315"/>
        <v>-0.22808000000000206</v>
      </c>
      <c r="S587" s="4">
        <f t="shared" si="316"/>
        <v>-3.6707452054794523</v>
      </c>
    </row>
    <row r="588" spans="1:19" hidden="1" x14ac:dyDescent="0.35">
      <c r="A588" s="1">
        <v>43322</v>
      </c>
      <c r="B588" s="4">
        <v>22.7</v>
      </c>
      <c r="C588">
        <v>20.5</v>
      </c>
      <c r="D588">
        <v>28.2</v>
      </c>
      <c r="E588" s="4">
        <v>0</v>
      </c>
      <c r="F588" t="str">
        <f t="shared" si="301"/>
        <v>OK</v>
      </c>
      <c r="G588" t="str">
        <f t="shared" si="302"/>
        <v>OK</v>
      </c>
      <c r="H588" t="str">
        <f t="shared" si="303"/>
        <v>OK</v>
      </c>
      <c r="I588" s="4">
        <f t="shared" si="304"/>
        <v>2018</v>
      </c>
    </row>
    <row r="589" spans="1:19" x14ac:dyDescent="0.35">
      <c r="A589" s="1">
        <v>43323</v>
      </c>
      <c r="B589" s="4">
        <v>21.9</v>
      </c>
      <c r="C589">
        <v>20</v>
      </c>
      <c r="D589">
        <v>26.5</v>
      </c>
      <c r="E589" s="4">
        <v>1.8</v>
      </c>
      <c r="F589" t="str">
        <f t="shared" si="301"/>
        <v>OK</v>
      </c>
      <c r="G589" t="str">
        <f t="shared" si="302"/>
        <v>OK</v>
      </c>
      <c r="H589" t="str">
        <f t="shared" si="303"/>
        <v>OK</v>
      </c>
      <c r="I589" s="4">
        <f t="shared" si="304"/>
        <v>2018</v>
      </c>
      <c r="J589">
        <f t="shared" ref="J589:J595" si="317">( 377.84*B589 + 3903.1)/550</f>
        <v>22.14144727272727</v>
      </c>
      <c r="K589">
        <f t="shared" ref="K589:K595" si="318" xml:space="preserve"> (59.02*E589 + 1383.4)/365</f>
        <v>4.0811945205479461</v>
      </c>
      <c r="R589" s="4">
        <f t="shared" ref="R589:R595" si="319">J589-B589</f>
        <v>0.24144727272727096</v>
      </c>
      <c r="S589" s="4">
        <f t="shared" ref="S589:S595" si="320">K589-E589</f>
        <v>2.2811945205479462</v>
      </c>
    </row>
    <row r="590" spans="1:19" x14ac:dyDescent="0.35">
      <c r="A590" s="1">
        <v>43324</v>
      </c>
      <c r="B590" s="4">
        <v>21.5</v>
      </c>
      <c r="C590">
        <v>19.899999999999999</v>
      </c>
      <c r="D590">
        <v>25.6</v>
      </c>
      <c r="E590" s="4">
        <v>2.2999999999999998</v>
      </c>
      <c r="F590" t="str">
        <f t="shared" si="301"/>
        <v>OK</v>
      </c>
      <c r="G590" t="str">
        <f t="shared" si="302"/>
        <v>OK</v>
      </c>
      <c r="H590" t="str">
        <f t="shared" si="303"/>
        <v>OK</v>
      </c>
      <c r="I590" s="4">
        <f t="shared" si="304"/>
        <v>2018</v>
      </c>
      <c r="J590">
        <f t="shared" si="317"/>
        <v>21.866654545454544</v>
      </c>
      <c r="K590">
        <f t="shared" si="318"/>
        <v>4.1620438356164389</v>
      </c>
      <c r="R590" s="4">
        <f t="shared" si="319"/>
        <v>0.36665454545454423</v>
      </c>
      <c r="S590" s="4">
        <f t="shared" si="320"/>
        <v>1.862043835616439</v>
      </c>
    </row>
    <row r="591" spans="1:19" x14ac:dyDescent="0.35">
      <c r="A591" s="1">
        <v>43325</v>
      </c>
      <c r="B591" s="4">
        <v>21.7</v>
      </c>
      <c r="C591">
        <v>19.399999999999999</v>
      </c>
      <c r="D591">
        <v>24.6</v>
      </c>
      <c r="E591" s="4">
        <v>3.3</v>
      </c>
      <c r="F591" t="str">
        <f t="shared" si="301"/>
        <v>OK</v>
      </c>
      <c r="G591" t="str">
        <f t="shared" si="302"/>
        <v>OK</v>
      </c>
      <c r="H591" t="str">
        <f t="shared" si="303"/>
        <v>OK</v>
      </c>
      <c r="I591" s="4">
        <f t="shared" si="304"/>
        <v>2018</v>
      </c>
      <c r="J591">
        <f t="shared" si="317"/>
        <v>22.004050909090907</v>
      </c>
      <c r="K591">
        <f t="shared" si="318"/>
        <v>4.3237424657534254</v>
      </c>
      <c r="R591" s="4">
        <f t="shared" si="319"/>
        <v>0.3040509090909076</v>
      </c>
      <c r="S591" s="4">
        <f t="shared" si="320"/>
        <v>1.0237424657534255</v>
      </c>
    </row>
    <row r="592" spans="1:19" x14ac:dyDescent="0.35">
      <c r="A592" s="1">
        <v>43326</v>
      </c>
      <c r="B592" s="4">
        <v>21.9</v>
      </c>
      <c r="C592">
        <v>19.600000000000001</v>
      </c>
      <c r="D592">
        <v>26.9</v>
      </c>
      <c r="E592" s="4">
        <v>1</v>
      </c>
      <c r="F592" t="str">
        <f t="shared" si="301"/>
        <v>OK</v>
      </c>
      <c r="G592" t="str">
        <f t="shared" si="302"/>
        <v>OK</v>
      </c>
      <c r="H592" t="str">
        <f t="shared" si="303"/>
        <v>OK</v>
      </c>
      <c r="I592" s="4">
        <f t="shared" si="304"/>
        <v>2018</v>
      </c>
      <c r="J592">
        <f t="shared" si="317"/>
        <v>22.14144727272727</v>
      </c>
      <c r="K592">
        <f t="shared" si="318"/>
        <v>3.9518356164383563</v>
      </c>
      <c r="R592" s="4">
        <f t="shared" si="319"/>
        <v>0.24144727272727096</v>
      </c>
      <c r="S592" s="4">
        <f t="shared" si="320"/>
        <v>2.9518356164383563</v>
      </c>
    </row>
    <row r="593" spans="1:19" x14ac:dyDescent="0.35">
      <c r="A593" s="1">
        <v>43327</v>
      </c>
      <c r="B593" s="4">
        <v>22.2</v>
      </c>
      <c r="C593">
        <v>20.100000000000001</v>
      </c>
      <c r="D593">
        <v>25.7</v>
      </c>
      <c r="E593" s="4">
        <v>6.4</v>
      </c>
      <c r="F593" t="str">
        <f t="shared" si="301"/>
        <v>OK</v>
      </c>
      <c r="G593" t="str">
        <f t="shared" si="302"/>
        <v>OK</v>
      </c>
      <c r="H593" t="str">
        <f t="shared" si="303"/>
        <v>OK</v>
      </c>
      <c r="I593" s="4">
        <f t="shared" si="304"/>
        <v>2018</v>
      </c>
      <c r="J593">
        <f t="shared" si="317"/>
        <v>22.347541818181817</v>
      </c>
      <c r="K593">
        <f t="shared" si="318"/>
        <v>4.8250082191780823</v>
      </c>
      <c r="R593" s="4">
        <f t="shared" si="319"/>
        <v>0.14754181818181777</v>
      </c>
      <c r="S593" s="4">
        <f t="shared" si="320"/>
        <v>-1.574991780821918</v>
      </c>
    </row>
    <row r="594" spans="1:19" x14ac:dyDescent="0.35">
      <c r="A594" s="1">
        <v>43328</v>
      </c>
      <c r="B594" s="4">
        <v>22.4</v>
      </c>
      <c r="C594">
        <v>20.2</v>
      </c>
      <c r="D594">
        <v>25.7</v>
      </c>
      <c r="E594" s="4">
        <v>10.7</v>
      </c>
      <c r="F594" t="str">
        <f t="shared" si="301"/>
        <v>OK</v>
      </c>
      <c r="G594" t="str">
        <f t="shared" si="302"/>
        <v>OK</v>
      </c>
      <c r="H594" t="str">
        <f t="shared" si="303"/>
        <v>OK</v>
      </c>
      <c r="I594" s="4">
        <f t="shared" si="304"/>
        <v>2018</v>
      </c>
      <c r="J594">
        <f t="shared" si="317"/>
        <v>22.48493818181818</v>
      </c>
      <c r="K594">
        <f t="shared" si="318"/>
        <v>5.5203123287671243</v>
      </c>
      <c r="R594" s="4">
        <f t="shared" si="319"/>
        <v>8.4938181818181135E-2</v>
      </c>
      <c r="S594" s="4">
        <f t="shared" si="320"/>
        <v>-5.179687671232875</v>
      </c>
    </row>
    <row r="595" spans="1:19" x14ac:dyDescent="0.35">
      <c r="A595" s="1">
        <v>43329</v>
      </c>
      <c r="B595" s="4">
        <v>23.2</v>
      </c>
      <c r="C595">
        <v>20.3</v>
      </c>
      <c r="D595">
        <v>28.3</v>
      </c>
      <c r="E595" s="4">
        <v>0.5</v>
      </c>
      <c r="F595" t="str">
        <f t="shared" si="301"/>
        <v>OK</v>
      </c>
      <c r="G595" t="str">
        <f t="shared" si="302"/>
        <v>OK</v>
      </c>
      <c r="H595" t="str">
        <f t="shared" si="303"/>
        <v>OK</v>
      </c>
      <c r="I595" s="4">
        <f t="shared" si="304"/>
        <v>2018</v>
      </c>
      <c r="J595">
        <f t="shared" si="317"/>
        <v>23.034523636363634</v>
      </c>
      <c r="K595">
        <f t="shared" si="318"/>
        <v>3.8709863013698631</v>
      </c>
      <c r="R595" s="4">
        <f t="shared" si="319"/>
        <v>-0.16547636363636542</v>
      </c>
      <c r="S595" s="4">
        <f t="shared" si="320"/>
        <v>3.3709863013698631</v>
      </c>
    </row>
    <row r="596" spans="1:19" hidden="1" x14ac:dyDescent="0.35">
      <c r="A596" s="1">
        <v>43330</v>
      </c>
      <c r="B596" s="4">
        <v>23.4</v>
      </c>
      <c r="C596">
        <v>20</v>
      </c>
      <c r="D596">
        <v>27.5</v>
      </c>
      <c r="E596" s="4">
        <v>0</v>
      </c>
      <c r="F596" t="str">
        <f t="shared" si="301"/>
        <v>OK</v>
      </c>
      <c r="G596" t="str">
        <f t="shared" si="302"/>
        <v>OK</v>
      </c>
      <c r="H596" t="str">
        <f t="shared" si="303"/>
        <v>OK</v>
      </c>
      <c r="I596" s="4">
        <f t="shared" si="304"/>
        <v>2018</v>
      </c>
    </row>
    <row r="597" spans="1:19" hidden="1" x14ac:dyDescent="0.35">
      <c r="A597" s="1">
        <v>43331</v>
      </c>
      <c r="B597" s="4">
        <v>23.3</v>
      </c>
      <c r="C597">
        <v>20.7</v>
      </c>
      <c r="D597">
        <v>27.4</v>
      </c>
      <c r="E597" s="4">
        <v>0</v>
      </c>
      <c r="F597" t="str">
        <f t="shared" si="301"/>
        <v>OK</v>
      </c>
      <c r="G597" t="str">
        <f t="shared" si="302"/>
        <v>OK</v>
      </c>
      <c r="H597" t="str">
        <f t="shared" si="303"/>
        <v>OK</v>
      </c>
      <c r="I597" s="4">
        <f t="shared" si="304"/>
        <v>2018</v>
      </c>
    </row>
    <row r="598" spans="1:19" hidden="1" x14ac:dyDescent="0.35">
      <c r="A598" s="1">
        <v>43332</v>
      </c>
      <c r="B598" s="4">
        <v>22.8</v>
      </c>
      <c r="C598">
        <v>20.2</v>
      </c>
      <c r="D598">
        <v>27.3</v>
      </c>
      <c r="E598" s="4">
        <v>0</v>
      </c>
      <c r="F598" t="str">
        <f t="shared" si="301"/>
        <v>OK</v>
      </c>
      <c r="G598" t="str">
        <f t="shared" si="302"/>
        <v>OK</v>
      </c>
      <c r="H598" t="str">
        <f t="shared" si="303"/>
        <v>OK</v>
      </c>
      <c r="I598" s="4">
        <f t="shared" si="304"/>
        <v>2018</v>
      </c>
    </row>
    <row r="599" spans="1:19" hidden="1" x14ac:dyDescent="0.35">
      <c r="A599" s="1">
        <v>43333</v>
      </c>
      <c r="B599" s="4">
        <v>23.3</v>
      </c>
      <c r="C599">
        <v>19.7</v>
      </c>
      <c r="D599">
        <v>28.9</v>
      </c>
      <c r="E599" s="4">
        <v>0</v>
      </c>
      <c r="F599" t="str">
        <f t="shared" si="301"/>
        <v>OK</v>
      </c>
      <c r="G599" t="str">
        <f t="shared" si="302"/>
        <v>OK</v>
      </c>
      <c r="H599" t="str">
        <f t="shared" si="303"/>
        <v>OK</v>
      </c>
      <c r="I599" s="4">
        <f t="shared" si="304"/>
        <v>2018</v>
      </c>
    </row>
    <row r="600" spans="1:19" hidden="1" x14ac:dyDescent="0.35">
      <c r="A600" s="1">
        <v>43334</v>
      </c>
      <c r="B600" s="4">
        <v>23.7</v>
      </c>
      <c r="C600">
        <v>19.7</v>
      </c>
      <c r="D600">
        <v>28.2</v>
      </c>
      <c r="E600" s="4">
        <v>0</v>
      </c>
      <c r="F600" t="str">
        <f t="shared" si="301"/>
        <v>OK</v>
      </c>
      <c r="G600" t="str">
        <f t="shared" si="302"/>
        <v>OK</v>
      </c>
      <c r="H600" t="str">
        <f t="shared" si="303"/>
        <v>OK</v>
      </c>
      <c r="I600" s="4">
        <f t="shared" si="304"/>
        <v>2018</v>
      </c>
    </row>
    <row r="601" spans="1:19" hidden="1" x14ac:dyDescent="0.35">
      <c r="A601" s="1">
        <v>43335</v>
      </c>
      <c r="B601" s="4">
        <v>23.3</v>
      </c>
      <c r="C601">
        <v>20.5</v>
      </c>
      <c r="D601">
        <v>28</v>
      </c>
      <c r="E601" s="4">
        <v>0</v>
      </c>
      <c r="F601" t="str">
        <f t="shared" si="301"/>
        <v>OK</v>
      </c>
      <c r="G601" t="str">
        <f t="shared" si="302"/>
        <v>OK</v>
      </c>
      <c r="H601" t="str">
        <f t="shared" si="303"/>
        <v>OK</v>
      </c>
      <c r="I601" s="4">
        <f t="shared" si="304"/>
        <v>2018</v>
      </c>
    </row>
    <row r="602" spans="1:19" x14ac:dyDescent="0.35">
      <c r="A602" s="1">
        <v>43336</v>
      </c>
      <c r="B602" s="4">
        <v>22.4</v>
      </c>
      <c r="C602">
        <v>19.899999999999999</v>
      </c>
      <c r="D602">
        <v>28.8</v>
      </c>
      <c r="E602" s="4">
        <v>3.3</v>
      </c>
      <c r="F602" t="str">
        <f t="shared" si="301"/>
        <v>OK</v>
      </c>
      <c r="G602" t="str">
        <f t="shared" si="302"/>
        <v>OK</v>
      </c>
      <c r="H602" t="str">
        <f t="shared" si="303"/>
        <v>OK</v>
      </c>
      <c r="I602" s="4">
        <f t="shared" si="304"/>
        <v>2018</v>
      </c>
      <c r="J602">
        <f t="shared" ref="J602:J603" si="321">( 377.84*B602 + 3903.1)/550</f>
        <v>22.48493818181818</v>
      </c>
      <c r="K602">
        <f t="shared" ref="K602:K603" si="322" xml:space="preserve"> (59.02*E602 + 1383.4)/365</f>
        <v>4.3237424657534254</v>
      </c>
      <c r="R602" s="4">
        <f t="shared" ref="R602:R603" si="323">J602-B602</f>
        <v>8.4938181818181135E-2</v>
      </c>
      <c r="S602" s="4">
        <f t="shared" ref="S602:S603" si="324">K602-E602</f>
        <v>1.0237424657534255</v>
      </c>
    </row>
    <row r="603" spans="1:19" x14ac:dyDescent="0.35">
      <c r="A603" s="1">
        <v>43337</v>
      </c>
      <c r="B603" s="4">
        <v>23.7</v>
      </c>
      <c r="C603">
        <v>19.8</v>
      </c>
      <c r="D603">
        <v>29.5</v>
      </c>
      <c r="E603" s="4">
        <v>41.7</v>
      </c>
      <c r="F603" t="str">
        <f t="shared" si="301"/>
        <v>OK</v>
      </c>
      <c r="G603" t="str">
        <f t="shared" si="302"/>
        <v>OK</v>
      </c>
      <c r="H603" t="str">
        <f t="shared" si="303"/>
        <v>OK</v>
      </c>
      <c r="I603" s="4">
        <f t="shared" si="304"/>
        <v>2018</v>
      </c>
      <c r="J603">
        <f t="shared" si="321"/>
        <v>23.378014545454544</v>
      </c>
      <c r="K603">
        <f t="shared" si="322"/>
        <v>10.532969863013701</v>
      </c>
      <c r="R603" s="4">
        <f t="shared" si="323"/>
        <v>-0.32198545454545524</v>
      </c>
      <c r="S603" s="4">
        <f t="shared" si="324"/>
        <v>-31.167030136986302</v>
      </c>
    </row>
    <row r="604" spans="1:19" hidden="1" x14ac:dyDescent="0.35">
      <c r="A604" s="1">
        <v>43338</v>
      </c>
      <c r="B604" s="4">
        <v>22.4</v>
      </c>
      <c r="C604">
        <v>19.899999999999999</v>
      </c>
      <c r="D604">
        <v>28.5</v>
      </c>
      <c r="E604" s="4">
        <v>0</v>
      </c>
      <c r="F604" t="str">
        <f t="shared" si="301"/>
        <v>OK</v>
      </c>
      <c r="G604" t="str">
        <f t="shared" si="302"/>
        <v>OK</v>
      </c>
      <c r="H604" t="str">
        <f t="shared" si="303"/>
        <v>OK</v>
      </c>
      <c r="I604" s="4">
        <f t="shared" si="304"/>
        <v>2018</v>
      </c>
    </row>
    <row r="605" spans="1:19" x14ac:dyDescent="0.35">
      <c r="A605" s="1">
        <v>43339</v>
      </c>
      <c r="B605" s="4">
        <v>21.9</v>
      </c>
      <c r="C605">
        <v>19.5</v>
      </c>
      <c r="D605">
        <v>28.3</v>
      </c>
      <c r="E605" s="4">
        <v>8.4</v>
      </c>
      <c r="F605" t="str">
        <f t="shared" si="301"/>
        <v>OK</v>
      </c>
      <c r="G605" t="str">
        <f t="shared" si="302"/>
        <v>OK</v>
      </c>
      <c r="H605" t="str">
        <f t="shared" si="303"/>
        <v>OK</v>
      </c>
      <c r="I605" s="4">
        <f t="shared" si="304"/>
        <v>2018</v>
      </c>
      <c r="J605">
        <f t="shared" ref="J605:J609" si="325">( 377.84*B605 + 3903.1)/550</f>
        <v>22.14144727272727</v>
      </c>
      <c r="K605">
        <f t="shared" ref="K605:K609" si="326" xml:space="preserve"> (59.02*E605 + 1383.4)/365</f>
        <v>5.1484054794520553</v>
      </c>
      <c r="R605" s="4">
        <f t="shared" ref="R605:R609" si="327">J605-B605</f>
        <v>0.24144727272727096</v>
      </c>
      <c r="S605" s="4">
        <f t="shared" ref="S605:S609" si="328">K605-E605</f>
        <v>-3.2515945205479451</v>
      </c>
    </row>
    <row r="606" spans="1:19" x14ac:dyDescent="0.35">
      <c r="A606" s="1">
        <v>43340</v>
      </c>
      <c r="B606" s="4">
        <v>22.6</v>
      </c>
      <c r="C606">
        <v>19.600000000000001</v>
      </c>
      <c r="D606">
        <v>27.6</v>
      </c>
      <c r="E606" s="4">
        <v>0.5</v>
      </c>
      <c r="F606" t="str">
        <f t="shared" si="301"/>
        <v>OK</v>
      </c>
      <c r="G606" t="str">
        <f t="shared" si="302"/>
        <v>OK</v>
      </c>
      <c r="H606" t="str">
        <f t="shared" si="303"/>
        <v>OK</v>
      </c>
      <c r="I606" s="4">
        <f t="shared" si="304"/>
        <v>2018</v>
      </c>
      <c r="J606">
        <f t="shared" si="325"/>
        <v>22.622334545454546</v>
      </c>
      <c r="K606">
        <f t="shared" si="326"/>
        <v>3.8709863013698631</v>
      </c>
      <c r="R606" s="4">
        <f t="shared" si="327"/>
        <v>2.2334545454544497E-2</v>
      </c>
      <c r="S606" s="4">
        <f t="shared" si="328"/>
        <v>3.3709863013698631</v>
      </c>
    </row>
    <row r="607" spans="1:19" x14ac:dyDescent="0.35">
      <c r="A607" s="1">
        <v>43341</v>
      </c>
      <c r="B607" s="4">
        <v>22.9</v>
      </c>
      <c r="C607">
        <v>20</v>
      </c>
      <c r="D607">
        <v>28</v>
      </c>
      <c r="E607" s="4">
        <v>8.4</v>
      </c>
      <c r="F607" t="str">
        <f t="shared" si="301"/>
        <v>OK</v>
      </c>
      <c r="G607" t="str">
        <f t="shared" si="302"/>
        <v>OK</v>
      </c>
      <c r="H607" t="str">
        <f t="shared" si="303"/>
        <v>OK</v>
      </c>
      <c r="I607" s="4">
        <f t="shared" si="304"/>
        <v>2018</v>
      </c>
      <c r="J607">
        <f t="shared" si="325"/>
        <v>22.82842909090909</v>
      </c>
      <c r="K607">
        <f t="shared" si="326"/>
        <v>5.1484054794520553</v>
      </c>
      <c r="R607" s="4">
        <f t="shared" si="327"/>
        <v>-7.1570909090908685E-2</v>
      </c>
      <c r="S607" s="4">
        <f t="shared" si="328"/>
        <v>-3.2515945205479451</v>
      </c>
    </row>
    <row r="608" spans="1:19" x14ac:dyDescent="0.35">
      <c r="A608" s="1">
        <v>43342</v>
      </c>
      <c r="B608" s="4">
        <v>23.3</v>
      </c>
      <c r="C608">
        <v>20.3</v>
      </c>
      <c r="D608">
        <v>28.2</v>
      </c>
      <c r="E608" s="4">
        <v>3</v>
      </c>
      <c r="F608" t="str">
        <f t="shared" si="301"/>
        <v>OK</v>
      </c>
      <c r="G608" t="str">
        <f t="shared" si="302"/>
        <v>OK</v>
      </c>
      <c r="H608" t="str">
        <f t="shared" si="303"/>
        <v>OK</v>
      </c>
      <c r="I608" s="4">
        <f t="shared" si="304"/>
        <v>2018</v>
      </c>
      <c r="J608">
        <f t="shared" si="325"/>
        <v>23.103221818181819</v>
      </c>
      <c r="K608">
        <f t="shared" si="326"/>
        <v>4.2752328767123284</v>
      </c>
      <c r="R608" s="4">
        <f t="shared" si="327"/>
        <v>-0.19677818181818196</v>
      </c>
      <c r="S608" s="4">
        <f t="shared" si="328"/>
        <v>1.2752328767123284</v>
      </c>
    </row>
    <row r="609" spans="1:19" x14ac:dyDescent="0.35">
      <c r="A609" s="1">
        <v>43343</v>
      </c>
      <c r="B609" s="4">
        <v>23.3</v>
      </c>
      <c r="C609">
        <v>20.3</v>
      </c>
      <c r="D609">
        <v>28.8</v>
      </c>
      <c r="E609" s="4">
        <v>19.8</v>
      </c>
      <c r="F609" t="str">
        <f t="shared" si="301"/>
        <v>OK</v>
      </c>
      <c r="G609" t="str">
        <f t="shared" si="302"/>
        <v>OK</v>
      </c>
      <c r="H609" t="str">
        <f t="shared" si="303"/>
        <v>OK</v>
      </c>
      <c r="I609" s="4">
        <f t="shared" si="304"/>
        <v>2018</v>
      </c>
      <c r="J609">
        <f t="shared" si="325"/>
        <v>23.103221818181819</v>
      </c>
      <c r="K609">
        <f t="shared" si="326"/>
        <v>6.9917698630136993</v>
      </c>
      <c r="R609" s="4">
        <f t="shared" si="327"/>
        <v>-0.19677818181818196</v>
      </c>
      <c r="S609" s="4">
        <f t="shared" si="328"/>
        <v>-12.808230136986301</v>
      </c>
    </row>
    <row r="610" spans="1:19" hidden="1" x14ac:dyDescent="0.35">
      <c r="A610" s="1">
        <v>43344</v>
      </c>
      <c r="B610" s="4">
        <v>23.7</v>
      </c>
      <c r="C610">
        <v>20</v>
      </c>
      <c r="D610">
        <v>28.3</v>
      </c>
      <c r="E610" s="4">
        <v>0</v>
      </c>
      <c r="F610" t="str">
        <f t="shared" si="301"/>
        <v>OK</v>
      </c>
      <c r="G610" t="str">
        <f t="shared" si="302"/>
        <v>OK</v>
      </c>
      <c r="H610" t="str">
        <f t="shared" si="303"/>
        <v>OK</v>
      </c>
      <c r="I610" s="4">
        <f t="shared" si="304"/>
        <v>2018</v>
      </c>
    </row>
    <row r="611" spans="1:19" x14ac:dyDescent="0.35">
      <c r="A611" s="1">
        <v>43345</v>
      </c>
      <c r="B611" s="4">
        <v>23.7</v>
      </c>
      <c r="C611">
        <v>20.3</v>
      </c>
      <c r="D611">
        <v>28.2</v>
      </c>
      <c r="E611" s="4">
        <v>0.3</v>
      </c>
      <c r="F611" t="str">
        <f t="shared" si="301"/>
        <v>OK</v>
      </c>
      <c r="G611" t="str">
        <f t="shared" si="302"/>
        <v>OK</v>
      </c>
      <c r="H611" t="str">
        <f t="shared" si="303"/>
        <v>OK</v>
      </c>
      <c r="I611" s="4">
        <f t="shared" si="304"/>
        <v>2018</v>
      </c>
      <c r="J611">
        <f>( 377.84*B611 + 3903.1)/550</f>
        <v>23.378014545454544</v>
      </c>
      <c r="K611">
        <f xml:space="preserve"> (59.02*E611 + 1383.4)/365</f>
        <v>3.8386465753424659</v>
      </c>
      <c r="R611" s="4">
        <f>J611-B611</f>
        <v>-0.32198545454545524</v>
      </c>
      <c r="S611" s="4">
        <f>K611-E611</f>
        <v>3.5386465753424661</v>
      </c>
    </row>
    <row r="612" spans="1:19" hidden="1" x14ac:dyDescent="0.35">
      <c r="A612" s="1">
        <v>43346</v>
      </c>
      <c r="B612" s="4">
        <v>24.7</v>
      </c>
      <c r="C612">
        <v>19.7</v>
      </c>
      <c r="D612">
        <v>29.3</v>
      </c>
      <c r="E612" s="4">
        <v>0</v>
      </c>
      <c r="F612" t="str">
        <f t="shared" si="301"/>
        <v>OK</v>
      </c>
      <c r="G612" t="str">
        <f t="shared" si="302"/>
        <v>OK</v>
      </c>
      <c r="H612" t="str">
        <f t="shared" si="303"/>
        <v>OK</v>
      </c>
      <c r="I612" s="4">
        <f t="shared" si="304"/>
        <v>2018</v>
      </c>
    </row>
    <row r="613" spans="1:19" hidden="1" x14ac:dyDescent="0.35">
      <c r="A613" s="1">
        <v>43347</v>
      </c>
      <c r="B613">
        <v>24.4</v>
      </c>
      <c r="C613">
        <v>19.7</v>
      </c>
      <c r="D613">
        <v>29.8</v>
      </c>
      <c r="E613"/>
      <c r="I613"/>
    </row>
    <row r="614" spans="1:19" hidden="1" x14ac:dyDescent="0.35">
      <c r="A614" s="1">
        <v>43348</v>
      </c>
      <c r="B614">
        <v>24.3</v>
      </c>
      <c r="C614">
        <v>20.399999999999999</v>
      </c>
      <c r="D614">
        <v>29.9</v>
      </c>
      <c r="E614"/>
      <c r="I614"/>
    </row>
    <row r="615" spans="1:19" hidden="1" x14ac:dyDescent="0.35">
      <c r="A615" s="1">
        <v>43349</v>
      </c>
      <c r="B615">
        <v>24.4</v>
      </c>
      <c r="C615">
        <v>19.899999999999999</v>
      </c>
      <c r="D615">
        <v>29.2</v>
      </c>
      <c r="E615"/>
      <c r="I615"/>
    </row>
    <row r="616" spans="1:19" hidden="1" x14ac:dyDescent="0.35">
      <c r="A616" s="1">
        <v>43350</v>
      </c>
      <c r="B616" s="4">
        <v>24.4</v>
      </c>
      <c r="C616">
        <v>20.3</v>
      </c>
      <c r="D616">
        <v>29.2</v>
      </c>
      <c r="E616" s="4">
        <v>0</v>
      </c>
      <c r="F616" t="str">
        <f t="shared" ref="F616:F618" si="329">IF(OR(B616 &lt; $N$30, B616 &gt; $N$67), "Outlier", "OK")</f>
        <v>OK</v>
      </c>
      <c r="G616" t="str">
        <f t="shared" ref="G616:G618" si="330">IF(OR(C616 &lt; $O$30, C616 &gt; $O$67), "Outlier", "OK")</f>
        <v>OK</v>
      </c>
      <c r="H616" t="str">
        <f t="shared" ref="H616:H618" si="331">IF(OR(D616 &lt; $P$30, D616 &gt; $P$67), "Outlier", "OK")</f>
        <v>OK</v>
      </c>
      <c r="I616" s="4">
        <f t="shared" ref="I616:I618" si="332">YEAR(A616)</f>
        <v>2018</v>
      </c>
    </row>
    <row r="617" spans="1:19" hidden="1" x14ac:dyDescent="0.35">
      <c r="A617" s="1">
        <v>43351</v>
      </c>
      <c r="B617" s="4">
        <v>24.3</v>
      </c>
      <c r="C617">
        <v>20.100000000000001</v>
      </c>
      <c r="D617">
        <v>29.1</v>
      </c>
      <c r="E617" s="4">
        <v>0</v>
      </c>
      <c r="F617" t="str">
        <f t="shared" si="329"/>
        <v>OK</v>
      </c>
      <c r="G617" t="str">
        <f t="shared" si="330"/>
        <v>OK</v>
      </c>
      <c r="H617" t="str">
        <f t="shared" si="331"/>
        <v>OK</v>
      </c>
      <c r="I617" s="4">
        <f t="shared" si="332"/>
        <v>2018</v>
      </c>
    </row>
    <row r="618" spans="1:19" hidden="1" x14ac:dyDescent="0.35">
      <c r="A618" s="1">
        <v>43352</v>
      </c>
      <c r="B618" s="4">
        <v>25.7</v>
      </c>
      <c r="C618">
        <v>20.5</v>
      </c>
      <c r="D618">
        <v>30.3</v>
      </c>
      <c r="E618" s="4">
        <v>0</v>
      </c>
      <c r="F618" t="str">
        <f t="shared" si="329"/>
        <v>OK</v>
      </c>
      <c r="G618" t="str">
        <f t="shared" si="330"/>
        <v>OK</v>
      </c>
      <c r="H618" t="str">
        <f t="shared" si="331"/>
        <v>OK</v>
      </c>
      <c r="I618" s="4">
        <f t="shared" si="332"/>
        <v>2018</v>
      </c>
    </row>
    <row r="619" spans="1:19" hidden="1" x14ac:dyDescent="0.35">
      <c r="A619" s="1">
        <v>43353</v>
      </c>
      <c r="B619">
        <v>24.1</v>
      </c>
      <c r="C619">
        <v>21.6</v>
      </c>
      <c r="D619">
        <v>31.1</v>
      </c>
      <c r="E619"/>
      <c r="I619"/>
    </row>
    <row r="620" spans="1:19" hidden="1" x14ac:dyDescent="0.35">
      <c r="A620" s="1">
        <v>43354</v>
      </c>
      <c r="B620" s="4">
        <v>25.3</v>
      </c>
      <c r="C620">
        <v>21.7</v>
      </c>
      <c r="D620">
        <v>30.8</v>
      </c>
      <c r="E620" s="4">
        <v>0</v>
      </c>
      <c r="F620" t="str">
        <f t="shared" ref="F620:F621" si="333">IF(OR(B620 &lt; $N$30, B620 &gt; $N$67), "Outlier", "OK")</f>
        <v>OK</v>
      </c>
      <c r="G620" t="str">
        <f t="shared" ref="G620:G621" si="334">IF(OR(C620 &lt; $O$30, C620 &gt; $O$67), "Outlier", "OK")</f>
        <v>OK</v>
      </c>
      <c r="H620" t="str">
        <f t="shared" ref="H620:H621" si="335">IF(OR(D620 &lt; $P$30, D620 &gt; $P$67), "Outlier", "OK")</f>
        <v>OK</v>
      </c>
      <c r="I620" s="4">
        <f t="shared" ref="I620:I621" si="336">YEAR(A620)</f>
        <v>2018</v>
      </c>
    </row>
    <row r="621" spans="1:19" hidden="1" x14ac:dyDescent="0.35">
      <c r="A621" s="1">
        <v>43355</v>
      </c>
      <c r="B621" s="4">
        <v>25.9</v>
      </c>
      <c r="C621">
        <v>20.9</v>
      </c>
      <c r="D621">
        <v>31.1</v>
      </c>
      <c r="E621" s="4">
        <v>0</v>
      </c>
      <c r="F621" t="str">
        <f t="shared" si="333"/>
        <v>OK</v>
      </c>
      <c r="G621" t="str">
        <f t="shared" si="334"/>
        <v>OK</v>
      </c>
      <c r="H621" t="str">
        <f t="shared" si="335"/>
        <v>OK</v>
      </c>
      <c r="I621" s="4">
        <f t="shared" si="336"/>
        <v>2018</v>
      </c>
    </row>
    <row r="622" spans="1:19" hidden="1" x14ac:dyDescent="0.35">
      <c r="A622" s="1">
        <v>43356</v>
      </c>
      <c r="B622">
        <v>25</v>
      </c>
      <c r="C622">
        <v>22.3</v>
      </c>
      <c r="D622">
        <v>31.6</v>
      </c>
      <c r="E622"/>
      <c r="I622"/>
    </row>
    <row r="623" spans="1:19" x14ac:dyDescent="0.35">
      <c r="A623" s="1">
        <v>43357</v>
      </c>
      <c r="B623" s="4">
        <v>24.8</v>
      </c>
      <c r="C623">
        <v>20.399999999999999</v>
      </c>
      <c r="D623">
        <v>30.3</v>
      </c>
      <c r="E623" s="4">
        <v>2</v>
      </c>
      <c r="F623" t="str">
        <f t="shared" ref="F623:F625" si="337">IF(OR(B623 &lt; $N$30, B623 &gt; $N$67), "Outlier", "OK")</f>
        <v>OK</v>
      </c>
      <c r="G623" t="str">
        <f t="shared" ref="G623:G625" si="338">IF(OR(C623 &lt; $O$30, C623 &gt; $O$67), "Outlier", "OK")</f>
        <v>OK</v>
      </c>
      <c r="H623" t="str">
        <f t="shared" ref="H623:H625" si="339">IF(OR(D623 &lt; $P$30, D623 &gt; $P$67), "Outlier", "OK")</f>
        <v>OK</v>
      </c>
      <c r="I623" s="4">
        <f t="shared" ref="I623:I625" si="340">YEAR(A623)</f>
        <v>2018</v>
      </c>
      <c r="J623">
        <f t="shared" ref="J623:J625" si="341">( 377.84*B623 + 3903.1)/550</f>
        <v>24.133694545454546</v>
      </c>
      <c r="K623">
        <f t="shared" ref="K623:K625" si="342" xml:space="preserve"> (59.02*E623 + 1383.4)/365</f>
        <v>4.1135342465753428</v>
      </c>
      <c r="R623" s="4">
        <f t="shared" ref="R623:R625" si="343">J623-B623</f>
        <v>-0.66630545454545498</v>
      </c>
      <c r="S623" s="4">
        <f t="shared" ref="S623:S625" si="344">K623-E623</f>
        <v>2.1135342465753428</v>
      </c>
    </row>
    <row r="624" spans="1:19" x14ac:dyDescent="0.35">
      <c r="A624" s="1">
        <v>43358</v>
      </c>
      <c r="B624" s="4">
        <v>23.2</v>
      </c>
      <c r="C624">
        <v>20.100000000000001</v>
      </c>
      <c r="D624">
        <v>31.7</v>
      </c>
      <c r="E624" s="4">
        <v>9.9</v>
      </c>
      <c r="F624" t="str">
        <f t="shared" si="337"/>
        <v>OK</v>
      </c>
      <c r="G624" t="str">
        <f t="shared" si="338"/>
        <v>OK</v>
      </c>
      <c r="H624" t="str">
        <f t="shared" si="339"/>
        <v>OK</v>
      </c>
      <c r="I624" s="4">
        <f t="shared" si="340"/>
        <v>2018</v>
      </c>
      <c r="J624">
        <f t="shared" si="341"/>
        <v>23.034523636363634</v>
      </c>
      <c r="K624">
        <f t="shared" si="342"/>
        <v>5.3909534246575346</v>
      </c>
      <c r="R624" s="4">
        <f t="shared" si="343"/>
        <v>-0.16547636363636542</v>
      </c>
      <c r="S624" s="4">
        <f t="shared" si="344"/>
        <v>-4.5090465753424658</v>
      </c>
    </row>
    <row r="625" spans="1:19" x14ac:dyDescent="0.35">
      <c r="A625" s="1">
        <v>43359</v>
      </c>
      <c r="B625" s="4">
        <v>23.3</v>
      </c>
      <c r="C625">
        <v>20.5</v>
      </c>
      <c r="D625">
        <v>30.3</v>
      </c>
      <c r="E625" s="4">
        <v>6.4</v>
      </c>
      <c r="F625" t="str">
        <f t="shared" si="337"/>
        <v>OK</v>
      </c>
      <c r="G625" t="str">
        <f t="shared" si="338"/>
        <v>OK</v>
      </c>
      <c r="H625" t="str">
        <f t="shared" si="339"/>
        <v>OK</v>
      </c>
      <c r="I625" s="4">
        <f t="shared" si="340"/>
        <v>2018</v>
      </c>
      <c r="J625">
        <f t="shared" si="341"/>
        <v>23.103221818181819</v>
      </c>
      <c r="K625">
        <f t="shared" si="342"/>
        <v>4.8250082191780823</v>
      </c>
      <c r="R625" s="4">
        <f t="shared" si="343"/>
        <v>-0.19677818181818196</v>
      </c>
      <c r="S625" s="4">
        <f t="shared" si="344"/>
        <v>-1.574991780821918</v>
      </c>
    </row>
    <row r="626" spans="1:19" hidden="1" x14ac:dyDescent="0.35">
      <c r="A626" s="1">
        <v>43360</v>
      </c>
      <c r="B626">
        <v>23.6</v>
      </c>
      <c r="D626">
        <v>28.3</v>
      </c>
      <c r="E626"/>
      <c r="I626"/>
    </row>
    <row r="627" spans="1:19" hidden="1" x14ac:dyDescent="0.35">
      <c r="A627" s="1">
        <v>43361</v>
      </c>
      <c r="B627">
        <v>24.1</v>
      </c>
      <c r="C627">
        <v>20.3</v>
      </c>
      <c r="D627">
        <v>28.3</v>
      </c>
      <c r="E627"/>
      <c r="I627"/>
    </row>
    <row r="628" spans="1:19" hidden="1" x14ac:dyDescent="0.35">
      <c r="A628" s="1">
        <v>43362</v>
      </c>
      <c r="B628">
        <v>24.1</v>
      </c>
      <c r="C628">
        <v>20.3</v>
      </c>
      <c r="D628">
        <v>28.2</v>
      </c>
      <c r="E628"/>
      <c r="I628"/>
    </row>
    <row r="629" spans="1:19" hidden="1" x14ac:dyDescent="0.35">
      <c r="A629" s="1">
        <v>43363</v>
      </c>
      <c r="B629">
        <v>22.7</v>
      </c>
      <c r="C629">
        <v>19.5</v>
      </c>
      <c r="D629">
        <v>29.1</v>
      </c>
      <c r="E629"/>
      <c r="I629"/>
    </row>
    <row r="630" spans="1:19" x14ac:dyDescent="0.35">
      <c r="A630" s="1">
        <v>43364</v>
      </c>
      <c r="B630" s="4">
        <v>23.5</v>
      </c>
      <c r="C630">
        <v>20</v>
      </c>
      <c r="D630">
        <v>28.4</v>
      </c>
      <c r="E630" s="4">
        <v>7.6</v>
      </c>
      <c r="F630" t="str">
        <f t="shared" ref="F630:F631" si="345">IF(OR(B630 &lt; $N$30, B630 &gt; $N$67), "Outlier", "OK")</f>
        <v>OK</v>
      </c>
      <c r="G630" t="str">
        <f t="shared" ref="G630:G631" si="346">IF(OR(C630 &lt; $O$30, C630 &gt; $O$67), "Outlier", "OK")</f>
        <v>OK</v>
      </c>
      <c r="H630" t="str">
        <f t="shared" ref="H630:H631" si="347">IF(OR(D630 &lt; $P$30, D630 &gt; $P$67), "Outlier", "OK")</f>
        <v>OK</v>
      </c>
      <c r="I630" s="4">
        <f t="shared" ref="I630:I631" si="348">YEAR(A630)</f>
        <v>2018</v>
      </c>
      <c r="J630">
        <f>( 377.84*B630 + 3903.1)/550</f>
        <v>23.240618181818181</v>
      </c>
      <c r="K630">
        <f xml:space="preserve"> (59.02*E630 + 1383.4)/365</f>
        <v>5.0190465753424665</v>
      </c>
      <c r="R630" s="4">
        <f>J630-B630</f>
        <v>-0.2593818181818186</v>
      </c>
      <c r="S630" s="4">
        <f>K630-E630</f>
        <v>-2.5809534246575332</v>
      </c>
    </row>
    <row r="631" spans="1:19" hidden="1" x14ac:dyDescent="0.35">
      <c r="A631" s="1">
        <v>43365</v>
      </c>
      <c r="B631" s="4">
        <v>23.9</v>
      </c>
      <c r="C631">
        <v>18.399999999999999</v>
      </c>
      <c r="D631">
        <v>28.2</v>
      </c>
      <c r="E631" s="4">
        <v>0</v>
      </c>
      <c r="F631" t="str">
        <f t="shared" si="345"/>
        <v>OK</v>
      </c>
      <c r="G631" t="str">
        <f t="shared" si="346"/>
        <v>OK</v>
      </c>
      <c r="H631" t="str">
        <f t="shared" si="347"/>
        <v>OK</v>
      </c>
      <c r="I631" s="4">
        <f t="shared" si="348"/>
        <v>2018</v>
      </c>
    </row>
    <row r="632" spans="1:19" hidden="1" x14ac:dyDescent="0.35">
      <c r="A632" s="1">
        <v>43366</v>
      </c>
      <c r="B632">
        <v>24.3</v>
      </c>
      <c r="C632">
        <v>21.4</v>
      </c>
      <c r="D632">
        <v>29</v>
      </c>
      <c r="E632"/>
      <c r="I632"/>
    </row>
    <row r="633" spans="1:19" x14ac:dyDescent="0.35">
      <c r="A633" s="1">
        <v>43367</v>
      </c>
      <c r="B633" s="4">
        <v>22.6</v>
      </c>
      <c r="C633">
        <v>18.899999999999999</v>
      </c>
      <c r="D633">
        <v>28.9</v>
      </c>
      <c r="E633" s="4">
        <v>53.1</v>
      </c>
      <c r="F633" t="str">
        <f t="shared" ref="F633:F646" si="349">IF(OR(B633 &lt; $N$30, B633 &gt; $N$67), "Outlier", "OK")</f>
        <v>OK</v>
      </c>
      <c r="G633" t="str">
        <f t="shared" ref="G633:G646" si="350">IF(OR(C633 &lt; $O$30, C633 &gt; $O$67), "Outlier", "OK")</f>
        <v>OK</v>
      </c>
      <c r="H633" t="str">
        <f t="shared" ref="H633:H646" si="351">IF(OR(D633 &lt; $P$30, D633 &gt; $P$67), "Outlier", "OK")</f>
        <v>OK</v>
      </c>
      <c r="I633" s="4">
        <f t="shared" ref="I633:I646" si="352">YEAR(A633)</f>
        <v>2018</v>
      </c>
      <c r="J633">
        <f t="shared" ref="J633:J638" si="353">( 377.84*B633 + 3903.1)/550</f>
        <v>22.622334545454546</v>
      </c>
      <c r="K633">
        <f t="shared" ref="K633:K638" si="354" xml:space="preserve"> (59.02*E633 + 1383.4)/365</f>
        <v>12.376334246575345</v>
      </c>
      <c r="R633" s="4">
        <f t="shared" ref="R633:R638" si="355">J633-B633</f>
        <v>2.2334545454544497E-2</v>
      </c>
      <c r="S633" s="4">
        <f t="shared" ref="S633:S638" si="356">K633-E633</f>
        <v>-40.723665753424655</v>
      </c>
    </row>
    <row r="634" spans="1:19" x14ac:dyDescent="0.35">
      <c r="A634" s="1">
        <v>43368</v>
      </c>
      <c r="B634" s="4">
        <v>23.5</v>
      </c>
      <c r="C634">
        <v>19.3</v>
      </c>
      <c r="D634">
        <v>29.3</v>
      </c>
      <c r="E634" s="4">
        <v>25.4</v>
      </c>
      <c r="F634" t="str">
        <f t="shared" si="349"/>
        <v>OK</v>
      </c>
      <c r="G634" t="str">
        <f t="shared" si="350"/>
        <v>OK</v>
      </c>
      <c r="H634" t="str">
        <f t="shared" si="351"/>
        <v>OK</v>
      </c>
      <c r="I634" s="4">
        <f t="shared" si="352"/>
        <v>2018</v>
      </c>
      <c r="J634">
        <f t="shared" si="353"/>
        <v>23.240618181818181</v>
      </c>
      <c r="K634">
        <f t="shared" si="354"/>
        <v>7.8972821917808211</v>
      </c>
      <c r="R634" s="4">
        <f t="shared" si="355"/>
        <v>-0.2593818181818186</v>
      </c>
      <c r="S634" s="4">
        <f t="shared" si="356"/>
        <v>-17.502717808219177</v>
      </c>
    </row>
    <row r="635" spans="1:19" x14ac:dyDescent="0.35">
      <c r="A635" s="1">
        <v>43369</v>
      </c>
      <c r="B635" s="4">
        <v>24.4</v>
      </c>
      <c r="C635">
        <v>20.399999999999999</v>
      </c>
      <c r="D635">
        <v>29.7</v>
      </c>
      <c r="E635" s="4">
        <v>0.3</v>
      </c>
      <c r="F635" t="str">
        <f t="shared" si="349"/>
        <v>OK</v>
      </c>
      <c r="G635" t="str">
        <f t="shared" si="350"/>
        <v>OK</v>
      </c>
      <c r="H635" t="str">
        <f t="shared" si="351"/>
        <v>OK</v>
      </c>
      <c r="I635" s="4">
        <f t="shared" si="352"/>
        <v>2018</v>
      </c>
      <c r="J635">
        <f t="shared" si="353"/>
        <v>23.858901818181817</v>
      </c>
      <c r="K635">
        <f t="shared" si="354"/>
        <v>3.8386465753424659</v>
      </c>
      <c r="R635" s="4">
        <f t="shared" si="355"/>
        <v>-0.5410981818181817</v>
      </c>
      <c r="S635" s="4">
        <f t="shared" si="356"/>
        <v>3.5386465753424661</v>
      </c>
    </row>
    <row r="636" spans="1:19" x14ac:dyDescent="0.35">
      <c r="A636" s="1">
        <v>43370</v>
      </c>
      <c r="B636" s="4">
        <v>23.7</v>
      </c>
      <c r="C636">
        <v>19.899999999999999</v>
      </c>
      <c r="D636">
        <v>30.3</v>
      </c>
      <c r="E636" s="4">
        <v>32.299999999999997</v>
      </c>
      <c r="F636" t="str">
        <f t="shared" si="349"/>
        <v>OK</v>
      </c>
      <c r="G636" t="str">
        <f t="shared" si="350"/>
        <v>OK</v>
      </c>
      <c r="H636" t="str">
        <f t="shared" si="351"/>
        <v>OK</v>
      </c>
      <c r="I636" s="4">
        <f t="shared" si="352"/>
        <v>2018</v>
      </c>
      <c r="J636">
        <f t="shared" si="353"/>
        <v>23.378014545454544</v>
      </c>
      <c r="K636">
        <f t="shared" si="354"/>
        <v>9.0130027397260282</v>
      </c>
      <c r="R636" s="4">
        <f t="shared" si="355"/>
        <v>-0.32198545454545524</v>
      </c>
      <c r="S636" s="4">
        <f t="shared" si="356"/>
        <v>-23.286997260273971</v>
      </c>
    </row>
    <row r="637" spans="1:19" x14ac:dyDescent="0.35">
      <c r="A637" s="1">
        <v>43371</v>
      </c>
      <c r="B637" s="4">
        <v>25.1</v>
      </c>
      <c r="C637">
        <v>21.3</v>
      </c>
      <c r="D637">
        <v>29.5</v>
      </c>
      <c r="E637" s="4">
        <v>1.3</v>
      </c>
      <c r="F637" t="str">
        <f t="shared" si="349"/>
        <v>OK</v>
      </c>
      <c r="G637" t="str">
        <f t="shared" si="350"/>
        <v>OK</v>
      </c>
      <c r="H637" t="str">
        <f t="shared" si="351"/>
        <v>OK</v>
      </c>
      <c r="I637" s="4">
        <f t="shared" si="352"/>
        <v>2018</v>
      </c>
      <c r="J637">
        <f t="shared" si="353"/>
        <v>24.33978909090909</v>
      </c>
      <c r="K637">
        <f t="shared" si="354"/>
        <v>4.0003452054794524</v>
      </c>
      <c r="R637" s="4">
        <f t="shared" si="355"/>
        <v>-0.76021090909091171</v>
      </c>
      <c r="S637" s="4">
        <f t="shared" si="356"/>
        <v>2.7003452054794526</v>
      </c>
    </row>
    <row r="638" spans="1:19" x14ac:dyDescent="0.35">
      <c r="A638" s="1">
        <v>43372</v>
      </c>
      <c r="B638" s="4">
        <v>25.3</v>
      </c>
      <c r="C638">
        <v>21.4</v>
      </c>
      <c r="D638">
        <v>29.9</v>
      </c>
      <c r="E638" s="4">
        <v>4.3</v>
      </c>
      <c r="F638" t="str">
        <f t="shared" si="349"/>
        <v>OK</v>
      </c>
      <c r="G638" t="str">
        <f t="shared" si="350"/>
        <v>OK</v>
      </c>
      <c r="H638" t="str">
        <f t="shared" si="351"/>
        <v>OK</v>
      </c>
      <c r="I638" s="4">
        <f t="shared" si="352"/>
        <v>2018</v>
      </c>
      <c r="J638">
        <f t="shared" si="353"/>
        <v>24.477185454545452</v>
      </c>
      <c r="K638">
        <f t="shared" si="354"/>
        <v>4.485441095890411</v>
      </c>
      <c r="R638" s="4">
        <f t="shared" si="355"/>
        <v>-0.82281454545454835</v>
      </c>
      <c r="S638" s="4">
        <f t="shared" si="356"/>
        <v>0.18544109589041113</v>
      </c>
    </row>
    <row r="639" spans="1:19" hidden="1" x14ac:dyDescent="0.35">
      <c r="A639" s="1">
        <v>43373</v>
      </c>
      <c r="B639" s="4">
        <v>25.4</v>
      </c>
      <c r="C639">
        <v>21.8</v>
      </c>
      <c r="D639">
        <v>30.2</v>
      </c>
      <c r="E639" s="4">
        <v>0</v>
      </c>
      <c r="F639" t="str">
        <f t="shared" si="349"/>
        <v>OK</v>
      </c>
      <c r="G639" t="str">
        <f t="shared" si="350"/>
        <v>OK</v>
      </c>
      <c r="H639" t="str">
        <f t="shared" si="351"/>
        <v>OK</v>
      </c>
      <c r="I639" s="4">
        <f t="shared" si="352"/>
        <v>2018</v>
      </c>
    </row>
    <row r="640" spans="1:19" x14ac:dyDescent="0.35">
      <c r="A640" s="1">
        <v>43374</v>
      </c>
      <c r="B640" s="4">
        <v>25.5</v>
      </c>
      <c r="C640">
        <v>21.6</v>
      </c>
      <c r="D640">
        <v>30.9</v>
      </c>
      <c r="E640" s="4">
        <v>0.3</v>
      </c>
      <c r="F640" t="str">
        <f t="shared" si="349"/>
        <v>OK</v>
      </c>
      <c r="G640" t="str">
        <f t="shared" si="350"/>
        <v>OK</v>
      </c>
      <c r="H640" t="str">
        <f t="shared" si="351"/>
        <v>OK</v>
      </c>
      <c r="I640" s="4">
        <f t="shared" si="352"/>
        <v>2018</v>
      </c>
      <c r="J640">
        <f>( 377.84*B640 + 3903.1)/550</f>
        <v>24.614581818181819</v>
      </c>
      <c r="K640">
        <f xml:space="preserve"> (59.02*E640 + 1383.4)/365</f>
        <v>3.8386465753424659</v>
      </c>
      <c r="R640" s="4">
        <f>J640-B640</f>
        <v>-0.88541818181818144</v>
      </c>
      <c r="S640" s="4">
        <f>K640-E640</f>
        <v>3.5386465753424661</v>
      </c>
    </row>
    <row r="641" spans="1:19" hidden="1" x14ac:dyDescent="0.35">
      <c r="A641" s="1">
        <v>43375</v>
      </c>
      <c r="B641" s="4">
        <v>24.9</v>
      </c>
      <c r="C641">
        <v>21.3</v>
      </c>
      <c r="D641">
        <v>30.3</v>
      </c>
      <c r="E641" s="4">
        <v>0</v>
      </c>
      <c r="F641" t="str">
        <f t="shared" si="349"/>
        <v>OK</v>
      </c>
      <c r="G641" t="str">
        <f t="shared" si="350"/>
        <v>OK</v>
      </c>
      <c r="H641" t="str">
        <f t="shared" si="351"/>
        <v>OK</v>
      </c>
      <c r="I641" s="4">
        <f t="shared" si="352"/>
        <v>2018</v>
      </c>
    </row>
    <row r="642" spans="1:19" x14ac:dyDescent="0.35">
      <c r="A642" s="1">
        <v>43376</v>
      </c>
      <c r="B642" s="4">
        <v>24.1</v>
      </c>
      <c r="C642">
        <v>21.6</v>
      </c>
      <c r="D642">
        <v>30.4</v>
      </c>
      <c r="E642" s="4">
        <v>0.3</v>
      </c>
      <c r="F642" t="str">
        <f t="shared" si="349"/>
        <v>OK</v>
      </c>
      <c r="G642" t="str">
        <f t="shared" si="350"/>
        <v>OK</v>
      </c>
      <c r="H642" t="str">
        <f t="shared" si="351"/>
        <v>OK</v>
      </c>
      <c r="I642" s="4">
        <f t="shared" si="352"/>
        <v>2018</v>
      </c>
      <c r="J642">
        <f t="shared" ref="J642:J646" si="357">( 377.84*B642 + 3903.1)/550</f>
        <v>23.652807272727273</v>
      </c>
      <c r="K642">
        <f t="shared" ref="K642:K646" si="358" xml:space="preserve"> (59.02*E642 + 1383.4)/365</f>
        <v>3.8386465753424659</v>
      </c>
      <c r="R642" s="4">
        <f t="shared" ref="R642:R646" si="359">J642-B642</f>
        <v>-0.44719272727272852</v>
      </c>
      <c r="S642" s="4">
        <f t="shared" ref="S642:S646" si="360">K642-E642</f>
        <v>3.5386465753424661</v>
      </c>
    </row>
    <row r="643" spans="1:19" x14ac:dyDescent="0.35">
      <c r="A643" s="1">
        <v>43377</v>
      </c>
      <c r="B643" s="4">
        <v>21.8</v>
      </c>
      <c r="C643">
        <v>20.9</v>
      </c>
      <c r="D643">
        <v>30.6</v>
      </c>
      <c r="E643" s="4">
        <v>27.7</v>
      </c>
      <c r="F643" t="str">
        <f t="shared" si="349"/>
        <v>OK</v>
      </c>
      <c r="G643" t="str">
        <f t="shared" si="350"/>
        <v>OK</v>
      </c>
      <c r="H643" t="str">
        <f t="shared" si="351"/>
        <v>OK</v>
      </c>
      <c r="I643" s="4">
        <f t="shared" si="352"/>
        <v>2018</v>
      </c>
      <c r="J643">
        <f t="shared" si="357"/>
        <v>22.072749090909092</v>
      </c>
      <c r="K643">
        <f t="shared" si="358"/>
        <v>8.2691890410958901</v>
      </c>
      <c r="R643" s="4">
        <f t="shared" si="359"/>
        <v>0.27274909090909105</v>
      </c>
      <c r="S643" s="4">
        <f t="shared" si="360"/>
        <v>-19.430810958904111</v>
      </c>
    </row>
    <row r="644" spans="1:19" x14ac:dyDescent="0.35">
      <c r="A644" s="1">
        <v>43378</v>
      </c>
      <c r="B644" s="4">
        <v>23</v>
      </c>
      <c r="C644">
        <v>20.6</v>
      </c>
      <c r="D644">
        <v>25.9</v>
      </c>
      <c r="E644" s="4">
        <v>10.199999999999999</v>
      </c>
      <c r="F644" t="str">
        <f t="shared" si="349"/>
        <v>OK</v>
      </c>
      <c r="G644" t="str">
        <f t="shared" si="350"/>
        <v>OK</v>
      </c>
      <c r="H644" t="str">
        <f t="shared" si="351"/>
        <v>OK</v>
      </c>
      <c r="I644" s="4">
        <f t="shared" si="352"/>
        <v>2018</v>
      </c>
      <c r="J644">
        <f t="shared" si="357"/>
        <v>22.897127272727271</v>
      </c>
      <c r="K644">
        <f t="shared" si="358"/>
        <v>5.4394630136986297</v>
      </c>
      <c r="R644" s="4">
        <f t="shared" si="359"/>
        <v>-0.10287272727272878</v>
      </c>
      <c r="S644" s="4">
        <f t="shared" si="360"/>
        <v>-4.7605369863013696</v>
      </c>
    </row>
    <row r="645" spans="1:19" x14ac:dyDescent="0.35">
      <c r="A645" s="1">
        <v>43379</v>
      </c>
      <c r="B645" s="4">
        <v>22.5</v>
      </c>
      <c r="C645">
        <v>20.399999999999999</v>
      </c>
      <c r="D645">
        <v>26.4</v>
      </c>
      <c r="E645" s="4">
        <v>2.5</v>
      </c>
      <c r="F645" t="str">
        <f t="shared" si="349"/>
        <v>OK</v>
      </c>
      <c r="G645" t="str">
        <f t="shared" si="350"/>
        <v>OK</v>
      </c>
      <c r="H645" t="str">
        <f t="shared" si="351"/>
        <v>OK</v>
      </c>
      <c r="I645" s="4">
        <f t="shared" si="352"/>
        <v>2018</v>
      </c>
      <c r="J645">
        <f t="shared" si="357"/>
        <v>22.553636363636365</v>
      </c>
      <c r="K645">
        <f t="shared" si="358"/>
        <v>4.1943835616438356</v>
      </c>
      <c r="R645" s="4">
        <f t="shared" si="359"/>
        <v>5.3636363636364592E-2</v>
      </c>
      <c r="S645" s="4">
        <f t="shared" si="360"/>
        <v>1.6943835616438356</v>
      </c>
    </row>
    <row r="646" spans="1:19" x14ac:dyDescent="0.35">
      <c r="A646" s="1">
        <v>43380</v>
      </c>
      <c r="B646" s="4">
        <v>24.3</v>
      </c>
      <c r="C646">
        <v>20.2</v>
      </c>
      <c r="D646">
        <v>28.4</v>
      </c>
      <c r="E646" s="4">
        <v>7.9</v>
      </c>
      <c r="F646" t="str">
        <f t="shared" si="349"/>
        <v>OK</v>
      </c>
      <c r="G646" t="str">
        <f t="shared" si="350"/>
        <v>OK</v>
      </c>
      <c r="H646" t="str">
        <f t="shared" si="351"/>
        <v>OK</v>
      </c>
      <c r="I646" s="4">
        <f t="shared" si="352"/>
        <v>2018</v>
      </c>
      <c r="J646">
        <f t="shared" si="357"/>
        <v>23.790203636363636</v>
      </c>
      <c r="K646">
        <f t="shared" si="358"/>
        <v>5.0675561643835616</v>
      </c>
      <c r="R646" s="4">
        <f t="shared" si="359"/>
        <v>-0.50979636363636516</v>
      </c>
      <c r="S646" s="4">
        <f t="shared" si="360"/>
        <v>-2.8324438356164388</v>
      </c>
    </row>
    <row r="647" spans="1:19" hidden="1" x14ac:dyDescent="0.35">
      <c r="A647" s="1">
        <v>43381</v>
      </c>
      <c r="B647">
        <v>24.1</v>
      </c>
      <c r="C647">
        <v>20.8</v>
      </c>
      <c r="D647">
        <v>29.5</v>
      </c>
      <c r="E647">
        <v>0</v>
      </c>
      <c r="F647" t="str">
        <f t="shared" ref="F647" si="361">IF(OR(B626 &lt; $N$30, B626 &gt; $N$67), "Outlier", "OK")</f>
        <v>OK</v>
      </c>
      <c r="G647" t="str">
        <f t="shared" ref="G647" si="362">IF(OR(C626 &lt; $O$30, C626 &gt; $O$67), "Outlier", "OK")</f>
        <v>Outlier</v>
      </c>
      <c r="H647" t="str">
        <f t="shared" ref="H647" si="363">IF(OR(D626 &lt; $P$30, D626 &gt; $P$67), "Outlier", "OK")</f>
        <v>OK</v>
      </c>
      <c r="I647"/>
    </row>
    <row r="648" spans="1:19" x14ac:dyDescent="0.35">
      <c r="A648" s="1">
        <v>43382</v>
      </c>
      <c r="B648" s="4">
        <v>24.3</v>
      </c>
      <c r="C648">
        <v>20.6</v>
      </c>
      <c r="D648">
        <v>29.5</v>
      </c>
      <c r="E648" s="4">
        <v>4.3</v>
      </c>
      <c r="F648" t="str">
        <f t="shared" ref="F648:F649" si="364">IF(OR(B648 &lt; $N$30, B648 &gt; $N$67), "Outlier", "OK")</f>
        <v>OK</v>
      </c>
      <c r="G648" t="str">
        <f t="shared" ref="G648:G649" si="365">IF(OR(C648 &lt; $O$30, C648 &gt; $O$67), "Outlier", "OK")</f>
        <v>OK</v>
      </c>
      <c r="H648" t="str">
        <f t="shared" ref="H648:H649" si="366">IF(OR(D648 &lt; $P$30, D648 &gt; $P$67), "Outlier", "OK")</f>
        <v>OK</v>
      </c>
      <c r="I648" s="4">
        <f t="shared" ref="I648:I649" si="367">YEAR(A648)</f>
        <v>2018</v>
      </c>
      <c r="J648">
        <f>( 377.84*B648 + 3903.1)/550</f>
        <v>23.790203636363636</v>
      </c>
      <c r="K648">
        <f xml:space="preserve"> (59.02*E648 + 1383.4)/365</f>
        <v>4.485441095890411</v>
      </c>
      <c r="R648" s="4">
        <f>J648-B648</f>
        <v>-0.50979636363636516</v>
      </c>
      <c r="S648" s="4">
        <f>K648-E648</f>
        <v>0.18544109589041113</v>
      </c>
    </row>
    <row r="649" spans="1:19" hidden="1" x14ac:dyDescent="0.35">
      <c r="A649" s="1">
        <v>43383</v>
      </c>
      <c r="B649" s="4">
        <v>24</v>
      </c>
      <c r="C649">
        <v>19.100000000000001</v>
      </c>
      <c r="D649">
        <v>30</v>
      </c>
      <c r="E649" s="4">
        <v>0</v>
      </c>
      <c r="F649" t="str">
        <f t="shared" si="364"/>
        <v>OK</v>
      </c>
      <c r="G649" t="str">
        <f t="shared" si="365"/>
        <v>OK</v>
      </c>
      <c r="H649" t="str">
        <f t="shared" si="366"/>
        <v>OK</v>
      </c>
      <c r="I649" s="4">
        <f t="shared" si="367"/>
        <v>2018</v>
      </c>
    </row>
    <row r="650" spans="1:19" hidden="1" x14ac:dyDescent="0.35">
      <c r="A650" s="1">
        <v>43384</v>
      </c>
      <c r="B650">
        <v>25</v>
      </c>
      <c r="C650">
        <v>19.2</v>
      </c>
      <c r="D650">
        <v>30</v>
      </c>
      <c r="E650"/>
      <c r="I650"/>
    </row>
    <row r="651" spans="1:19" hidden="1" x14ac:dyDescent="0.35">
      <c r="A651" s="1">
        <v>43385</v>
      </c>
      <c r="B651">
        <v>25.1</v>
      </c>
      <c r="C651">
        <v>20.8</v>
      </c>
      <c r="D651">
        <v>31</v>
      </c>
      <c r="E651"/>
      <c r="I651"/>
    </row>
    <row r="652" spans="1:19" hidden="1" x14ac:dyDescent="0.35">
      <c r="A652" s="1">
        <v>43386</v>
      </c>
      <c r="B652">
        <v>25</v>
      </c>
      <c r="C652">
        <v>20.399999999999999</v>
      </c>
      <c r="D652">
        <v>31.5</v>
      </c>
      <c r="E652"/>
      <c r="I652"/>
    </row>
    <row r="653" spans="1:19" hidden="1" x14ac:dyDescent="0.35">
      <c r="A653" s="1">
        <v>43387</v>
      </c>
      <c r="B653">
        <v>24</v>
      </c>
      <c r="C653">
        <v>20.2</v>
      </c>
      <c r="D653">
        <v>30.3</v>
      </c>
      <c r="E653"/>
      <c r="I653"/>
    </row>
    <row r="654" spans="1:19" x14ac:dyDescent="0.35">
      <c r="A654" s="1">
        <v>43388</v>
      </c>
      <c r="B654" s="4">
        <v>23.4</v>
      </c>
      <c r="C654">
        <v>20.100000000000001</v>
      </c>
      <c r="D654">
        <v>29.8</v>
      </c>
      <c r="E654" s="4">
        <v>3.8</v>
      </c>
      <c r="F654" t="str">
        <f t="shared" ref="F654:F659" si="368">IF(OR(B654 &lt; $N$30, B654 &gt; $N$67), "Outlier", "OK")</f>
        <v>OK</v>
      </c>
      <c r="G654" t="str">
        <f t="shared" ref="G654:G659" si="369">IF(OR(C654 &lt; $O$30, C654 &gt; $O$67), "Outlier", "OK")</f>
        <v>OK</v>
      </c>
      <c r="H654" t="str">
        <f t="shared" ref="H654:H659" si="370">IF(OR(D654 &lt; $P$30, D654 &gt; $P$67), "Outlier", "OK")</f>
        <v>OK</v>
      </c>
      <c r="I654" s="4">
        <f t="shared" ref="I654:I659" si="371">YEAR(A654)</f>
        <v>2018</v>
      </c>
      <c r="J654">
        <f t="shared" ref="J654:J655" si="372">( 377.84*B654 + 3903.1)/550</f>
        <v>23.171919999999997</v>
      </c>
      <c r="K654">
        <f t="shared" ref="K654:K655" si="373" xml:space="preserve"> (59.02*E654 + 1383.4)/365</f>
        <v>4.4045917808219182</v>
      </c>
      <c r="R654" s="4">
        <f t="shared" ref="R654:R655" si="374">J654-B654</f>
        <v>-0.22808000000000206</v>
      </c>
      <c r="S654" s="4">
        <f t="shared" ref="S654:S655" si="375">K654-E654</f>
        <v>0.60459178082191833</v>
      </c>
    </row>
    <row r="655" spans="1:19" x14ac:dyDescent="0.35">
      <c r="A655" s="1">
        <v>43389</v>
      </c>
      <c r="B655" s="4">
        <v>24.3</v>
      </c>
      <c r="C655">
        <v>20.7</v>
      </c>
      <c r="D655">
        <v>29</v>
      </c>
      <c r="E655" s="4">
        <v>5.0999999999999996</v>
      </c>
      <c r="F655" t="str">
        <f t="shared" si="368"/>
        <v>OK</v>
      </c>
      <c r="G655" t="str">
        <f t="shared" si="369"/>
        <v>OK</v>
      </c>
      <c r="H655" t="str">
        <f t="shared" si="370"/>
        <v>OK</v>
      </c>
      <c r="I655" s="4">
        <f t="shared" si="371"/>
        <v>2018</v>
      </c>
      <c r="J655">
        <f t="shared" si="372"/>
        <v>23.790203636363636</v>
      </c>
      <c r="K655">
        <f t="shared" si="373"/>
        <v>4.6147999999999998</v>
      </c>
      <c r="R655" s="4">
        <f t="shared" si="374"/>
        <v>-0.50979636363636516</v>
      </c>
      <c r="S655" s="4">
        <f t="shared" si="375"/>
        <v>-0.48519999999999985</v>
      </c>
    </row>
    <row r="656" spans="1:19" hidden="1" x14ac:dyDescent="0.35">
      <c r="A656" s="1">
        <v>43390</v>
      </c>
      <c r="B656" s="4">
        <v>22.4</v>
      </c>
      <c r="C656">
        <v>19.399999999999999</v>
      </c>
      <c r="D656">
        <v>29.3</v>
      </c>
      <c r="E656" s="4">
        <v>0</v>
      </c>
      <c r="F656" t="str">
        <f t="shared" si="368"/>
        <v>OK</v>
      </c>
      <c r="G656" t="str">
        <f t="shared" si="369"/>
        <v>OK</v>
      </c>
      <c r="H656" t="str">
        <f t="shared" si="370"/>
        <v>OK</v>
      </c>
      <c r="I656" s="4">
        <f t="shared" si="371"/>
        <v>2018</v>
      </c>
    </row>
    <row r="657" spans="1:19" x14ac:dyDescent="0.35">
      <c r="A657" s="1">
        <v>43391</v>
      </c>
      <c r="B657" s="4">
        <v>23.1</v>
      </c>
      <c r="C657">
        <v>18.899999999999999</v>
      </c>
      <c r="D657">
        <v>28.5</v>
      </c>
      <c r="E657" s="4">
        <v>48.8</v>
      </c>
      <c r="F657" t="str">
        <f t="shared" si="368"/>
        <v>OK</v>
      </c>
      <c r="G657" t="str">
        <f t="shared" si="369"/>
        <v>OK</v>
      </c>
      <c r="H657" t="str">
        <f t="shared" si="370"/>
        <v>OK</v>
      </c>
      <c r="I657" s="4">
        <f t="shared" si="371"/>
        <v>2018</v>
      </c>
      <c r="J657">
        <f t="shared" ref="J657:J658" si="376">( 377.84*B657 + 3903.1)/550</f>
        <v>22.965825454545453</v>
      </c>
      <c r="K657">
        <f t="shared" ref="K657:K658" si="377" xml:space="preserve"> (59.02*E657 + 1383.4)/365</f>
        <v>11.681030136986301</v>
      </c>
      <c r="R657" s="4">
        <f t="shared" ref="R657:R658" si="378">J657-B657</f>
        <v>-0.13417454545454888</v>
      </c>
      <c r="S657" s="4">
        <f t="shared" ref="S657:S658" si="379">K657-E657</f>
        <v>-37.118969863013696</v>
      </c>
    </row>
    <row r="658" spans="1:19" x14ac:dyDescent="0.35">
      <c r="A658" s="1">
        <v>43392</v>
      </c>
      <c r="B658" s="4">
        <v>23.9</v>
      </c>
      <c r="C658">
        <v>20.2</v>
      </c>
      <c r="D658">
        <v>28.7</v>
      </c>
      <c r="E658" s="4">
        <v>1</v>
      </c>
      <c r="F658" t="str">
        <f t="shared" si="368"/>
        <v>OK</v>
      </c>
      <c r="G658" t="str">
        <f t="shared" si="369"/>
        <v>OK</v>
      </c>
      <c r="H658" t="str">
        <f t="shared" si="370"/>
        <v>OK</v>
      </c>
      <c r="I658" s="4">
        <f t="shared" si="371"/>
        <v>2018</v>
      </c>
      <c r="J658">
        <f t="shared" si="376"/>
        <v>23.515410909090907</v>
      </c>
      <c r="K658">
        <f t="shared" si="377"/>
        <v>3.9518356164383563</v>
      </c>
      <c r="R658" s="4">
        <f t="shared" si="378"/>
        <v>-0.38458909090909188</v>
      </c>
      <c r="S658" s="4">
        <f t="shared" si="379"/>
        <v>2.9518356164383563</v>
      </c>
    </row>
    <row r="659" spans="1:19" hidden="1" x14ac:dyDescent="0.35">
      <c r="A659" s="1">
        <v>43393</v>
      </c>
      <c r="B659" s="4">
        <v>23.8</v>
      </c>
      <c r="C659">
        <v>19.7</v>
      </c>
      <c r="D659">
        <v>29.3</v>
      </c>
      <c r="E659" s="4">
        <v>0</v>
      </c>
      <c r="F659" t="str">
        <f t="shared" si="368"/>
        <v>OK</v>
      </c>
      <c r="G659" t="str">
        <f t="shared" si="369"/>
        <v>OK</v>
      </c>
      <c r="H659" t="str">
        <f t="shared" si="370"/>
        <v>OK</v>
      </c>
      <c r="I659" s="4">
        <f t="shared" si="371"/>
        <v>2018</v>
      </c>
    </row>
    <row r="660" spans="1:19" hidden="1" x14ac:dyDescent="0.35">
      <c r="A660" s="1">
        <v>43394</v>
      </c>
      <c r="B660">
        <v>23.7</v>
      </c>
      <c r="C660">
        <v>19.7</v>
      </c>
      <c r="D660">
        <v>29</v>
      </c>
      <c r="E660"/>
      <c r="I660"/>
    </row>
    <row r="661" spans="1:19" hidden="1" x14ac:dyDescent="0.35">
      <c r="A661" s="1">
        <v>43395</v>
      </c>
      <c r="B661">
        <v>23.5</v>
      </c>
      <c r="C661">
        <v>17.399999999999999</v>
      </c>
      <c r="D661">
        <v>28.8</v>
      </c>
      <c r="E661"/>
      <c r="I661"/>
    </row>
    <row r="662" spans="1:19" hidden="1" x14ac:dyDescent="0.35">
      <c r="A662" s="1">
        <v>43396</v>
      </c>
      <c r="B662">
        <v>21.9</v>
      </c>
      <c r="C662">
        <v>17.399999999999999</v>
      </c>
      <c r="D662">
        <v>29.4</v>
      </c>
      <c r="E662"/>
      <c r="I662"/>
    </row>
    <row r="663" spans="1:19" hidden="1" x14ac:dyDescent="0.35">
      <c r="A663" s="1">
        <v>43397</v>
      </c>
      <c r="B663">
        <v>24.7</v>
      </c>
      <c r="C663">
        <v>17.7</v>
      </c>
      <c r="D663">
        <v>30.2</v>
      </c>
      <c r="E663"/>
      <c r="I663"/>
    </row>
    <row r="664" spans="1:19" hidden="1" x14ac:dyDescent="0.35">
      <c r="A664" s="1">
        <v>43398</v>
      </c>
      <c r="B664">
        <v>23.9</v>
      </c>
      <c r="C664">
        <v>18.2</v>
      </c>
      <c r="D664">
        <v>30.2</v>
      </c>
      <c r="E664"/>
      <c r="I664"/>
    </row>
    <row r="665" spans="1:19" hidden="1" x14ac:dyDescent="0.35">
      <c r="A665" s="1">
        <v>43399</v>
      </c>
      <c r="B665">
        <v>23.7</v>
      </c>
      <c r="C665">
        <v>18.5</v>
      </c>
      <c r="D665">
        <v>29.7</v>
      </c>
      <c r="E665"/>
      <c r="I665"/>
    </row>
    <row r="666" spans="1:19" hidden="1" x14ac:dyDescent="0.35">
      <c r="A666" s="1">
        <v>43400</v>
      </c>
      <c r="B666">
        <v>23.4</v>
      </c>
      <c r="C666">
        <v>18.2</v>
      </c>
      <c r="D666">
        <v>29.3</v>
      </c>
      <c r="E666"/>
      <c r="I666"/>
    </row>
    <row r="667" spans="1:19" hidden="1" x14ac:dyDescent="0.35">
      <c r="A667" s="1">
        <v>43401</v>
      </c>
      <c r="B667">
        <v>23.5</v>
      </c>
      <c r="C667">
        <v>16.7</v>
      </c>
      <c r="D667">
        <v>29.5</v>
      </c>
      <c r="E667"/>
      <c r="I667"/>
    </row>
    <row r="668" spans="1:19" hidden="1" x14ac:dyDescent="0.35">
      <c r="A668" s="1">
        <v>43402</v>
      </c>
      <c r="B668">
        <v>23</v>
      </c>
      <c r="C668">
        <v>16.8</v>
      </c>
      <c r="D668">
        <v>29.6</v>
      </c>
      <c r="E668"/>
      <c r="I668"/>
    </row>
    <row r="669" spans="1:19" hidden="1" x14ac:dyDescent="0.35">
      <c r="A669" s="1">
        <v>43403</v>
      </c>
      <c r="B669">
        <v>24.1</v>
      </c>
      <c r="C669">
        <v>16.600000000000001</v>
      </c>
      <c r="D669">
        <v>29.8</v>
      </c>
      <c r="E669"/>
      <c r="I669"/>
    </row>
    <row r="670" spans="1:19" hidden="1" x14ac:dyDescent="0.35">
      <c r="A670" s="1">
        <v>43404</v>
      </c>
      <c r="B670">
        <v>24.8</v>
      </c>
      <c r="C670">
        <v>19.7</v>
      </c>
      <c r="D670">
        <v>30.1</v>
      </c>
      <c r="E670"/>
      <c r="I670"/>
    </row>
    <row r="671" spans="1:19" hidden="1" x14ac:dyDescent="0.35">
      <c r="A671" s="1">
        <v>43405</v>
      </c>
      <c r="B671">
        <v>24.3</v>
      </c>
      <c r="C671">
        <v>20</v>
      </c>
      <c r="D671">
        <v>30.4</v>
      </c>
      <c r="E671"/>
      <c r="I671"/>
    </row>
    <row r="672" spans="1:19" hidden="1" x14ac:dyDescent="0.35">
      <c r="A672" s="1">
        <v>43406</v>
      </c>
      <c r="B672">
        <v>22.9</v>
      </c>
      <c r="C672">
        <v>19.8</v>
      </c>
      <c r="D672">
        <v>30.3</v>
      </c>
      <c r="E672"/>
      <c r="I672"/>
    </row>
    <row r="673" spans="1:19" x14ac:dyDescent="0.35">
      <c r="A673" s="1">
        <v>43407</v>
      </c>
      <c r="B673" s="4">
        <v>22.8</v>
      </c>
      <c r="C673">
        <v>19.600000000000001</v>
      </c>
      <c r="D673">
        <v>27.7</v>
      </c>
      <c r="E673" s="4">
        <v>0.5</v>
      </c>
      <c r="F673" t="str">
        <f t="shared" ref="F673:F675" si="380">IF(OR(B673 &lt; $N$30, B673 &gt; $N$67), "Outlier", "OK")</f>
        <v>OK</v>
      </c>
      <c r="G673" t="str">
        <f t="shared" ref="G673:G675" si="381">IF(OR(C673 &lt; $O$30, C673 &gt; $O$67), "Outlier", "OK")</f>
        <v>OK</v>
      </c>
      <c r="H673" t="str">
        <f t="shared" ref="H673:H675" si="382">IF(OR(D673 &lt; $P$30, D673 &gt; $P$67), "Outlier", "OK")</f>
        <v>OK</v>
      </c>
      <c r="I673" s="4">
        <f t="shared" ref="I673:I675" si="383">YEAR(A673)</f>
        <v>2018</v>
      </c>
      <c r="J673">
        <f t="shared" ref="J673:J674" si="384">( 377.84*B673 + 3903.1)/550</f>
        <v>22.759730909090912</v>
      </c>
      <c r="K673">
        <f t="shared" ref="K673:K674" si="385" xml:space="preserve"> (59.02*E673 + 1383.4)/365</f>
        <v>3.8709863013698631</v>
      </c>
      <c r="R673" s="4">
        <f t="shared" ref="R673:R674" si="386">J673-B673</f>
        <v>-4.026909090908859E-2</v>
      </c>
      <c r="S673" s="4">
        <f t="shared" ref="S673:S674" si="387">K673-E673</f>
        <v>3.3709863013698631</v>
      </c>
    </row>
    <row r="674" spans="1:19" x14ac:dyDescent="0.35">
      <c r="A674" s="1">
        <v>43408</v>
      </c>
      <c r="B674" s="4">
        <v>23.5</v>
      </c>
      <c r="C674">
        <v>18.8</v>
      </c>
      <c r="D674">
        <v>28.1</v>
      </c>
      <c r="E674" s="4">
        <v>4.5999999999999996</v>
      </c>
      <c r="F674" t="str">
        <f t="shared" si="380"/>
        <v>OK</v>
      </c>
      <c r="G674" t="str">
        <f t="shared" si="381"/>
        <v>OK</v>
      </c>
      <c r="H674" t="str">
        <f t="shared" si="382"/>
        <v>OK</v>
      </c>
      <c r="I674" s="4">
        <f t="shared" si="383"/>
        <v>2018</v>
      </c>
      <c r="J674">
        <f t="shared" si="384"/>
        <v>23.240618181818181</v>
      </c>
      <c r="K674">
        <f t="shared" si="385"/>
        <v>4.533950684931507</v>
      </c>
      <c r="R674" s="4">
        <f t="shared" si="386"/>
        <v>-0.2593818181818186</v>
      </c>
      <c r="S674" s="4">
        <f t="shared" si="387"/>
        <v>-6.6049315068492653E-2</v>
      </c>
    </row>
    <row r="675" spans="1:19" hidden="1" x14ac:dyDescent="0.35">
      <c r="A675" s="1">
        <v>43409</v>
      </c>
      <c r="B675" s="4">
        <v>23.6</v>
      </c>
      <c r="C675">
        <v>19.7</v>
      </c>
      <c r="D675">
        <v>29.2</v>
      </c>
      <c r="E675" s="4">
        <v>0</v>
      </c>
      <c r="F675" t="str">
        <f t="shared" si="380"/>
        <v>OK</v>
      </c>
      <c r="G675" t="str">
        <f t="shared" si="381"/>
        <v>OK</v>
      </c>
      <c r="H675" t="str">
        <f t="shared" si="382"/>
        <v>OK</v>
      </c>
      <c r="I675" s="4">
        <f t="shared" si="383"/>
        <v>2018</v>
      </c>
    </row>
    <row r="676" spans="1:19" hidden="1" x14ac:dyDescent="0.35">
      <c r="A676" s="1">
        <v>43410</v>
      </c>
      <c r="B676">
        <v>24.1</v>
      </c>
      <c r="C676">
        <v>19.8</v>
      </c>
      <c r="D676">
        <v>29.6</v>
      </c>
      <c r="E676"/>
      <c r="I676"/>
    </row>
    <row r="677" spans="1:19" hidden="1" x14ac:dyDescent="0.35">
      <c r="A677" s="1">
        <v>43411</v>
      </c>
      <c r="B677">
        <v>23.3</v>
      </c>
      <c r="C677">
        <v>17.899999999999999</v>
      </c>
      <c r="D677">
        <v>30</v>
      </c>
      <c r="E677"/>
      <c r="I677"/>
    </row>
    <row r="678" spans="1:19" hidden="1" x14ac:dyDescent="0.35">
      <c r="A678" s="1">
        <v>43412</v>
      </c>
      <c r="B678">
        <v>22.2</v>
      </c>
      <c r="C678">
        <v>16</v>
      </c>
      <c r="D678">
        <v>29.6</v>
      </c>
      <c r="E678"/>
      <c r="I678"/>
    </row>
    <row r="679" spans="1:19" hidden="1" x14ac:dyDescent="0.35">
      <c r="A679" s="1">
        <v>43413</v>
      </c>
      <c r="B679">
        <v>23.4</v>
      </c>
      <c r="C679">
        <v>17.5</v>
      </c>
      <c r="D679">
        <v>29.6</v>
      </c>
      <c r="E679"/>
      <c r="I679"/>
    </row>
    <row r="680" spans="1:19" hidden="1" x14ac:dyDescent="0.35">
      <c r="A680" s="1">
        <v>43414</v>
      </c>
      <c r="B680">
        <v>23.4</v>
      </c>
      <c r="C680">
        <v>17.899999999999999</v>
      </c>
      <c r="D680">
        <v>30.1</v>
      </c>
      <c r="E680"/>
      <c r="I680"/>
    </row>
    <row r="681" spans="1:19" hidden="1" x14ac:dyDescent="0.35">
      <c r="A681" s="1">
        <v>43415</v>
      </c>
      <c r="B681">
        <v>23.2</v>
      </c>
      <c r="C681">
        <v>18.2</v>
      </c>
      <c r="D681">
        <v>30.4</v>
      </c>
      <c r="E681"/>
      <c r="I681"/>
    </row>
    <row r="682" spans="1:19" hidden="1" x14ac:dyDescent="0.35">
      <c r="A682" s="1">
        <v>43416</v>
      </c>
      <c r="B682">
        <v>22.3</v>
      </c>
      <c r="C682">
        <v>17.3</v>
      </c>
      <c r="D682">
        <v>30.3</v>
      </c>
      <c r="E682"/>
      <c r="I682"/>
    </row>
    <row r="683" spans="1:19" hidden="1" x14ac:dyDescent="0.35">
      <c r="A683" s="1">
        <v>43417</v>
      </c>
      <c r="B683">
        <v>22.4</v>
      </c>
      <c r="C683">
        <v>16.2</v>
      </c>
      <c r="D683">
        <v>30</v>
      </c>
      <c r="E683"/>
      <c r="I683"/>
    </row>
    <row r="684" spans="1:19" hidden="1" x14ac:dyDescent="0.35">
      <c r="A684" s="1">
        <v>43418</v>
      </c>
      <c r="B684">
        <v>23</v>
      </c>
      <c r="C684">
        <v>14.8</v>
      </c>
      <c r="D684">
        <v>30.5</v>
      </c>
      <c r="E684"/>
      <c r="I684"/>
    </row>
    <row r="685" spans="1:19" hidden="1" x14ac:dyDescent="0.35">
      <c r="A685" s="1">
        <v>43419</v>
      </c>
      <c r="B685" s="4">
        <v>23.3</v>
      </c>
      <c r="C685">
        <v>16.5</v>
      </c>
      <c r="D685">
        <v>31</v>
      </c>
      <c r="E685" s="4">
        <v>0</v>
      </c>
      <c r="F685" t="str">
        <f t="shared" ref="F685:F688" si="388">IF(OR(B685 &lt; $N$30, B685 &gt; $N$67), "Outlier", "OK")</f>
        <v>OK</v>
      </c>
      <c r="G685" t="str">
        <f t="shared" ref="G685:G688" si="389">IF(OR(C685 &lt; $O$30, C685 &gt; $O$67), "Outlier", "OK")</f>
        <v>OK</v>
      </c>
      <c r="H685" t="str">
        <f t="shared" ref="H685:H688" si="390">IF(OR(D685 &lt; $P$30, D685 &gt; $P$67), "Outlier", "OK")</f>
        <v>OK</v>
      </c>
      <c r="I685" s="4">
        <f t="shared" ref="I685:I688" si="391">YEAR(A685)</f>
        <v>2018</v>
      </c>
    </row>
    <row r="686" spans="1:19" hidden="1" x14ac:dyDescent="0.35">
      <c r="A686" s="1">
        <v>43420</v>
      </c>
      <c r="B686" s="4">
        <v>21.9</v>
      </c>
      <c r="C686">
        <v>19.7</v>
      </c>
      <c r="D686">
        <v>28.6</v>
      </c>
      <c r="E686" s="4">
        <v>0</v>
      </c>
      <c r="F686" t="str">
        <f t="shared" si="388"/>
        <v>OK</v>
      </c>
      <c r="G686" t="str">
        <f t="shared" si="389"/>
        <v>OK</v>
      </c>
      <c r="H686" t="str">
        <f t="shared" si="390"/>
        <v>OK</v>
      </c>
      <c r="I686" s="4">
        <f t="shared" si="391"/>
        <v>2018</v>
      </c>
    </row>
    <row r="687" spans="1:19" x14ac:dyDescent="0.35">
      <c r="A687" s="1">
        <v>43421</v>
      </c>
      <c r="B687" s="4">
        <v>23.9</v>
      </c>
      <c r="C687">
        <v>19.2</v>
      </c>
      <c r="D687">
        <v>29.3</v>
      </c>
      <c r="E687" s="4">
        <v>0.3</v>
      </c>
      <c r="F687" t="str">
        <f t="shared" si="388"/>
        <v>OK</v>
      </c>
      <c r="G687" t="str">
        <f t="shared" si="389"/>
        <v>OK</v>
      </c>
      <c r="H687" t="str">
        <f t="shared" si="390"/>
        <v>OK</v>
      </c>
      <c r="I687" s="4">
        <f t="shared" si="391"/>
        <v>2018</v>
      </c>
      <c r="J687">
        <f>( 377.84*B687 + 3903.1)/550</f>
        <v>23.515410909090907</v>
      </c>
      <c r="K687">
        <f xml:space="preserve"> (59.02*E687 + 1383.4)/365</f>
        <v>3.8386465753424659</v>
      </c>
      <c r="R687" s="4">
        <f>J687-B687</f>
        <v>-0.38458909090909188</v>
      </c>
      <c r="S687" s="4">
        <f>K687-E687</f>
        <v>3.5386465753424661</v>
      </c>
    </row>
    <row r="688" spans="1:19" hidden="1" x14ac:dyDescent="0.35">
      <c r="A688" s="1">
        <v>43422</v>
      </c>
      <c r="B688" s="4">
        <v>24.3</v>
      </c>
      <c r="C688">
        <v>20.6</v>
      </c>
      <c r="D688">
        <v>30.2</v>
      </c>
      <c r="E688" s="4">
        <v>0</v>
      </c>
      <c r="F688" t="str">
        <f t="shared" si="388"/>
        <v>OK</v>
      </c>
      <c r="G688" t="str">
        <f t="shared" si="389"/>
        <v>OK</v>
      </c>
      <c r="H688" t="str">
        <f t="shared" si="390"/>
        <v>OK</v>
      </c>
      <c r="I688" s="4">
        <f t="shared" si="391"/>
        <v>2018</v>
      </c>
    </row>
    <row r="689" spans="1:19" hidden="1" x14ac:dyDescent="0.35">
      <c r="A689" s="1">
        <v>43423</v>
      </c>
      <c r="B689">
        <v>23.9</v>
      </c>
      <c r="C689">
        <v>20.3</v>
      </c>
      <c r="D689">
        <v>29.5</v>
      </c>
      <c r="E689"/>
      <c r="I689"/>
    </row>
    <row r="690" spans="1:19" hidden="1" x14ac:dyDescent="0.35">
      <c r="A690" s="1">
        <v>43424</v>
      </c>
      <c r="B690" s="4">
        <v>24.4</v>
      </c>
      <c r="C690">
        <v>19.7</v>
      </c>
      <c r="D690">
        <v>29.8</v>
      </c>
      <c r="E690" s="4">
        <v>0</v>
      </c>
      <c r="F690" t="str">
        <f>IF(OR(B690 &lt; $N$30, B690 &gt; $N$67), "Outlier", "OK")</f>
        <v>OK</v>
      </c>
      <c r="G690" t="str">
        <f>IF(OR(C690 &lt; $O$30, C690 &gt; $O$67), "Outlier", "OK")</f>
        <v>OK</v>
      </c>
      <c r="H690" t="str">
        <f>IF(OR(D690 &lt; $P$30, D690 &gt; $P$67), "Outlier", "OK")</f>
        <v>OK</v>
      </c>
      <c r="I690" s="4">
        <f>YEAR(A690)</f>
        <v>2018</v>
      </c>
    </row>
    <row r="691" spans="1:19" hidden="1" x14ac:dyDescent="0.35">
      <c r="A691" s="1">
        <v>43425</v>
      </c>
      <c r="B691">
        <v>21.9</v>
      </c>
      <c r="C691">
        <v>19.7</v>
      </c>
      <c r="D691">
        <v>30.8</v>
      </c>
      <c r="E691"/>
      <c r="I691"/>
    </row>
    <row r="692" spans="1:19" hidden="1" x14ac:dyDescent="0.35">
      <c r="A692" s="1">
        <v>43426</v>
      </c>
      <c r="B692" s="4">
        <v>21.6</v>
      </c>
      <c r="C692">
        <v>19.600000000000001</v>
      </c>
      <c r="D692">
        <v>26.6</v>
      </c>
      <c r="E692" s="4">
        <v>0</v>
      </c>
      <c r="F692" t="str">
        <f t="shared" ref="F692:F695" si="392">IF(OR(B692 &lt; $N$30, B692 &gt; $N$67), "Outlier", "OK")</f>
        <v>OK</v>
      </c>
      <c r="G692" t="str">
        <f t="shared" ref="G692:G695" si="393">IF(OR(C692 &lt; $O$30, C692 &gt; $O$67), "Outlier", "OK")</f>
        <v>OK</v>
      </c>
      <c r="H692" t="str">
        <f t="shared" ref="H692:H695" si="394">IF(OR(D692 &lt; $P$30, D692 &gt; $P$67), "Outlier", "OK")</f>
        <v>OK</v>
      </c>
      <c r="I692" s="4">
        <f t="shared" ref="I692:I695" si="395">YEAR(A692)</f>
        <v>2018</v>
      </c>
    </row>
    <row r="693" spans="1:19" x14ac:dyDescent="0.35">
      <c r="A693" s="1">
        <v>43427</v>
      </c>
      <c r="B693" s="4">
        <v>20.9</v>
      </c>
      <c r="C693">
        <v>19.600000000000001</v>
      </c>
      <c r="D693">
        <v>24.8</v>
      </c>
      <c r="E693" s="4">
        <v>0.5</v>
      </c>
      <c r="F693" t="str">
        <f t="shared" si="392"/>
        <v>OK</v>
      </c>
      <c r="G693" t="str">
        <f t="shared" si="393"/>
        <v>OK</v>
      </c>
      <c r="H693" t="str">
        <f t="shared" si="394"/>
        <v>OK</v>
      </c>
      <c r="I693" s="4">
        <f t="shared" si="395"/>
        <v>2018</v>
      </c>
      <c r="J693">
        <f t="shared" ref="J693:J694" si="396">( 377.84*B693 + 3903.1)/550</f>
        <v>21.454465454545453</v>
      </c>
      <c r="K693">
        <f t="shared" ref="K693:K694" si="397" xml:space="preserve"> (59.02*E693 + 1383.4)/365</f>
        <v>3.8709863013698631</v>
      </c>
      <c r="R693" s="4">
        <f t="shared" ref="R693:R694" si="398">J693-B693</f>
        <v>0.55446545454545415</v>
      </c>
      <c r="S693" s="4">
        <f t="shared" ref="S693:S694" si="399">K693-E693</f>
        <v>3.3709863013698631</v>
      </c>
    </row>
    <row r="694" spans="1:19" x14ac:dyDescent="0.35">
      <c r="A694" s="1">
        <v>43428</v>
      </c>
      <c r="B694" s="4">
        <v>22.9</v>
      </c>
      <c r="C694">
        <v>19</v>
      </c>
      <c r="D694">
        <v>27.6</v>
      </c>
      <c r="E694" s="4">
        <v>13</v>
      </c>
      <c r="F694" t="str">
        <f t="shared" si="392"/>
        <v>OK</v>
      </c>
      <c r="G694" t="str">
        <f t="shared" si="393"/>
        <v>OK</v>
      </c>
      <c r="H694" t="str">
        <f t="shared" si="394"/>
        <v>OK</v>
      </c>
      <c r="I694" s="4">
        <f t="shared" si="395"/>
        <v>2018</v>
      </c>
      <c r="J694">
        <f t="shared" si="396"/>
        <v>22.82842909090909</v>
      </c>
      <c r="K694">
        <f t="shared" si="397"/>
        <v>5.8922191780821915</v>
      </c>
      <c r="R694" s="4">
        <f t="shared" si="398"/>
        <v>-7.1570909090908685E-2</v>
      </c>
      <c r="S694" s="4">
        <f t="shared" si="399"/>
        <v>-7.1077808219178085</v>
      </c>
    </row>
    <row r="695" spans="1:19" hidden="1" x14ac:dyDescent="0.35">
      <c r="A695" s="1">
        <v>43429</v>
      </c>
      <c r="B695" s="4">
        <v>22.6</v>
      </c>
      <c r="C695">
        <v>19.2</v>
      </c>
      <c r="D695">
        <v>28.5</v>
      </c>
      <c r="E695" s="4">
        <v>0</v>
      </c>
      <c r="F695" t="str">
        <f t="shared" si="392"/>
        <v>OK</v>
      </c>
      <c r="G695" t="str">
        <f t="shared" si="393"/>
        <v>OK</v>
      </c>
      <c r="H695" t="str">
        <f t="shared" si="394"/>
        <v>OK</v>
      </c>
      <c r="I695" s="4">
        <f t="shared" si="395"/>
        <v>2018</v>
      </c>
    </row>
    <row r="696" spans="1:19" hidden="1" x14ac:dyDescent="0.35">
      <c r="A696" s="1">
        <v>43430</v>
      </c>
      <c r="B696">
        <v>22.2</v>
      </c>
      <c r="C696">
        <v>17.399999999999999</v>
      </c>
      <c r="D696">
        <v>28.8</v>
      </c>
      <c r="E696"/>
      <c r="I696"/>
    </row>
    <row r="697" spans="1:19" hidden="1" x14ac:dyDescent="0.35">
      <c r="A697" s="1">
        <v>43431</v>
      </c>
      <c r="B697">
        <v>20.8</v>
      </c>
      <c r="C697">
        <v>16.3</v>
      </c>
      <c r="D697">
        <v>29</v>
      </c>
      <c r="E697"/>
      <c r="I697"/>
    </row>
    <row r="698" spans="1:19" hidden="1" x14ac:dyDescent="0.35">
      <c r="A698" s="1">
        <v>43432</v>
      </c>
      <c r="B698">
        <v>21.6</v>
      </c>
      <c r="C698">
        <v>15.5</v>
      </c>
      <c r="D698">
        <v>27.8</v>
      </c>
      <c r="E698"/>
      <c r="I698"/>
    </row>
    <row r="699" spans="1:19" hidden="1" x14ac:dyDescent="0.35">
      <c r="A699" s="1">
        <v>43433</v>
      </c>
      <c r="B699">
        <v>22.4</v>
      </c>
      <c r="C699">
        <v>18.3</v>
      </c>
      <c r="D699">
        <v>28.8</v>
      </c>
      <c r="E699"/>
      <c r="I699"/>
    </row>
    <row r="700" spans="1:19" hidden="1" x14ac:dyDescent="0.35">
      <c r="A700" s="1">
        <v>43434</v>
      </c>
      <c r="B700">
        <v>23.2</v>
      </c>
      <c r="C700">
        <v>18.600000000000001</v>
      </c>
      <c r="D700">
        <v>28.4</v>
      </c>
      <c r="E700"/>
      <c r="I700"/>
    </row>
    <row r="701" spans="1:19" hidden="1" x14ac:dyDescent="0.35">
      <c r="A701" s="1">
        <v>43435</v>
      </c>
      <c r="B701">
        <v>21.8</v>
      </c>
      <c r="C701">
        <v>17.600000000000001</v>
      </c>
      <c r="D701">
        <v>29.5</v>
      </c>
      <c r="E701"/>
      <c r="I701"/>
    </row>
    <row r="702" spans="1:19" hidden="1" x14ac:dyDescent="0.35">
      <c r="A702" s="1">
        <v>43436</v>
      </c>
      <c r="B702">
        <v>21.8</v>
      </c>
      <c r="C702">
        <v>15.6</v>
      </c>
      <c r="D702">
        <v>28.3</v>
      </c>
      <c r="E702"/>
      <c r="I702"/>
    </row>
    <row r="703" spans="1:19" hidden="1" x14ac:dyDescent="0.35">
      <c r="A703" s="1">
        <v>43437</v>
      </c>
      <c r="B703">
        <v>21.7</v>
      </c>
      <c r="C703">
        <v>18.2</v>
      </c>
      <c r="D703">
        <v>28.8</v>
      </c>
      <c r="E703"/>
      <c r="I703"/>
    </row>
    <row r="704" spans="1:19" hidden="1" x14ac:dyDescent="0.35">
      <c r="A704" s="1">
        <v>43438</v>
      </c>
      <c r="B704">
        <v>22.4</v>
      </c>
      <c r="C704">
        <v>19.100000000000001</v>
      </c>
      <c r="D704">
        <v>27.2</v>
      </c>
      <c r="E704"/>
      <c r="I704"/>
    </row>
    <row r="705" spans="1:19" x14ac:dyDescent="0.35">
      <c r="A705" s="1">
        <v>43439</v>
      </c>
      <c r="B705" s="4">
        <v>23.2</v>
      </c>
      <c r="C705">
        <v>19.5</v>
      </c>
      <c r="D705">
        <v>28.1</v>
      </c>
      <c r="E705" s="4">
        <v>4.8</v>
      </c>
      <c r="F705" t="str">
        <f t="shared" ref="F705:F706" si="400">IF(OR(B705 &lt; $N$30, B705 &gt; $N$67), "Outlier", "OK")</f>
        <v>OK</v>
      </c>
      <c r="G705" t="str">
        <f t="shared" ref="G705:G706" si="401">IF(OR(C705 &lt; $O$30, C705 &gt; $O$67), "Outlier", "OK")</f>
        <v>OK</v>
      </c>
      <c r="H705" t="str">
        <f t="shared" ref="H705:H706" si="402">IF(OR(D705 &lt; $P$30, D705 &gt; $P$67), "Outlier", "OK")</f>
        <v>OK</v>
      </c>
      <c r="I705" s="4">
        <f t="shared" ref="I705:I706" si="403">YEAR(A705)</f>
        <v>2018</v>
      </c>
      <c r="J705">
        <f>( 377.84*B705 + 3903.1)/550</f>
        <v>23.034523636363634</v>
      </c>
      <c r="K705">
        <f xml:space="preserve"> (59.02*E705 + 1383.4)/365</f>
        <v>4.5662904109589046</v>
      </c>
      <c r="R705" s="4">
        <f>J705-B705</f>
        <v>-0.16547636363636542</v>
      </c>
      <c r="S705" s="4">
        <f>K705-E705</f>
        <v>-0.23370958904109518</v>
      </c>
    </row>
    <row r="706" spans="1:19" hidden="1" x14ac:dyDescent="0.35">
      <c r="A706" s="1">
        <v>43440</v>
      </c>
      <c r="B706" s="4">
        <v>23.5</v>
      </c>
      <c r="C706">
        <v>20</v>
      </c>
      <c r="D706">
        <v>28.3</v>
      </c>
      <c r="E706" s="4">
        <v>0</v>
      </c>
      <c r="F706" t="str">
        <f t="shared" si="400"/>
        <v>OK</v>
      </c>
      <c r="G706" t="str">
        <f t="shared" si="401"/>
        <v>OK</v>
      </c>
      <c r="H706" t="str">
        <f t="shared" si="402"/>
        <v>OK</v>
      </c>
      <c r="I706" s="4">
        <f t="shared" si="403"/>
        <v>2018</v>
      </c>
    </row>
    <row r="707" spans="1:19" hidden="1" x14ac:dyDescent="0.35">
      <c r="A707" s="1">
        <v>43441</v>
      </c>
      <c r="B707">
        <v>22.3</v>
      </c>
      <c r="C707">
        <v>18.3</v>
      </c>
      <c r="D707">
        <v>29.3</v>
      </c>
      <c r="E707"/>
      <c r="I707"/>
    </row>
    <row r="708" spans="1:19" hidden="1" x14ac:dyDescent="0.35">
      <c r="A708" s="1">
        <v>43442</v>
      </c>
      <c r="B708">
        <v>22.5</v>
      </c>
      <c r="C708">
        <v>17.7</v>
      </c>
      <c r="D708">
        <v>28.2</v>
      </c>
      <c r="E708"/>
      <c r="I708"/>
    </row>
    <row r="709" spans="1:19" hidden="1" x14ac:dyDescent="0.35">
      <c r="A709" s="1">
        <v>43443</v>
      </c>
      <c r="B709">
        <v>23.1</v>
      </c>
      <c r="C709">
        <v>17.600000000000001</v>
      </c>
      <c r="D709">
        <v>29.9</v>
      </c>
      <c r="E709"/>
      <c r="I709"/>
    </row>
    <row r="710" spans="1:19" hidden="1" x14ac:dyDescent="0.35">
      <c r="A710" s="1">
        <v>43444</v>
      </c>
      <c r="B710">
        <v>22.6</v>
      </c>
      <c r="C710">
        <v>18.3</v>
      </c>
      <c r="D710">
        <v>30.2</v>
      </c>
      <c r="E710"/>
      <c r="I710"/>
    </row>
    <row r="711" spans="1:19" hidden="1" x14ac:dyDescent="0.35">
      <c r="A711" s="1">
        <v>43445</v>
      </c>
      <c r="B711">
        <v>22.7</v>
      </c>
      <c r="C711">
        <v>17.7</v>
      </c>
      <c r="D711">
        <v>29.3</v>
      </c>
      <c r="E711"/>
      <c r="I711"/>
    </row>
    <row r="712" spans="1:19" hidden="1" x14ac:dyDescent="0.35">
      <c r="A712" s="1">
        <v>43446</v>
      </c>
      <c r="B712">
        <v>23.1</v>
      </c>
      <c r="C712">
        <v>18.5</v>
      </c>
      <c r="D712">
        <v>29.7</v>
      </c>
      <c r="E712"/>
      <c r="I712"/>
    </row>
    <row r="713" spans="1:19" hidden="1" x14ac:dyDescent="0.35">
      <c r="A713" s="1">
        <v>43447</v>
      </c>
      <c r="B713">
        <v>22.3</v>
      </c>
      <c r="C713">
        <v>18.7</v>
      </c>
      <c r="D713">
        <v>29.9</v>
      </c>
      <c r="E713"/>
      <c r="I713"/>
    </row>
    <row r="714" spans="1:19" hidden="1" x14ac:dyDescent="0.35">
      <c r="A714" s="1">
        <v>43448</v>
      </c>
      <c r="B714">
        <v>22.8</v>
      </c>
      <c r="C714">
        <v>17.7</v>
      </c>
      <c r="D714">
        <v>28.9</v>
      </c>
      <c r="E714"/>
      <c r="I714"/>
    </row>
    <row r="715" spans="1:19" hidden="1" x14ac:dyDescent="0.35">
      <c r="A715" s="1">
        <v>43449</v>
      </c>
      <c r="B715">
        <v>21.8</v>
      </c>
      <c r="C715">
        <v>17.7</v>
      </c>
      <c r="D715">
        <v>28.9</v>
      </c>
      <c r="E715"/>
      <c r="I715"/>
    </row>
    <row r="716" spans="1:19" hidden="1" x14ac:dyDescent="0.35">
      <c r="A716" s="1">
        <v>43450</v>
      </c>
      <c r="B716">
        <v>20.5</v>
      </c>
      <c r="C716">
        <v>16.600000000000001</v>
      </c>
      <c r="D716">
        <v>28</v>
      </c>
      <c r="E716"/>
      <c r="I716"/>
    </row>
    <row r="717" spans="1:19" hidden="1" x14ac:dyDescent="0.35">
      <c r="A717" s="1">
        <v>43451</v>
      </c>
      <c r="B717">
        <v>19.8</v>
      </c>
      <c r="C717">
        <v>15.3</v>
      </c>
      <c r="D717">
        <v>25</v>
      </c>
      <c r="E717"/>
      <c r="I717"/>
    </row>
    <row r="718" spans="1:19" hidden="1" x14ac:dyDescent="0.35">
      <c r="A718" s="1">
        <v>43452</v>
      </c>
      <c r="B718">
        <v>20.2</v>
      </c>
      <c r="C718">
        <v>14.4</v>
      </c>
      <c r="D718">
        <v>26.3</v>
      </c>
      <c r="E718"/>
      <c r="I718"/>
    </row>
    <row r="719" spans="1:19" hidden="1" x14ac:dyDescent="0.35">
      <c r="A719" s="1">
        <v>43453</v>
      </c>
      <c r="B719">
        <v>21.6</v>
      </c>
      <c r="C719">
        <v>16</v>
      </c>
      <c r="D719">
        <v>28.5</v>
      </c>
      <c r="E719"/>
      <c r="I719"/>
    </row>
    <row r="720" spans="1:19" hidden="1" x14ac:dyDescent="0.35">
      <c r="A720" s="1">
        <v>43454</v>
      </c>
      <c r="B720" s="4">
        <v>22.2</v>
      </c>
      <c r="C720">
        <v>17.7</v>
      </c>
      <c r="D720">
        <v>27.7</v>
      </c>
      <c r="E720" s="4">
        <v>0</v>
      </c>
      <c r="F720" t="str">
        <f>IF(OR(B720 &lt; $N$30, B720 &gt; $N$67), "Outlier", "OK")</f>
        <v>OK</v>
      </c>
      <c r="G720" t="str">
        <f>IF(OR(C720 &lt; $O$30, C720 &gt; $O$67), "Outlier", "OK")</f>
        <v>OK</v>
      </c>
      <c r="H720" t="str">
        <f>IF(OR(D720 &lt; $P$30, D720 &gt; $P$67), "Outlier", "OK")</f>
        <v>OK</v>
      </c>
      <c r="I720" s="4">
        <f>YEAR(A720)</f>
        <v>2018</v>
      </c>
    </row>
    <row r="721" spans="1:19" hidden="1" x14ac:dyDescent="0.35">
      <c r="A721" s="1">
        <v>43455</v>
      </c>
      <c r="B721">
        <v>22.7</v>
      </c>
      <c r="C721">
        <v>18.100000000000001</v>
      </c>
      <c r="D721">
        <v>28.4</v>
      </c>
      <c r="E721"/>
      <c r="I721"/>
    </row>
    <row r="722" spans="1:19" hidden="1" x14ac:dyDescent="0.35">
      <c r="A722" s="1">
        <v>43456</v>
      </c>
      <c r="B722">
        <v>23</v>
      </c>
      <c r="C722">
        <v>18.2</v>
      </c>
      <c r="D722">
        <v>28.8</v>
      </c>
      <c r="E722"/>
      <c r="I722"/>
    </row>
    <row r="723" spans="1:19" hidden="1" x14ac:dyDescent="0.35">
      <c r="A723" s="1">
        <v>43457</v>
      </c>
      <c r="B723">
        <v>23.2</v>
      </c>
      <c r="C723">
        <v>19.2</v>
      </c>
      <c r="D723">
        <v>29.6</v>
      </c>
      <c r="E723"/>
      <c r="I723"/>
    </row>
    <row r="724" spans="1:19" hidden="1" x14ac:dyDescent="0.35">
      <c r="A724" s="1">
        <v>43458</v>
      </c>
      <c r="B724">
        <v>23.3</v>
      </c>
      <c r="C724">
        <v>18.3</v>
      </c>
      <c r="D724">
        <v>29</v>
      </c>
      <c r="E724"/>
      <c r="I724"/>
    </row>
    <row r="725" spans="1:19" hidden="1" x14ac:dyDescent="0.35">
      <c r="A725" s="1">
        <v>43459</v>
      </c>
      <c r="B725">
        <v>23.4</v>
      </c>
      <c r="C725">
        <v>18.399999999999999</v>
      </c>
      <c r="D725">
        <v>29.1</v>
      </c>
      <c r="E725"/>
      <c r="I725"/>
    </row>
    <row r="726" spans="1:19" hidden="1" x14ac:dyDescent="0.35">
      <c r="A726" s="1">
        <v>43460</v>
      </c>
      <c r="B726">
        <v>23.8</v>
      </c>
      <c r="C726">
        <v>17.7</v>
      </c>
      <c r="D726">
        <v>30.2</v>
      </c>
      <c r="E726"/>
      <c r="I726"/>
    </row>
    <row r="727" spans="1:19" hidden="1" x14ac:dyDescent="0.35">
      <c r="A727" s="1">
        <v>43461</v>
      </c>
      <c r="B727">
        <v>24</v>
      </c>
      <c r="C727">
        <v>19</v>
      </c>
      <c r="D727">
        <v>31.4</v>
      </c>
      <c r="E727"/>
      <c r="I727"/>
    </row>
    <row r="728" spans="1:19" hidden="1" x14ac:dyDescent="0.35">
      <c r="A728" s="1">
        <v>43462</v>
      </c>
      <c r="B728">
        <v>22.8</v>
      </c>
      <c r="C728">
        <v>18.7</v>
      </c>
      <c r="D728">
        <v>29.6</v>
      </c>
      <c r="E728"/>
      <c r="I728"/>
    </row>
    <row r="729" spans="1:19" x14ac:dyDescent="0.35">
      <c r="A729" s="1">
        <v>43463</v>
      </c>
      <c r="B729" s="4">
        <v>21.8</v>
      </c>
      <c r="C729">
        <v>18.600000000000001</v>
      </c>
      <c r="D729">
        <v>27.8</v>
      </c>
      <c r="E729" s="4">
        <v>10.9</v>
      </c>
      <c r="F729" t="str">
        <f t="shared" ref="F729:F730" si="404">IF(OR(B729 &lt; $N$30, B729 &gt; $N$67), "Outlier", "OK")</f>
        <v>OK</v>
      </c>
      <c r="G729" t="str">
        <f t="shared" ref="G729:G730" si="405">IF(OR(C729 &lt; $O$30, C729 &gt; $O$67), "Outlier", "OK")</f>
        <v>OK</v>
      </c>
      <c r="H729" t="str">
        <f t="shared" ref="H729:H730" si="406">IF(OR(D729 &lt; $P$30, D729 &gt; $P$67), "Outlier", "OK")</f>
        <v>OK</v>
      </c>
      <c r="I729" s="4">
        <f t="shared" ref="I729:I730" si="407">YEAR(A729)</f>
        <v>2018</v>
      </c>
      <c r="J729">
        <f>( 377.84*B729 + 3903.1)/550</f>
        <v>22.072749090909092</v>
      </c>
      <c r="K729">
        <f xml:space="preserve"> (59.02*E729 + 1383.4)/365</f>
        <v>5.5526520547945211</v>
      </c>
      <c r="R729" s="4">
        <f>J729-B729</f>
        <v>0.27274909090909105</v>
      </c>
      <c r="S729" s="4">
        <f>K729-E729</f>
        <v>-5.3473479452054793</v>
      </c>
    </row>
    <row r="730" spans="1:19" hidden="1" x14ac:dyDescent="0.35">
      <c r="A730" s="1">
        <v>43464</v>
      </c>
      <c r="B730" s="4">
        <v>20.6</v>
      </c>
      <c r="C730">
        <v>17.2</v>
      </c>
      <c r="D730">
        <v>26.6</v>
      </c>
      <c r="E730" s="4">
        <v>0</v>
      </c>
      <c r="F730" t="str">
        <f t="shared" si="404"/>
        <v>OK</v>
      </c>
      <c r="G730" t="str">
        <f t="shared" si="405"/>
        <v>OK</v>
      </c>
      <c r="H730" t="str">
        <f t="shared" si="406"/>
        <v>OK</v>
      </c>
      <c r="I730" s="4">
        <f t="shared" si="407"/>
        <v>2018</v>
      </c>
    </row>
    <row r="731" spans="1:19" hidden="1" x14ac:dyDescent="0.35">
      <c r="A731" s="1">
        <v>43465</v>
      </c>
      <c r="B731">
        <v>20.9</v>
      </c>
      <c r="C731">
        <v>14.4</v>
      </c>
      <c r="D731">
        <v>26.4</v>
      </c>
      <c r="E731"/>
      <c r="I731"/>
    </row>
    <row r="732" spans="1:19" hidden="1" x14ac:dyDescent="0.35">
      <c r="A732" s="1">
        <v>43466</v>
      </c>
      <c r="B732">
        <v>20.3</v>
      </c>
      <c r="C732">
        <v>14</v>
      </c>
      <c r="D732">
        <v>27.6</v>
      </c>
      <c r="E732"/>
      <c r="I732"/>
    </row>
    <row r="733" spans="1:19" hidden="1" x14ac:dyDescent="0.35">
      <c r="A733" s="1">
        <v>43467</v>
      </c>
      <c r="B733">
        <v>19.899999999999999</v>
      </c>
      <c r="C733">
        <v>12.4</v>
      </c>
      <c r="D733">
        <v>28.1</v>
      </c>
      <c r="E733"/>
      <c r="I733"/>
    </row>
    <row r="734" spans="1:19" hidden="1" x14ac:dyDescent="0.35">
      <c r="A734" s="1">
        <v>43468</v>
      </c>
      <c r="B734">
        <v>20.2</v>
      </c>
      <c r="C734">
        <v>13.1</v>
      </c>
      <c r="D734">
        <v>27.9</v>
      </c>
      <c r="E734"/>
      <c r="I734"/>
    </row>
    <row r="735" spans="1:19" hidden="1" x14ac:dyDescent="0.35">
      <c r="A735" s="1">
        <v>43469</v>
      </c>
      <c r="B735">
        <v>20.8</v>
      </c>
      <c r="C735">
        <v>13.3</v>
      </c>
      <c r="D735">
        <v>28.5</v>
      </c>
      <c r="E735"/>
      <c r="I735"/>
    </row>
    <row r="736" spans="1:19" hidden="1" x14ac:dyDescent="0.35">
      <c r="A736" s="1">
        <v>43470</v>
      </c>
      <c r="B736">
        <v>20.399999999999999</v>
      </c>
      <c r="C736">
        <v>13.6</v>
      </c>
      <c r="D736">
        <v>28.6</v>
      </c>
      <c r="E736"/>
      <c r="I736"/>
    </row>
    <row r="737" spans="1:4" customFormat="1" hidden="1" x14ac:dyDescent="0.35">
      <c r="A737" s="1">
        <v>43471</v>
      </c>
      <c r="B737">
        <v>20.6</v>
      </c>
      <c r="C737">
        <v>14.7</v>
      </c>
      <c r="D737">
        <v>28.4</v>
      </c>
    </row>
    <row r="738" spans="1:4" customFormat="1" hidden="1" x14ac:dyDescent="0.35">
      <c r="A738" s="1">
        <v>43472</v>
      </c>
      <c r="B738">
        <v>20.7</v>
      </c>
      <c r="C738">
        <v>14.7</v>
      </c>
      <c r="D738">
        <v>28.6</v>
      </c>
    </row>
    <row r="739" spans="1:4" customFormat="1" hidden="1" x14ac:dyDescent="0.35">
      <c r="A739" s="1">
        <v>43473</v>
      </c>
      <c r="B739">
        <v>21.3</v>
      </c>
      <c r="C739">
        <v>15.2</v>
      </c>
      <c r="D739">
        <v>29.3</v>
      </c>
    </row>
    <row r="740" spans="1:4" customFormat="1" hidden="1" x14ac:dyDescent="0.35">
      <c r="A740" s="1">
        <v>43474</v>
      </c>
      <c r="B740">
        <v>21.3</v>
      </c>
      <c r="C740">
        <v>13.2</v>
      </c>
      <c r="D740">
        <v>29.6</v>
      </c>
    </row>
    <row r="741" spans="1:4" customFormat="1" hidden="1" x14ac:dyDescent="0.35">
      <c r="A741" s="1">
        <v>43475</v>
      </c>
      <c r="B741">
        <v>21.1</v>
      </c>
      <c r="C741">
        <v>14.5</v>
      </c>
      <c r="D741">
        <v>30.4</v>
      </c>
    </row>
    <row r="742" spans="1:4" customFormat="1" hidden="1" x14ac:dyDescent="0.35">
      <c r="A742" s="1">
        <v>43476</v>
      </c>
      <c r="B742">
        <v>21.4</v>
      </c>
      <c r="C742">
        <v>14.5</v>
      </c>
      <c r="D742">
        <v>29.7</v>
      </c>
    </row>
    <row r="743" spans="1:4" customFormat="1" hidden="1" x14ac:dyDescent="0.35">
      <c r="A743" s="1">
        <v>43477</v>
      </c>
      <c r="B743">
        <v>21.4</v>
      </c>
      <c r="C743">
        <v>15.3</v>
      </c>
      <c r="D743">
        <v>29.7</v>
      </c>
    </row>
    <row r="744" spans="1:4" customFormat="1" hidden="1" x14ac:dyDescent="0.35">
      <c r="A744" s="1">
        <v>43478</v>
      </c>
      <c r="B744">
        <v>21.5</v>
      </c>
      <c r="C744">
        <v>14.3</v>
      </c>
      <c r="D744">
        <v>28.8</v>
      </c>
    </row>
    <row r="745" spans="1:4" customFormat="1" hidden="1" x14ac:dyDescent="0.35">
      <c r="A745" s="1">
        <v>43479</v>
      </c>
      <c r="B745">
        <v>20.7</v>
      </c>
      <c r="C745">
        <v>14.5</v>
      </c>
      <c r="D745">
        <v>30.3</v>
      </c>
    </row>
    <row r="746" spans="1:4" customFormat="1" hidden="1" x14ac:dyDescent="0.35">
      <c r="A746" s="1">
        <v>43480</v>
      </c>
      <c r="B746">
        <v>21.2</v>
      </c>
      <c r="C746">
        <v>12.3</v>
      </c>
      <c r="D746">
        <v>29.3</v>
      </c>
    </row>
    <row r="747" spans="1:4" customFormat="1" hidden="1" x14ac:dyDescent="0.35">
      <c r="A747" s="1">
        <v>43481</v>
      </c>
      <c r="B747">
        <v>21.4</v>
      </c>
      <c r="C747">
        <v>14.5</v>
      </c>
      <c r="D747">
        <v>29.5</v>
      </c>
    </row>
    <row r="748" spans="1:4" customFormat="1" hidden="1" x14ac:dyDescent="0.35">
      <c r="A748" s="1">
        <v>43482</v>
      </c>
      <c r="B748">
        <v>21.7</v>
      </c>
      <c r="C748">
        <v>15.5</v>
      </c>
      <c r="D748">
        <v>29.5</v>
      </c>
    </row>
    <row r="749" spans="1:4" customFormat="1" hidden="1" x14ac:dyDescent="0.35">
      <c r="A749" s="1">
        <v>43483</v>
      </c>
      <c r="B749">
        <v>21.7</v>
      </c>
      <c r="C749">
        <v>15.8</v>
      </c>
      <c r="D749">
        <v>29.7</v>
      </c>
    </row>
    <row r="750" spans="1:4" customFormat="1" hidden="1" x14ac:dyDescent="0.35">
      <c r="A750" s="1">
        <v>43484</v>
      </c>
      <c r="B750">
        <v>21.8</v>
      </c>
      <c r="C750">
        <v>14.3</v>
      </c>
      <c r="D750">
        <v>29</v>
      </c>
    </row>
    <row r="751" spans="1:4" customFormat="1" hidden="1" x14ac:dyDescent="0.35">
      <c r="A751" s="1">
        <v>43485</v>
      </c>
      <c r="B751">
        <v>21.3</v>
      </c>
      <c r="C751">
        <v>13.7</v>
      </c>
      <c r="D751">
        <v>30.3</v>
      </c>
    </row>
    <row r="752" spans="1:4" customFormat="1" hidden="1" x14ac:dyDescent="0.35">
      <c r="A752" s="1">
        <v>43486</v>
      </c>
      <c r="B752">
        <v>21.3</v>
      </c>
      <c r="C752">
        <v>14.8</v>
      </c>
      <c r="D752">
        <v>28.6</v>
      </c>
    </row>
    <row r="753" spans="1:19" hidden="1" x14ac:dyDescent="0.35">
      <c r="A753" s="1">
        <v>43487</v>
      </c>
      <c r="B753">
        <v>20.399999999999999</v>
      </c>
      <c r="C753">
        <v>14</v>
      </c>
      <c r="D753">
        <v>29.2</v>
      </c>
      <c r="E753"/>
      <c r="I753"/>
    </row>
    <row r="754" spans="1:19" hidden="1" x14ac:dyDescent="0.35">
      <c r="A754" s="1">
        <v>43488</v>
      </c>
      <c r="B754">
        <v>22.3</v>
      </c>
      <c r="C754">
        <v>16.2</v>
      </c>
      <c r="D754">
        <v>29.1</v>
      </c>
      <c r="E754"/>
      <c r="I754"/>
    </row>
    <row r="755" spans="1:19" hidden="1" x14ac:dyDescent="0.35">
      <c r="A755" s="1">
        <v>43489</v>
      </c>
      <c r="B755">
        <v>23.1</v>
      </c>
      <c r="C755">
        <v>17.7</v>
      </c>
      <c r="D755">
        <v>29.6</v>
      </c>
      <c r="E755"/>
      <c r="I755"/>
    </row>
    <row r="756" spans="1:19" hidden="1" x14ac:dyDescent="0.35">
      <c r="A756" s="1">
        <v>43490</v>
      </c>
      <c r="B756">
        <v>23.3</v>
      </c>
      <c r="C756">
        <v>17.2</v>
      </c>
      <c r="D756">
        <v>30.2</v>
      </c>
      <c r="E756"/>
      <c r="I756"/>
    </row>
    <row r="757" spans="1:19" hidden="1" x14ac:dyDescent="0.35">
      <c r="A757" s="1">
        <v>43491</v>
      </c>
      <c r="B757">
        <v>23.3</v>
      </c>
      <c r="C757">
        <v>18.8</v>
      </c>
      <c r="D757">
        <v>30</v>
      </c>
      <c r="E757"/>
      <c r="I757"/>
    </row>
    <row r="758" spans="1:19" hidden="1" x14ac:dyDescent="0.35">
      <c r="A758" s="1">
        <v>43492</v>
      </c>
      <c r="B758">
        <v>23.2</v>
      </c>
      <c r="C758">
        <v>19</v>
      </c>
      <c r="D758">
        <v>30.2</v>
      </c>
      <c r="E758"/>
      <c r="I758"/>
    </row>
    <row r="759" spans="1:19" hidden="1" x14ac:dyDescent="0.35">
      <c r="A759" s="1">
        <v>43493</v>
      </c>
      <c r="B759">
        <v>22.8</v>
      </c>
      <c r="C759">
        <v>18.399999999999999</v>
      </c>
      <c r="D759">
        <v>30</v>
      </c>
      <c r="E759"/>
      <c r="I759"/>
    </row>
    <row r="760" spans="1:19" x14ac:dyDescent="0.35">
      <c r="A760" s="1">
        <v>43494</v>
      </c>
      <c r="B760" s="4">
        <v>21.9</v>
      </c>
      <c r="C760">
        <v>17.7</v>
      </c>
      <c r="D760">
        <v>29.6</v>
      </c>
      <c r="E760" s="4">
        <v>0.8</v>
      </c>
      <c r="F760" t="str">
        <f>IF(OR(B760 &lt; $N$30, B760 &gt; $N$67), "Outlier", "OK")</f>
        <v>OK</v>
      </c>
      <c r="G760" t="str">
        <f>IF(OR(C760 &lt; $O$30, C760 &gt; $O$67), "Outlier", "OK")</f>
        <v>OK</v>
      </c>
      <c r="H760" t="str">
        <f>IF(OR(D760 &lt; $P$30, D760 &gt; $P$67), "Outlier", "OK")</f>
        <v>OK</v>
      </c>
      <c r="I760" s="4">
        <f>YEAR(A760)</f>
        <v>2019</v>
      </c>
      <c r="J760">
        <f>( 377.84*B760 + 3903.1)/550</f>
        <v>22.14144727272727</v>
      </c>
      <c r="K760">
        <f xml:space="preserve"> (59.02*E760 + 1383.4)/365</f>
        <v>3.9194958904109587</v>
      </c>
      <c r="R760" s="4">
        <f>J760-B760</f>
        <v>0.24144727272727096</v>
      </c>
      <c r="S760" s="4">
        <f>K760-E760</f>
        <v>3.1194958904109589</v>
      </c>
    </row>
    <row r="761" spans="1:19" hidden="1" x14ac:dyDescent="0.35">
      <c r="A761" s="1">
        <v>43495</v>
      </c>
      <c r="B761">
        <v>22.1</v>
      </c>
      <c r="C761">
        <v>17.2</v>
      </c>
      <c r="D761">
        <v>27.4</v>
      </c>
      <c r="E761">
        <v>0</v>
      </c>
      <c r="F761" t="str">
        <f t="shared" ref="F761" si="408">IF(OR(B740 &lt; $N$30, B740 &gt; $N$67), "Outlier", "OK")</f>
        <v>OK</v>
      </c>
      <c r="G761" t="str">
        <f t="shared" ref="G761" si="409">IF(OR(C740 &lt; $O$30, C740 &gt; $O$67), "Outlier", "OK")</f>
        <v>Outlier</v>
      </c>
      <c r="H761" t="str">
        <f t="shared" ref="H761" si="410">IF(OR(D740 &lt; $P$30, D740 &gt; $P$67), "Outlier", "OK")</f>
        <v>OK</v>
      </c>
      <c r="I761"/>
    </row>
    <row r="762" spans="1:19" hidden="1" x14ac:dyDescent="0.35">
      <c r="A762" s="1">
        <v>43496</v>
      </c>
      <c r="B762">
        <v>21.7</v>
      </c>
      <c r="C762">
        <v>16.399999999999999</v>
      </c>
      <c r="D762">
        <v>29.4</v>
      </c>
      <c r="E762"/>
      <c r="I762"/>
    </row>
    <row r="763" spans="1:19" hidden="1" x14ac:dyDescent="0.35">
      <c r="A763" s="1">
        <v>43497</v>
      </c>
      <c r="B763">
        <v>21.4</v>
      </c>
      <c r="C763">
        <v>15.7</v>
      </c>
      <c r="D763">
        <v>28.2</v>
      </c>
      <c r="E763"/>
      <c r="I763"/>
    </row>
    <row r="764" spans="1:19" hidden="1" x14ac:dyDescent="0.35">
      <c r="A764" s="1">
        <v>43498</v>
      </c>
      <c r="B764">
        <v>22.4</v>
      </c>
      <c r="C764">
        <v>16.3</v>
      </c>
      <c r="D764">
        <v>27.8</v>
      </c>
      <c r="E764"/>
      <c r="I764"/>
    </row>
    <row r="765" spans="1:19" hidden="1" x14ac:dyDescent="0.35">
      <c r="A765" s="1">
        <v>43499</v>
      </c>
      <c r="B765">
        <v>22.9</v>
      </c>
      <c r="C765">
        <v>16.600000000000001</v>
      </c>
      <c r="D765">
        <v>29.6</v>
      </c>
      <c r="E765"/>
      <c r="I765"/>
    </row>
    <row r="766" spans="1:19" hidden="1" x14ac:dyDescent="0.35">
      <c r="A766" s="1">
        <v>43500</v>
      </c>
      <c r="B766">
        <v>23.6</v>
      </c>
      <c r="C766">
        <v>16.8</v>
      </c>
      <c r="D766">
        <v>30</v>
      </c>
      <c r="E766"/>
      <c r="I766"/>
    </row>
    <row r="767" spans="1:19" hidden="1" x14ac:dyDescent="0.35">
      <c r="A767" s="1">
        <v>43501</v>
      </c>
      <c r="B767">
        <v>23.7</v>
      </c>
      <c r="C767">
        <v>18.7</v>
      </c>
      <c r="D767">
        <v>30.7</v>
      </c>
      <c r="E767"/>
      <c r="I767"/>
    </row>
    <row r="768" spans="1:19" hidden="1" x14ac:dyDescent="0.35">
      <c r="A768" s="1">
        <v>43502</v>
      </c>
      <c r="B768">
        <v>24.3</v>
      </c>
      <c r="C768">
        <v>17.8</v>
      </c>
      <c r="D768">
        <v>30</v>
      </c>
      <c r="E768"/>
      <c r="I768"/>
    </row>
    <row r="769" spans="1:4" customFormat="1" hidden="1" x14ac:dyDescent="0.35">
      <c r="A769" s="1">
        <v>43503</v>
      </c>
      <c r="B769">
        <v>24.3</v>
      </c>
      <c r="C769">
        <v>18.3</v>
      </c>
      <c r="D769">
        <v>31.1</v>
      </c>
    </row>
    <row r="770" spans="1:4" customFormat="1" hidden="1" x14ac:dyDescent="0.35">
      <c r="A770" s="1">
        <v>43504</v>
      </c>
      <c r="B770">
        <v>26.4</v>
      </c>
      <c r="C770">
        <v>20.399999999999999</v>
      </c>
      <c r="D770">
        <v>31.8</v>
      </c>
    </row>
    <row r="771" spans="1:4" customFormat="1" hidden="1" x14ac:dyDescent="0.35">
      <c r="A771" s="1">
        <v>43505</v>
      </c>
      <c r="B771">
        <v>23.7</v>
      </c>
      <c r="C771">
        <v>19.600000000000001</v>
      </c>
      <c r="D771">
        <v>32.6</v>
      </c>
    </row>
    <row r="772" spans="1:4" customFormat="1" hidden="1" x14ac:dyDescent="0.35">
      <c r="A772" s="1">
        <v>43506</v>
      </c>
      <c r="B772">
        <v>24.1</v>
      </c>
      <c r="C772">
        <v>19.100000000000001</v>
      </c>
      <c r="D772">
        <v>31.3</v>
      </c>
    </row>
    <row r="773" spans="1:4" customFormat="1" hidden="1" x14ac:dyDescent="0.35">
      <c r="A773" s="1">
        <v>43507</v>
      </c>
      <c r="B773">
        <v>23.1</v>
      </c>
      <c r="C773">
        <v>18.5</v>
      </c>
      <c r="D773">
        <v>29.7</v>
      </c>
    </row>
    <row r="774" spans="1:4" customFormat="1" hidden="1" x14ac:dyDescent="0.35">
      <c r="A774" s="1">
        <v>43508</v>
      </c>
      <c r="B774">
        <v>22.8</v>
      </c>
      <c r="C774">
        <v>17.2</v>
      </c>
      <c r="D774">
        <v>28.1</v>
      </c>
    </row>
    <row r="775" spans="1:4" customFormat="1" hidden="1" x14ac:dyDescent="0.35">
      <c r="A775" s="1">
        <v>43509</v>
      </c>
      <c r="B775">
        <v>23.1</v>
      </c>
      <c r="C775">
        <v>17.3</v>
      </c>
      <c r="D775">
        <v>29</v>
      </c>
    </row>
    <row r="776" spans="1:4" customFormat="1" hidden="1" x14ac:dyDescent="0.35">
      <c r="A776" s="1">
        <v>43510</v>
      </c>
      <c r="B776">
        <v>24.6</v>
      </c>
      <c r="C776">
        <v>17.2</v>
      </c>
      <c r="D776">
        <v>30</v>
      </c>
    </row>
    <row r="777" spans="1:4" customFormat="1" hidden="1" x14ac:dyDescent="0.35">
      <c r="A777" s="1">
        <v>43511</v>
      </c>
      <c r="B777">
        <v>25.2</v>
      </c>
      <c r="C777">
        <v>19</v>
      </c>
      <c r="D777">
        <v>31.6</v>
      </c>
    </row>
    <row r="778" spans="1:4" customFormat="1" hidden="1" x14ac:dyDescent="0.35">
      <c r="A778" s="1">
        <v>43512</v>
      </c>
      <c r="B778">
        <v>25.4</v>
      </c>
      <c r="C778">
        <v>20.7</v>
      </c>
      <c r="D778">
        <v>31.6</v>
      </c>
    </row>
    <row r="779" spans="1:4" customFormat="1" hidden="1" x14ac:dyDescent="0.35">
      <c r="A779" s="1">
        <v>43513</v>
      </c>
      <c r="B779">
        <v>26.3</v>
      </c>
      <c r="C779">
        <v>21.3</v>
      </c>
      <c r="D779">
        <v>32.700000000000003</v>
      </c>
    </row>
    <row r="780" spans="1:4" customFormat="1" hidden="1" x14ac:dyDescent="0.35">
      <c r="A780" s="1">
        <v>43514</v>
      </c>
      <c r="B780">
        <v>25.7</v>
      </c>
      <c r="C780">
        <v>19.2</v>
      </c>
      <c r="D780">
        <v>32.6</v>
      </c>
    </row>
    <row r="781" spans="1:4" customFormat="1" hidden="1" x14ac:dyDescent="0.35">
      <c r="A781" s="1">
        <v>43515</v>
      </c>
      <c r="B781">
        <v>26.8</v>
      </c>
      <c r="C781">
        <v>22</v>
      </c>
      <c r="D781">
        <v>34</v>
      </c>
    </row>
    <row r="782" spans="1:4" customFormat="1" hidden="1" x14ac:dyDescent="0.35">
      <c r="A782" s="1">
        <v>43516</v>
      </c>
      <c r="B782">
        <v>25.4</v>
      </c>
      <c r="C782">
        <v>20.5</v>
      </c>
      <c r="D782">
        <v>32.799999999999997</v>
      </c>
    </row>
    <row r="783" spans="1:4" customFormat="1" hidden="1" x14ac:dyDescent="0.35">
      <c r="A783" s="1">
        <v>43517</v>
      </c>
      <c r="B783">
        <v>25.1</v>
      </c>
      <c r="C783">
        <v>18.2</v>
      </c>
      <c r="D783">
        <v>32.1</v>
      </c>
    </row>
    <row r="784" spans="1:4" customFormat="1" hidden="1" x14ac:dyDescent="0.35">
      <c r="A784" s="1">
        <v>43518</v>
      </c>
      <c r="B784">
        <v>24.9</v>
      </c>
      <c r="C784">
        <v>17.600000000000001</v>
      </c>
      <c r="D784">
        <v>31.9</v>
      </c>
    </row>
    <row r="785" spans="1:9" hidden="1" x14ac:dyDescent="0.35">
      <c r="A785" s="1">
        <v>43519</v>
      </c>
      <c r="B785">
        <v>25.1</v>
      </c>
      <c r="C785">
        <v>15.5</v>
      </c>
      <c r="D785">
        <v>33.1</v>
      </c>
      <c r="E785"/>
      <c r="I785"/>
    </row>
    <row r="786" spans="1:9" hidden="1" x14ac:dyDescent="0.35">
      <c r="A786" s="1">
        <v>43520</v>
      </c>
      <c r="B786">
        <v>25.8</v>
      </c>
      <c r="C786">
        <v>16.5</v>
      </c>
      <c r="D786">
        <v>34</v>
      </c>
      <c r="E786"/>
      <c r="I786"/>
    </row>
    <row r="787" spans="1:9" hidden="1" x14ac:dyDescent="0.35">
      <c r="A787" s="1">
        <v>43521</v>
      </c>
      <c r="B787">
        <v>26.6</v>
      </c>
      <c r="C787">
        <v>17.2</v>
      </c>
      <c r="D787">
        <v>34.299999999999997</v>
      </c>
      <c r="E787"/>
      <c r="I787"/>
    </row>
    <row r="788" spans="1:9" hidden="1" x14ac:dyDescent="0.35">
      <c r="A788" s="1">
        <v>43522</v>
      </c>
      <c r="B788">
        <v>26.2</v>
      </c>
      <c r="C788">
        <v>20.8</v>
      </c>
      <c r="D788">
        <v>35.5</v>
      </c>
      <c r="E788"/>
      <c r="I788"/>
    </row>
    <row r="789" spans="1:9" hidden="1" x14ac:dyDescent="0.35">
      <c r="A789" s="1">
        <v>43523</v>
      </c>
      <c r="B789">
        <v>26.3</v>
      </c>
      <c r="C789">
        <v>21.3</v>
      </c>
      <c r="D789">
        <v>34.5</v>
      </c>
      <c r="E789"/>
      <c r="I789"/>
    </row>
    <row r="790" spans="1:9" hidden="1" x14ac:dyDescent="0.35">
      <c r="A790" s="1">
        <v>43524</v>
      </c>
      <c r="B790">
        <v>26.4</v>
      </c>
      <c r="C790">
        <v>20.5</v>
      </c>
      <c r="D790">
        <v>33</v>
      </c>
      <c r="E790"/>
      <c r="I790"/>
    </row>
    <row r="791" spans="1:9" hidden="1" x14ac:dyDescent="0.35">
      <c r="A791" s="1">
        <v>43525</v>
      </c>
      <c r="B791">
        <v>26.3</v>
      </c>
      <c r="C791">
        <v>21.3</v>
      </c>
      <c r="D791">
        <v>33.799999999999997</v>
      </c>
      <c r="E791"/>
      <c r="I791"/>
    </row>
    <row r="792" spans="1:9" hidden="1" x14ac:dyDescent="0.35">
      <c r="A792" s="1">
        <v>43526</v>
      </c>
      <c r="B792">
        <v>25.9</v>
      </c>
      <c r="C792">
        <v>21.7</v>
      </c>
      <c r="D792">
        <v>33.5</v>
      </c>
      <c r="E792"/>
      <c r="I792"/>
    </row>
    <row r="793" spans="1:9" hidden="1" x14ac:dyDescent="0.35">
      <c r="A793" s="1">
        <v>43527</v>
      </c>
      <c r="B793">
        <v>26.1</v>
      </c>
      <c r="C793">
        <v>20.5</v>
      </c>
      <c r="D793">
        <v>32.1</v>
      </c>
      <c r="E793"/>
      <c r="I793"/>
    </row>
    <row r="794" spans="1:9" hidden="1" x14ac:dyDescent="0.35">
      <c r="A794" s="1">
        <v>43528</v>
      </c>
      <c r="B794">
        <v>27.8</v>
      </c>
      <c r="C794">
        <v>21</v>
      </c>
      <c r="D794">
        <v>33.6</v>
      </c>
      <c r="E794"/>
      <c r="I794"/>
    </row>
    <row r="795" spans="1:9" hidden="1" x14ac:dyDescent="0.35">
      <c r="A795" s="1">
        <v>43529</v>
      </c>
      <c r="B795" s="4">
        <v>27.8</v>
      </c>
      <c r="C795">
        <v>23.1</v>
      </c>
      <c r="D795">
        <v>34.299999999999997</v>
      </c>
      <c r="E795" s="4">
        <v>0</v>
      </c>
      <c r="F795" t="str">
        <f>IF(OR(B795 &lt; $N$30, B795 &gt; $N$67), "Outlier", "OK")</f>
        <v>OK</v>
      </c>
      <c r="G795" t="str">
        <f>IF(OR(C795 &lt; $O$30, C795 &gt; $O$67), "Outlier", "OK")</f>
        <v>OK</v>
      </c>
      <c r="H795" t="str">
        <f>IF(OR(D795 &lt; $P$30, D795 &gt; $P$67), "Outlier", "OK")</f>
        <v>OK</v>
      </c>
      <c r="I795" s="4">
        <f>YEAR(A795)</f>
        <v>2019</v>
      </c>
    </row>
    <row r="796" spans="1:9" hidden="1" x14ac:dyDescent="0.35">
      <c r="A796" s="1">
        <v>43530</v>
      </c>
      <c r="B796">
        <v>28.1</v>
      </c>
      <c r="C796">
        <v>22.7</v>
      </c>
      <c r="D796">
        <v>35</v>
      </c>
      <c r="E796"/>
      <c r="I796"/>
    </row>
    <row r="797" spans="1:9" hidden="1" x14ac:dyDescent="0.35">
      <c r="A797" s="1">
        <v>43531</v>
      </c>
      <c r="B797">
        <v>28.4</v>
      </c>
      <c r="C797">
        <v>20.5</v>
      </c>
      <c r="D797">
        <v>35.799999999999997</v>
      </c>
      <c r="E797"/>
      <c r="I797"/>
    </row>
    <row r="798" spans="1:9" hidden="1" x14ac:dyDescent="0.35">
      <c r="A798" s="1">
        <v>43532</v>
      </c>
      <c r="B798">
        <v>28.3</v>
      </c>
      <c r="C798">
        <v>21.8</v>
      </c>
      <c r="D798">
        <v>37</v>
      </c>
      <c r="E798"/>
      <c r="I798"/>
    </row>
    <row r="799" spans="1:9" hidden="1" x14ac:dyDescent="0.35">
      <c r="A799" s="1">
        <v>43533</v>
      </c>
      <c r="B799">
        <v>27.4</v>
      </c>
      <c r="C799">
        <v>22.5</v>
      </c>
      <c r="D799">
        <v>35.9</v>
      </c>
      <c r="E799"/>
      <c r="I799"/>
    </row>
    <row r="800" spans="1:9" hidden="1" x14ac:dyDescent="0.35">
      <c r="A800" s="1">
        <v>43534</v>
      </c>
      <c r="B800">
        <v>28</v>
      </c>
      <c r="C800">
        <v>22.8</v>
      </c>
      <c r="D800">
        <v>34</v>
      </c>
      <c r="E800"/>
      <c r="I800"/>
    </row>
    <row r="801" spans="1:4" customFormat="1" hidden="1" x14ac:dyDescent="0.35">
      <c r="A801" s="1">
        <v>43535</v>
      </c>
      <c r="B801">
        <v>27.8</v>
      </c>
      <c r="C801">
        <v>23.1</v>
      </c>
      <c r="D801">
        <v>34.1</v>
      </c>
    </row>
    <row r="802" spans="1:4" customFormat="1" hidden="1" x14ac:dyDescent="0.35">
      <c r="A802" s="1">
        <v>43536</v>
      </c>
      <c r="B802">
        <v>27.3</v>
      </c>
      <c r="C802">
        <v>21.5</v>
      </c>
      <c r="D802">
        <v>34.6</v>
      </c>
    </row>
    <row r="803" spans="1:4" customFormat="1" hidden="1" x14ac:dyDescent="0.35">
      <c r="A803" s="1">
        <v>43537</v>
      </c>
      <c r="B803">
        <v>26.6</v>
      </c>
      <c r="C803">
        <v>19.7</v>
      </c>
      <c r="D803">
        <v>34</v>
      </c>
    </row>
    <row r="804" spans="1:4" customFormat="1" hidden="1" x14ac:dyDescent="0.35">
      <c r="A804" s="1">
        <v>43538</v>
      </c>
      <c r="B804">
        <v>27.2</v>
      </c>
      <c r="C804">
        <v>19.7</v>
      </c>
      <c r="D804">
        <v>33.799999999999997</v>
      </c>
    </row>
    <row r="805" spans="1:4" customFormat="1" hidden="1" x14ac:dyDescent="0.35">
      <c r="A805" s="1">
        <v>43539</v>
      </c>
      <c r="B805">
        <v>27.3</v>
      </c>
      <c r="C805">
        <v>20.2</v>
      </c>
      <c r="D805">
        <v>34.299999999999997</v>
      </c>
    </row>
    <row r="806" spans="1:4" customFormat="1" hidden="1" x14ac:dyDescent="0.35">
      <c r="A806" s="1">
        <v>43540</v>
      </c>
      <c r="B806">
        <v>26.2</v>
      </c>
      <c r="C806">
        <v>19</v>
      </c>
      <c r="D806">
        <v>34.1</v>
      </c>
    </row>
    <row r="807" spans="1:4" customFormat="1" hidden="1" x14ac:dyDescent="0.35">
      <c r="A807" s="1">
        <v>43541</v>
      </c>
      <c r="B807">
        <v>26.6</v>
      </c>
      <c r="C807">
        <v>18.7</v>
      </c>
      <c r="D807">
        <v>33.299999999999997</v>
      </c>
    </row>
    <row r="808" spans="1:4" customFormat="1" hidden="1" x14ac:dyDescent="0.35">
      <c r="A808" s="1">
        <v>43542</v>
      </c>
      <c r="B808">
        <v>26.8</v>
      </c>
      <c r="C808">
        <v>20.399999999999999</v>
      </c>
      <c r="D808">
        <v>34.299999999999997</v>
      </c>
    </row>
    <row r="809" spans="1:4" customFormat="1" hidden="1" x14ac:dyDescent="0.35">
      <c r="A809" s="1">
        <v>43543</v>
      </c>
      <c r="B809">
        <v>27.7</v>
      </c>
      <c r="C809">
        <v>21.2</v>
      </c>
      <c r="D809">
        <v>34.200000000000003</v>
      </c>
    </row>
    <row r="810" spans="1:4" customFormat="1" hidden="1" x14ac:dyDescent="0.35">
      <c r="A810" s="1">
        <v>43544</v>
      </c>
      <c r="B810">
        <v>27.7</v>
      </c>
      <c r="C810">
        <v>23</v>
      </c>
      <c r="D810">
        <v>35</v>
      </c>
    </row>
    <row r="811" spans="1:4" customFormat="1" hidden="1" x14ac:dyDescent="0.35">
      <c r="A811" s="1">
        <v>43545</v>
      </c>
      <c r="B811">
        <v>27.9</v>
      </c>
      <c r="C811">
        <v>22.7</v>
      </c>
      <c r="D811">
        <v>34.299999999999997</v>
      </c>
    </row>
    <row r="812" spans="1:4" customFormat="1" hidden="1" x14ac:dyDescent="0.35">
      <c r="A812" s="1">
        <v>43546</v>
      </c>
      <c r="B812">
        <v>28.1</v>
      </c>
      <c r="C812">
        <v>21.8</v>
      </c>
      <c r="D812">
        <v>35</v>
      </c>
    </row>
    <row r="813" spans="1:4" customFormat="1" hidden="1" x14ac:dyDescent="0.35">
      <c r="A813" s="1">
        <v>43547</v>
      </c>
      <c r="B813">
        <v>28.8</v>
      </c>
      <c r="C813">
        <v>22.5</v>
      </c>
      <c r="D813">
        <v>35</v>
      </c>
    </row>
    <row r="814" spans="1:4" customFormat="1" hidden="1" x14ac:dyDescent="0.35">
      <c r="A814" s="1">
        <v>43548</v>
      </c>
      <c r="B814">
        <v>28.8</v>
      </c>
      <c r="C814">
        <v>23.7</v>
      </c>
      <c r="D814">
        <v>35.299999999999997</v>
      </c>
    </row>
    <row r="815" spans="1:4" customFormat="1" hidden="1" x14ac:dyDescent="0.35">
      <c r="A815" s="1">
        <v>43549</v>
      </c>
      <c r="B815">
        <v>28.4</v>
      </c>
      <c r="C815">
        <v>22.8</v>
      </c>
      <c r="D815">
        <v>35.5</v>
      </c>
    </row>
    <row r="816" spans="1:4" customFormat="1" hidden="1" x14ac:dyDescent="0.35">
      <c r="A816" s="1">
        <v>43550</v>
      </c>
      <c r="B816">
        <v>28.3</v>
      </c>
      <c r="C816">
        <v>21.5</v>
      </c>
      <c r="D816">
        <v>35.4</v>
      </c>
    </row>
    <row r="817" spans="1:19" hidden="1" x14ac:dyDescent="0.35">
      <c r="A817" s="1">
        <v>43551</v>
      </c>
      <c r="B817">
        <v>27.9</v>
      </c>
      <c r="C817">
        <v>22.6</v>
      </c>
      <c r="D817">
        <v>35</v>
      </c>
      <c r="E817"/>
      <c r="I817"/>
    </row>
    <row r="818" spans="1:19" hidden="1" x14ac:dyDescent="0.35">
      <c r="A818" s="1">
        <v>43552</v>
      </c>
      <c r="B818">
        <v>28.7</v>
      </c>
      <c r="C818">
        <v>21.4</v>
      </c>
      <c r="D818">
        <v>35.4</v>
      </c>
      <c r="E818"/>
      <c r="I818"/>
    </row>
    <row r="819" spans="1:19" hidden="1" x14ac:dyDescent="0.35">
      <c r="A819" s="1">
        <v>43553</v>
      </c>
      <c r="B819">
        <v>28.7</v>
      </c>
      <c r="C819">
        <v>23.2</v>
      </c>
      <c r="D819">
        <v>36.200000000000003</v>
      </c>
      <c r="E819"/>
      <c r="I819"/>
    </row>
    <row r="820" spans="1:19" hidden="1" x14ac:dyDescent="0.35">
      <c r="A820" s="1">
        <v>43554</v>
      </c>
      <c r="B820">
        <v>28.6</v>
      </c>
      <c r="C820">
        <v>23.4</v>
      </c>
      <c r="D820">
        <v>35.200000000000003</v>
      </c>
      <c r="E820"/>
      <c r="I820"/>
    </row>
    <row r="821" spans="1:19" hidden="1" x14ac:dyDescent="0.35">
      <c r="A821" s="1">
        <v>43555</v>
      </c>
      <c r="B821">
        <v>28.7</v>
      </c>
      <c r="C821">
        <v>22.7</v>
      </c>
      <c r="D821">
        <v>35.299999999999997</v>
      </c>
      <c r="E821"/>
      <c r="I821"/>
    </row>
    <row r="822" spans="1:19" hidden="1" x14ac:dyDescent="0.35">
      <c r="A822" s="1">
        <v>43556</v>
      </c>
      <c r="B822">
        <v>28.7</v>
      </c>
      <c r="C822">
        <v>22.9</v>
      </c>
      <c r="D822">
        <v>35.6</v>
      </c>
      <c r="E822"/>
      <c r="I822"/>
    </row>
    <row r="823" spans="1:19" hidden="1" x14ac:dyDescent="0.35">
      <c r="A823" s="1">
        <v>43557</v>
      </c>
      <c r="B823">
        <v>28.3</v>
      </c>
      <c r="C823">
        <v>23.6</v>
      </c>
      <c r="D823">
        <v>36</v>
      </c>
      <c r="E823"/>
      <c r="I823"/>
    </row>
    <row r="824" spans="1:19" hidden="1" x14ac:dyDescent="0.35">
      <c r="A824" s="1">
        <v>43558</v>
      </c>
      <c r="B824">
        <v>29</v>
      </c>
      <c r="C824">
        <v>21.6</v>
      </c>
      <c r="D824">
        <v>34.799999999999997</v>
      </c>
      <c r="E824"/>
      <c r="I824"/>
    </row>
    <row r="825" spans="1:19" hidden="1" x14ac:dyDescent="0.35">
      <c r="A825" s="1">
        <v>43559</v>
      </c>
      <c r="B825">
        <v>28.4</v>
      </c>
      <c r="C825">
        <v>23</v>
      </c>
      <c r="D825">
        <v>36.200000000000003</v>
      </c>
      <c r="E825"/>
      <c r="I825"/>
    </row>
    <row r="826" spans="1:19" hidden="1" x14ac:dyDescent="0.35">
      <c r="A826" s="1">
        <v>43560</v>
      </c>
      <c r="B826">
        <v>27.7</v>
      </c>
      <c r="C826">
        <v>23</v>
      </c>
      <c r="D826">
        <v>35.200000000000003</v>
      </c>
      <c r="E826"/>
      <c r="I826"/>
    </row>
    <row r="827" spans="1:19" hidden="1" x14ac:dyDescent="0.35">
      <c r="A827" s="1">
        <v>43561</v>
      </c>
      <c r="B827">
        <v>28.7</v>
      </c>
      <c r="C827">
        <v>23.4</v>
      </c>
      <c r="D827">
        <v>35.4</v>
      </c>
      <c r="E827"/>
      <c r="I827"/>
    </row>
    <row r="828" spans="1:19" hidden="1" x14ac:dyDescent="0.35">
      <c r="A828" s="1">
        <v>43562</v>
      </c>
      <c r="B828">
        <v>29.5</v>
      </c>
      <c r="C828">
        <v>24</v>
      </c>
      <c r="D828">
        <v>35.4</v>
      </c>
      <c r="E828"/>
      <c r="I828"/>
    </row>
    <row r="829" spans="1:19" hidden="1" x14ac:dyDescent="0.35">
      <c r="A829" s="1">
        <v>43563</v>
      </c>
      <c r="B829">
        <v>28.4</v>
      </c>
      <c r="C829">
        <v>24</v>
      </c>
      <c r="D829">
        <v>36.4</v>
      </c>
      <c r="E829"/>
      <c r="I829"/>
    </row>
    <row r="830" spans="1:19" x14ac:dyDescent="0.35">
      <c r="A830" s="1">
        <v>43564</v>
      </c>
      <c r="B830" s="4">
        <v>28.2</v>
      </c>
      <c r="C830">
        <v>22.8</v>
      </c>
      <c r="D830">
        <v>35.6</v>
      </c>
      <c r="E830" s="4">
        <v>7.6</v>
      </c>
      <c r="F830" t="str">
        <f t="shared" ref="F830:F832" si="411">IF(OR(B830 &lt; $N$30, B830 &gt; $N$67), "Outlier", "OK")</f>
        <v>OK</v>
      </c>
      <c r="G830" t="str">
        <f t="shared" ref="G830:G832" si="412">IF(OR(C830 &lt; $O$30, C830 &gt; $O$67), "Outlier", "OK")</f>
        <v>OK</v>
      </c>
      <c r="H830" t="str">
        <f t="shared" ref="H830:H832" si="413">IF(OR(D830 &lt; $P$30, D830 &gt; $P$67), "Outlier", "OK")</f>
        <v>OK</v>
      </c>
      <c r="I830" s="4">
        <f t="shared" ref="I830:I832" si="414">YEAR(A830)</f>
        <v>2019</v>
      </c>
      <c r="J830">
        <f t="shared" ref="J830:J831" si="415">( 377.84*B830 + 3903.1)/550</f>
        <v>26.469432727272729</v>
      </c>
      <c r="K830">
        <f t="shared" ref="K830:K831" si="416" xml:space="preserve"> (59.02*E830 + 1383.4)/365</f>
        <v>5.0190465753424665</v>
      </c>
      <c r="R830" s="4">
        <f t="shared" ref="R830:R831" si="417">J830-B830</f>
        <v>-1.7305672727272707</v>
      </c>
      <c r="S830" s="4">
        <f t="shared" ref="S830:S831" si="418">K830-E830</f>
        <v>-2.5809534246575332</v>
      </c>
    </row>
    <row r="831" spans="1:19" x14ac:dyDescent="0.35">
      <c r="A831" s="1">
        <v>43565</v>
      </c>
      <c r="B831" s="4">
        <v>29.3</v>
      </c>
      <c r="C831">
        <v>22.8</v>
      </c>
      <c r="D831">
        <v>35.4</v>
      </c>
      <c r="E831" s="4">
        <v>1</v>
      </c>
      <c r="F831" t="str">
        <f t="shared" si="411"/>
        <v>OK</v>
      </c>
      <c r="G831" t="str">
        <f t="shared" si="412"/>
        <v>OK</v>
      </c>
      <c r="H831" t="str">
        <f t="shared" si="413"/>
        <v>OK</v>
      </c>
      <c r="I831" s="4">
        <f t="shared" si="414"/>
        <v>2019</v>
      </c>
      <c r="J831">
        <f t="shared" si="415"/>
        <v>27.225112727272727</v>
      </c>
      <c r="K831">
        <f t="shared" si="416"/>
        <v>3.9518356164383563</v>
      </c>
      <c r="R831" s="4">
        <f t="shared" si="417"/>
        <v>-2.074887272727274</v>
      </c>
      <c r="S831" s="4">
        <f t="shared" si="418"/>
        <v>2.9518356164383563</v>
      </c>
    </row>
    <row r="832" spans="1:19" hidden="1" x14ac:dyDescent="0.35">
      <c r="A832" s="1">
        <v>43566</v>
      </c>
      <c r="B832" s="4">
        <v>29.2</v>
      </c>
      <c r="C832">
        <v>24.2</v>
      </c>
      <c r="D832">
        <v>36</v>
      </c>
      <c r="E832" s="4">
        <v>0</v>
      </c>
      <c r="F832" t="str">
        <f t="shared" si="411"/>
        <v>OK</v>
      </c>
      <c r="G832" t="str">
        <f t="shared" si="412"/>
        <v>OK</v>
      </c>
      <c r="H832" t="str">
        <f t="shared" si="413"/>
        <v>OK</v>
      </c>
      <c r="I832" s="4">
        <f t="shared" si="414"/>
        <v>2019</v>
      </c>
    </row>
    <row r="833" spans="1:19" hidden="1" x14ac:dyDescent="0.35">
      <c r="A833" s="1">
        <v>43567</v>
      </c>
      <c r="B833">
        <v>30</v>
      </c>
      <c r="C833">
        <v>23.6</v>
      </c>
      <c r="D833">
        <v>35.9</v>
      </c>
      <c r="E833"/>
      <c r="I833"/>
    </row>
    <row r="834" spans="1:19" hidden="1" x14ac:dyDescent="0.35">
      <c r="A834" s="1">
        <v>43568</v>
      </c>
      <c r="B834">
        <v>29.4</v>
      </c>
      <c r="C834">
        <v>24.6</v>
      </c>
      <c r="D834">
        <v>36.6</v>
      </c>
      <c r="E834"/>
      <c r="I834"/>
    </row>
    <row r="835" spans="1:19" hidden="1" x14ac:dyDescent="0.35">
      <c r="A835" s="1">
        <v>43569</v>
      </c>
      <c r="B835">
        <v>29.5</v>
      </c>
      <c r="C835">
        <v>24.2</v>
      </c>
      <c r="D835">
        <v>36</v>
      </c>
      <c r="E835"/>
      <c r="I835"/>
    </row>
    <row r="836" spans="1:19" hidden="1" x14ac:dyDescent="0.35">
      <c r="A836" s="1">
        <v>43570</v>
      </c>
      <c r="B836">
        <v>29.1</v>
      </c>
      <c r="C836">
        <v>24</v>
      </c>
      <c r="D836">
        <v>36.200000000000003</v>
      </c>
      <c r="E836"/>
      <c r="I836"/>
    </row>
    <row r="837" spans="1:19" hidden="1" x14ac:dyDescent="0.35">
      <c r="A837" s="1">
        <v>43571</v>
      </c>
      <c r="B837">
        <v>29.7</v>
      </c>
      <c r="C837">
        <v>23.6</v>
      </c>
      <c r="D837">
        <v>36.200000000000003</v>
      </c>
      <c r="E837"/>
      <c r="I837"/>
    </row>
    <row r="838" spans="1:19" hidden="1" x14ac:dyDescent="0.35">
      <c r="A838" s="1">
        <v>43572</v>
      </c>
      <c r="B838">
        <v>26.3</v>
      </c>
      <c r="C838">
        <v>23.9</v>
      </c>
      <c r="D838">
        <v>36.4</v>
      </c>
      <c r="E838"/>
      <c r="I838"/>
    </row>
    <row r="839" spans="1:19" x14ac:dyDescent="0.35">
      <c r="A839" s="1">
        <v>43573</v>
      </c>
      <c r="B839" s="4">
        <v>27.2</v>
      </c>
      <c r="C839">
        <v>21.6</v>
      </c>
      <c r="D839">
        <v>36</v>
      </c>
      <c r="E839" s="4">
        <v>16.8</v>
      </c>
      <c r="F839" t="str">
        <f t="shared" ref="F839:F842" si="419">IF(OR(B839 &lt; $N$30, B839 &gt; $N$67), "Outlier", "OK")</f>
        <v>OK</v>
      </c>
      <c r="G839" t="str">
        <f t="shared" ref="G839:G842" si="420">IF(OR(C839 &lt; $O$30, C839 &gt; $O$67), "Outlier", "OK")</f>
        <v>OK</v>
      </c>
      <c r="H839" t="str">
        <f t="shared" ref="H839:H842" si="421">IF(OR(D839 &lt; $P$30, D839 &gt; $P$67), "Outlier", "OK")</f>
        <v>OK</v>
      </c>
      <c r="I839" s="4">
        <f t="shared" ref="I839:I842" si="422">YEAR(A839)</f>
        <v>2019</v>
      </c>
      <c r="J839">
        <f t="shared" ref="J839:J841" si="423">( 377.84*B839 + 3903.1)/550</f>
        <v>25.782450909090908</v>
      </c>
      <c r="K839">
        <f t="shared" ref="K839:K841" si="424" xml:space="preserve"> (59.02*E839 + 1383.4)/365</f>
        <v>6.5066739726027398</v>
      </c>
      <c r="R839" s="4">
        <f t="shared" ref="R839:R841" si="425">J839-B839</f>
        <v>-1.4175490909090911</v>
      </c>
      <c r="S839" s="4">
        <f t="shared" ref="S839:S841" si="426">K839-E839</f>
        <v>-10.29332602739726</v>
      </c>
    </row>
    <row r="840" spans="1:19" x14ac:dyDescent="0.35">
      <c r="A840" s="1">
        <v>43574</v>
      </c>
      <c r="B840" s="4">
        <v>27.6</v>
      </c>
      <c r="C840">
        <v>21.4</v>
      </c>
      <c r="D840">
        <v>35.6</v>
      </c>
      <c r="E840" s="4">
        <v>20.8</v>
      </c>
      <c r="F840" t="str">
        <f t="shared" si="419"/>
        <v>OK</v>
      </c>
      <c r="G840" t="str">
        <f t="shared" si="420"/>
        <v>OK</v>
      </c>
      <c r="H840" t="str">
        <f t="shared" si="421"/>
        <v>OK</v>
      </c>
      <c r="I840" s="4">
        <f t="shared" si="422"/>
        <v>2019</v>
      </c>
      <c r="J840">
        <f t="shared" si="423"/>
        <v>26.057243636363637</v>
      </c>
      <c r="K840">
        <f t="shared" si="424"/>
        <v>7.1534684931506867</v>
      </c>
      <c r="R840" s="4">
        <f t="shared" si="425"/>
        <v>-1.5427563636363644</v>
      </c>
      <c r="S840" s="4">
        <f t="shared" si="426"/>
        <v>-13.646531506849314</v>
      </c>
    </row>
    <row r="841" spans="1:19" x14ac:dyDescent="0.35">
      <c r="A841" s="1">
        <v>43575</v>
      </c>
      <c r="B841" s="4">
        <v>26.8</v>
      </c>
      <c r="C841">
        <v>22.4</v>
      </c>
      <c r="D841">
        <v>33.200000000000003</v>
      </c>
      <c r="E841" s="4">
        <v>0.3</v>
      </c>
      <c r="F841" t="str">
        <f t="shared" si="419"/>
        <v>OK</v>
      </c>
      <c r="G841" t="str">
        <f t="shared" si="420"/>
        <v>OK</v>
      </c>
      <c r="H841" t="str">
        <f t="shared" si="421"/>
        <v>OK</v>
      </c>
      <c r="I841" s="4">
        <f t="shared" si="422"/>
        <v>2019</v>
      </c>
      <c r="J841">
        <f t="shared" si="423"/>
        <v>25.507658181818179</v>
      </c>
      <c r="K841">
        <f t="shared" si="424"/>
        <v>3.8386465753424659</v>
      </c>
      <c r="R841" s="4">
        <f t="shared" si="425"/>
        <v>-1.2923418181818214</v>
      </c>
      <c r="S841" s="4">
        <f t="shared" si="426"/>
        <v>3.5386465753424661</v>
      </c>
    </row>
    <row r="842" spans="1:19" hidden="1" x14ac:dyDescent="0.35">
      <c r="A842" s="1">
        <v>43576</v>
      </c>
      <c r="B842" s="4">
        <v>27.4</v>
      </c>
      <c r="C842">
        <v>21.6</v>
      </c>
      <c r="D842">
        <v>34.200000000000003</v>
      </c>
      <c r="E842" s="4">
        <v>0</v>
      </c>
      <c r="F842" t="str">
        <f t="shared" si="419"/>
        <v>OK</v>
      </c>
      <c r="G842" t="str">
        <f t="shared" si="420"/>
        <v>OK</v>
      </c>
      <c r="H842" t="str">
        <f t="shared" si="421"/>
        <v>OK</v>
      </c>
      <c r="I842" s="4">
        <f t="shared" si="422"/>
        <v>2019</v>
      </c>
    </row>
    <row r="843" spans="1:19" hidden="1" x14ac:dyDescent="0.35">
      <c r="A843" s="1">
        <v>43577</v>
      </c>
      <c r="B843">
        <v>27.7</v>
      </c>
      <c r="C843">
        <v>23.6</v>
      </c>
      <c r="D843">
        <v>34.200000000000003</v>
      </c>
      <c r="E843"/>
      <c r="I843"/>
    </row>
    <row r="844" spans="1:19" hidden="1" x14ac:dyDescent="0.35">
      <c r="A844" s="1">
        <v>43578</v>
      </c>
      <c r="B844" s="4">
        <v>27.9</v>
      </c>
      <c r="C844">
        <v>23.2</v>
      </c>
      <c r="D844">
        <v>35</v>
      </c>
      <c r="E844" s="4">
        <v>0</v>
      </c>
      <c r="F844" t="str">
        <f t="shared" ref="F844:F846" si="427">IF(OR(B844 &lt; $N$30, B844 &gt; $N$67), "Outlier", "OK")</f>
        <v>OK</v>
      </c>
      <c r="G844" t="str">
        <f t="shared" ref="G844:G846" si="428">IF(OR(C844 &lt; $O$30, C844 &gt; $O$67), "Outlier", "OK")</f>
        <v>OK</v>
      </c>
      <c r="H844" t="str">
        <f t="shared" ref="H844:H846" si="429">IF(OR(D844 &lt; $P$30, D844 &gt; $P$67), "Outlier", "OK")</f>
        <v>OK</v>
      </c>
      <c r="I844" s="4">
        <f t="shared" ref="I844:I846" si="430">YEAR(A844)</f>
        <v>2019</v>
      </c>
    </row>
    <row r="845" spans="1:19" x14ac:dyDescent="0.35">
      <c r="A845" s="1">
        <v>43579</v>
      </c>
      <c r="B845" s="4">
        <v>28.8</v>
      </c>
      <c r="C845">
        <v>23</v>
      </c>
      <c r="D845">
        <v>34.200000000000003</v>
      </c>
      <c r="E845" s="4">
        <v>0.3</v>
      </c>
      <c r="F845" t="str">
        <f t="shared" si="427"/>
        <v>OK</v>
      </c>
      <c r="G845" t="str">
        <f t="shared" si="428"/>
        <v>OK</v>
      </c>
      <c r="H845" t="str">
        <f t="shared" si="429"/>
        <v>OK</v>
      </c>
      <c r="I845" s="4">
        <f t="shared" si="430"/>
        <v>2019</v>
      </c>
      <c r="J845">
        <f>( 377.84*B845 + 3903.1)/550</f>
        <v>26.881621818181817</v>
      </c>
      <c r="K845">
        <f xml:space="preserve"> (59.02*E845 + 1383.4)/365</f>
        <v>3.8386465753424659</v>
      </c>
      <c r="R845" s="4">
        <f>J845-B845</f>
        <v>-1.9183781818181842</v>
      </c>
      <c r="S845" s="4">
        <f>K845-E845</f>
        <v>3.5386465753424661</v>
      </c>
    </row>
    <row r="846" spans="1:19" hidden="1" x14ac:dyDescent="0.35">
      <c r="A846" s="1">
        <v>43580</v>
      </c>
      <c r="B846" s="4">
        <v>28.8</v>
      </c>
      <c r="C846">
        <v>22.8</v>
      </c>
      <c r="D846">
        <v>34.299999999999997</v>
      </c>
      <c r="E846" s="4">
        <v>0</v>
      </c>
      <c r="F846" t="str">
        <f t="shared" si="427"/>
        <v>OK</v>
      </c>
      <c r="G846" t="str">
        <f t="shared" si="428"/>
        <v>OK</v>
      </c>
      <c r="H846" t="str">
        <f t="shared" si="429"/>
        <v>OK</v>
      </c>
      <c r="I846" s="4">
        <f t="shared" si="430"/>
        <v>2019</v>
      </c>
    </row>
    <row r="847" spans="1:19" hidden="1" x14ac:dyDescent="0.35">
      <c r="A847" s="1">
        <v>43581</v>
      </c>
      <c r="B847">
        <v>29.6</v>
      </c>
      <c r="C847">
        <v>23.5</v>
      </c>
      <c r="D847">
        <v>35.6</v>
      </c>
      <c r="E847"/>
      <c r="I847"/>
    </row>
    <row r="848" spans="1:19" hidden="1" x14ac:dyDescent="0.35">
      <c r="A848" s="1">
        <v>43582</v>
      </c>
      <c r="B848">
        <v>30.4</v>
      </c>
      <c r="C848">
        <v>24.4</v>
      </c>
      <c r="D848">
        <v>36.6</v>
      </c>
      <c r="E848"/>
      <c r="I848"/>
    </row>
    <row r="849" spans="1:19" hidden="1" x14ac:dyDescent="0.35">
      <c r="A849" s="1">
        <v>43583</v>
      </c>
      <c r="B849">
        <v>28.3</v>
      </c>
      <c r="C849">
        <v>24.9</v>
      </c>
      <c r="D849">
        <v>37</v>
      </c>
      <c r="E849"/>
      <c r="I849"/>
    </row>
    <row r="850" spans="1:19" hidden="1" x14ac:dyDescent="0.35">
      <c r="A850" s="1">
        <v>43584</v>
      </c>
      <c r="B850">
        <v>28.2</v>
      </c>
      <c r="C850">
        <v>24</v>
      </c>
      <c r="D850">
        <v>32</v>
      </c>
      <c r="E850"/>
      <c r="I850"/>
    </row>
    <row r="851" spans="1:19" x14ac:dyDescent="0.35">
      <c r="A851" s="1">
        <v>43585</v>
      </c>
      <c r="B851" s="4">
        <v>24.2</v>
      </c>
      <c r="C851">
        <v>19.899999999999999</v>
      </c>
      <c r="D851">
        <v>35</v>
      </c>
      <c r="E851" s="4">
        <v>35.1</v>
      </c>
      <c r="F851" t="str">
        <f t="shared" ref="F851:F852" si="431">IF(OR(B851 &lt; $N$30, B851 &gt; $N$67), "Outlier", "OK")</f>
        <v>OK</v>
      </c>
      <c r="G851" t="str">
        <f t="shared" ref="G851:G852" si="432">IF(OR(C851 &lt; $O$30, C851 &gt; $O$67), "Outlier", "OK")</f>
        <v>OK</v>
      </c>
      <c r="H851" t="str">
        <f t="shared" ref="H851:H852" si="433">IF(OR(D851 &lt; $P$30, D851 &gt; $P$67), "Outlier", "OK")</f>
        <v>OK</v>
      </c>
      <c r="I851" s="4">
        <f t="shared" ref="I851:I852" si="434">YEAR(A851)</f>
        <v>2019</v>
      </c>
      <c r="J851">
        <f>( 377.84*B851 + 3903.1)/550</f>
        <v>23.721505454545454</v>
      </c>
      <c r="K851">
        <f xml:space="preserve"> (59.02*E851 + 1383.4)/365</f>
        <v>9.46575890410959</v>
      </c>
      <c r="R851" s="4">
        <f>J851-B851</f>
        <v>-0.47849454545454506</v>
      </c>
      <c r="S851" s="4">
        <f>K851-E851</f>
        <v>-25.63424109589041</v>
      </c>
    </row>
    <row r="852" spans="1:19" hidden="1" x14ac:dyDescent="0.35">
      <c r="A852" s="1">
        <v>43586</v>
      </c>
      <c r="B852" s="4">
        <v>26.3</v>
      </c>
      <c r="C852">
        <v>20.9</v>
      </c>
      <c r="D852">
        <v>28.9</v>
      </c>
      <c r="E852" s="4">
        <v>0</v>
      </c>
      <c r="F852" t="str">
        <f t="shared" si="431"/>
        <v>OK</v>
      </c>
      <c r="G852" t="str">
        <f t="shared" si="432"/>
        <v>OK</v>
      </c>
      <c r="H852" t="str">
        <f t="shared" si="433"/>
        <v>OK</v>
      </c>
      <c r="I852" s="4">
        <f t="shared" si="434"/>
        <v>2019</v>
      </c>
    </row>
    <row r="853" spans="1:19" hidden="1" x14ac:dyDescent="0.35">
      <c r="A853" s="1">
        <v>43587</v>
      </c>
      <c r="B853">
        <v>27</v>
      </c>
      <c r="C853">
        <v>22</v>
      </c>
      <c r="D853">
        <v>30</v>
      </c>
      <c r="E853"/>
      <c r="I853"/>
    </row>
    <row r="854" spans="1:19" hidden="1" x14ac:dyDescent="0.35">
      <c r="A854" s="1">
        <v>43588</v>
      </c>
      <c r="B854">
        <v>27.1</v>
      </c>
      <c r="C854">
        <v>21.4</v>
      </c>
      <c r="D854">
        <v>33.4</v>
      </c>
      <c r="E854"/>
      <c r="I854"/>
    </row>
    <row r="855" spans="1:19" hidden="1" x14ac:dyDescent="0.35">
      <c r="A855" s="1">
        <v>43589</v>
      </c>
      <c r="B855">
        <v>27.3</v>
      </c>
      <c r="C855">
        <v>22</v>
      </c>
      <c r="D855">
        <v>33.6</v>
      </c>
      <c r="E855"/>
      <c r="I855"/>
    </row>
    <row r="856" spans="1:19" hidden="1" x14ac:dyDescent="0.35">
      <c r="A856" s="1">
        <v>43590</v>
      </c>
      <c r="B856">
        <v>28.6</v>
      </c>
      <c r="C856">
        <v>22.4</v>
      </c>
      <c r="D856">
        <v>35.9</v>
      </c>
      <c r="E856"/>
      <c r="I856"/>
    </row>
    <row r="857" spans="1:19" hidden="1" x14ac:dyDescent="0.35">
      <c r="A857" s="1">
        <v>43591</v>
      </c>
      <c r="B857" s="4">
        <v>28.8</v>
      </c>
      <c r="C857">
        <v>24</v>
      </c>
      <c r="D857">
        <v>35.6</v>
      </c>
      <c r="E857" s="4">
        <v>0</v>
      </c>
      <c r="F857" t="str">
        <f t="shared" ref="F857:F860" si="435">IF(OR(B857 &lt; $N$30, B857 &gt; $N$67), "Outlier", "OK")</f>
        <v>OK</v>
      </c>
      <c r="G857" t="str">
        <f t="shared" ref="G857:G860" si="436">IF(OR(C857 &lt; $O$30, C857 &gt; $O$67), "Outlier", "OK")</f>
        <v>OK</v>
      </c>
      <c r="H857" t="str">
        <f t="shared" ref="H857:H860" si="437">IF(OR(D857 &lt; $P$30, D857 &gt; $P$67), "Outlier", "OK")</f>
        <v>OK</v>
      </c>
      <c r="I857" s="4">
        <f t="shared" ref="I857:I860" si="438">YEAR(A857)</f>
        <v>2019</v>
      </c>
    </row>
    <row r="858" spans="1:19" hidden="1" x14ac:dyDescent="0.35">
      <c r="A858" s="1">
        <v>43592</v>
      </c>
      <c r="B858" s="4">
        <v>25.5</v>
      </c>
      <c r="C858">
        <v>21.9</v>
      </c>
      <c r="D858">
        <v>36.200000000000003</v>
      </c>
      <c r="E858" s="4">
        <v>0</v>
      </c>
      <c r="F858" t="str">
        <f t="shared" si="435"/>
        <v>OK</v>
      </c>
      <c r="G858" t="str">
        <f t="shared" si="436"/>
        <v>OK</v>
      </c>
      <c r="H858" t="str">
        <f t="shared" si="437"/>
        <v>OK</v>
      </c>
      <c r="I858" s="4">
        <f t="shared" si="438"/>
        <v>2019</v>
      </c>
    </row>
    <row r="859" spans="1:19" x14ac:dyDescent="0.35">
      <c r="A859" s="1">
        <v>43593</v>
      </c>
      <c r="B859" s="4">
        <v>26.7</v>
      </c>
      <c r="C859">
        <v>20.6</v>
      </c>
      <c r="D859">
        <v>33.6</v>
      </c>
      <c r="E859" s="4">
        <v>15</v>
      </c>
      <c r="F859" t="str">
        <f t="shared" si="435"/>
        <v>OK</v>
      </c>
      <c r="G859" t="str">
        <f t="shared" si="436"/>
        <v>OK</v>
      </c>
      <c r="H859" t="str">
        <f t="shared" si="437"/>
        <v>OK</v>
      </c>
      <c r="I859" s="4">
        <f t="shared" si="438"/>
        <v>2019</v>
      </c>
      <c r="J859">
        <f>( 377.84*B859 + 3903.1)/550</f>
        <v>25.438959999999998</v>
      </c>
      <c r="K859">
        <f xml:space="preserve"> (59.02*E859 + 1383.4)/365</f>
        <v>6.2156164383561654</v>
      </c>
      <c r="R859" s="4">
        <f>J859-B859</f>
        <v>-1.2610400000000013</v>
      </c>
      <c r="S859" s="4">
        <f>K859-E859</f>
        <v>-8.7843835616438355</v>
      </c>
    </row>
    <row r="860" spans="1:19" hidden="1" x14ac:dyDescent="0.35">
      <c r="A860" s="1">
        <v>43594</v>
      </c>
      <c r="B860" s="4">
        <v>27.9</v>
      </c>
      <c r="C860">
        <v>20.8</v>
      </c>
      <c r="D860">
        <v>33.1</v>
      </c>
      <c r="E860" s="4">
        <v>0</v>
      </c>
      <c r="F860" t="str">
        <f t="shared" si="435"/>
        <v>OK</v>
      </c>
      <c r="G860" t="str">
        <f t="shared" si="436"/>
        <v>OK</v>
      </c>
      <c r="H860" t="str">
        <f t="shared" si="437"/>
        <v>OK</v>
      </c>
      <c r="I860" s="4">
        <f t="shared" si="438"/>
        <v>2019</v>
      </c>
    </row>
    <row r="861" spans="1:19" hidden="1" x14ac:dyDescent="0.35">
      <c r="A861" s="1">
        <v>43595</v>
      </c>
      <c r="B861">
        <v>29.4</v>
      </c>
      <c r="C861">
        <v>23.2</v>
      </c>
      <c r="D861">
        <v>35.799999999999997</v>
      </c>
      <c r="E861"/>
      <c r="I861"/>
    </row>
    <row r="862" spans="1:19" hidden="1" x14ac:dyDescent="0.35">
      <c r="A862" s="1">
        <v>43596</v>
      </c>
      <c r="B862">
        <v>27.3</v>
      </c>
      <c r="C862">
        <v>24.6</v>
      </c>
      <c r="D862">
        <v>35.700000000000003</v>
      </c>
      <c r="E862"/>
      <c r="I862"/>
    </row>
    <row r="863" spans="1:19" x14ac:dyDescent="0.35">
      <c r="A863" s="1">
        <v>43597</v>
      </c>
      <c r="B863" s="4">
        <v>27.8</v>
      </c>
      <c r="C863">
        <v>24.4</v>
      </c>
      <c r="D863">
        <v>35.200000000000003</v>
      </c>
      <c r="E863" s="4">
        <v>7.9</v>
      </c>
      <c r="F863" t="str">
        <f t="shared" ref="F863:F866" si="439">IF(OR(B863 &lt; $N$30, B863 &gt; $N$67), "Outlier", "OK")</f>
        <v>OK</v>
      </c>
      <c r="G863" t="str">
        <f t="shared" ref="G863:G866" si="440">IF(OR(C863 &lt; $O$30, C863 &gt; $O$67), "Outlier", "OK")</f>
        <v>OK</v>
      </c>
      <c r="H863" t="str">
        <f t="shared" ref="H863:H866" si="441">IF(OR(D863 &lt; $P$30, D863 &gt; $P$67), "Outlier", "OK")</f>
        <v>OK</v>
      </c>
      <c r="I863" s="4">
        <f t="shared" ref="I863:I866" si="442">YEAR(A863)</f>
        <v>2019</v>
      </c>
      <c r="J863">
        <f>( 377.84*B863 + 3903.1)/550</f>
        <v>26.19464</v>
      </c>
      <c r="K863">
        <f xml:space="preserve"> (59.02*E863 + 1383.4)/365</f>
        <v>5.0675561643835616</v>
      </c>
      <c r="R863" s="4">
        <f>J863-B863</f>
        <v>-1.605360000000001</v>
      </c>
      <c r="S863" s="4">
        <f>K863-E863</f>
        <v>-2.8324438356164388</v>
      </c>
    </row>
    <row r="864" spans="1:19" hidden="1" x14ac:dyDescent="0.35">
      <c r="A864" s="1">
        <v>43598</v>
      </c>
      <c r="B864" s="4">
        <v>26.7</v>
      </c>
      <c r="C864">
        <v>21.7</v>
      </c>
      <c r="D864">
        <v>35</v>
      </c>
      <c r="E864" s="4">
        <v>0</v>
      </c>
      <c r="F864" t="str">
        <f t="shared" si="439"/>
        <v>OK</v>
      </c>
      <c r="G864" t="str">
        <f t="shared" si="440"/>
        <v>OK</v>
      </c>
      <c r="H864" t="str">
        <f t="shared" si="441"/>
        <v>OK</v>
      </c>
      <c r="I864" s="4">
        <f t="shared" si="442"/>
        <v>2019</v>
      </c>
    </row>
    <row r="865" spans="1:19" hidden="1" x14ac:dyDescent="0.35">
      <c r="A865" s="1">
        <v>43599</v>
      </c>
      <c r="B865" s="4">
        <v>27.9</v>
      </c>
      <c r="C865">
        <v>21.8</v>
      </c>
      <c r="D865">
        <v>35</v>
      </c>
      <c r="E865" s="4">
        <v>0</v>
      </c>
      <c r="F865" t="str">
        <f t="shared" si="439"/>
        <v>OK</v>
      </c>
      <c r="G865" t="str">
        <f t="shared" si="440"/>
        <v>OK</v>
      </c>
      <c r="H865" t="str">
        <f t="shared" si="441"/>
        <v>OK</v>
      </c>
      <c r="I865" s="4">
        <f t="shared" si="442"/>
        <v>2019</v>
      </c>
    </row>
    <row r="866" spans="1:19" hidden="1" x14ac:dyDescent="0.35">
      <c r="A866" s="1">
        <v>43600</v>
      </c>
      <c r="B866" s="4">
        <v>25.6</v>
      </c>
      <c r="C866">
        <v>22.2</v>
      </c>
      <c r="D866">
        <v>34.799999999999997</v>
      </c>
      <c r="E866" s="4">
        <v>0</v>
      </c>
      <c r="F866" t="str">
        <f t="shared" si="439"/>
        <v>OK</v>
      </c>
      <c r="G866" t="str">
        <f t="shared" si="440"/>
        <v>OK</v>
      </c>
      <c r="H866" t="str">
        <f t="shared" si="441"/>
        <v>OK</v>
      </c>
      <c r="I866" s="4">
        <f t="shared" si="442"/>
        <v>2019</v>
      </c>
    </row>
    <row r="867" spans="1:19" hidden="1" x14ac:dyDescent="0.35">
      <c r="A867" s="1">
        <v>43601</v>
      </c>
      <c r="B867">
        <v>27.1</v>
      </c>
      <c r="C867">
        <v>21.3</v>
      </c>
      <c r="D867">
        <v>34.6</v>
      </c>
      <c r="E867"/>
      <c r="I867"/>
    </row>
    <row r="868" spans="1:19" x14ac:dyDescent="0.35">
      <c r="A868" s="1">
        <v>43602</v>
      </c>
      <c r="B868" s="4">
        <v>24</v>
      </c>
      <c r="C868">
        <v>21.4</v>
      </c>
      <c r="D868">
        <v>33.6</v>
      </c>
      <c r="E868" s="4">
        <v>9.9</v>
      </c>
      <c r="F868" t="str">
        <f>IF(OR(B868 &lt; $N$30, B868 &gt; $N$67), "Outlier", "OK")</f>
        <v>OK</v>
      </c>
      <c r="G868" t="str">
        <f>IF(OR(C868 &lt; $O$30, C868 &gt; $O$67), "Outlier", "OK")</f>
        <v>OK</v>
      </c>
      <c r="H868" t="str">
        <f>IF(OR(D868 &lt; $P$30, D868 &gt; $P$67), "Outlier", "OK")</f>
        <v>OK</v>
      </c>
      <c r="I868" s="4">
        <f>YEAR(A868)</f>
        <v>2019</v>
      </c>
      <c r="J868">
        <f>( 377.84*B868 + 3903.1)/550</f>
        <v>23.584109090909092</v>
      </c>
      <c r="K868">
        <f xml:space="preserve"> (59.02*E868 + 1383.4)/365</f>
        <v>5.3909534246575346</v>
      </c>
      <c r="R868" s="4">
        <f>J868-B868</f>
        <v>-0.41589090909090842</v>
      </c>
      <c r="S868" s="4">
        <f>K868-E868</f>
        <v>-4.5090465753424658</v>
      </c>
    </row>
    <row r="869" spans="1:19" hidden="1" x14ac:dyDescent="0.35">
      <c r="A869" s="1">
        <v>43603</v>
      </c>
      <c r="B869">
        <v>27.7</v>
      </c>
      <c r="C869">
        <v>21.4</v>
      </c>
      <c r="D869">
        <v>33.6</v>
      </c>
      <c r="E869">
        <v>18.8</v>
      </c>
      <c r="F869" t="str">
        <f t="shared" ref="F869:F870" si="443">IF(OR(B848 &lt; $N$30, B848 &gt; $N$67), "Outlier", "OK")</f>
        <v>Outlier</v>
      </c>
      <c r="G869" t="str">
        <f t="shared" ref="G869:G870" si="444">IF(OR(C848 &lt; $O$30, C848 &gt; $O$67), "Outlier", "OK")</f>
        <v>OK</v>
      </c>
      <c r="H869" t="str">
        <f t="shared" ref="H869:H870" si="445">IF(OR(D848 &lt; $P$30, D848 &gt; $P$67), "Outlier", "OK")</f>
        <v>OK</v>
      </c>
      <c r="I869"/>
    </row>
    <row r="870" spans="1:19" hidden="1" x14ac:dyDescent="0.35">
      <c r="A870" s="1">
        <v>43604</v>
      </c>
      <c r="B870">
        <v>28.2</v>
      </c>
      <c r="C870">
        <v>23.8</v>
      </c>
      <c r="D870">
        <v>34</v>
      </c>
      <c r="E870">
        <v>0</v>
      </c>
      <c r="F870" t="str">
        <f t="shared" si="443"/>
        <v>OK</v>
      </c>
      <c r="G870" t="str">
        <f t="shared" si="444"/>
        <v>Outlier</v>
      </c>
      <c r="H870" t="str">
        <f t="shared" si="445"/>
        <v>OK</v>
      </c>
      <c r="I870"/>
    </row>
    <row r="871" spans="1:19" hidden="1" x14ac:dyDescent="0.35">
      <c r="A871" s="1">
        <v>43605</v>
      </c>
      <c r="B871">
        <v>28</v>
      </c>
      <c r="C871">
        <v>24.4</v>
      </c>
      <c r="D871">
        <v>34.799999999999997</v>
      </c>
      <c r="E871"/>
      <c r="I871"/>
    </row>
    <row r="872" spans="1:19" hidden="1" x14ac:dyDescent="0.35">
      <c r="A872" s="1">
        <v>43606</v>
      </c>
      <c r="B872">
        <v>28.5</v>
      </c>
      <c r="C872">
        <v>24</v>
      </c>
      <c r="D872">
        <v>34.4</v>
      </c>
      <c r="E872"/>
      <c r="I872"/>
    </row>
    <row r="873" spans="1:19" hidden="1" x14ac:dyDescent="0.35">
      <c r="A873" s="1">
        <v>43607</v>
      </c>
      <c r="B873">
        <v>26.9</v>
      </c>
      <c r="C873">
        <v>20.8</v>
      </c>
      <c r="D873">
        <v>34.799999999999997</v>
      </c>
      <c r="E873"/>
      <c r="I873"/>
    </row>
    <row r="874" spans="1:19" x14ac:dyDescent="0.35">
      <c r="A874" s="1">
        <v>43608</v>
      </c>
      <c r="B874" s="4">
        <v>26.5</v>
      </c>
      <c r="C874">
        <v>22.6</v>
      </c>
      <c r="D874">
        <v>34.6</v>
      </c>
      <c r="E874" s="4">
        <v>15</v>
      </c>
      <c r="F874" t="str">
        <f t="shared" ref="F874:F876" si="446">IF(OR(B874 &lt; $N$30, B874 &gt; $N$67), "Outlier", "OK")</f>
        <v>OK</v>
      </c>
      <c r="G874" t="str">
        <f t="shared" ref="G874:G876" si="447">IF(OR(C874 &lt; $O$30, C874 &gt; $O$67), "Outlier", "OK")</f>
        <v>OK</v>
      </c>
      <c r="H874" t="str">
        <f t="shared" ref="H874:H876" si="448">IF(OR(D874 &lt; $P$30, D874 &gt; $P$67), "Outlier", "OK")</f>
        <v>OK</v>
      </c>
      <c r="I874" s="4">
        <f t="shared" ref="I874:I876" si="449">YEAR(A874)</f>
        <v>2019</v>
      </c>
      <c r="J874">
        <f t="shared" ref="J874:J875" si="450">( 377.84*B874 + 3903.1)/550</f>
        <v>25.301563636363639</v>
      </c>
      <c r="K874">
        <f t="shared" ref="K874:K875" si="451" xml:space="preserve"> (59.02*E874 + 1383.4)/365</f>
        <v>6.2156164383561654</v>
      </c>
      <c r="R874" s="4">
        <f t="shared" ref="R874:R875" si="452">J874-B874</f>
        <v>-1.1984363636363611</v>
      </c>
      <c r="S874" s="4">
        <f t="shared" ref="S874:S875" si="453">K874-E874</f>
        <v>-8.7843835616438355</v>
      </c>
    </row>
    <row r="875" spans="1:19" x14ac:dyDescent="0.35">
      <c r="A875" s="1">
        <v>43609</v>
      </c>
      <c r="B875" s="4">
        <v>26.1</v>
      </c>
      <c r="C875">
        <v>22.4</v>
      </c>
      <c r="D875">
        <v>34</v>
      </c>
      <c r="E875" s="4">
        <v>3.8</v>
      </c>
      <c r="F875" t="str">
        <f t="shared" si="446"/>
        <v>OK</v>
      </c>
      <c r="G875" t="str">
        <f t="shared" si="447"/>
        <v>OK</v>
      </c>
      <c r="H875" t="str">
        <f t="shared" si="448"/>
        <v>OK</v>
      </c>
      <c r="I875" s="4">
        <f t="shared" si="449"/>
        <v>2019</v>
      </c>
      <c r="J875">
        <f t="shared" si="450"/>
        <v>25.02677090909091</v>
      </c>
      <c r="K875">
        <f t="shared" si="451"/>
        <v>4.4045917808219182</v>
      </c>
      <c r="R875" s="4">
        <f t="shared" si="452"/>
        <v>-1.0732290909090914</v>
      </c>
      <c r="S875" s="4">
        <f t="shared" si="453"/>
        <v>0.60459178082191833</v>
      </c>
    </row>
    <row r="876" spans="1:19" hidden="1" x14ac:dyDescent="0.35">
      <c r="A876" s="1">
        <v>43610</v>
      </c>
      <c r="B876" s="4">
        <v>24.8</v>
      </c>
      <c r="C876">
        <v>21</v>
      </c>
      <c r="D876">
        <v>33.5</v>
      </c>
      <c r="E876" s="4">
        <v>0</v>
      </c>
      <c r="F876" t="str">
        <f t="shared" si="446"/>
        <v>OK</v>
      </c>
      <c r="G876" t="str">
        <f t="shared" si="447"/>
        <v>OK</v>
      </c>
      <c r="H876" t="str">
        <f t="shared" si="448"/>
        <v>OK</v>
      </c>
      <c r="I876" s="4">
        <f t="shared" si="449"/>
        <v>2019</v>
      </c>
    </row>
    <row r="877" spans="1:19" hidden="1" x14ac:dyDescent="0.35">
      <c r="A877" s="1">
        <v>43611</v>
      </c>
      <c r="B877">
        <v>26.4</v>
      </c>
      <c r="C877">
        <v>20.8</v>
      </c>
      <c r="D877">
        <v>33.799999999999997</v>
      </c>
      <c r="E877"/>
      <c r="I877"/>
    </row>
    <row r="878" spans="1:19" x14ac:dyDescent="0.35">
      <c r="A878" s="1">
        <v>43612</v>
      </c>
      <c r="B878" s="4">
        <v>27.7</v>
      </c>
      <c r="C878">
        <v>20</v>
      </c>
      <c r="D878">
        <v>33.799999999999997</v>
      </c>
      <c r="E878" s="4">
        <v>37.299999999999997</v>
      </c>
      <c r="F878" t="str">
        <f t="shared" ref="F878:F881" si="454">IF(OR(B878 &lt; $N$30, B878 &gt; $N$67), "Outlier", "OK")</f>
        <v>OK</v>
      </c>
      <c r="G878" t="str">
        <f t="shared" ref="G878:G881" si="455">IF(OR(C878 &lt; $O$30, C878 &gt; $O$67), "Outlier", "OK")</f>
        <v>OK</v>
      </c>
      <c r="H878" t="str">
        <f t="shared" ref="H878:H881" si="456">IF(OR(D878 &lt; $P$30, D878 &gt; $P$67), "Outlier", "OK")</f>
        <v>OK</v>
      </c>
      <c r="I878" s="4">
        <f t="shared" ref="I878:I881" si="457">YEAR(A878)</f>
        <v>2019</v>
      </c>
      <c r="J878">
        <f>( 377.84*B878 + 3903.1)/550</f>
        <v>26.125941818181818</v>
      </c>
      <c r="K878">
        <f xml:space="preserve"> (59.02*E878 + 1383.4)/365</f>
        <v>9.8214958904109597</v>
      </c>
      <c r="R878" s="4">
        <f>J878-B878</f>
        <v>-1.5740581818181809</v>
      </c>
      <c r="S878" s="4">
        <f>K878-E878</f>
        <v>-27.478504109589039</v>
      </c>
    </row>
    <row r="879" spans="1:19" hidden="1" x14ac:dyDescent="0.35">
      <c r="A879" s="1">
        <v>43613</v>
      </c>
      <c r="B879">
        <v>27.5</v>
      </c>
      <c r="C879">
        <v>24.7</v>
      </c>
      <c r="D879">
        <v>34.200000000000003</v>
      </c>
      <c r="E879">
        <v>0</v>
      </c>
      <c r="F879" t="str">
        <f t="shared" si="454"/>
        <v>OK</v>
      </c>
      <c r="G879" t="str">
        <f t="shared" si="455"/>
        <v>Outlier</v>
      </c>
      <c r="H879" t="str">
        <f t="shared" si="456"/>
        <v>OK</v>
      </c>
      <c r="I879">
        <f t="shared" si="457"/>
        <v>2019</v>
      </c>
    </row>
    <row r="880" spans="1:19" x14ac:dyDescent="0.35">
      <c r="A880" s="1">
        <v>43614</v>
      </c>
      <c r="B880" s="4">
        <v>27.9</v>
      </c>
      <c r="C880">
        <v>23</v>
      </c>
      <c r="D880">
        <v>33.6</v>
      </c>
      <c r="E880" s="4">
        <v>0.3</v>
      </c>
      <c r="F880" t="str">
        <f t="shared" si="454"/>
        <v>OK</v>
      </c>
      <c r="G880" t="str">
        <f t="shared" si="455"/>
        <v>OK</v>
      </c>
      <c r="H880" t="str">
        <f t="shared" si="456"/>
        <v>OK</v>
      </c>
      <c r="I880" s="4">
        <f t="shared" si="457"/>
        <v>2019</v>
      </c>
      <c r="J880">
        <f>( 377.84*B880 + 3903.1)/550</f>
        <v>26.263338181818181</v>
      </c>
      <c r="K880">
        <f xml:space="preserve"> (59.02*E880 + 1383.4)/365</f>
        <v>3.8386465753424659</v>
      </c>
      <c r="R880" s="4">
        <f>J880-B880</f>
        <v>-1.6366618181818176</v>
      </c>
      <c r="S880" s="4">
        <f>K880-E880</f>
        <v>3.5386465753424661</v>
      </c>
    </row>
    <row r="881" spans="1:19" hidden="1" x14ac:dyDescent="0.35">
      <c r="A881" s="1">
        <v>43615</v>
      </c>
      <c r="B881" s="4">
        <v>27.8</v>
      </c>
      <c r="C881">
        <v>23</v>
      </c>
      <c r="D881">
        <v>34</v>
      </c>
      <c r="E881" s="4">
        <v>0</v>
      </c>
      <c r="F881" t="str">
        <f t="shared" si="454"/>
        <v>OK</v>
      </c>
      <c r="G881" t="str">
        <f t="shared" si="455"/>
        <v>OK</v>
      </c>
      <c r="H881" t="str">
        <f t="shared" si="456"/>
        <v>OK</v>
      </c>
      <c r="I881" s="4">
        <f t="shared" si="457"/>
        <v>2019</v>
      </c>
    </row>
    <row r="882" spans="1:19" hidden="1" x14ac:dyDescent="0.35">
      <c r="A882" s="1">
        <v>43616</v>
      </c>
      <c r="B882">
        <v>26.5</v>
      </c>
      <c r="C882">
        <v>23.8</v>
      </c>
      <c r="D882">
        <v>33.299999999999997</v>
      </c>
      <c r="E882"/>
      <c r="I882"/>
    </row>
    <row r="883" spans="1:19" x14ac:dyDescent="0.35">
      <c r="A883" s="1">
        <v>43617</v>
      </c>
      <c r="B883" s="4">
        <v>27.5</v>
      </c>
      <c r="C883">
        <v>21</v>
      </c>
      <c r="D883">
        <v>33.200000000000003</v>
      </c>
      <c r="E883" s="4">
        <v>1.5</v>
      </c>
      <c r="F883" t="str">
        <f t="shared" ref="F883:F886" si="458">IF(OR(B883 &lt; $N$30, B883 &gt; $N$67), "Outlier", "OK")</f>
        <v>OK</v>
      </c>
      <c r="G883" t="str">
        <f t="shared" ref="G883:G886" si="459">IF(OR(C883 &lt; $O$30, C883 &gt; $O$67), "Outlier", "OK")</f>
        <v>OK</v>
      </c>
      <c r="H883" t="str">
        <f t="shared" ref="H883:H886" si="460">IF(OR(D883 &lt; $P$30, D883 &gt; $P$67), "Outlier", "OK")</f>
        <v>OK</v>
      </c>
      <c r="I883" s="4">
        <f t="shared" ref="I883:I886" si="461">YEAR(A883)</f>
        <v>2019</v>
      </c>
      <c r="J883">
        <f>( 377.84*B883 + 3903.1)/550</f>
        <v>25.988545454545452</v>
      </c>
      <c r="K883">
        <f xml:space="preserve"> (59.02*E883 + 1383.4)/365</f>
        <v>4.0326849315068491</v>
      </c>
      <c r="R883" s="4">
        <f>J883-B883</f>
        <v>-1.5114545454545478</v>
      </c>
      <c r="S883" s="4">
        <f>K883-E883</f>
        <v>2.5326849315068491</v>
      </c>
    </row>
    <row r="884" spans="1:19" hidden="1" x14ac:dyDescent="0.35">
      <c r="A884" s="1">
        <v>43618</v>
      </c>
      <c r="B884" s="4">
        <v>26.2</v>
      </c>
      <c r="C884">
        <v>21.8</v>
      </c>
      <c r="D884">
        <v>33.200000000000003</v>
      </c>
      <c r="E884" s="4">
        <v>0</v>
      </c>
      <c r="F884" t="str">
        <f t="shared" si="458"/>
        <v>OK</v>
      </c>
      <c r="G884" t="str">
        <f t="shared" si="459"/>
        <v>OK</v>
      </c>
      <c r="H884" t="str">
        <f t="shared" si="460"/>
        <v>OK</v>
      </c>
      <c r="I884" s="4">
        <f t="shared" si="461"/>
        <v>2019</v>
      </c>
    </row>
    <row r="885" spans="1:19" x14ac:dyDescent="0.35">
      <c r="A885" s="1">
        <v>43619</v>
      </c>
      <c r="B885" s="4">
        <v>25.5</v>
      </c>
      <c r="C885">
        <v>21.2</v>
      </c>
      <c r="D885">
        <v>32.1</v>
      </c>
      <c r="E885" s="4">
        <v>8.4</v>
      </c>
      <c r="F885" t="str">
        <f t="shared" si="458"/>
        <v>OK</v>
      </c>
      <c r="G885" t="str">
        <f t="shared" si="459"/>
        <v>OK</v>
      </c>
      <c r="H885" t="str">
        <f t="shared" si="460"/>
        <v>OK</v>
      </c>
      <c r="I885" s="4">
        <f t="shared" si="461"/>
        <v>2019</v>
      </c>
      <c r="J885">
        <f>( 377.84*B885 + 3903.1)/550</f>
        <v>24.614581818181819</v>
      </c>
      <c r="K885">
        <f xml:space="preserve"> (59.02*E885 + 1383.4)/365</f>
        <v>5.1484054794520553</v>
      </c>
      <c r="R885" s="4">
        <f>J885-B885</f>
        <v>-0.88541818181818144</v>
      </c>
      <c r="S885" s="4">
        <f>K885-E885</f>
        <v>-3.2515945205479451</v>
      </c>
    </row>
    <row r="886" spans="1:19" hidden="1" x14ac:dyDescent="0.35">
      <c r="A886" s="1">
        <v>43620</v>
      </c>
      <c r="B886" s="4">
        <v>26.9</v>
      </c>
      <c r="C886">
        <v>22.1</v>
      </c>
      <c r="D886">
        <v>30.5</v>
      </c>
      <c r="E886" s="4">
        <v>0</v>
      </c>
      <c r="F886" t="str">
        <f t="shared" si="458"/>
        <v>OK</v>
      </c>
      <c r="G886" t="str">
        <f t="shared" si="459"/>
        <v>OK</v>
      </c>
      <c r="H886" t="str">
        <f t="shared" si="460"/>
        <v>OK</v>
      </c>
      <c r="I886" s="4">
        <f t="shared" si="461"/>
        <v>2019</v>
      </c>
    </row>
    <row r="887" spans="1:19" hidden="1" x14ac:dyDescent="0.35">
      <c r="A887" s="1">
        <v>43621</v>
      </c>
      <c r="B887">
        <v>25.3</v>
      </c>
      <c r="C887">
        <v>20.8</v>
      </c>
      <c r="D887">
        <v>31.8</v>
      </c>
      <c r="E887"/>
      <c r="I887"/>
    </row>
    <row r="888" spans="1:19" x14ac:dyDescent="0.35">
      <c r="A888" s="1">
        <v>43622</v>
      </c>
      <c r="B888" s="4">
        <v>25.8</v>
      </c>
      <c r="C888">
        <v>20.6</v>
      </c>
      <c r="D888">
        <v>32.4</v>
      </c>
      <c r="E888" s="4">
        <v>20.3</v>
      </c>
      <c r="F888" t="str">
        <f t="shared" ref="F888:F890" si="462">IF(OR(B888 &lt; $N$30, B888 &gt; $N$67), "Outlier", "OK")</f>
        <v>OK</v>
      </c>
      <c r="G888" t="str">
        <f t="shared" ref="G888:G890" si="463">IF(OR(C888 &lt; $O$30, C888 &gt; $O$67), "Outlier", "OK")</f>
        <v>OK</v>
      </c>
      <c r="H888" t="str">
        <f t="shared" ref="H888:H890" si="464">IF(OR(D888 &lt; $P$30, D888 &gt; $P$67), "Outlier", "OK")</f>
        <v>OK</v>
      </c>
      <c r="I888" s="4">
        <f t="shared" ref="I888:I890" si="465">YEAR(A888)</f>
        <v>2019</v>
      </c>
      <c r="J888">
        <f t="shared" ref="J888:J889" si="466">( 377.84*B888 + 3903.1)/550</f>
        <v>24.820676363636363</v>
      </c>
      <c r="K888">
        <f t="shared" ref="K888:K889" si="467" xml:space="preserve"> (59.02*E888 + 1383.4)/365</f>
        <v>7.072619178082193</v>
      </c>
      <c r="R888" s="4">
        <f t="shared" ref="R888:R889" si="468">J888-B888</f>
        <v>-0.97932363636363817</v>
      </c>
      <c r="S888" s="4">
        <f t="shared" ref="S888:S889" si="469">K888-E888</f>
        <v>-13.227380821917809</v>
      </c>
    </row>
    <row r="889" spans="1:19" x14ac:dyDescent="0.35">
      <c r="A889" s="1">
        <v>43623</v>
      </c>
      <c r="B889" s="4">
        <v>25.4</v>
      </c>
      <c r="C889">
        <v>20.6</v>
      </c>
      <c r="D889">
        <v>32</v>
      </c>
      <c r="E889" s="4">
        <v>20.100000000000001</v>
      </c>
      <c r="F889" t="str">
        <f t="shared" si="462"/>
        <v>OK</v>
      </c>
      <c r="G889" t="str">
        <f t="shared" si="463"/>
        <v>OK</v>
      </c>
      <c r="H889" t="str">
        <f t="shared" si="464"/>
        <v>OK</v>
      </c>
      <c r="I889" s="4">
        <f t="shared" si="465"/>
        <v>2019</v>
      </c>
      <c r="J889">
        <f t="shared" si="466"/>
        <v>24.545883636363634</v>
      </c>
      <c r="K889">
        <f t="shared" si="467"/>
        <v>7.0402794520547953</v>
      </c>
      <c r="R889" s="4">
        <f t="shared" si="468"/>
        <v>-0.85411636363636489</v>
      </c>
      <c r="S889" s="4">
        <f t="shared" si="469"/>
        <v>-13.059720547945206</v>
      </c>
    </row>
    <row r="890" spans="1:19" hidden="1" x14ac:dyDescent="0.35">
      <c r="A890" s="1">
        <v>43624</v>
      </c>
      <c r="B890" s="4">
        <v>26.3</v>
      </c>
      <c r="C890">
        <v>22.5</v>
      </c>
      <c r="D890">
        <v>31.5</v>
      </c>
      <c r="E890" s="4">
        <v>0</v>
      </c>
      <c r="F890" t="str">
        <f t="shared" si="462"/>
        <v>OK</v>
      </c>
      <c r="G890" t="str">
        <f t="shared" si="463"/>
        <v>OK</v>
      </c>
      <c r="H890" t="str">
        <f t="shared" si="464"/>
        <v>OK</v>
      </c>
      <c r="I890" s="4">
        <f t="shared" si="465"/>
        <v>2019</v>
      </c>
    </row>
    <row r="891" spans="1:19" hidden="1" x14ac:dyDescent="0.35">
      <c r="A891" s="1">
        <v>43625</v>
      </c>
      <c r="B891">
        <v>26.7</v>
      </c>
      <c r="C891">
        <v>22.3</v>
      </c>
      <c r="D891">
        <v>33.1</v>
      </c>
      <c r="E891"/>
      <c r="I891"/>
    </row>
    <row r="892" spans="1:19" hidden="1" x14ac:dyDescent="0.35">
      <c r="A892" s="1">
        <v>43626</v>
      </c>
      <c r="B892">
        <v>24.9</v>
      </c>
      <c r="C892">
        <v>22</v>
      </c>
      <c r="D892">
        <v>33.6</v>
      </c>
      <c r="E892"/>
      <c r="I892"/>
    </row>
    <row r="893" spans="1:19" hidden="1" x14ac:dyDescent="0.35">
      <c r="A893" s="1">
        <v>43627</v>
      </c>
      <c r="B893">
        <v>25</v>
      </c>
      <c r="C893">
        <v>21</v>
      </c>
      <c r="D893">
        <v>30</v>
      </c>
      <c r="E893"/>
      <c r="I893"/>
    </row>
    <row r="894" spans="1:19" hidden="1" x14ac:dyDescent="0.35">
      <c r="A894" s="1">
        <v>43628</v>
      </c>
      <c r="B894">
        <v>24.2</v>
      </c>
      <c r="C894">
        <v>21.6</v>
      </c>
      <c r="D894">
        <v>30</v>
      </c>
      <c r="E894"/>
      <c r="I894"/>
    </row>
    <row r="895" spans="1:19" hidden="1" x14ac:dyDescent="0.35">
      <c r="A895" s="1">
        <v>43629</v>
      </c>
      <c r="B895" s="4">
        <v>24.8</v>
      </c>
      <c r="C895">
        <v>22</v>
      </c>
      <c r="D895">
        <v>29.4</v>
      </c>
      <c r="E895" s="4">
        <v>0</v>
      </c>
      <c r="F895" t="str">
        <f>IF(OR(B895 &lt; $N$30, B895 &gt; $N$67), "Outlier", "OK")</f>
        <v>OK</v>
      </c>
      <c r="G895" t="str">
        <f>IF(OR(C895 &lt; $O$30, C895 &gt; $O$67), "Outlier", "OK")</f>
        <v>OK</v>
      </c>
      <c r="H895" t="str">
        <f>IF(OR(D895 &lt; $P$30, D895 &gt; $P$67), "Outlier", "OK")</f>
        <v>OK</v>
      </c>
      <c r="I895" s="4">
        <f>YEAR(A895)</f>
        <v>2019</v>
      </c>
    </row>
    <row r="896" spans="1:19" hidden="1" x14ac:dyDescent="0.35">
      <c r="A896" s="1">
        <v>43630</v>
      </c>
      <c r="B896">
        <v>25.3</v>
      </c>
      <c r="C896">
        <v>22</v>
      </c>
      <c r="D896">
        <v>31.4</v>
      </c>
      <c r="E896"/>
      <c r="I896"/>
    </row>
    <row r="897" spans="1:19" hidden="1" x14ac:dyDescent="0.35">
      <c r="A897" s="1">
        <v>43631</v>
      </c>
      <c r="B897">
        <v>26.5</v>
      </c>
      <c r="C897">
        <v>21.2</v>
      </c>
      <c r="D897">
        <v>31</v>
      </c>
      <c r="E897"/>
      <c r="I897"/>
    </row>
    <row r="898" spans="1:19" hidden="1" x14ac:dyDescent="0.35">
      <c r="A898" s="1">
        <v>43632</v>
      </c>
      <c r="B898">
        <v>26.8</v>
      </c>
      <c r="C898">
        <v>21.5</v>
      </c>
      <c r="D898">
        <v>31.7</v>
      </c>
      <c r="E898"/>
      <c r="I898"/>
    </row>
    <row r="899" spans="1:19" hidden="1" x14ac:dyDescent="0.35">
      <c r="A899" s="1">
        <v>43633</v>
      </c>
      <c r="B899">
        <v>26.5</v>
      </c>
      <c r="C899">
        <v>21.6</v>
      </c>
      <c r="D899">
        <v>32.200000000000003</v>
      </c>
      <c r="E899"/>
      <c r="I899"/>
    </row>
    <row r="900" spans="1:19" hidden="1" x14ac:dyDescent="0.35">
      <c r="A900" s="1">
        <v>43634</v>
      </c>
      <c r="B900">
        <v>25.9</v>
      </c>
      <c r="C900">
        <v>21</v>
      </c>
      <c r="D900">
        <v>32.4</v>
      </c>
      <c r="E900"/>
      <c r="I900"/>
    </row>
    <row r="901" spans="1:19" hidden="1" x14ac:dyDescent="0.35">
      <c r="A901" s="1">
        <v>43635</v>
      </c>
      <c r="B901" s="4">
        <v>26.6</v>
      </c>
      <c r="C901">
        <v>21.5</v>
      </c>
      <c r="D901">
        <v>31.2</v>
      </c>
      <c r="E901" s="4">
        <v>0</v>
      </c>
      <c r="F901" t="str">
        <f t="shared" ref="F901:F908" si="470">IF(OR(B901 &lt; $N$30, B901 &gt; $N$67), "Outlier", "OK")</f>
        <v>OK</v>
      </c>
      <c r="G901" t="str">
        <f t="shared" ref="G901:G908" si="471">IF(OR(C901 &lt; $O$30, C901 &gt; $O$67), "Outlier", "OK")</f>
        <v>OK</v>
      </c>
      <c r="H901" t="str">
        <f t="shared" ref="H901:H908" si="472">IF(OR(D901 &lt; $P$30, D901 &gt; $P$67), "Outlier", "OK")</f>
        <v>OK</v>
      </c>
      <c r="I901" s="4">
        <f t="shared" ref="I901:I908" si="473">YEAR(A901)</f>
        <v>2019</v>
      </c>
    </row>
    <row r="902" spans="1:19" x14ac:dyDescent="0.35">
      <c r="A902" s="1">
        <v>43636</v>
      </c>
      <c r="B902" s="4">
        <v>25.7</v>
      </c>
      <c r="C902">
        <v>22.2</v>
      </c>
      <c r="D902">
        <v>32.299999999999997</v>
      </c>
      <c r="E902" s="4">
        <v>1.3</v>
      </c>
      <c r="F902" t="str">
        <f t="shared" si="470"/>
        <v>OK</v>
      </c>
      <c r="G902" t="str">
        <f t="shared" si="471"/>
        <v>OK</v>
      </c>
      <c r="H902" t="str">
        <f t="shared" si="472"/>
        <v>OK</v>
      </c>
      <c r="I902" s="4">
        <f t="shared" si="473"/>
        <v>2019</v>
      </c>
      <c r="J902">
        <f>( 377.84*B902 + 3903.1)/550</f>
        <v>24.751978181818181</v>
      </c>
      <c r="K902">
        <f xml:space="preserve"> (59.02*E902 + 1383.4)/365</f>
        <v>4.0003452054794524</v>
      </c>
      <c r="R902" s="4">
        <f>J902-B902</f>
        <v>-0.94802181818181808</v>
      </c>
      <c r="S902" s="4">
        <f>K902-E902</f>
        <v>2.7003452054794526</v>
      </c>
    </row>
    <row r="903" spans="1:19" hidden="1" x14ac:dyDescent="0.35">
      <c r="A903" s="1">
        <v>43637</v>
      </c>
      <c r="B903" s="4">
        <v>24.6</v>
      </c>
      <c r="C903">
        <v>20.7</v>
      </c>
      <c r="D903">
        <v>30.6</v>
      </c>
      <c r="E903" s="4">
        <v>0</v>
      </c>
      <c r="F903" t="str">
        <f t="shared" si="470"/>
        <v>OK</v>
      </c>
      <c r="G903" t="str">
        <f t="shared" si="471"/>
        <v>OK</v>
      </c>
      <c r="H903" t="str">
        <f t="shared" si="472"/>
        <v>OK</v>
      </c>
      <c r="I903" s="4">
        <f t="shared" si="473"/>
        <v>2019</v>
      </c>
    </row>
    <row r="904" spans="1:19" hidden="1" x14ac:dyDescent="0.35">
      <c r="A904" s="1">
        <v>43638</v>
      </c>
      <c r="B904" s="4">
        <v>25.1</v>
      </c>
      <c r="C904">
        <v>21.6</v>
      </c>
      <c r="D904">
        <v>29.4</v>
      </c>
      <c r="E904" s="4">
        <v>0</v>
      </c>
      <c r="F904" t="str">
        <f t="shared" si="470"/>
        <v>OK</v>
      </c>
      <c r="G904" t="str">
        <f t="shared" si="471"/>
        <v>OK</v>
      </c>
      <c r="H904" t="str">
        <f t="shared" si="472"/>
        <v>OK</v>
      </c>
      <c r="I904" s="4">
        <f t="shared" si="473"/>
        <v>2019</v>
      </c>
    </row>
    <row r="905" spans="1:19" x14ac:dyDescent="0.35">
      <c r="A905" s="1">
        <v>43639</v>
      </c>
      <c r="B905" s="4">
        <v>23.8</v>
      </c>
      <c r="C905">
        <v>20.8</v>
      </c>
      <c r="D905">
        <v>29.4</v>
      </c>
      <c r="E905" s="4">
        <v>3</v>
      </c>
      <c r="F905" t="str">
        <f t="shared" si="470"/>
        <v>OK</v>
      </c>
      <c r="G905" t="str">
        <f t="shared" si="471"/>
        <v>OK</v>
      </c>
      <c r="H905" t="str">
        <f t="shared" si="472"/>
        <v>OK</v>
      </c>
      <c r="I905" s="4">
        <f t="shared" si="473"/>
        <v>2019</v>
      </c>
      <c r="J905">
        <f t="shared" ref="J905:J906" si="474">( 377.84*B905 + 3903.1)/550</f>
        <v>23.446712727272729</v>
      </c>
      <c r="K905">
        <f t="shared" ref="K905:K906" si="475" xml:space="preserve"> (59.02*E905 + 1383.4)/365</f>
        <v>4.2752328767123284</v>
      </c>
      <c r="R905" s="4">
        <f t="shared" ref="R905:R906" si="476">J905-B905</f>
        <v>-0.35328727272727178</v>
      </c>
      <c r="S905" s="4">
        <f t="shared" ref="S905:S906" si="477">K905-E905</f>
        <v>1.2752328767123284</v>
      </c>
    </row>
    <row r="906" spans="1:19" x14ac:dyDescent="0.35">
      <c r="A906" s="1">
        <v>43640</v>
      </c>
      <c r="B906" s="4">
        <v>24.5</v>
      </c>
      <c r="C906">
        <v>21</v>
      </c>
      <c r="D906">
        <v>29.4</v>
      </c>
      <c r="E906" s="4">
        <v>26.4</v>
      </c>
      <c r="F906" t="str">
        <f t="shared" si="470"/>
        <v>OK</v>
      </c>
      <c r="G906" t="str">
        <f t="shared" si="471"/>
        <v>OK</v>
      </c>
      <c r="H906" t="str">
        <f t="shared" si="472"/>
        <v>OK</v>
      </c>
      <c r="I906" s="4">
        <f t="shared" si="473"/>
        <v>2019</v>
      </c>
      <c r="J906">
        <f t="shared" si="474"/>
        <v>23.927600000000002</v>
      </c>
      <c r="K906">
        <f t="shared" si="475"/>
        <v>8.0589808219178085</v>
      </c>
      <c r="R906" s="4">
        <f t="shared" si="476"/>
        <v>-0.57239999999999824</v>
      </c>
      <c r="S906" s="4">
        <f t="shared" si="477"/>
        <v>-18.341019178082192</v>
      </c>
    </row>
    <row r="907" spans="1:19" hidden="1" x14ac:dyDescent="0.35">
      <c r="A907" s="1">
        <v>43641</v>
      </c>
      <c r="B907" s="4">
        <v>25</v>
      </c>
      <c r="C907">
        <v>21.4</v>
      </c>
      <c r="D907">
        <v>29.7</v>
      </c>
      <c r="E907" s="4">
        <v>0</v>
      </c>
      <c r="F907" t="str">
        <f t="shared" si="470"/>
        <v>OK</v>
      </c>
      <c r="G907" t="str">
        <f t="shared" si="471"/>
        <v>OK</v>
      </c>
      <c r="H907" t="str">
        <f t="shared" si="472"/>
        <v>OK</v>
      </c>
      <c r="I907" s="4">
        <f t="shared" si="473"/>
        <v>2019</v>
      </c>
    </row>
    <row r="908" spans="1:19" hidden="1" x14ac:dyDescent="0.35">
      <c r="A908" s="1">
        <v>43642</v>
      </c>
      <c r="B908" s="4">
        <v>24.6</v>
      </c>
      <c r="C908">
        <v>21.6</v>
      </c>
      <c r="D908">
        <v>29.8</v>
      </c>
      <c r="E908" s="4">
        <v>0</v>
      </c>
      <c r="F908" t="str">
        <f t="shared" si="470"/>
        <v>OK</v>
      </c>
      <c r="G908" t="str">
        <f t="shared" si="471"/>
        <v>OK</v>
      </c>
      <c r="H908" t="str">
        <f t="shared" si="472"/>
        <v>OK</v>
      </c>
      <c r="I908" s="4">
        <f t="shared" si="473"/>
        <v>2019</v>
      </c>
    </row>
    <row r="909" spans="1:19" hidden="1" x14ac:dyDescent="0.35">
      <c r="A909" s="1">
        <v>43643</v>
      </c>
      <c r="B909">
        <v>24.9</v>
      </c>
      <c r="C909">
        <v>21.6</v>
      </c>
      <c r="D909">
        <v>30.5</v>
      </c>
      <c r="E909"/>
      <c r="I909"/>
    </row>
    <row r="910" spans="1:19" x14ac:dyDescent="0.35">
      <c r="A910" s="1">
        <v>43644</v>
      </c>
      <c r="B910" s="4">
        <v>25.2</v>
      </c>
      <c r="C910">
        <v>21</v>
      </c>
      <c r="D910">
        <v>31</v>
      </c>
      <c r="E910" s="4">
        <v>2</v>
      </c>
      <c r="F910" t="str">
        <f t="shared" ref="F910:F911" si="478">IF(OR(B910 &lt; $N$30, B910 &gt; $N$67), "Outlier", "OK")</f>
        <v>OK</v>
      </c>
      <c r="G910" t="str">
        <f t="shared" ref="G910:G911" si="479">IF(OR(C910 &lt; $O$30, C910 &gt; $O$67), "Outlier", "OK")</f>
        <v>OK</v>
      </c>
      <c r="H910" t="str">
        <f t="shared" ref="H910:H911" si="480">IF(OR(D910 &lt; $P$30, D910 &gt; $P$67), "Outlier", "OK")</f>
        <v>OK</v>
      </c>
      <c r="I910" s="4">
        <f t="shared" ref="I910:I911" si="481">YEAR(A910)</f>
        <v>2019</v>
      </c>
      <c r="J910">
        <f>( 377.84*B910 + 3903.1)/550</f>
        <v>24.408487272727271</v>
      </c>
      <c r="K910">
        <f xml:space="preserve"> (59.02*E910 + 1383.4)/365</f>
        <v>4.1135342465753428</v>
      </c>
      <c r="R910" s="4">
        <f>J910-B910</f>
        <v>-0.79151272727272826</v>
      </c>
      <c r="S910" s="4">
        <f>K910-E910</f>
        <v>2.1135342465753428</v>
      </c>
    </row>
    <row r="911" spans="1:19" hidden="1" x14ac:dyDescent="0.35">
      <c r="A911" s="1">
        <v>43645</v>
      </c>
      <c r="B911" s="4">
        <v>25.1</v>
      </c>
      <c r="C911">
        <v>21</v>
      </c>
      <c r="D911">
        <v>31.2</v>
      </c>
      <c r="E911" s="4">
        <v>0</v>
      </c>
      <c r="F911" t="str">
        <f t="shared" si="478"/>
        <v>OK</v>
      </c>
      <c r="G911" t="str">
        <f t="shared" si="479"/>
        <v>OK</v>
      </c>
      <c r="H911" t="str">
        <f t="shared" si="480"/>
        <v>OK</v>
      </c>
      <c r="I911" s="4">
        <f t="shared" si="481"/>
        <v>2019</v>
      </c>
    </row>
    <row r="912" spans="1:19" hidden="1" x14ac:dyDescent="0.35">
      <c r="A912" s="1">
        <v>43646</v>
      </c>
      <c r="B912">
        <v>24.6</v>
      </c>
      <c r="C912">
        <v>21.6</v>
      </c>
      <c r="D912">
        <v>30.6</v>
      </c>
      <c r="E912"/>
      <c r="I912"/>
    </row>
    <row r="913" spans="1:19" hidden="1" x14ac:dyDescent="0.35">
      <c r="A913" s="1">
        <v>43647</v>
      </c>
      <c r="B913" s="4">
        <v>25.6</v>
      </c>
      <c r="C913">
        <v>21</v>
      </c>
      <c r="D913">
        <v>29.8</v>
      </c>
      <c r="E913" s="4">
        <v>0</v>
      </c>
      <c r="F913" t="str">
        <f>IF(OR(B913 &lt; $N$30, B913 &gt; $N$67), "Outlier", "OK")</f>
        <v>OK</v>
      </c>
      <c r="G913" t="str">
        <f>IF(OR(C913 &lt; $O$30, C913 &gt; $O$67), "Outlier", "OK")</f>
        <v>OK</v>
      </c>
      <c r="H913" t="str">
        <f>IF(OR(D913 &lt; $P$30, D913 &gt; $P$67), "Outlier", "OK")</f>
        <v>OK</v>
      </c>
      <c r="I913" s="4">
        <f>YEAR(A913)</f>
        <v>2019</v>
      </c>
    </row>
    <row r="914" spans="1:19" hidden="1" x14ac:dyDescent="0.35">
      <c r="A914" s="1">
        <v>43648</v>
      </c>
      <c r="B914">
        <v>25.5</v>
      </c>
      <c r="C914">
        <v>21.5</v>
      </c>
      <c r="D914">
        <v>30.5</v>
      </c>
      <c r="E914"/>
      <c r="I914"/>
    </row>
    <row r="915" spans="1:19" hidden="1" x14ac:dyDescent="0.35">
      <c r="A915" s="1">
        <v>43649</v>
      </c>
      <c r="B915" s="4">
        <v>25.4</v>
      </c>
      <c r="C915">
        <v>21.4</v>
      </c>
      <c r="D915">
        <v>30.8</v>
      </c>
      <c r="E915" s="4">
        <v>0</v>
      </c>
      <c r="F915" t="str">
        <f>IF(OR(B915 &lt; $N$30, B915 &gt; $N$67), "Outlier", "OK")</f>
        <v>OK</v>
      </c>
      <c r="G915" t="str">
        <f>IF(OR(C915 &lt; $O$30, C915 &gt; $O$67), "Outlier", "OK")</f>
        <v>OK</v>
      </c>
      <c r="H915" t="str">
        <f>IF(OR(D915 &lt; $P$30, D915 &gt; $P$67), "Outlier", "OK")</f>
        <v>OK</v>
      </c>
      <c r="I915" s="4">
        <f>YEAR(A915)</f>
        <v>2019</v>
      </c>
    </row>
    <row r="916" spans="1:19" hidden="1" x14ac:dyDescent="0.35">
      <c r="A916" s="1">
        <v>43650</v>
      </c>
      <c r="B916">
        <v>24.4</v>
      </c>
      <c r="C916">
        <v>21.6</v>
      </c>
      <c r="D916">
        <v>30.8</v>
      </c>
      <c r="E916"/>
      <c r="I916"/>
    </row>
    <row r="917" spans="1:19" hidden="1" x14ac:dyDescent="0.35">
      <c r="A917" s="1">
        <v>43651</v>
      </c>
      <c r="B917" s="4">
        <v>23.7</v>
      </c>
      <c r="C917">
        <v>20.8</v>
      </c>
      <c r="D917">
        <v>30.3</v>
      </c>
      <c r="E917" s="4">
        <v>0</v>
      </c>
      <c r="F917" t="str">
        <f>IF(OR(B917 &lt; $N$30, B917 &gt; $N$67), "Outlier", "OK")</f>
        <v>OK</v>
      </c>
      <c r="G917" t="str">
        <f>IF(OR(C917 &lt; $O$30, C917 &gt; $O$67), "Outlier", "OK")</f>
        <v>OK</v>
      </c>
      <c r="H917" t="str">
        <f>IF(OR(D917 &lt; $P$30, D917 &gt; $P$67), "Outlier", "OK")</f>
        <v>OK</v>
      </c>
      <c r="I917" s="4">
        <f>YEAR(A917)</f>
        <v>2019</v>
      </c>
    </row>
    <row r="918" spans="1:19" hidden="1" x14ac:dyDescent="0.35">
      <c r="A918" s="1">
        <v>43652</v>
      </c>
      <c r="B918">
        <v>23.8</v>
      </c>
      <c r="C918">
        <v>20.7</v>
      </c>
      <c r="D918">
        <v>29</v>
      </c>
      <c r="E918"/>
      <c r="I918"/>
    </row>
    <row r="919" spans="1:19" x14ac:dyDescent="0.35">
      <c r="A919" s="1">
        <v>43653</v>
      </c>
      <c r="B919" s="4">
        <v>24.5</v>
      </c>
      <c r="C919">
        <v>20.7</v>
      </c>
      <c r="D919">
        <v>28.6</v>
      </c>
      <c r="E919" s="4">
        <v>1</v>
      </c>
      <c r="F919" t="str">
        <f t="shared" ref="F919:F942" si="482">IF(OR(B919 &lt; $N$30, B919 &gt; $N$67), "Outlier", "OK")</f>
        <v>OK</v>
      </c>
      <c r="G919" t="str">
        <f t="shared" ref="G919:G942" si="483">IF(OR(C919 &lt; $O$30, C919 &gt; $O$67), "Outlier", "OK")</f>
        <v>OK</v>
      </c>
      <c r="H919" t="str">
        <f t="shared" ref="H919:H942" si="484">IF(OR(D919 &lt; $P$30, D919 &gt; $P$67), "Outlier", "OK")</f>
        <v>OK</v>
      </c>
      <c r="I919" s="4">
        <f t="shared" ref="I919:I942" si="485">YEAR(A919)</f>
        <v>2019</v>
      </c>
      <c r="J919">
        <f>( 377.84*B919 + 3903.1)/550</f>
        <v>23.927600000000002</v>
      </c>
      <c r="K919">
        <f xml:space="preserve"> (59.02*E919 + 1383.4)/365</f>
        <v>3.9518356164383563</v>
      </c>
      <c r="R919" s="4">
        <f>J919-B919</f>
        <v>-0.57239999999999824</v>
      </c>
      <c r="S919" s="4">
        <f>K919-E919</f>
        <v>2.9518356164383563</v>
      </c>
    </row>
    <row r="920" spans="1:19" hidden="1" x14ac:dyDescent="0.35">
      <c r="A920" s="1">
        <v>43654</v>
      </c>
      <c r="B920" s="4">
        <v>24.4</v>
      </c>
      <c r="C920">
        <v>20.6</v>
      </c>
      <c r="D920">
        <v>29.2</v>
      </c>
      <c r="E920" s="4">
        <v>0</v>
      </c>
      <c r="F920" t="str">
        <f t="shared" si="482"/>
        <v>OK</v>
      </c>
      <c r="G920" t="str">
        <f t="shared" si="483"/>
        <v>OK</v>
      </c>
      <c r="H920" t="str">
        <f t="shared" si="484"/>
        <v>OK</v>
      </c>
      <c r="I920" s="4">
        <f t="shared" si="485"/>
        <v>2019</v>
      </c>
    </row>
    <row r="921" spans="1:19" hidden="1" x14ac:dyDescent="0.35">
      <c r="A921" s="1">
        <v>43655</v>
      </c>
      <c r="B921" s="4">
        <v>23.8</v>
      </c>
      <c r="C921">
        <v>20</v>
      </c>
      <c r="D921">
        <v>29.5</v>
      </c>
      <c r="E921" s="4">
        <v>0</v>
      </c>
      <c r="F921" t="str">
        <f t="shared" si="482"/>
        <v>OK</v>
      </c>
      <c r="G921" t="str">
        <f t="shared" si="483"/>
        <v>OK</v>
      </c>
      <c r="H921" t="str">
        <f t="shared" si="484"/>
        <v>OK</v>
      </c>
      <c r="I921" s="4">
        <f t="shared" si="485"/>
        <v>2019</v>
      </c>
    </row>
    <row r="922" spans="1:19" hidden="1" x14ac:dyDescent="0.35">
      <c r="A922" s="1">
        <v>43656</v>
      </c>
      <c r="B922" s="4">
        <v>23.2</v>
      </c>
      <c r="C922">
        <v>19.5</v>
      </c>
      <c r="D922">
        <v>29.6</v>
      </c>
      <c r="E922" s="4">
        <v>0</v>
      </c>
      <c r="F922" t="str">
        <f t="shared" si="482"/>
        <v>OK</v>
      </c>
      <c r="G922" t="str">
        <f t="shared" si="483"/>
        <v>OK</v>
      </c>
      <c r="H922" t="str">
        <f t="shared" si="484"/>
        <v>OK</v>
      </c>
      <c r="I922" s="4">
        <f t="shared" si="485"/>
        <v>2019</v>
      </c>
    </row>
    <row r="923" spans="1:19" hidden="1" x14ac:dyDescent="0.35">
      <c r="A923" s="1">
        <v>43657</v>
      </c>
      <c r="B923" s="4">
        <v>24.2</v>
      </c>
      <c r="C923">
        <v>20.2</v>
      </c>
      <c r="D923">
        <v>29.4</v>
      </c>
      <c r="E923" s="4">
        <v>0</v>
      </c>
      <c r="F923" t="str">
        <f t="shared" si="482"/>
        <v>OK</v>
      </c>
      <c r="G923" t="str">
        <f t="shared" si="483"/>
        <v>OK</v>
      </c>
      <c r="H923" t="str">
        <f t="shared" si="484"/>
        <v>OK</v>
      </c>
      <c r="I923" s="4">
        <f t="shared" si="485"/>
        <v>2019</v>
      </c>
    </row>
    <row r="924" spans="1:19" x14ac:dyDescent="0.35">
      <c r="A924" s="1">
        <v>43658</v>
      </c>
      <c r="B924" s="4">
        <v>25.3</v>
      </c>
      <c r="C924">
        <v>20.8</v>
      </c>
      <c r="D924">
        <v>31.4</v>
      </c>
      <c r="E924" s="4">
        <v>7.1</v>
      </c>
      <c r="F924" t="str">
        <f t="shared" si="482"/>
        <v>OK</v>
      </c>
      <c r="G924" t="str">
        <f t="shared" si="483"/>
        <v>OK</v>
      </c>
      <c r="H924" t="str">
        <f t="shared" si="484"/>
        <v>OK</v>
      </c>
      <c r="I924" s="4">
        <f t="shared" si="485"/>
        <v>2019</v>
      </c>
      <c r="J924">
        <f t="shared" ref="J924:J932" si="486">( 377.84*B924 + 3903.1)/550</f>
        <v>24.477185454545452</v>
      </c>
      <c r="K924">
        <f t="shared" ref="K924:K932" si="487" xml:space="preserve"> (59.02*E924 + 1383.4)/365</f>
        <v>4.9381972602739728</v>
      </c>
      <c r="R924" s="4">
        <f t="shared" ref="R924:R932" si="488">J924-B924</f>
        <v>-0.82281454545454835</v>
      </c>
      <c r="S924" s="4">
        <f t="shared" ref="S924:S932" si="489">K924-E924</f>
        <v>-2.1618027397260269</v>
      </c>
    </row>
    <row r="925" spans="1:19" x14ac:dyDescent="0.35">
      <c r="A925" s="1">
        <v>43659</v>
      </c>
      <c r="B925" s="4">
        <v>25.2</v>
      </c>
      <c r="C925">
        <v>21</v>
      </c>
      <c r="D925">
        <v>31.2</v>
      </c>
      <c r="E925" s="4">
        <v>2.5</v>
      </c>
      <c r="F925" t="str">
        <f t="shared" si="482"/>
        <v>OK</v>
      </c>
      <c r="G925" t="str">
        <f t="shared" si="483"/>
        <v>OK</v>
      </c>
      <c r="H925" t="str">
        <f t="shared" si="484"/>
        <v>OK</v>
      </c>
      <c r="I925" s="4">
        <f t="shared" si="485"/>
        <v>2019</v>
      </c>
      <c r="J925">
        <f t="shared" si="486"/>
        <v>24.408487272727271</v>
      </c>
      <c r="K925">
        <f t="shared" si="487"/>
        <v>4.1943835616438356</v>
      </c>
      <c r="R925" s="4">
        <f t="shared" si="488"/>
        <v>-0.79151272727272826</v>
      </c>
      <c r="S925" s="4">
        <f t="shared" si="489"/>
        <v>1.6943835616438356</v>
      </c>
    </row>
    <row r="926" spans="1:19" x14ac:dyDescent="0.35">
      <c r="A926" s="1">
        <v>43660</v>
      </c>
      <c r="B926" s="4">
        <v>24.7</v>
      </c>
      <c r="C926">
        <v>21.3</v>
      </c>
      <c r="D926">
        <v>30</v>
      </c>
      <c r="E926" s="4">
        <v>1</v>
      </c>
      <c r="F926" t="str">
        <f t="shared" si="482"/>
        <v>OK</v>
      </c>
      <c r="G926" t="str">
        <f t="shared" si="483"/>
        <v>OK</v>
      </c>
      <c r="H926" t="str">
        <f t="shared" si="484"/>
        <v>OK</v>
      </c>
      <c r="I926" s="4">
        <f t="shared" si="485"/>
        <v>2019</v>
      </c>
      <c r="J926">
        <f t="shared" si="486"/>
        <v>24.064996363636364</v>
      </c>
      <c r="K926">
        <f t="shared" si="487"/>
        <v>3.9518356164383563</v>
      </c>
      <c r="R926" s="4">
        <f t="shared" si="488"/>
        <v>-0.63500363636363488</v>
      </c>
      <c r="S926" s="4">
        <f t="shared" si="489"/>
        <v>2.9518356164383563</v>
      </c>
    </row>
    <row r="927" spans="1:19" x14ac:dyDescent="0.35">
      <c r="A927" s="1">
        <v>43661</v>
      </c>
      <c r="B927" s="4">
        <v>24.2</v>
      </c>
      <c r="C927">
        <v>21.4</v>
      </c>
      <c r="D927">
        <v>30.8</v>
      </c>
      <c r="E927" s="4">
        <v>0.3</v>
      </c>
      <c r="F927" t="str">
        <f t="shared" si="482"/>
        <v>OK</v>
      </c>
      <c r="G927" t="str">
        <f t="shared" si="483"/>
        <v>OK</v>
      </c>
      <c r="H927" t="str">
        <f t="shared" si="484"/>
        <v>OK</v>
      </c>
      <c r="I927" s="4">
        <f t="shared" si="485"/>
        <v>2019</v>
      </c>
      <c r="J927">
        <f t="shared" si="486"/>
        <v>23.721505454545454</v>
      </c>
      <c r="K927">
        <f t="shared" si="487"/>
        <v>3.8386465753424659</v>
      </c>
      <c r="R927" s="4">
        <f t="shared" si="488"/>
        <v>-0.47849454545454506</v>
      </c>
      <c r="S927" s="4">
        <f t="shared" si="489"/>
        <v>3.5386465753424661</v>
      </c>
    </row>
    <row r="928" spans="1:19" x14ac:dyDescent="0.35">
      <c r="A928" s="1">
        <v>43662</v>
      </c>
      <c r="B928" s="4">
        <v>24.8</v>
      </c>
      <c r="C928">
        <v>21</v>
      </c>
      <c r="D928">
        <v>30.4</v>
      </c>
      <c r="E928" s="4">
        <v>3</v>
      </c>
      <c r="F928" t="str">
        <f t="shared" si="482"/>
        <v>OK</v>
      </c>
      <c r="G928" t="str">
        <f t="shared" si="483"/>
        <v>OK</v>
      </c>
      <c r="H928" t="str">
        <f t="shared" si="484"/>
        <v>OK</v>
      </c>
      <c r="I928" s="4">
        <f t="shared" si="485"/>
        <v>2019</v>
      </c>
      <c r="J928">
        <f t="shared" si="486"/>
        <v>24.133694545454546</v>
      </c>
      <c r="K928">
        <f t="shared" si="487"/>
        <v>4.2752328767123284</v>
      </c>
      <c r="R928" s="4">
        <f t="shared" si="488"/>
        <v>-0.66630545454545498</v>
      </c>
      <c r="S928" s="4">
        <f t="shared" si="489"/>
        <v>1.2752328767123284</v>
      </c>
    </row>
    <row r="929" spans="1:19" x14ac:dyDescent="0.35">
      <c r="A929" s="1">
        <v>43663</v>
      </c>
      <c r="B929" s="4">
        <v>24.8</v>
      </c>
      <c r="C929">
        <v>21</v>
      </c>
      <c r="D929">
        <v>30.3</v>
      </c>
      <c r="E929" s="4">
        <v>3</v>
      </c>
      <c r="F929" t="str">
        <f t="shared" si="482"/>
        <v>OK</v>
      </c>
      <c r="G929" t="str">
        <f t="shared" si="483"/>
        <v>OK</v>
      </c>
      <c r="H929" t="str">
        <f t="shared" si="484"/>
        <v>OK</v>
      </c>
      <c r="I929" s="4">
        <f t="shared" si="485"/>
        <v>2019</v>
      </c>
      <c r="J929">
        <f t="shared" si="486"/>
        <v>24.133694545454546</v>
      </c>
      <c r="K929">
        <f t="shared" si="487"/>
        <v>4.2752328767123284</v>
      </c>
      <c r="R929" s="4">
        <f t="shared" si="488"/>
        <v>-0.66630545454545498</v>
      </c>
      <c r="S929" s="4">
        <f t="shared" si="489"/>
        <v>1.2752328767123284</v>
      </c>
    </row>
    <row r="930" spans="1:19" x14ac:dyDescent="0.35">
      <c r="A930" s="1">
        <v>43664</v>
      </c>
      <c r="B930" s="4">
        <v>24.3</v>
      </c>
      <c r="C930">
        <v>21.4</v>
      </c>
      <c r="D930">
        <v>29.3</v>
      </c>
      <c r="E930" s="4">
        <v>40.4</v>
      </c>
      <c r="F930" t="str">
        <f t="shared" si="482"/>
        <v>OK</v>
      </c>
      <c r="G930" t="str">
        <f t="shared" si="483"/>
        <v>OK</v>
      </c>
      <c r="H930" t="str">
        <f t="shared" si="484"/>
        <v>OK</v>
      </c>
      <c r="I930" s="4">
        <f t="shared" si="485"/>
        <v>2019</v>
      </c>
      <c r="J930">
        <f t="shared" si="486"/>
        <v>23.790203636363636</v>
      </c>
      <c r="K930">
        <f t="shared" si="487"/>
        <v>10.322761643835616</v>
      </c>
      <c r="R930" s="4">
        <f t="shared" si="488"/>
        <v>-0.50979636363636516</v>
      </c>
      <c r="S930" s="4">
        <f t="shared" si="489"/>
        <v>-30.077238356164383</v>
      </c>
    </row>
    <row r="931" spans="1:19" x14ac:dyDescent="0.35">
      <c r="A931" s="1">
        <v>43665</v>
      </c>
      <c r="B931" s="4">
        <v>23.6</v>
      </c>
      <c r="C931">
        <v>21.6</v>
      </c>
      <c r="D931">
        <v>28.4</v>
      </c>
      <c r="E931" s="4">
        <v>1</v>
      </c>
      <c r="F931" t="str">
        <f t="shared" si="482"/>
        <v>OK</v>
      </c>
      <c r="G931" t="str">
        <f t="shared" si="483"/>
        <v>OK</v>
      </c>
      <c r="H931" t="str">
        <f t="shared" si="484"/>
        <v>OK</v>
      </c>
      <c r="I931" s="4">
        <f t="shared" si="485"/>
        <v>2019</v>
      </c>
      <c r="J931">
        <f t="shared" si="486"/>
        <v>23.309316363636363</v>
      </c>
      <c r="K931">
        <f t="shared" si="487"/>
        <v>3.9518356164383563</v>
      </c>
      <c r="R931" s="4">
        <f t="shared" si="488"/>
        <v>-0.2906836363636387</v>
      </c>
      <c r="S931" s="4">
        <f t="shared" si="489"/>
        <v>2.9518356164383563</v>
      </c>
    </row>
    <row r="932" spans="1:19" x14ac:dyDescent="0.35">
      <c r="A932" s="1">
        <v>43666</v>
      </c>
      <c r="B932" s="4">
        <v>23.4</v>
      </c>
      <c r="C932">
        <v>20.6</v>
      </c>
      <c r="D932">
        <v>28.4</v>
      </c>
      <c r="E932" s="4">
        <v>1.3</v>
      </c>
      <c r="F932" t="str">
        <f t="shared" si="482"/>
        <v>OK</v>
      </c>
      <c r="G932" t="str">
        <f t="shared" si="483"/>
        <v>OK</v>
      </c>
      <c r="H932" t="str">
        <f t="shared" si="484"/>
        <v>OK</v>
      </c>
      <c r="I932" s="4">
        <f t="shared" si="485"/>
        <v>2019</v>
      </c>
      <c r="J932">
        <f t="shared" si="486"/>
        <v>23.171919999999997</v>
      </c>
      <c r="K932">
        <f t="shared" si="487"/>
        <v>4.0003452054794524</v>
      </c>
      <c r="R932" s="4">
        <f t="shared" si="488"/>
        <v>-0.22808000000000206</v>
      </c>
      <c r="S932" s="4">
        <f t="shared" si="489"/>
        <v>2.7003452054794526</v>
      </c>
    </row>
    <row r="933" spans="1:19" hidden="1" x14ac:dyDescent="0.35">
      <c r="A933" s="1">
        <v>43667</v>
      </c>
      <c r="B933" s="4">
        <v>23</v>
      </c>
      <c r="C933">
        <v>20.6</v>
      </c>
      <c r="D933">
        <v>27.7</v>
      </c>
      <c r="E933" s="4">
        <v>0</v>
      </c>
      <c r="F933" t="str">
        <f t="shared" si="482"/>
        <v>OK</v>
      </c>
      <c r="G933" t="str">
        <f t="shared" si="483"/>
        <v>OK</v>
      </c>
      <c r="H933" t="str">
        <f t="shared" si="484"/>
        <v>OK</v>
      </c>
      <c r="I933" s="4">
        <f t="shared" si="485"/>
        <v>2019</v>
      </c>
    </row>
    <row r="934" spans="1:19" x14ac:dyDescent="0.35">
      <c r="A934" s="1">
        <v>43668</v>
      </c>
      <c r="B934" s="4">
        <v>22.2</v>
      </c>
      <c r="C934">
        <v>19.899999999999999</v>
      </c>
      <c r="D934">
        <v>27.6</v>
      </c>
      <c r="E934" s="4">
        <v>3.3</v>
      </c>
      <c r="F934" t="str">
        <f t="shared" si="482"/>
        <v>OK</v>
      </c>
      <c r="G934" t="str">
        <f t="shared" si="483"/>
        <v>OK</v>
      </c>
      <c r="H934" t="str">
        <f t="shared" si="484"/>
        <v>OK</v>
      </c>
      <c r="I934" s="4">
        <f t="shared" si="485"/>
        <v>2019</v>
      </c>
      <c r="J934">
        <f t="shared" ref="J934:J938" si="490">( 377.84*B934 + 3903.1)/550</f>
        <v>22.347541818181817</v>
      </c>
      <c r="K934">
        <f t="shared" ref="K934:K938" si="491" xml:space="preserve"> (59.02*E934 + 1383.4)/365</f>
        <v>4.3237424657534254</v>
      </c>
      <c r="R934" s="4">
        <f t="shared" ref="R934:R938" si="492">J934-B934</f>
        <v>0.14754181818181777</v>
      </c>
      <c r="S934" s="4">
        <f t="shared" ref="S934:S938" si="493">K934-E934</f>
        <v>1.0237424657534255</v>
      </c>
    </row>
    <row r="935" spans="1:19" x14ac:dyDescent="0.35">
      <c r="A935" s="1">
        <v>43669</v>
      </c>
      <c r="B935" s="4">
        <v>22</v>
      </c>
      <c r="C935">
        <v>19.2</v>
      </c>
      <c r="D935">
        <v>26</v>
      </c>
      <c r="E935" s="4">
        <v>14</v>
      </c>
      <c r="F935" t="str">
        <f t="shared" si="482"/>
        <v>OK</v>
      </c>
      <c r="G935" t="str">
        <f t="shared" si="483"/>
        <v>OK</v>
      </c>
      <c r="H935" t="str">
        <f t="shared" si="484"/>
        <v>OK</v>
      </c>
      <c r="I935" s="4">
        <f t="shared" si="485"/>
        <v>2019</v>
      </c>
      <c r="J935">
        <f t="shared" si="490"/>
        <v>22.210145454545454</v>
      </c>
      <c r="K935">
        <f t="shared" si="491"/>
        <v>6.0539178082191789</v>
      </c>
      <c r="R935" s="4">
        <f t="shared" si="492"/>
        <v>0.21014545454545441</v>
      </c>
      <c r="S935" s="4">
        <f t="shared" si="493"/>
        <v>-7.9460821917808211</v>
      </c>
    </row>
    <row r="936" spans="1:19" x14ac:dyDescent="0.35">
      <c r="A936" s="1">
        <v>43670</v>
      </c>
      <c r="B936" s="4">
        <v>24.3</v>
      </c>
      <c r="C936">
        <v>20</v>
      </c>
      <c r="D936">
        <v>29.7</v>
      </c>
      <c r="E936" s="4">
        <v>0.3</v>
      </c>
      <c r="F936" t="str">
        <f t="shared" si="482"/>
        <v>OK</v>
      </c>
      <c r="G936" t="str">
        <f t="shared" si="483"/>
        <v>OK</v>
      </c>
      <c r="H936" t="str">
        <f t="shared" si="484"/>
        <v>OK</v>
      </c>
      <c r="I936" s="4">
        <f t="shared" si="485"/>
        <v>2019</v>
      </c>
      <c r="J936">
        <f t="shared" si="490"/>
        <v>23.790203636363636</v>
      </c>
      <c r="K936">
        <f t="shared" si="491"/>
        <v>3.8386465753424659</v>
      </c>
      <c r="R936" s="4">
        <f t="shared" si="492"/>
        <v>-0.50979636363636516</v>
      </c>
      <c r="S936" s="4">
        <f t="shared" si="493"/>
        <v>3.5386465753424661</v>
      </c>
    </row>
    <row r="937" spans="1:19" x14ac:dyDescent="0.35">
      <c r="A937" s="1">
        <v>43671</v>
      </c>
      <c r="B937" s="4">
        <v>23.8</v>
      </c>
      <c r="C937">
        <v>21.3</v>
      </c>
      <c r="D937">
        <v>29.5</v>
      </c>
      <c r="E937" s="4">
        <v>1</v>
      </c>
      <c r="F937" t="str">
        <f t="shared" si="482"/>
        <v>OK</v>
      </c>
      <c r="G937" t="str">
        <f t="shared" si="483"/>
        <v>OK</v>
      </c>
      <c r="H937" t="str">
        <f t="shared" si="484"/>
        <v>OK</v>
      </c>
      <c r="I937" s="4">
        <f t="shared" si="485"/>
        <v>2019</v>
      </c>
      <c r="J937">
        <f t="shared" si="490"/>
        <v>23.446712727272729</v>
      </c>
      <c r="K937">
        <f t="shared" si="491"/>
        <v>3.9518356164383563</v>
      </c>
      <c r="R937" s="4">
        <f t="shared" si="492"/>
        <v>-0.35328727272727178</v>
      </c>
      <c r="S937" s="4">
        <f t="shared" si="493"/>
        <v>2.9518356164383563</v>
      </c>
    </row>
    <row r="938" spans="1:19" x14ac:dyDescent="0.35">
      <c r="A938" s="1">
        <v>43672</v>
      </c>
      <c r="B938" s="4">
        <v>22.6</v>
      </c>
      <c r="C938">
        <v>20.6</v>
      </c>
      <c r="D938">
        <v>28.5</v>
      </c>
      <c r="E938" s="4">
        <v>11.2</v>
      </c>
      <c r="F938" t="str">
        <f t="shared" si="482"/>
        <v>OK</v>
      </c>
      <c r="G938" t="str">
        <f t="shared" si="483"/>
        <v>OK</v>
      </c>
      <c r="H938" t="str">
        <f t="shared" si="484"/>
        <v>OK</v>
      </c>
      <c r="I938" s="4">
        <f t="shared" si="485"/>
        <v>2019</v>
      </c>
      <c r="J938">
        <f t="shared" si="490"/>
        <v>22.622334545454546</v>
      </c>
      <c r="K938">
        <f t="shared" si="491"/>
        <v>5.6011616438356162</v>
      </c>
      <c r="R938" s="4">
        <f t="shared" si="492"/>
        <v>2.2334545454544497E-2</v>
      </c>
      <c r="S938" s="4">
        <f t="shared" si="493"/>
        <v>-5.5988383561643831</v>
      </c>
    </row>
    <row r="939" spans="1:19" hidden="1" x14ac:dyDescent="0.35">
      <c r="A939" s="1">
        <v>43673</v>
      </c>
      <c r="B939" s="4">
        <v>24.1</v>
      </c>
      <c r="C939">
        <v>20.399999999999999</v>
      </c>
      <c r="D939">
        <v>28.3</v>
      </c>
      <c r="E939" s="4">
        <v>0</v>
      </c>
      <c r="F939" t="str">
        <f t="shared" si="482"/>
        <v>OK</v>
      </c>
      <c r="G939" t="str">
        <f t="shared" si="483"/>
        <v>OK</v>
      </c>
      <c r="H939" t="str">
        <f t="shared" si="484"/>
        <v>OK</v>
      </c>
      <c r="I939" s="4">
        <f t="shared" si="485"/>
        <v>2019</v>
      </c>
    </row>
    <row r="940" spans="1:19" hidden="1" x14ac:dyDescent="0.35">
      <c r="A940" s="1">
        <v>43674</v>
      </c>
      <c r="B940" s="4">
        <v>23.4</v>
      </c>
      <c r="C940">
        <v>20.6</v>
      </c>
      <c r="D940">
        <v>29</v>
      </c>
      <c r="E940" s="4">
        <v>0</v>
      </c>
      <c r="F940" t="str">
        <f t="shared" si="482"/>
        <v>OK</v>
      </c>
      <c r="G940" t="str">
        <f t="shared" si="483"/>
        <v>OK</v>
      </c>
      <c r="H940" t="str">
        <f t="shared" si="484"/>
        <v>OK</v>
      </c>
      <c r="I940" s="4">
        <f t="shared" si="485"/>
        <v>2019</v>
      </c>
    </row>
    <row r="941" spans="1:19" hidden="1" x14ac:dyDescent="0.35">
      <c r="A941" s="1">
        <v>43675</v>
      </c>
      <c r="B941" s="4">
        <v>23.4</v>
      </c>
      <c r="C941">
        <v>20.8</v>
      </c>
      <c r="D941">
        <v>28.2</v>
      </c>
      <c r="E941" s="4">
        <v>0</v>
      </c>
      <c r="F941" t="str">
        <f t="shared" si="482"/>
        <v>OK</v>
      </c>
      <c r="G941" t="str">
        <f t="shared" si="483"/>
        <v>OK</v>
      </c>
      <c r="H941" t="str">
        <f t="shared" si="484"/>
        <v>OK</v>
      </c>
      <c r="I941" s="4">
        <f t="shared" si="485"/>
        <v>2019</v>
      </c>
    </row>
    <row r="942" spans="1:19" hidden="1" x14ac:dyDescent="0.35">
      <c r="A942" s="1">
        <v>43676</v>
      </c>
      <c r="B942" s="4">
        <v>22.9</v>
      </c>
      <c r="C942">
        <v>20.100000000000001</v>
      </c>
      <c r="D942">
        <v>27.6</v>
      </c>
      <c r="E942" s="4">
        <v>0</v>
      </c>
      <c r="F942" t="str">
        <f t="shared" si="482"/>
        <v>OK</v>
      </c>
      <c r="G942" t="str">
        <f t="shared" si="483"/>
        <v>OK</v>
      </c>
      <c r="H942" t="str">
        <f t="shared" si="484"/>
        <v>OK</v>
      </c>
      <c r="I942" s="4">
        <f t="shared" si="485"/>
        <v>2019</v>
      </c>
    </row>
    <row r="943" spans="1:19" hidden="1" x14ac:dyDescent="0.35">
      <c r="A943" s="1">
        <v>43677</v>
      </c>
      <c r="B943">
        <v>24.2</v>
      </c>
      <c r="C943">
        <v>19.8</v>
      </c>
      <c r="D943">
        <v>30.4</v>
      </c>
      <c r="E943"/>
      <c r="I943"/>
    </row>
    <row r="944" spans="1:19" hidden="1" x14ac:dyDescent="0.35">
      <c r="A944" s="1">
        <v>43678</v>
      </c>
      <c r="B944">
        <v>24.7</v>
      </c>
      <c r="C944">
        <v>20.5</v>
      </c>
      <c r="D944">
        <v>29.9</v>
      </c>
      <c r="E944"/>
      <c r="I944"/>
    </row>
    <row r="945" spans="1:19" hidden="1" x14ac:dyDescent="0.35">
      <c r="A945" s="1">
        <v>43679</v>
      </c>
      <c r="B945">
        <v>23.6</v>
      </c>
      <c r="C945">
        <v>20.5</v>
      </c>
      <c r="D945">
        <v>30.4</v>
      </c>
      <c r="E945"/>
      <c r="I945"/>
    </row>
    <row r="946" spans="1:19" hidden="1" x14ac:dyDescent="0.35">
      <c r="A946" s="1">
        <v>43680</v>
      </c>
      <c r="B946">
        <v>23.8</v>
      </c>
      <c r="C946">
        <v>20.399999999999999</v>
      </c>
      <c r="D946">
        <v>29.3</v>
      </c>
      <c r="E946"/>
      <c r="I946"/>
    </row>
    <row r="947" spans="1:19" hidden="1" x14ac:dyDescent="0.35">
      <c r="A947" s="1">
        <v>43681</v>
      </c>
      <c r="B947">
        <v>23.8</v>
      </c>
      <c r="C947">
        <v>21</v>
      </c>
      <c r="D947">
        <v>28.8</v>
      </c>
      <c r="E947"/>
      <c r="I947"/>
    </row>
    <row r="948" spans="1:19" x14ac:dyDescent="0.35">
      <c r="A948" s="1">
        <v>43682</v>
      </c>
      <c r="B948" s="4">
        <v>22.4</v>
      </c>
      <c r="C948">
        <v>20.6</v>
      </c>
      <c r="D948">
        <v>27.9</v>
      </c>
      <c r="E948" s="4">
        <v>2</v>
      </c>
      <c r="F948" t="str">
        <f t="shared" ref="F948:F984" si="494">IF(OR(B948 &lt; $N$30, B948 &gt; $N$67), "Outlier", "OK")</f>
        <v>OK</v>
      </c>
      <c r="G948" t="str">
        <f t="shared" ref="G948:G984" si="495">IF(OR(C948 &lt; $O$30, C948 &gt; $O$67), "Outlier", "OK")</f>
        <v>OK</v>
      </c>
      <c r="H948" t="str">
        <f t="shared" ref="H948:H984" si="496">IF(OR(D948 &lt; $P$30, D948 &gt; $P$67), "Outlier", "OK")</f>
        <v>OK</v>
      </c>
      <c r="I948" s="4">
        <f t="shared" ref="I948:I984" si="497">YEAR(A948)</f>
        <v>2019</v>
      </c>
      <c r="J948">
        <f t="shared" ref="J948:J953" si="498">( 377.84*B948 + 3903.1)/550</f>
        <v>22.48493818181818</v>
      </c>
      <c r="K948">
        <f t="shared" ref="K948:K953" si="499" xml:space="preserve"> (59.02*E948 + 1383.4)/365</f>
        <v>4.1135342465753428</v>
      </c>
      <c r="R948" s="4">
        <f t="shared" ref="R948:R953" si="500">J948-B948</f>
        <v>8.4938181818181135E-2</v>
      </c>
      <c r="S948" s="4">
        <f t="shared" ref="S948:S953" si="501">K948-E948</f>
        <v>2.1135342465753428</v>
      </c>
    </row>
    <row r="949" spans="1:19" x14ac:dyDescent="0.35">
      <c r="A949" s="1">
        <v>43683</v>
      </c>
      <c r="B949" s="4">
        <v>21.8</v>
      </c>
      <c r="C949">
        <v>20</v>
      </c>
      <c r="D949">
        <v>25.6</v>
      </c>
      <c r="E949" s="4">
        <v>2.8</v>
      </c>
      <c r="F949" t="str">
        <f t="shared" si="494"/>
        <v>OK</v>
      </c>
      <c r="G949" t="str">
        <f t="shared" si="495"/>
        <v>OK</v>
      </c>
      <c r="H949" t="str">
        <f t="shared" si="496"/>
        <v>OK</v>
      </c>
      <c r="I949" s="4">
        <f t="shared" si="497"/>
        <v>2019</v>
      </c>
      <c r="J949">
        <f t="shared" si="498"/>
        <v>22.072749090909092</v>
      </c>
      <c r="K949">
        <f t="shared" si="499"/>
        <v>4.2428931506849317</v>
      </c>
      <c r="R949" s="4">
        <f t="shared" si="500"/>
        <v>0.27274909090909105</v>
      </c>
      <c r="S949" s="4">
        <f t="shared" si="501"/>
        <v>1.4428931506849318</v>
      </c>
    </row>
    <row r="950" spans="1:19" x14ac:dyDescent="0.35">
      <c r="A950" s="1">
        <v>43684</v>
      </c>
      <c r="B950" s="4">
        <v>22.1</v>
      </c>
      <c r="C950">
        <v>20.3</v>
      </c>
      <c r="D950">
        <v>25.4</v>
      </c>
      <c r="E950" s="4">
        <v>2</v>
      </c>
      <c r="F950" t="str">
        <f t="shared" si="494"/>
        <v>OK</v>
      </c>
      <c r="G950" t="str">
        <f t="shared" si="495"/>
        <v>OK</v>
      </c>
      <c r="H950" t="str">
        <f t="shared" si="496"/>
        <v>OK</v>
      </c>
      <c r="I950" s="4">
        <f t="shared" si="497"/>
        <v>2019</v>
      </c>
      <c r="J950">
        <f t="shared" si="498"/>
        <v>22.278843636363636</v>
      </c>
      <c r="K950">
        <f t="shared" si="499"/>
        <v>4.1135342465753428</v>
      </c>
      <c r="R950" s="4">
        <f t="shared" si="500"/>
        <v>0.17884363636363432</v>
      </c>
      <c r="S950" s="4">
        <f t="shared" si="501"/>
        <v>2.1135342465753428</v>
      </c>
    </row>
    <row r="951" spans="1:19" x14ac:dyDescent="0.35">
      <c r="A951" s="1">
        <v>43685</v>
      </c>
      <c r="B951" s="4">
        <v>22</v>
      </c>
      <c r="C951">
        <v>20.8</v>
      </c>
      <c r="D951">
        <v>25.2</v>
      </c>
      <c r="E951" s="4">
        <v>3</v>
      </c>
      <c r="F951" t="str">
        <f t="shared" si="494"/>
        <v>OK</v>
      </c>
      <c r="G951" t="str">
        <f t="shared" si="495"/>
        <v>OK</v>
      </c>
      <c r="H951" t="str">
        <f t="shared" si="496"/>
        <v>OK</v>
      </c>
      <c r="I951" s="4">
        <f t="shared" si="497"/>
        <v>2019</v>
      </c>
      <c r="J951">
        <f t="shared" si="498"/>
        <v>22.210145454545454</v>
      </c>
      <c r="K951">
        <f t="shared" si="499"/>
        <v>4.2752328767123284</v>
      </c>
      <c r="R951" s="4">
        <f t="shared" si="500"/>
        <v>0.21014545454545441</v>
      </c>
      <c r="S951" s="4">
        <f t="shared" si="501"/>
        <v>1.2752328767123284</v>
      </c>
    </row>
    <row r="952" spans="1:19" x14ac:dyDescent="0.35">
      <c r="A952" s="1">
        <v>43686</v>
      </c>
      <c r="B952" s="4">
        <v>21.8</v>
      </c>
      <c r="C952">
        <v>20.3</v>
      </c>
      <c r="D952">
        <v>25.7</v>
      </c>
      <c r="E952" s="4">
        <v>21.1</v>
      </c>
      <c r="F952" t="str">
        <f t="shared" si="494"/>
        <v>OK</v>
      </c>
      <c r="G952" t="str">
        <f t="shared" si="495"/>
        <v>OK</v>
      </c>
      <c r="H952" t="str">
        <f t="shared" si="496"/>
        <v>OK</v>
      </c>
      <c r="I952" s="4">
        <f t="shared" si="497"/>
        <v>2019</v>
      </c>
      <c r="J952">
        <f t="shared" si="498"/>
        <v>22.072749090909092</v>
      </c>
      <c r="K952">
        <f t="shared" si="499"/>
        <v>7.2019780821917818</v>
      </c>
      <c r="R952" s="4">
        <f t="shared" si="500"/>
        <v>0.27274909090909105</v>
      </c>
      <c r="S952" s="4">
        <f t="shared" si="501"/>
        <v>-13.898021917808219</v>
      </c>
    </row>
    <row r="953" spans="1:19" x14ac:dyDescent="0.35">
      <c r="A953" s="1">
        <v>43687</v>
      </c>
      <c r="B953" s="4">
        <v>22.7</v>
      </c>
      <c r="C953">
        <v>19.8</v>
      </c>
      <c r="D953">
        <v>26.2</v>
      </c>
      <c r="E953" s="4">
        <v>0.8</v>
      </c>
      <c r="F953" t="str">
        <f t="shared" si="494"/>
        <v>OK</v>
      </c>
      <c r="G953" t="str">
        <f t="shared" si="495"/>
        <v>OK</v>
      </c>
      <c r="H953" t="str">
        <f t="shared" si="496"/>
        <v>OK</v>
      </c>
      <c r="I953" s="4">
        <f t="shared" si="497"/>
        <v>2019</v>
      </c>
      <c r="J953">
        <f t="shared" si="498"/>
        <v>22.691032727272727</v>
      </c>
      <c r="K953">
        <f t="shared" si="499"/>
        <v>3.9194958904109587</v>
      </c>
      <c r="R953" s="4">
        <f t="shared" si="500"/>
        <v>-8.9672727272720465E-3</v>
      </c>
      <c r="S953" s="4">
        <f t="shared" si="501"/>
        <v>3.1194958904109589</v>
      </c>
    </row>
    <row r="954" spans="1:19" hidden="1" x14ac:dyDescent="0.35">
      <c r="A954" s="1">
        <v>43688</v>
      </c>
      <c r="B954" s="4">
        <v>23</v>
      </c>
      <c r="C954">
        <v>20</v>
      </c>
      <c r="D954">
        <v>28.5</v>
      </c>
      <c r="E954" s="4">
        <v>0</v>
      </c>
      <c r="F954" t="str">
        <f t="shared" si="494"/>
        <v>OK</v>
      </c>
      <c r="G954" t="str">
        <f t="shared" si="495"/>
        <v>OK</v>
      </c>
      <c r="H954" t="str">
        <f t="shared" si="496"/>
        <v>OK</v>
      </c>
      <c r="I954" s="4">
        <f t="shared" si="497"/>
        <v>2019</v>
      </c>
    </row>
    <row r="955" spans="1:19" x14ac:dyDescent="0.35">
      <c r="A955" s="1">
        <v>43689</v>
      </c>
      <c r="B955" s="4">
        <v>23.2</v>
      </c>
      <c r="C955">
        <v>20.2</v>
      </c>
      <c r="D955">
        <v>27.5</v>
      </c>
      <c r="E955" s="4">
        <v>6.1</v>
      </c>
      <c r="F955" t="str">
        <f t="shared" si="494"/>
        <v>OK</v>
      </c>
      <c r="G955" t="str">
        <f t="shared" si="495"/>
        <v>OK</v>
      </c>
      <c r="H955" t="str">
        <f t="shared" si="496"/>
        <v>OK</v>
      </c>
      <c r="I955" s="4">
        <f t="shared" si="497"/>
        <v>2019</v>
      </c>
      <c r="J955">
        <f t="shared" ref="J955:J958" si="502">( 377.84*B955 + 3903.1)/550</f>
        <v>23.034523636363634</v>
      </c>
      <c r="K955">
        <f t="shared" ref="K955:K958" si="503" xml:space="preserve"> (59.02*E955 + 1383.4)/365</f>
        <v>4.7764986301369863</v>
      </c>
      <c r="R955" s="4">
        <f t="shared" ref="R955:R958" si="504">J955-B955</f>
        <v>-0.16547636363636542</v>
      </c>
      <c r="S955" s="4">
        <f t="shared" ref="S955:S958" si="505">K955-E955</f>
        <v>-1.3235013698630134</v>
      </c>
    </row>
    <row r="956" spans="1:19" x14ac:dyDescent="0.35">
      <c r="A956" s="1">
        <v>43690</v>
      </c>
      <c r="B956" s="4">
        <v>23.1</v>
      </c>
      <c r="C956">
        <v>20.6</v>
      </c>
      <c r="D956">
        <v>27.6</v>
      </c>
      <c r="E956" s="4">
        <v>19.100000000000001</v>
      </c>
      <c r="F956" t="str">
        <f t="shared" si="494"/>
        <v>OK</v>
      </c>
      <c r="G956" t="str">
        <f t="shared" si="495"/>
        <v>OK</v>
      </c>
      <c r="H956" t="str">
        <f t="shared" si="496"/>
        <v>OK</v>
      </c>
      <c r="I956" s="4">
        <f t="shared" si="497"/>
        <v>2019</v>
      </c>
      <c r="J956">
        <f t="shared" si="502"/>
        <v>22.965825454545453</v>
      </c>
      <c r="K956">
        <f t="shared" si="503"/>
        <v>6.8785808219178088</v>
      </c>
      <c r="R956" s="4">
        <f t="shared" si="504"/>
        <v>-0.13417454545454888</v>
      </c>
      <c r="S956" s="4">
        <f t="shared" si="505"/>
        <v>-12.221419178082193</v>
      </c>
    </row>
    <row r="957" spans="1:19" x14ac:dyDescent="0.35">
      <c r="A957" s="1">
        <v>43691</v>
      </c>
      <c r="B957" s="4">
        <v>22.8</v>
      </c>
      <c r="C957">
        <v>20.7</v>
      </c>
      <c r="D957">
        <v>27.4</v>
      </c>
      <c r="E957" s="4">
        <v>0.3</v>
      </c>
      <c r="F957" t="str">
        <f t="shared" si="494"/>
        <v>OK</v>
      </c>
      <c r="G957" t="str">
        <f t="shared" si="495"/>
        <v>OK</v>
      </c>
      <c r="H957" t="str">
        <f t="shared" si="496"/>
        <v>OK</v>
      </c>
      <c r="I957" s="4">
        <f t="shared" si="497"/>
        <v>2019</v>
      </c>
      <c r="J957">
        <f t="shared" si="502"/>
        <v>22.759730909090912</v>
      </c>
      <c r="K957">
        <f t="shared" si="503"/>
        <v>3.8386465753424659</v>
      </c>
      <c r="R957" s="4">
        <f t="shared" si="504"/>
        <v>-4.026909090908859E-2</v>
      </c>
      <c r="S957" s="4">
        <f t="shared" si="505"/>
        <v>3.5386465753424661</v>
      </c>
    </row>
    <row r="958" spans="1:19" x14ac:dyDescent="0.35">
      <c r="A958" s="1">
        <v>43692</v>
      </c>
      <c r="B958" s="4">
        <v>23.2</v>
      </c>
      <c r="C958">
        <v>20.5</v>
      </c>
      <c r="D958">
        <v>28.4</v>
      </c>
      <c r="E958" s="4">
        <v>9.1</v>
      </c>
      <c r="F958" t="str">
        <f t="shared" si="494"/>
        <v>OK</v>
      </c>
      <c r="G958" t="str">
        <f t="shared" si="495"/>
        <v>OK</v>
      </c>
      <c r="H958" t="str">
        <f t="shared" si="496"/>
        <v>OK</v>
      </c>
      <c r="I958" s="4">
        <f t="shared" si="497"/>
        <v>2019</v>
      </c>
      <c r="J958">
        <f t="shared" si="502"/>
        <v>23.034523636363634</v>
      </c>
      <c r="K958">
        <f t="shared" si="503"/>
        <v>5.2615945205479449</v>
      </c>
      <c r="R958" s="4">
        <f t="shared" si="504"/>
        <v>-0.16547636363636542</v>
      </c>
      <c r="S958" s="4">
        <f t="shared" si="505"/>
        <v>-3.8384054794520548</v>
      </c>
    </row>
    <row r="959" spans="1:19" hidden="1" x14ac:dyDescent="0.35">
      <c r="A959" s="1">
        <v>43693</v>
      </c>
      <c r="B959" s="4">
        <v>23.1</v>
      </c>
      <c r="C959">
        <v>20.8</v>
      </c>
      <c r="D959">
        <v>29.2</v>
      </c>
      <c r="E959" s="4">
        <v>0</v>
      </c>
      <c r="F959" t="str">
        <f t="shared" si="494"/>
        <v>OK</v>
      </c>
      <c r="G959" t="str">
        <f t="shared" si="495"/>
        <v>OK</v>
      </c>
      <c r="H959" t="str">
        <f t="shared" si="496"/>
        <v>OK</v>
      </c>
      <c r="I959" s="4">
        <f t="shared" si="497"/>
        <v>2019</v>
      </c>
    </row>
    <row r="960" spans="1:19" x14ac:dyDescent="0.35">
      <c r="A960" s="1">
        <v>43694</v>
      </c>
      <c r="B960" s="4">
        <v>22.2</v>
      </c>
      <c r="C960">
        <v>20</v>
      </c>
      <c r="D960">
        <v>28.6</v>
      </c>
      <c r="E960" s="4">
        <v>3</v>
      </c>
      <c r="F960" t="str">
        <f t="shared" si="494"/>
        <v>OK</v>
      </c>
      <c r="G960" t="str">
        <f t="shared" si="495"/>
        <v>OK</v>
      </c>
      <c r="H960" t="str">
        <f t="shared" si="496"/>
        <v>OK</v>
      </c>
      <c r="I960" s="4">
        <f t="shared" si="497"/>
        <v>2019</v>
      </c>
      <c r="J960">
        <f t="shared" ref="J960:J964" si="506">( 377.84*B960 + 3903.1)/550</f>
        <v>22.347541818181817</v>
      </c>
      <c r="K960">
        <f t="shared" ref="K960:K964" si="507" xml:space="preserve"> (59.02*E960 + 1383.4)/365</f>
        <v>4.2752328767123284</v>
      </c>
      <c r="R960" s="4">
        <f t="shared" ref="R960:R964" si="508">J960-B960</f>
        <v>0.14754181818181777</v>
      </c>
      <c r="S960" s="4">
        <f t="shared" ref="S960:S964" si="509">K960-E960</f>
        <v>1.2752328767123284</v>
      </c>
    </row>
    <row r="961" spans="1:19" x14ac:dyDescent="0.35">
      <c r="A961" s="1">
        <v>43695</v>
      </c>
      <c r="B961" s="4">
        <v>21.7</v>
      </c>
      <c r="C961">
        <v>20.6</v>
      </c>
      <c r="D961">
        <v>24.8</v>
      </c>
      <c r="E961" s="4">
        <v>24.1</v>
      </c>
      <c r="F961" t="str">
        <f t="shared" si="494"/>
        <v>OK</v>
      </c>
      <c r="G961" t="str">
        <f t="shared" si="495"/>
        <v>OK</v>
      </c>
      <c r="H961" t="str">
        <f t="shared" si="496"/>
        <v>OK</v>
      </c>
      <c r="I961" s="4">
        <f t="shared" si="497"/>
        <v>2019</v>
      </c>
      <c r="J961">
        <f t="shared" si="506"/>
        <v>22.004050909090907</v>
      </c>
      <c r="K961">
        <f t="shared" si="507"/>
        <v>7.6870739726027404</v>
      </c>
      <c r="R961" s="4">
        <f t="shared" si="508"/>
        <v>0.3040509090909076</v>
      </c>
      <c r="S961" s="4">
        <f t="shared" si="509"/>
        <v>-16.412926027397262</v>
      </c>
    </row>
    <row r="962" spans="1:19" x14ac:dyDescent="0.35">
      <c r="A962" s="1">
        <v>43696</v>
      </c>
      <c r="B962" s="4">
        <v>23.5</v>
      </c>
      <c r="C962">
        <v>20.3</v>
      </c>
      <c r="D962">
        <v>28.8</v>
      </c>
      <c r="E962" s="4">
        <v>11.7</v>
      </c>
      <c r="F962" t="str">
        <f t="shared" si="494"/>
        <v>OK</v>
      </c>
      <c r="G962" t="str">
        <f t="shared" si="495"/>
        <v>OK</v>
      </c>
      <c r="H962" t="str">
        <f t="shared" si="496"/>
        <v>OK</v>
      </c>
      <c r="I962" s="4">
        <f t="shared" si="497"/>
        <v>2019</v>
      </c>
      <c r="J962">
        <f t="shared" si="506"/>
        <v>23.240618181818181</v>
      </c>
      <c r="K962">
        <f t="shared" si="507"/>
        <v>5.6820109589041099</v>
      </c>
      <c r="R962" s="4">
        <f t="shared" si="508"/>
        <v>-0.2593818181818186</v>
      </c>
      <c r="S962" s="4">
        <f t="shared" si="509"/>
        <v>-6.0179890410958894</v>
      </c>
    </row>
    <row r="963" spans="1:19" x14ac:dyDescent="0.35">
      <c r="A963" s="1">
        <v>43697</v>
      </c>
      <c r="B963" s="4">
        <v>22.8</v>
      </c>
      <c r="C963">
        <v>20.100000000000001</v>
      </c>
      <c r="D963">
        <v>29</v>
      </c>
      <c r="E963" s="4">
        <v>17.5</v>
      </c>
      <c r="F963" t="str">
        <f t="shared" si="494"/>
        <v>OK</v>
      </c>
      <c r="G963" t="str">
        <f t="shared" si="495"/>
        <v>OK</v>
      </c>
      <c r="H963" t="str">
        <f t="shared" si="496"/>
        <v>OK</v>
      </c>
      <c r="I963" s="4">
        <f t="shared" si="497"/>
        <v>2019</v>
      </c>
      <c r="J963">
        <f t="shared" si="506"/>
        <v>22.759730909090912</v>
      </c>
      <c r="K963">
        <f t="shared" si="507"/>
        <v>6.6198630136986303</v>
      </c>
      <c r="R963" s="4">
        <f t="shared" si="508"/>
        <v>-4.026909090908859E-2</v>
      </c>
      <c r="S963" s="4">
        <f t="shared" si="509"/>
        <v>-10.88013698630137</v>
      </c>
    </row>
    <row r="964" spans="1:19" x14ac:dyDescent="0.35">
      <c r="A964" s="1">
        <v>43698</v>
      </c>
      <c r="B964" s="4">
        <v>23.2</v>
      </c>
      <c r="C964">
        <v>20.8</v>
      </c>
      <c r="D964">
        <v>27.4</v>
      </c>
      <c r="E964" s="4">
        <v>16.5</v>
      </c>
      <c r="F964" t="str">
        <f t="shared" si="494"/>
        <v>OK</v>
      </c>
      <c r="G964" t="str">
        <f t="shared" si="495"/>
        <v>OK</v>
      </c>
      <c r="H964" t="str">
        <f t="shared" si="496"/>
        <v>OK</v>
      </c>
      <c r="I964" s="4">
        <f t="shared" si="497"/>
        <v>2019</v>
      </c>
      <c r="J964">
        <f t="shared" si="506"/>
        <v>23.034523636363634</v>
      </c>
      <c r="K964">
        <f t="shared" si="507"/>
        <v>6.4581643835616438</v>
      </c>
      <c r="R964" s="4">
        <f t="shared" si="508"/>
        <v>-0.16547636363636542</v>
      </c>
      <c r="S964" s="4">
        <f t="shared" si="509"/>
        <v>-10.041835616438355</v>
      </c>
    </row>
    <row r="965" spans="1:19" hidden="1" x14ac:dyDescent="0.35">
      <c r="A965" s="1">
        <v>43699</v>
      </c>
      <c r="B965" s="4">
        <v>22.7</v>
      </c>
      <c r="C965">
        <v>20.8</v>
      </c>
      <c r="D965">
        <v>27.3</v>
      </c>
      <c r="E965" s="4">
        <v>0</v>
      </c>
      <c r="F965" t="str">
        <f t="shared" si="494"/>
        <v>OK</v>
      </c>
      <c r="G965" t="str">
        <f t="shared" si="495"/>
        <v>OK</v>
      </c>
      <c r="H965" t="str">
        <f t="shared" si="496"/>
        <v>OK</v>
      </c>
      <c r="I965" s="4">
        <f t="shared" si="497"/>
        <v>2019</v>
      </c>
    </row>
    <row r="966" spans="1:19" x14ac:dyDescent="0.35">
      <c r="A966" s="1">
        <v>43700</v>
      </c>
      <c r="B966" s="4">
        <v>22.7</v>
      </c>
      <c r="C966">
        <v>20.3</v>
      </c>
      <c r="D966">
        <v>27.5</v>
      </c>
      <c r="E966" s="4">
        <v>5.3</v>
      </c>
      <c r="F966" t="str">
        <f t="shared" si="494"/>
        <v>OK</v>
      </c>
      <c r="G966" t="str">
        <f t="shared" si="495"/>
        <v>OK</v>
      </c>
      <c r="H966" t="str">
        <f t="shared" si="496"/>
        <v>OK</v>
      </c>
      <c r="I966" s="4">
        <f t="shared" si="497"/>
        <v>2019</v>
      </c>
      <c r="J966">
        <f t="shared" ref="J966:J967" si="510">( 377.84*B966 + 3903.1)/550</f>
        <v>22.691032727272727</v>
      </c>
      <c r="K966">
        <f t="shared" ref="K966:K967" si="511" xml:space="preserve"> (59.02*E966 + 1383.4)/365</f>
        <v>4.6471397260273974</v>
      </c>
      <c r="R966" s="4">
        <f t="shared" ref="R966:R967" si="512">J966-B966</f>
        <v>-8.9672727272720465E-3</v>
      </c>
      <c r="S966" s="4">
        <f t="shared" ref="S966:S967" si="513">K966-E966</f>
        <v>-0.65286027397260238</v>
      </c>
    </row>
    <row r="967" spans="1:19" x14ac:dyDescent="0.35">
      <c r="A967" s="1">
        <v>43701</v>
      </c>
      <c r="B967" s="4">
        <v>22.7</v>
      </c>
      <c r="C967">
        <v>20</v>
      </c>
      <c r="D967">
        <v>27.6</v>
      </c>
      <c r="E967" s="4">
        <v>1.5</v>
      </c>
      <c r="F967" t="str">
        <f t="shared" si="494"/>
        <v>OK</v>
      </c>
      <c r="G967" t="str">
        <f t="shared" si="495"/>
        <v>OK</v>
      </c>
      <c r="H967" t="str">
        <f t="shared" si="496"/>
        <v>OK</v>
      </c>
      <c r="I967" s="4">
        <f t="shared" si="497"/>
        <v>2019</v>
      </c>
      <c r="J967">
        <f t="shared" si="510"/>
        <v>22.691032727272727</v>
      </c>
      <c r="K967">
        <f t="shared" si="511"/>
        <v>4.0326849315068491</v>
      </c>
      <c r="R967" s="4">
        <f t="shared" si="512"/>
        <v>-8.9672727272720465E-3</v>
      </c>
      <c r="S967" s="4">
        <f t="shared" si="513"/>
        <v>2.5326849315068491</v>
      </c>
    </row>
    <row r="968" spans="1:19" hidden="1" x14ac:dyDescent="0.35">
      <c r="A968" s="1">
        <v>43702</v>
      </c>
      <c r="B968" s="4">
        <v>23</v>
      </c>
      <c r="C968">
        <v>20</v>
      </c>
      <c r="D968">
        <v>28.4</v>
      </c>
      <c r="E968" s="4">
        <v>0</v>
      </c>
      <c r="F968" t="str">
        <f t="shared" si="494"/>
        <v>OK</v>
      </c>
      <c r="G968" t="str">
        <f t="shared" si="495"/>
        <v>OK</v>
      </c>
      <c r="H968" t="str">
        <f t="shared" si="496"/>
        <v>OK</v>
      </c>
      <c r="I968" s="4">
        <f t="shared" si="497"/>
        <v>2019</v>
      </c>
    </row>
    <row r="969" spans="1:19" hidden="1" x14ac:dyDescent="0.35">
      <c r="A969" s="1">
        <v>43703</v>
      </c>
      <c r="B969" s="4">
        <v>23</v>
      </c>
      <c r="C969">
        <v>20</v>
      </c>
      <c r="D969">
        <v>28.3</v>
      </c>
      <c r="E969" s="4">
        <v>0</v>
      </c>
      <c r="F969" t="str">
        <f t="shared" si="494"/>
        <v>OK</v>
      </c>
      <c r="G969" t="str">
        <f t="shared" si="495"/>
        <v>OK</v>
      </c>
      <c r="H969" t="str">
        <f t="shared" si="496"/>
        <v>OK</v>
      </c>
      <c r="I969" s="4">
        <f t="shared" si="497"/>
        <v>2019</v>
      </c>
    </row>
    <row r="970" spans="1:19" x14ac:dyDescent="0.35">
      <c r="A970" s="1">
        <v>43704</v>
      </c>
      <c r="B970" s="4">
        <v>23.9</v>
      </c>
      <c r="C970">
        <v>20.399999999999999</v>
      </c>
      <c r="D970">
        <v>29.4</v>
      </c>
      <c r="E970" s="4">
        <v>0.3</v>
      </c>
      <c r="F970" t="str">
        <f t="shared" si="494"/>
        <v>OK</v>
      </c>
      <c r="G970" t="str">
        <f t="shared" si="495"/>
        <v>OK</v>
      </c>
      <c r="H970" t="str">
        <f t="shared" si="496"/>
        <v>OK</v>
      </c>
      <c r="I970" s="4">
        <f t="shared" si="497"/>
        <v>2019</v>
      </c>
      <c r="J970">
        <f>( 377.84*B970 + 3903.1)/550</f>
        <v>23.515410909090907</v>
      </c>
      <c r="K970">
        <f xml:space="preserve"> (59.02*E970 + 1383.4)/365</f>
        <v>3.8386465753424659</v>
      </c>
      <c r="R970" s="4">
        <f>J970-B970</f>
        <v>-0.38458909090909188</v>
      </c>
      <c r="S970" s="4">
        <f>K970-E970</f>
        <v>3.5386465753424661</v>
      </c>
    </row>
    <row r="971" spans="1:19" hidden="1" x14ac:dyDescent="0.35">
      <c r="A971" s="1">
        <v>43705</v>
      </c>
      <c r="B971" s="4">
        <v>23.7</v>
      </c>
      <c r="C971">
        <v>20</v>
      </c>
      <c r="D971">
        <v>29</v>
      </c>
      <c r="E971" s="4">
        <v>0</v>
      </c>
      <c r="F971" t="str">
        <f t="shared" si="494"/>
        <v>OK</v>
      </c>
      <c r="G971" t="str">
        <f t="shared" si="495"/>
        <v>OK</v>
      </c>
      <c r="H971" t="str">
        <f t="shared" si="496"/>
        <v>OK</v>
      </c>
      <c r="I971" s="4">
        <f t="shared" si="497"/>
        <v>2019</v>
      </c>
    </row>
    <row r="972" spans="1:19" hidden="1" x14ac:dyDescent="0.35">
      <c r="A972" s="1">
        <v>43706</v>
      </c>
      <c r="B972" s="4">
        <v>24.1</v>
      </c>
      <c r="C972">
        <v>20.6</v>
      </c>
      <c r="D972">
        <v>29.3</v>
      </c>
      <c r="E972" s="4">
        <v>0</v>
      </c>
      <c r="F972" t="str">
        <f t="shared" si="494"/>
        <v>OK</v>
      </c>
      <c r="G972" t="str">
        <f t="shared" si="495"/>
        <v>OK</v>
      </c>
      <c r="H972" t="str">
        <f t="shared" si="496"/>
        <v>OK</v>
      </c>
      <c r="I972" s="4">
        <f t="shared" si="497"/>
        <v>2019</v>
      </c>
    </row>
    <row r="973" spans="1:19" hidden="1" x14ac:dyDescent="0.35">
      <c r="A973" s="1">
        <v>43707</v>
      </c>
      <c r="B973" s="4">
        <v>24.3</v>
      </c>
      <c r="C973">
        <v>20.6</v>
      </c>
      <c r="D973">
        <v>29</v>
      </c>
      <c r="E973" s="4">
        <v>0</v>
      </c>
      <c r="F973" t="str">
        <f t="shared" si="494"/>
        <v>OK</v>
      </c>
      <c r="G973" t="str">
        <f t="shared" si="495"/>
        <v>OK</v>
      </c>
      <c r="H973" t="str">
        <f t="shared" si="496"/>
        <v>OK</v>
      </c>
      <c r="I973" s="4">
        <f t="shared" si="497"/>
        <v>2019</v>
      </c>
    </row>
    <row r="974" spans="1:19" hidden="1" x14ac:dyDescent="0.35">
      <c r="A974" s="1">
        <v>43708</v>
      </c>
      <c r="B974" s="4">
        <v>23</v>
      </c>
      <c r="C974">
        <v>20.399999999999999</v>
      </c>
      <c r="D974">
        <v>28.7</v>
      </c>
      <c r="E974" s="4">
        <v>0</v>
      </c>
      <c r="F974" t="str">
        <f t="shared" si="494"/>
        <v>OK</v>
      </c>
      <c r="G974" t="str">
        <f t="shared" si="495"/>
        <v>OK</v>
      </c>
      <c r="H974" t="str">
        <f t="shared" si="496"/>
        <v>OK</v>
      </c>
      <c r="I974" s="4">
        <f t="shared" si="497"/>
        <v>2019</v>
      </c>
    </row>
    <row r="975" spans="1:19" hidden="1" x14ac:dyDescent="0.35">
      <c r="A975" s="1">
        <v>43709</v>
      </c>
      <c r="B975" s="4">
        <v>23</v>
      </c>
      <c r="C975">
        <v>20.100000000000001</v>
      </c>
      <c r="D975">
        <v>26.4</v>
      </c>
      <c r="E975" s="4">
        <v>0</v>
      </c>
      <c r="F975" t="str">
        <f t="shared" si="494"/>
        <v>OK</v>
      </c>
      <c r="G975" t="str">
        <f t="shared" si="495"/>
        <v>OK</v>
      </c>
      <c r="H975" t="str">
        <f t="shared" si="496"/>
        <v>OK</v>
      </c>
      <c r="I975" s="4">
        <f t="shared" si="497"/>
        <v>2019</v>
      </c>
    </row>
    <row r="976" spans="1:19" x14ac:dyDescent="0.35">
      <c r="A976" s="1">
        <v>43710</v>
      </c>
      <c r="B976" s="4">
        <v>22.3</v>
      </c>
      <c r="C976">
        <v>20.3</v>
      </c>
      <c r="D976">
        <v>26.8</v>
      </c>
      <c r="E976" s="4">
        <v>0.5</v>
      </c>
      <c r="F976" t="str">
        <f t="shared" si="494"/>
        <v>OK</v>
      </c>
      <c r="G976" t="str">
        <f t="shared" si="495"/>
        <v>OK</v>
      </c>
      <c r="H976" t="str">
        <f t="shared" si="496"/>
        <v>OK</v>
      </c>
      <c r="I976" s="4">
        <f t="shared" si="497"/>
        <v>2019</v>
      </c>
      <c r="J976">
        <f t="shared" ref="J976:J978" si="514">( 377.84*B976 + 3903.1)/550</f>
        <v>22.416240000000002</v>
      </c>
      <c r="K976">
        <f t="shared" ref="K976:K978" si="515" xml:space="preserve"> (59.02*E976 + 1383.4)/365</f>
        <v>3.8709863013698631</v>
      </c>
      <c r="R976" s="4">
        <f t="shared" ref="R976:R978" si="516">J976-B976</f>
        <v>0.11624000000000123</v>
      </c>
      <c r="S976" s="4">
        <f t="shared" ref="S976:S978" si="517">K976-E976</f>
        <v>3.3709863013698631</v>
      </c>
    </row>
    <row r="977" spans="1:19" x14ac:dyDescent="0.35">
      <c r="A977" s="1">
        <v>43711</v>
      </c>
      <c r="B977" s="4">
        <v>22.2</v>
      </c>
      <c r="C977">
        <v>20.100000000000001</v>
      </c>
      <c r="D977">
        <v>26.4</v>
      </c>
      <c r="E977" s="4">
        <v>13</v>
      </c>
      <c r="F977" t="str">
        <f t="shared" si="494"/>
        <v>OK</v>
      </c>
      <c r="G977" t="str">
        <f t="shared" si="495"/>
        <v>OK</v>
      </c>
      <c r="H977" t="str">
        <f t="shared" si="496"/>
        <v>OK</v>
      </c>
      <c r="I977" s="4">
        <f t="shared" si="497"/>
        <v>2019</v>
      </c>
      <c r="J977">
        <f t="shared" si="514"/>
        <v>22.347541818181817</v>
      </c>
      <c r="K977">
        <f t="shared" si="515"/>
        <v>5.8922191780821915</v>
      </c>
      <c r="R977" s="4">
        <f t="shared" si="516"/>
        <v>0.14754181818181777</v>
      </c>
      <c r="S977" s="4">
        <f t="shared" si="517"/>
        <v>-7.1077808219178085</v>
      </c>
    </row>
    <row r="978" spans="1:19" x14ac:dyDescent="0.35">
      <c r="A978" s="1">
        <v>43712</v>
      </c>
      <c r="B978" s="4">
        <v>22.2</v>
      </c>
      <c r="C978">
        <v>20.3</v>
      </c>
      <c r="D978">
        <v>26.4</v>
      </c>
      <c r="E978" s="4">
        <v>4.5999999999999996</v>
      </c>
      <c r="F978" t="str">
        <f t="shared" si="494"/>
        <v>OK</v>
      </c>
      <c r="G978" t="str">
        <f t="shared" si="495"/>
        <v>OK</v>
      </c>
      <c r="H978" t="str">
        <f t="shared" si="496"/>
        <v>OK</v>
      </c>
      <c r="I978" s="4">
        <f t="shared" si="497"/>
        <v>2019</v>
      </c>
      <c r="J978">
        <f t="shared" si="514"/>
        <v>22.347541818181817</v>
      </c>
      <c r="K978">
        <f t="shared" si="515"/>
        <v>4.533950684931507</v>
      </c>
      <c r="R978" s="4">
        <f t="shared" si="516"/>
        <v>0.14754181818181777</v>
      </c>
      <c r="S978" s="4">
        <f t="shared" si="517"/>
        <v>-6.6049315068492653E-2</v>
      </c>
    </row>
    <row r="979" spans="1:19" hidden="1" x14ac:dyDescent="0.35">
      <c r="A979" s="1">
        <v>43713</v>
      </c>
      <c r="B979" s="4">
        <v>22.6</v>
      </c>
      <c r="C979">
        <v>20.399999999999999</v>
      </c>
      <c r="D979">
        <v>27.8</v>
      </c>
      <c r="E979" s="4">
        <v>0</v>
      </c>
      <c r="F979" t="str">
        <f t="shared" si="494"/>
        <v>OK</v>
      </c>
      <c r="G979" t="str">
        <f t="shared" si="495"/>
        <v>OK</v>
      </c>
      <c r="H979" t="str">
        <f t="shared" si="496"/>
        <v>OK</v>
      </c>
      <c r="I979" s="4">
        <f t="shared" si="497"/>
        <v>2019</v>
      </c>
    </row>
    <row r="980" spans="1:19" x14ac:dyDescent="0.35">
      <c r="A980" s="1">
        <v>43714</v>
      </c>
      <c r="B980" s="4">
        <v>22.8</v>
      </c>
      <c r="C980">
        <v>20.399999999999999</v>
      </c>
      <c r="D980">
        <v>27.4</v>
      </c>
      <c r="E980" s="4">
        <v>0.5</v>
      </c>
      <c r="F980" t="str">
        <f t="shared" si="494"/>
        <v>OK</v>
      </c>
      <c r="G980" t="str">
        <f t="shared" si="495"/>
        <v>OK</v>
      </c>
      <c r="H980" t="str">
        <f t="shared" si="496"/>
        <v>OK</v>
      </c>
      <c r="I980" s="4">
        <f t="shared" si="497"/>
        <v>2019</v>
      </c>
      <c r="J980">
        <f t="shared" ref="J980:J983" si="518">( 377.84*B980 + 3903.1)/550</f>
        <v>22.759730909090912</v>
      </c>
      <c r="K980">
        <f t="shared" ref="K980:K983" si="519" xml:space="preserve"> (59.02*E980 + 1383.4)/365</f>
        <v>3.8709863013698631</v>
      </c>
      <c r="R980" s="4">
        <f t="shared" ref="R980:R983" si="520">J980-B980</f>
        <v>-4.026909090908859E-2</v>
      </c>
      <c r="S980" s="4">
        <f t="shared" ref="S980:S983" si="521">K980-E980</f>
        <v>3.3709863013698631</v>
      </c>
    </row>
    <row r="981" spans="1:19" x14ac:dyDescent="0.35">
      <c r="A981" s="1">
        <v>43715</v>
      </c>
      <c r="B981" s="4">
        <v>23.2</v>
      </c>
      <c r="C981">
        <v>20.399999999999999</v>
      </c>
      <c r="D981">
        <v>27.3</v>
      </c>
      <c r="E981" s="4">
        <v>2.2999999999999998</v>
      </c>
      <c r="F981" t="str">
        <f t="shared" si="494"/>
        <v>OK</v>
      </c>
      <c r="G981" t="str">
        <f t="shared" si="495"/>
        <v>OK</v>
      </c>
      <c r="H981" t="str">
        <f t="shared" si="496"/>
        <v>OK</v>
      </c>
      <c r="I981" s="4">
        <f t="shared" si="497"/>
        <v>2019</v>
      </c>
      <c r="J981">
        <f t="shared" si="518"/>
        <v>23.034523636363634</v>
      </c>
      <c r="K981">
        <f t="shared" si="519"/>
        <v>4.1620438356164389</v>
      </c>
      <c r="R981" s="4">
        <f t="shared" si="520"/>
        <v>-0.16547636363636542</v>
      </c>
      <c r="S981" s="4">
        <f t="shared" si="521"/>
        <v>1.862043835616439</v>
      </c>
    </row>
    <row r="982" spans="1:19" x14ac:dyDescent="0.35">
      <c r="A982" s="1">
        <v>43716</v>
      </c>
      <c r="B982" s="4">
        <v>23.6</v>
      </c>
      <c r="C982">
        <v>20.8</v>
      </c>
      <c r="D982">
        <v>27.8</v>
      </c>
      <c r="E982" s="4">
        <v>0.3</v>
      </c>
      <c r="F982" t="str">
        <f t="shared" si="494"/>
        <v>OK</v>
      </c>
      <c r="G982" t="str">
        <f t="shared" si="495"/>
        <v>OK</v>
      </c>
      <c r="H982" t="str">
        <f t="shared" si="496"/>
        <v>OK</v>
      </c>
      <c r="I982" s="4">
        <f t="shared" si="497"/>
        <v>2019</v>
      </c>
      <c r="J982">
        <f t="shared" si="518"/>
        <v>23.309316363636363</v>
      </c>
      <c r="K982">
        <f t="shared" si="519"/>
        <v>3.8386465753424659</v>
      </c>
      <c r="R982" s="4">
        <f t="shared" si="520"/>
        <v>-0.2906836363636387</v>
      </c>
      <c r="S982" s="4">
        <f t="shared" si="521"/>
        <v>3.5386465753424661</v>
      </c>
    </row>
    <row r="983" spans="1:19" x14ac:dyDescent="0.35">
      <c r="A983" s="1">
        <v>43717</v>
      </c>
      <c r="B983" s="4">
        <v>24.1</v>
      </c>
      <c r="C983">
        <v>21</v>
      </c>
      <c r="D983">
        <v>27.5</v>
      </c>
      <c r="E983" s="4">
        <v>0.3</v>
      </c>
      <c r="F983" t="str">
        <f t="shared" si="494"/>
        <v>OK</v>
      </c>
      <c r="G983" t="str">
        <f t="shared" si="495"/>
        <v>OK</v>
      </c>
      <c r="H983" t="str">
        <f t="shared" si="496"/>
        <v>OK</v>
      </c>
      <c r="I983" s="4">
        <f t="shared" si="497"/>
        <v>2019</v>
      </c>
      <c r="J983">
        <f t="shared" si="518"/>
        <v>23.652807272727273</v>
      </c>
      <c r="K983">
        <f t="shared" si="519"/>
        <v>3.8386465753424659</v>
      </c>
      <c r="R983" s="4">
        <f t="shared" si="520"/>
        <v>-0.44719272727272852</v>
      </c>
      <c r="S983" s="4">
        <f t="shared" si="521"/>
        <v>3.5386465753424661</v>
      </c>
    </row>
    <row r="984" spans="1:19" hidden="1" x14ac:dyDescent="0.35">
      <c r="A984" s="1">
        <v>43718</v>
      </c>
      <c r="B984" s="4">
        <v>24.2</v>
      </c>
      <c r="C984">
        <v>20.6</v>
      </c>
      <c r="D984">
        <v>27.9</v>
      </c>
      <c r="E984" s="4">
        <v>0</v>
      </c>
      <c r="F984" t="str">
        <f t="shared" si="494"/>
        <v>OK</v>
      </c>
      <c r="G984" t="str">
        <f t="shared" si="495"/>
        <v>OK</v>
      </c>
      <c r="H984" t="str">
        <f t="shared" si="496"/>
        <v>OK</v>
      </c>
      <c r="I984" s="4">
        <f t="shared" si="497"/>
        <v>2019</v>
      </c>
    </row>
    <row r="985" spans="1:19" hidden="1" x14ac:dyDescent="0.35">
      <c r="A985" s="1">
        <v>43719</v>
      </c>
      <c r="B985">
        <v>24.1</v>
      </c>
      <c r="C985">
        <v>21.3</v>
      </c>
      <c r="D985">
        <v>28</v>
      </c>
      <c r="E985"/>
      <c r="I985"/>
    </row>
    <row r="986" spans="1:19" hidden="1" x14ac:dyDescent="0.35">
      <c r="A986" s="1">
        <v>43720</v>
      </c>
      <c r="B986" s="4">
        <v>24</v>
      </c>
      <c r="C986">
        <v>21</v>
      </c>
      <c r="D986">
        <v>29.6</v>
      </c>
      <c r="E986" s="4">
        <v>0</v>
      </c>
      <c r="F986" t="str">
        <f t="shared" ref="F986:F1003" si="522">IF(OR(B986 &lt; $N$30, B986 &gt; $N$67), "Outlier", "OK")</f>
        <v>OK</v>
      </c>
      <c r="G986" t="str">
        <f t="shared" ref="G986:G1003" si="523">IF(OR(C986 &lt; $O$30, C986 &gt; $O$67), "Outlier", "OK")</f>
        <v>OK</v>
      </c>
      <c r="H986" t="str">
        <f t="shared" ref="H986:H1003" si="524">IF(OR(D986 &lt; $P$30, D986 &gt; $P$67), "Outlier", "OK")</f>
        <v>OK</v>
      </c>
      <c r="I986" s="4">
        <f t="shared" ref="I986:I1003" si="525">YEAR(A986)</f>
        <v>2019</v>
      </c>
    </row>
    <row r="987" spans="1:19" x14ac:dyDescent="0.35">
      <c r="A987" s="1">
        <v>43721</v>
      </c>
      <c r="B987" s="4">
        <v>24.7</v>
      </c>
      <c r="C987">
        <v>21</v>
      </c>
      <c r="D987">
        <v>29.8</v>
      </c>
      <c r="E987" s="4">
        <v>0.5</v>
      </c>
      <c r="F987" t="str">
        <f t="shared" si="522"/>
        <v>OK</v>
      </c>
      <c r="G987" t="str">
        <f t="shared" si="523"/>
        <v>OK</v>
      </c>
      <c r="H987" t="str">
        <f t="shared" si="524"/>
        <v>OK</v>
      </c>
      <c r="I987" s="4">
        <f t="shared" si="525"/>
        <v>2019</v>
      </c>
      <c r="J987">
        <f>( 377.84*B987 + 3903.1)/550</f>
        <v>24.064996363636364</v>
      </c>
      <c r="K987">
        <f xml:space="preserve"> (59.02*E987 + 1383.4)/365</f>
        <v>3.8709863013698631</v>
      </c>
      <c r="R987" s="4">
        <f>J987-B987</f>
        <v>-0.63500363636363488</v>
      </c>
      <c r="S987" s="4">
        <f>K987-E987</f>
        <v>3.3709863013698631</v>
      </c>
    </row>
    <row r="988" spans="1:19" hidden="1" x14ac:dyDescent="0.35">
      <c r="A988" s="1">
        <v>43722</v>
      </c>
      <c r="B988" s="4">
        <v>25.1</v>
      </c>
      <c r="C988">
        <v>21.2</v>
      </c>
      <c r="D988">
        <v>30.2</v>
      </c>
      <c r="E988" s="4">
        <v>0</v>
      </c>
      <c r="F988" t="str">
        <f t="shared" si="522"/>
        <v>OK</v>
      </c>
      <c r="G988" t="str">
        <f t="shared" si="523"/>
        <v>OK</v>
      </c>
      <c r="H988" t="str">
        <f t="shared" si="524"/>
        <v>OK</v>
      </c>
      <c r="I988" s="4">
        <f t="shared" si="525"/>
        <v>2019</v>
      </c>
    </row>
    <row r="989" spans="1:19" hidden="1" x14ac:dyDescent="0.35">
      <c r="A989" s="1">
        <v>43723</v>
      </c>
      <c r="B989" s="4">
        <v>24.8</v>
      </c>
      <c r="C989">
        <v>21.3</v>
      </c>
      <c r="D989">
        <v>30.7</v>
      </c>
      <c r="E989" s="4">
        <v>0</v>
      </c>
      <c r="F989" t="str">
        <f t="shared" si="522"/>
        <v>OK</v>
      </c>
      <c r="G989" t="str">
        <f t="shared" si="523"/>
        <v>OK</v>
      </c>
      <c r="H989" t="str">
        <f t="shared" si="524"/>
        <v>OK</v>
      </c>
      <c r="I989" s="4">
        <f t="shared" si="525"/>
        <v>2019</v>
      </c>
    </row>
    <row r="990" spans="1:19" x14ac:dyDescent="0.35">
      <c r="A990" s="1">
        <v>43724</v>
      </c>
      <c r="B990" s="4">
        <v>23.2</v>
      </c>
      <c r="C990">
        <v>20.2</v>
      </c>
      <c r="D990">
        <v>29.5</v>
      </c>
      <c r="E990" s="4">
        <v>0.3</v>
      </c>
      <c r="F990" t="str">
        <f t="shared" si="522"/>
        <v>OK</v>
      </c>
      <c r="G990" t="str">
        <f t="shared" si="523"/>
        <v>OK</v>
      </c>
      <c r="H990" t="str">
        <f t="shared" si="524"/>
        <v>OK</v>
      </c>
      <c r="I990" s="4">
        <f t="shared" si="525"/>
        <v>2019</v>
      </c>
      <c r="J990">
        <f t="shared" ref="J990:J994" si="526">( 377.84*B990 + 3903.1)/550</f>
        <v>23.034523636363634</v>
      </c>
      <c r="K990">
        <f t="shared" ref="K990:K994" si="527" xml:space="preserve"> (59.02*E990 + 1383.4)/365</f>
        <v>3.8386465753424659</v>
      </c>
      <c r="R990" s="4">
        <f t="shared" ref="R990:R994" si="528">J990-B990</f>
        <v>-0.16547636363636542</v>
      </c>
      <c r="S990" s="4">
        <f t="shared" ref="S990:S994" si="529">K990-E990</f>
        <v>3.5386465753424661</v>
      </c>
    </row>
    <row r="991" spans="1:19" x14ac:dyDescent="0.35">
      <c r="A991" s="1">
        <v>43725</v>
      </c>
      <c r="B991" s="4">
        <v>23.2</v>
      </c>
      <c r="C991">
        <v>20.2</v>
      </c>
      <c r="D991">
        <v>28.8</v>
      </c>
      <c r="E991" s="4">
        <v>30.7</v>
      </c>
      <c r="F991" t="str">
        <f t="shared" si="522"/>
        <v>OK</v>
      </c>
      <c r="G991" t="str">
        <f t="shared" si="523"/>
        <v>OK</v>
      </c>
      <c r="H991" t="str">
        <f t="shared" si="524"/>
        <v>OK</v>
      </c>
      <c r="I991" s="4">
        <f t="shared" si="525"/>
        <v>2019</v>
      </c>
      <c r="J991">
        <f t="shared" si="526"/>
        <v>23.034523636363634</v>
      </c>
      <c r="K991">
        <f t="shared" si="527"/>
        <v>8.7542849315068505</v>
      </c>
      <c r="R991" s="4">
        <f t="shared" si="528"/>
        <v>-0.16547636363636542</v>
      </c>
      <c r="S991" s="4">
        <f t="shared" si="529"/>
        <v>-21.945715068493151</v>
      </c>
    </row>
    <row r="992" spans="1:19" x14ac:dyDescent="0.35">
      <c r="A992" s="1">
        <v>43726</v>
      </c>
      <c r="B992" s="4">
        <v>23.9</v>
      </c>
      <c r="C992">
        <v>21.6</v>
      </c>
      <c r="D992">
        <v>27.8</v>
      </c>
      <c r="E992" s="4">
        <v>0.5</v>
      </c>
      <c r="F992" t="str">
        <f t="shared" si="522"/>
        <v>OK</v>
      </c>
      <c r="G992" t="str">
        <f t="shared" si="523"/>
        <v>OK</v>
      </c>
      <c r="H992" t="str">
        <f t="shared" si="524"/>
        <v>OK</v>
      </c>
      <c r="I992" s="4">
        <f t="shared" si="525"/>
        <v>2019</v>
      </c>
      <c r="J992">
        <f t="shared" si="526"/>
        <v>23.515410909090907</v>
      </c>
      <c r="K992">
        <f t="shared" si="527"/>
        <v>3.8709863013698631</v>
      </c>
      <c r="R992" s="4">
        <f t="shared" si="528"/>
        <v>-0.38458909090909188</v>
      </c>
      <c r="S992" s="4">
        <f t="shared" si="529"/>
        <v>3.3709863013698631</v>
      </c>
    </row>
    <row r="993" spans="1:19" x14ac:dyDescent="0.35">
      <c r="A993" s="1">
        <v>43727</v>
      </c>
      <c r="B993" s="4">
        <v>24.2</v>
      </c>
      <c r="C993">
        <v>21.2</v>
      </c>
      <c r="D993">
        <v>27.8</v>
      </c>
      <c r="E993" s="4">
        <v>0.3</v>
      </c>
      <c r="F993" t="str">
        <f t="shared" si="522"/>
        <v>OK</v>
      </c>
      <c r="G993" t="str">
        <f t="shared" si="523"/>
        <v>OK</v>
      </c>
      <c r="H993" t="str">
        <f t="shared" si="524"/>
        <v>OK</v>
      </c>
      <c r="I993" s="4">
        <f t="shared" si="525"/>
        <v>2019</v>
      </c>
      <c r="J993">
        <f t="shared" si="526"/>
        <v>23.721505454545454</v>
      </c>
      <c r="K993">
        <f t="shared" si="527"/>
        <v>3.8386465753424659</v>
      </c>
      <c r="R993" s="4">
        <f t="shared" si="528"/>
        <v>-0.47849454545454506</v>
      </c>
      <c r="S993" s="4">
        <f t="shared" si="529"/>
        <v>3.5386465753424661</v>
      </c>
    </row>
    <row r="994" spans="1:19" x14ac:dyDescent="0.35">
      <c r="A994" s="1">
        <v>43728</v>
      </c>
      <c r="B994" s="4">
        <v>24.2</v>
      </c>
      <c r="C994">
        <v>20.6</v>
      </c>
      <c r="D994">
        <v>29</v>
      </c>
      <c r="E994" s="4">
        <v>1.8</v>
      </c>
      <c r="F994" t="str">
        <f t="shared" si="522"/>
        <v>OK</v>
      </c>
      <c r="G994" t="str">
        <f t="shared" si="523"/>
        <v>OK</v>
      </c>
      <c r="H994" t="str">
        <f t="shared" si="524"/>
        <v>OK</v>
      </c>
      <c r="I994" s="4">
        <f t="shared" si="525"/>
        <v>2019</v>
      </c>
      <c r="J994">
        <f t="shared" si="526"/>
        <v>23.721505454545454</v>
      </c>
      <c r="K994">
        <f t="shared" si="527"/>
        <v>4.0811945205479461</v>
      </c>
      <c r="R994" s="4">
        <f t="shared" si="528"/>
        <v>-0.47849454545454506</v>
      </c>
      <c r="S994" s="4">
        <f t="shared" si="529"/>
        <v>2.2811945205479462</v>
      </c>
    </row>
    <row r="995" spans="1:19" hidden="1" x14ac:dyDescent="0.35">
      <c r="A995" s="1">
        <v>43729</v>
      </c>
      <c r="B995" s="4">
        <v>25.2</v>
      </c>
      <c r="C995">
        <v>21.2</v>
      </c>
      <c r="D995">
        <v>29.8</v>
      </c>
      <c r="E995" s="4">
        <v>0</v>
      </c>
      <c r="F995" t="str">
        <f t="shared" si="522"/>
        <v>OK</v>
      </c>
      <c r="G995" t="str">
        <f t="shared" si="523"/>
        <v>OK</v>
      </c>
      <c r="H995" t="str">
        <f t="shared" si="524"/>
        <v>OK</v>
      </c>
      <c r="I995" s="4">
        <f t="shared" si="525"/>
        <v>2019</v>
      </c>
    </row>
    <row r="996" spans="1:19" x14ac:dyDescent="0.35">
      <c r="A996" s="1">
        <v>43730</v>
      </c>
      <c r="B996" s="4">
        <v>23.2</v>
      </c>
      <c r="C996">
        <v>21.2</v>
      </c>
      <c r="D996">
        <v>30.8</v>
      </c>
      <c r="E996" s="4">
        <v>7.9</v>
      </c>
      <c r="F996" t="str">
        <f t="shared" si="522"/>
        <v>OK</v>
      </c>
      <c r="G996" t="str">
        <f t="shared" si="523"/>
        <v>OK</v>
      </c>
      <c r="H996" t="str">
        <f t="shared" si="524"/>
        <v>OK</v>
      </c>
      <c r="I996" s="4">
        <f t="shared" si="525"/>
        <v>2019</v>
      </c>
      <c r="J996">
        <f t="shared" ref="J996:J1000" si="530">( 377.84*B996 + 3903.1)/550</f>
        <v>23.034523636363634</v>
      </c>
      <c r="K996">
        <f t="shared" ref="K996:K1000" si="531" xml:space="preserve"> (59.02*E996 + 1383.4)/365</f>
        <v>5.0675561643835616</v>
      </c>
      <c r="R996" s="4">
        <f t="shared" ref="R996:R1000" si="532">J996-B996</f>
        <v>-0.16547636363636542</v>
      </c>
      <c r="S996" s="4">
        <f t="shared" ref="S996:S1000" si="533">K996-E996</f>
        <v>-2.8324438356164388</v>
      </c>
    </row>
    <row r="997" spans="1:19" x14ac:dyDescent="0.35">
      <c r="A997" s="1">
        <v>43731</v>
      </c>
      <c r="B997" s="4">
        <v>23.7</v>
      </c>
      <c r="C997">
        <v>20.6</v>
      </c>
      <c r="D997">
        <v>28.8</v>
      </c>
      <c r="E997" s="4">
        <v>13</v>
      </c>
      <c r="F997" t="str">
        <f t="shared" si="522"/>
        <v>OK</v>
      </c>
      <c r="G997" t="str">
        <f t="shared" si="523"/>
        <v>OK</v>
      </c>
      <c r="H997" t="str">
        <f t="shared" si="524"/>
        <v>OK</v>
      </c>
      <c r="I997" s="4">
        <f t="shared" si="525"/>
        <v>2019</v>
      </c>
      <c r="J997">
        <f t="shared" si="530"/>
        <v>23.378014545454544</v>
      </c>
      <c r="K997">
        <f t="shared" si="531"/>
        <v>5.8922191780821915</v>
      </c>
      <c r="R997" s="4">
        <f t="shared" si="532"/>
        <v>-0.32198545454545524</v>
      </c>
      <c r="S997" s="4">
        <f t="shared" si="533"/>
        <v>-7.1077808219178085</v>
      </c>
    </row>
    <row r="998" spans="1:19" x14ac:dyDescent="0.35">
      <c r="A998" s="1">
        <v>43732</v>
      </c>
      <c r="B998" s="4">
        <v>23.5</v>
      </c>
      <c r="C998">
        <v>19.7</v>
      </c>
      <c r="D998">
        <v>28.7</v>
      </c>
      <c r="E998" s="4">
        <v>29.7</v>
      </c>
      <c r="F998" t="str">
        <f t="shared" si="522"/>
        <v>OK</v>
      </c>
      <c r="G998" t="str">
        <f t="shared" si="523"/>
        <v>OK</v>
      </c>
      <c r="H998" t="str">
        <f t="shared" si="524"/>
        <v>OK</v>
      </c>
      <c r="I998" s="4">
        <f t="shared" si="525"/>
        <v>2019</v>
      </c>
      <c r="J998">
        <f t="shared" si="530"/>
        <v>23.240618181818181</v>
      </c>
      <c r="K998">
        <f t="shared" si="531"/>
        <v>8.5925863013698631</v>
      </c>
      <c r="R998" s="4">
        <f t="shared" si="532"/>
        <v>-0.2593818181818186</v>
      </c>
      <c r="S998" s="4">
        <f t="shared" si="533"/>
        <v>-21.107413698630136</v>
      </c>
    </row>
    <row r="999" spans="1:19" x14ac:dyDescent="0.35">
      <c r="A999" s="1">
        <v>43733</v>
      </c>
      <c r="B999" s="4">
        <v>23.2</v>
      </c>
      <c r="C999">
        <v>20.8</v>
      </c>
      <c r="D999">
        <v>28.8</v>
      </c>
      <c r="E999" s="4">
        <v>23.6</v>
      </c>
      <c r="F999" t="str">
        <f t="shared" si="522"/>
        <v>OK</v>
      </c>
      <c r="G999" t="str">
        <f t="shared" si="523"/>
        <v>OK</v>
      </c>
      <c r="H999" t="str">
        <f t="shared" si="524"/>
        <v>OK</v>
      </c>
      <c r="I999" s="4">
        <f t="shared" si="525"/>
        <v>2019</v>
      </c>
      <c r="J999">
        <f t="shared" si="530"/>
        <v>23.034523636363634</v>
      </c>
      <c r="K999">
        <f t="shared" si="531"/>
        <v>7.6062246575342467</v>
      </c>
      <c r="R999" s="4">
        <f t="shared" si="532"/>
        <v>-0.16547636363636542</v>
      </c>
      <c r="S999" s="4">
        <f t="shared" si="533"/>
        <v>-15.993775342465755</v>
      </c>
    </row>
    <row r="1000" spans="1:19" x14ac:dyDescent="0.35">
      <c r="A1000" s="1">
        <v>43734</v>
      </c>
      <c r="B1000" s="4">
        <v>23.9</v>
      </c>
      <c r="C1000">
        <v>20.2</v>
      </c>
      <c r="D1000">
        <v>28</v>
      </c>
      <c r="E1000" s="4">
        <v>1.8</v>
      </c>
      <c r="F1000" t="str">
        <f t="shared" si="522"/>
        <v>OK</v>
      </c>
      <c r="G1000" t="str">
        <f t="shared" si="523"/>
        <v>OK</v>
      </c>
      <c r="H1000" t="str">
        <f t="shared" si="524"/>
        <v>OK</v>
      </c>
      <c r="I1000" s="4">
        <f t="shared" si="525"/>
        <v>2019</v>
      </c>
      <c r="J1000">
        <f t="shared" si="530"/>
        <v>23.515410909090907</v>
      </c>
      <c r="K1000">
        <f t="shared" si="531"/>
        <v>4.0811945205479461</v>
      </c>
      <c r="R1000" s="4">
        <f t="shared" si="532"/>
        <v>-0.38458909090909188</v>
      </c>
      <c r="S1000" s="4">
        <f t="shared" si="533"/>
        <v>2.2811945205479462</v>
      </c>
    </row>
    <row r="1001" spans="1:19" hidden="1" x14ac:dyDescent="0.35">
      <c r="A1001" s="1">
        <v>43735</v>
      </c>
      <c r="B1001" s="4">
        <v>23.9</v>
      </c>
      <c r="C1001">
        <v>21</v>
      </c>
      <c r="D1001">
        <v>29.8</v>
      </c>
      <c r="E1001" s="4">
        <v>0</v>
      </c>
      <c r="F1001" t="str">
        <f t="shared" si="522"/>
        <v>OK</v>
      </c>
      <c r="G1001" t="str">
        <f t="shared" si="523"/>
        <v>OK</v>
      </c>
      <c r="H1001" t="str">
        <f t="shared" si="524"/>
        <v>OK</v>
      </c>
      <c r="I1001" s="4">
        <f t="shared" si="525"/>
        <v>2019</v>
      </c>
    </row>
    <row r="1002" spans="1:19" x14ac:dyDescent="0.35">
      <c r="A1002" s="1">
        <v>43736</v>
      </c>
      <c r="B1002" s="4">
        <v>24.7</v>
      </c>
      <c r="C1002">
        <v>21.1</v>
      </c>
      <c r="D1002">
        <v>29.1</v>
      </c>
      <c r="E1002" s="4">
        <v>6.1</v>
      </c>
      <c r="F1002" t="str">
        <f t="shared" si="522"/>
        <v>OK</v>
      </c>
      <c r="G1002" t="str">
        <f t="shared" si="523"/>
        <v>OK</v>
      </c>
      <c r="H1002" t="str">
        <f t="shared" si="524"/>
        <v>OK</v>
      </c>
      <c r="I1002" s="4">
        <f t="shared" si="525"/>
        <v>2019</v>
      </c>
      <c r="J1002">
        <f>( 377.84*B1002 + 3903.1)/550</f>
        <v>24.064996363636364</v>
      </c>
      <c r="K1002">
        <f xml:space="preserve"> (59.02*E1002 + 1383.4)/365</f>
        <v>4.7764986301369863</v>
      </c>
      <c r="R1002" s="4">
        <f>J1002-B1002</f>
        <v>-0.63500363636363488</v>
      </c>
      <c r="S1002" s="4">
        <f>K1002-E1002</f>
        <v>-1.3235013698630134</v>
      </c>
    </row>
    <row r="1003" spans="1:19" hidden="1" x14ac:dyDescent="0.35">
      <c r="A1003" s="1">
        <v>43737</v>
      </c>
      <c r="B1003" s="4">
        <v>24.7</v>
      </c>
      <c r="C1003">
        <v>21.1</v>
      </c>
      <c r="D1003">
        <v>30</v>
      </c>
      <c r="E1003" s="4">
        <v>0</v>
      </c>
      <c r="F1003" t="str">
        <f t="shared" si="522"/>
        <v>OK</v>
      </c>
      <c r="G1003" t="str">
        <f t="shared" si="523"/>
        <v>OK</v>
      </c>
      <c r="H1003" t="str">
        <f t="shared" si="524"/>
        <v>OK</v>
      </c>
      <c r="I1003" s="4">
        <f t="shared" si="525"/>
        <v>2019</v>
      </c>
    </row>
    <row r="1004" spans="1:19" hidden="1" x14ac:dyDescent="0.35">
      <c r="A1004" s="1">
        <v>43738</v>
      </c>
      <c r="B1004">
        <v>25.2</v>
      </c>
      <c r="C1004">
        <v>21.4</v>
      </c>
      <c r="D1004">
        <v>30.2</v>
      </c>
      <c r="E1004"/>
      <c r="I1004"/>
    </row>
    <row r="1005" spans="1:19" hidden="1" x14ac:dyDescent="0.35">
      <c r="A1005" s="1">
        <v>43739</v>
      </c>
      <c r="B1005">
        <v>23.5</v>
      </c>
      <c r="C1005">
        <v>21.4</v>
      </c>
      <c r="D1005">
        <v>30.3</v>
      </c>
      <c r="E1005"/>
      <c r="I1005"/>
    </row>
    <row r="1006" spans="1:19" x14ac:dyDescent="0.35">
      <c r="A1006" s="1">
        <v>43740</v>
      </c>
      <c r="B1006" s="4">
        <v>23.8</v>
      </c>
      <c r="C1006">
        <v>18.600000000000001</v>
      </c>
      <c r="D1006">
        <v>29.1</v>
      </c>
      <c r="E1006" s="4">
        <v>22.1</v>
      </c>
      <c r="F1006" t="str">
        <f t="shared" ref="F1006:F1037" si="534">IF(OR(B1006 &lt; $N$30, B1006 &gt; $N$67), "Outlier", "OK")</f>
        <v>OK</v>
      </c>
      <c r="G1006" t="str">
        <f t="shared" ref="G1006:G1037" si="535">IF(OR(C1006 &lt; $O$30, C1006 &gt; $O$67), "Outlier", "OK")</f>
        <v>OK</v>
      </c>
      <c r="H1006" t="str">
        <f t="shared" ref="H1006:H1037" si="536">IF(OR(D1006 &lt; $P$30, D1006 &gt; $P$67), "Outlier", "OK")</f>
        <v>OK</v>
      </c>
      <c r="I1006" s="4">
        <f t="shared" ref="I1006:I1037" si="537">YEAR(A1006)</f>
        <v>2019</v>
      </c>
      <c r="J1006">
        <f t="shared" ref="J1006:J1010" si="538">( 377.84*B1006 + 3903.1)/550</f>
        <v>23.446712727272729</v>
      </c>
      <c r="K1006">
        <f t="shared" ref="K1006:K1010" si="539" xml:space="preserve"> (59.02*E1006 + 1383.4)/365</f>
        <v>7.3636767123287674</v>
      </c>
      <c r="R1006" s="4">
        <f t="shared" ref="R1006:R1010" si="540">J1006-B1006</f>
        <v>-0.35328727272727178</v>
      </c>
      <c r="S1006" s="4">
        <f t="shared" ref="S1006:S1010" si="541">K1006-E1006</f>
        <v>-14.736323287671233</v>
      </c>
    </row>
    <row r="1007" spans="1:19" x14ac:dyDescent="0.35">
      <c r="A1007" s="1">
        <v>43741</v>
      </c>
      <c r="B1007" s="4">
        <v>23.5</v>
      </c>
      <c r="C1007">
        <v>19.2</v>
      </c>
      <c r="D1007">
        <v>30.4</v>
      </c>
      <c r="E1007" s="4">
        <v>7.9</v>
      </c>
      <c r="F1007" t="str">
        <f t="shared" si="534"/>
        <v>OK</v>
      </c>
      <c r="G1007" t="str">
        <f t="shared" si="535"/>
        <v>OK</v>
      </c>
      <c r="H1007" t="str">
        <f t="shared" si="536"/>
        <v>OK</v>
      </c>
      <c r="I1007" s="4">
        <f t="shared" si="537"/>
        <v>2019</v>
      </c>
      <c r="J1007">
        <f t="shared" si="538"/>
        <v>23.240618181818181</v>
      </c>
      <c r="K1007">
        <f t="shared" si="539"/>
        <v>5.0675561643835616</v>
      </c>
      <c r="R1007" s="4">
        <f t="shared" si="540"/>
        <v>-0.2593818181818186</v>
      </c>
      <c r="S1007" s="4">
        <f t="shared" si="541"/>
        <v>-2.8324438356164388</v>
      </c>
    </row>
    <row r="1008" spans="1:19" x14ac:dyDescent="0.35">
      <c r="A1008" s="1">
        <v>43742</v>
      </c>
      <c r="B1008" s="4">
        <v>23</v>
      </c>
      <c r="C1008">
        <v>19.600000000000001</v>
      </c>
      <c r="D1008">
        <v>28.3</v>
      </c>
      <c r="E1008" s="4">
        <v>2.2999999999999998</v>
      </c>
      <c r="F1008" t="str">
        <f t="shared" si="534"/>
        <v>OK</v>
      </c>
      <c r="G1008" t="str">
        <f t="shared" si="535"/>
        <v>OK</v>
      </c>
      <c r="H1008" t="str">
        <f t="shared" si="536"/>
        <v>OK</v>
      </c>
      <c r="I1008" s="4">
        <f t="shared" si="537"/>
        <v>2019</v>
      </c>
      <c r="J1008">
        <f t="shared" si="538"/>
        <v>22.897127272727271</v>
      </c>
      <c r="K1008">
        <f t="shared" si="539"/>
        <v>4.1620438356164389</v>
      </c>
      <c r="R1008" s="4">
        <f t="shared" si="540"/>
        <v>-0.10287272727272878</v>
      </c>
      <c r="S1008" s="4">
        <f t="shared" si="541"/>
        <v>1.862043835616439</v>
      </c>
    </row>
    <row r="1009" spans="1:19" x14ac:dyDescent="0.35">
      <c r="A1009" s="1">
        <v>43743</v>
      </c>
      <c r="B1009" s="4">
        <v>23.5</v>
      </c>
      <c r="C1009">
        <v>19.899999999999999</v>
      </c>
      <c r="D1009">
        <v>29.4</v>
      </c>
      <c r="E1009" s="4">
        <v>8.6</v>
      </c>
      <c r="F1009" t="str">
        <f t="shared" si="534"/>
        <v>OK</v>
      </c>
      <c r="G1009" t="str">
        <f t="shared" si="535"/>
        <v>OK</v>
      </c>
      <c r="H1009" t="str">
        <f t="shared" si="536"/>
        <v>OK</v>
      </c>
      <c r="I1009" s="4">
        <f t="shared" si="537"/>
        <v>2019</v>
      </c>
      <c r="J1009">
        <f t="shared" si="538"/>
        <v>23.240618181818181</v>
      </c>
      <c r="K1009">
        <f t="shared" si="539"/>
        <v>5.1807452054794529</v>
      </c>
      <c r="R1009" s="4">
        <f t="shared" si="540"/>
        <v>-0.2593818181818186</v>
      </c>
      <c r="S1009" s="4">
        <f t="shared" si="541"/>
        <v>-3.4192547945205467</v>
      </c>
    </row>
    <row r="1010" spans="1:19" x14ac:dyDescent="0.35">
      <c r="A1010" s="1">
        <v>43744</v>
      </c>
      <c r="B1010" s="4">
        <v>24.3</v>
      </c>
      <c r="C1010">
        <v>20.6</v>
      </c>
      <c r="D1010">
        <v>28.7</v>
      </c>
      <c r="E1010" s="4">
        <v>0.5</v>
      </c>
      <c r="F1010" t="str">
        <f t="shared" si="534"/>
        <v>OK</v>
      </c>
      <c r="G1010" t="str">
        <f t="shared" si="535"/>
        <v>OK</v>
      </c>
      <c r="H1010" t="str">
        <f t="shared" si="536"/>
        <v>OK</v>
      </c>
      <c r="I1010" s="4">
        <f t="shared" si="537"/>
        <v>2019</v>
      </c>
      <c r="J1010">
        <f t="shared" si="538"/>
        <v>23.790203636363636</v>
      </c>
      <c r="K1010">
        <f t="shared" si="539"/>
        <v>3.8709863013698631</v>
      </c>
      <c r="R1010" s="4">
        <f t="shared" si="540"/>
        <v>-0.50979636363636516</v>
      </c>
      <c r="S1010" s="4">
        <f t="shared" si="541"/>
        <v>3.3709863013698631</v>
      </c>
    </row>
    <row r="1011" spans="1:19" hidden="1" x14ac:dyDescent="0.35">
      <c r="A1011" s="1">
        <v>43745</v>
      </c>
      <c r="B1011" s="4">
        <v>24.1</v>
      </c>
      <c r="C1011">
        <v>21.3</v>
      </c>
      <c r="D1011">
        <v>29.6</v>
      </c>
      <c r="E1011" s="4">
        <v>0</v>
      </c>
      <c r="F1011" t="str">
        <f t="shared" si="534"/>
        <v>OK</v>
      </c>
      <c r="G1011" t="str">
        <f t="shared" si="535"/>
        <v>OK</v>
      </c>
      <c r="H1011" t="str">
        <f t="shared" si="536"/>
        <v>OK</v>
      </c>
      <c r="I1011" s="4">
        <f t="shared" si="537"/>
        <v>2019</v>
      </c>
    </row>
    <row r="1012" spans="1:19" hidden="1" x14ac:dyDescent="0.35">
      <c r="A1012" s="1">
        <v>43746</v>
      </c>
      <c r="B1012" s="4">
        <v>23.3</v>
      </c>
      <c r="C1012">
        <v>19.2</v>
      </c>
      <c r="D1012">
        <v>29.2</v>
      </c>
      <c r="E1012" s="4">
        <v>0</v>
      </c>
      <c r="F1012" t="str">
        <f t="shared" si="534"/>
        <v>OK</v>
      </c>
      <c r="G1012" t="str">
        <f t="shared" si="535"/>
        <v>OK</v>
      </c>
      <c r="H1012" t="str">
        <f t="shared" si="536"/>
        <v>OK</v>
      </c>
      <c r="I1012" s="4">
        <f t="shared" si="537"/>
        <v>2019</v>
      </c>
    </row>
    <row r="1013" spans="1:19" x14ac:dyDescent="0.35">
      <c r="A1013" s="1">
        <v>43747</v>
      </c>
      <c r="B1013" s="4">
        <v>24.3</v>
      </c>
      <c r="C1013">
        <v>19.3</v>
      </c>
      <c r="D1013">
        <v>30.1</v>
      </c>
      <c r="E1013" s="4">
        <v>5.6</v>
      </c>
      <c r="F1013" t="str">
        <f t="shared" si="534"/>
        <v>OK</v>
      </c>
      <c r="G1013" t="str">
        <f t="shared" si="535"/>
        <v>OK</v>
      </c>
      <c r="H1013" t="str">
        <f t="shared" si="536"/>
        <v>OK</v>
      </c>
      <c r="I1013" s="4">
        <f t="shared" si="537"/>
        <v>2019</v>
      </c>
      <c r="J1013">
        <f>( 377.84*B1013 + 3903.1)/550</f>
        <v>23.790203636363636</v>
      </c>
      <c r="K1013">
        <f xml:space="preserve"> (59.02*E1013 + 1383.4)/365</f>
        <v>4.6956493150684935</v>
      </c>
      <c r="R1013" s="4">
        <f>J1013-B1013</f>
        <v>-0.50979636363636516</v>
      </c>
      <c r="S1013" s="4">
        <f>K1013-E1013</f>
        <v>-0.90435068493150617</v>
      </c>
    </row>
    <row r="1014" spans="1:19" hidden="1" x14ac:dyDescent="0.35">
      <c r="A1014" s="1">
        <v>43748</v>
      </c>
      <c r="B1014" s="4">
        <v>24.7</v>
      </c>
      <c r="C1014">
        <v>20.7</v>
      </c>
      <c r="D1014">
        <v>30</v>
      </c>
      <c r="E1014" s="4">
        <v>0</v>
      </c>
      <c r="F1014" t="str">
        <f t="shared" si="534"/>
        <v>OK</v>
      </c>
      <c r="G1014" t="str">
        <f t="shared" si="535"/>
        <v>OK</v>
      </c>
      <c r="H1014" t="str">
        <f t="shared" si="536"/>
        <v>OK</v>
      </c>
      <c r="I1014" s="4">
        <f t="shared" si="537"/>
        <v>2019</v>
      </c>
    </row>
    <row r="1015" spans="1:19" hidden="1" x14ac:dyDescent="0.35">
      <c r="A1015" s="1">
        <v>43749</v>
      </c>
      <c r="B1015" s="4">
        <v>24.4</v>
      </c>
      <c r="C1015">
        <v>21.8</v>
      </c>
      <c r="D1015">
        <v>30</v>
      </c>
      <c r="E1015" s="4">
        <v>0</v>
      </c>
      <c r="F1015" t="str">
        <f t="shared" si="534"/>
        <v>OK</v>
      </c>
      <c r="G1015" t="str">
        <f t="shared" si="535"/>
        <v>OK</v>
      </c>
      <c r="H1015" t="str">
        <f t="shared" si="536"/>
        <v>OK</v>
      </c>
      <c r="I1015" s="4">
        <f t="shared" si="537"/>
        <v>2019</v>
      </c>
    </row>
    <row r="1016" spans="1:19" x14ac:dyDescent="0.35">
      <c r="A1016" s="1">
        <v>43750</v>
      </c>
      <c r="B1016" s="4">
        <v>25</v>
      </c>
      <c r="C1016">
        <v>21.5</v>
      </c>
      <c r="D1016">
        <v>29.6</v>
      </c>
      <c r="E1016" s="4">
        <v>0.5</v>
      </c>
      <c r="F1016" t="str">
        <f t="shared" si="534"/>
        <v>OK</v>
      </c>
      <c r="G1016" t="str">
        <f t="shared" si="535"/>
        <v>OK</v>
      </c>
      <c r="H1016" t="str">
        <f t="shared" si="536"/>
        <v>OK</v>
      </c>
      <c r="I1016" s="4">
        <f t="shared" si="537"/>
        <v>2019</v>
      </c>
      <c r="J1016">
        <f>( 377.84*B1016 + 3903.1)/550</f>
        <v>24.271090909090908</v>
      </c>
      <c r="K1016">
        <f xml:space="preserve"> (59.02*E1016 + 1383.4)/365</f>
        <v>3.8709863013698631</v>
      </c>
      <c r="R1016" s="4">
        <f>J1016-B1016</f>
        <v>-0.72890909090909162</v>
      </c>
      <c r="S1016" s="4">
        <f>K1016-E1016</f>
        <v>3.3709863013698631</v>
      </c>
    </row>
    <row r="1017" spans="1:19" hidden="1" x14ac:dyDescent="0.35">
      <c r="A1017" s="1">
        <v>43751</v>
      </c>
      <c r="B1017" s="4">
        <v>24.9</v>
      </c>
      <c r="C1017">
        <v>21.5</v>
      </c>
      <c r="D1017">
        <v>29.8</v>
      </c>
      <c r="E1017" s="4">
        <v>0</v>
      </c>
      <c r="F1017" t="str">
        <f t="shared" si="534"/>
        <v>OK</v>
      </c>
      <c r="G1017" t="str">
        <f t="shared" si="535"/>
        <v>OK</v>
      </c>
      <c r="H1017" t="str">
        <f t="shared" si="536"/>
        <v>OK</v>
      </c>
      <c r="I1017" s="4">
        <f t="shared" si="537"/>
        <v>2019</v>
      </c>
    </row>
    <row r="1018" spans="1:19" hidden="1" x14ac:dyDescent="0.35">
      <c r="A1018" s="1">
        <v>43752</v>
      </c>
      <c r="B1018" s="4">
        <v>26.7</v>
      </c>
      <c r="C1018">
        <v>21.6</v>
      </c>
      <c r="D1018">
        <v>29.6</v>
      </c>
      <c r="E1018" s="4">
        <v>0</v>
      </c>
      <c r="F1018" t="str">
        <f t="shared" si="534"/>
        <v>OK</v>
      </c>
      <c r="G1018" t="str">
        <f t="shared" si="535"/>
        <v>OK</v>
      </c>
      <c r="H1018" t="str">
        <f t="shared" si="536"/>
        <v>OK</v>
      </c>
      <c r="I1018" s="4">
        <f t="shared" si="537"/>
        <v>2019</v>
      </c>
    </row>
    <row r="1019" spans="1:19" hidden="1" x14ac:dyDescent="0.35">
      <c r="A1019" s="1">
        <v>43753</v>
      </c>
      <c r="B1019" s="4">
        <v>24.7</v>
      </c>
      <c r="C1019">
        <v>21.6</v>
      </c>
      <c r="D1019">
        <v>30.7</v>
      </c>
      <c r="E1019" s="4">
        <v>0</v>
      </c>
      <c r="F1019" t="str">
        <f t="shared" si="534"/>
        <v>OK</v>
      </c>
      <c r="G1019" t="str">
        <f t="shared" si="535"/>
        <v>OK</v>
      </c>
      <c r="H1019" t="str">
        <f t="shared" si="536"/>
        <v>OK</v>
      </c>
      <c r="I1019" s="4">
        <f t="shared" si="537"/>
        <v>2019</v>
      </c>
    </row>
    <row r="1020" spans="1:19" hidden="1" x14ac:dyDescent="0.35">
      <c r="A1020" s="1">
        <v>43754</v>
      </c>
      <c r="B1020" s="4">
        <v>24.5</v>
      </c>
      <c r="C1020">
        <v>21.2</v>
      </c>
      <c r="D1020">
        <v>30</v>
      </c>
      <c r="E1020" s="4">
        <v>0</v>
      </c>
      <c r="F1020" t="str">
        <f t="shared" si="534"/>
        <v>OK</v>
      </c>
      <c r="G1020" t="str">
        <f t="shared" si="535"/>
        <v>OK</v>
      </c>
      <c r="H1020" t="str">
        <f t="shared" si="536"/>
        <v>OK</v>
      </c>
      <c r="I1020" s="4">
        <f t="shared" si="537"/>
        <v>2019</v>
      </c>
    </row>
    <row r="1021" spans="1:19" hidden="1" x14ac:dyDescent="0.35">
      <c r="A1021" s="1">
        <v>43755</v>
      </c>
      <c r="B1021" s="4">
        <v>22.4</v>
      </c>
      <c r="C1021">
        <v>20.8</v>
      </c>
      <c r="D1021">
        <v>28.4</v>
      </c>
      <c r="E1021" s="4">
        <v>0</v>
      </c>
      <c r="F1021" t="str">
        <f t="shared" si="534"/>
        <v>OK</v>
      </c>
      <c r="G1021" t="str">
        <f t="shared" si="535"/>
        <v>OK</v>
      </c>
      <c r="H1021" t="str">
        <f t="shared" si="536"/>
        <v>OK</v>
      </c>
      <c r="I1021" s="4">
        <f t="shared" si="537"/>
        <v>2019</v>
      </c>
    </row>
    <row r="1022" spans="1:19" x14ac:dyDescent="0.35">
      <c r="A1022" s="1">
        <v>43756</v>
      </c>
      <c r="B1022" s="4">
        <v>23</v>
      </c>
      <c r="C1022">
        <v>20.2</v>
      </c>
      <c r="D1022">
        <v>26.8</v>
      </c>
      <c r="E1022" s="4">
        <v>3.8</v>
      </c>
      <c r="F1022" t="str">
        <f t="shared" si="534"/>
        <v>OK</v>
      </c>
      <c r="G1022" t="str">
        <f t="shared" si="535"/>
        <v>OK</v>
      </c>
      <c r="H1022" t="str">
        <f t="shared" si="536"/>
        <v>OK</v>
      </c>
      <c r="I1022" s="4">
        <f t="shared" si="537"/>
        <v>2019</v>
      </c>
      <c r="J1022">
        <f t="shared" ref="J1022:J1023" si="542">( 377.84*B1022 + 3903.1)/550</f>
        <v>22.897127272727271</v>
      </c>
      <c r="K1022">
        <f t="shared" ref="K1022:K1023" si="543" xml:space="preserve"> (59.02*E1022 + 1383.4)/365</f>
        <v>4.4045917808219182</v>
      </c>
      <c r="R1022" s="4">
        <f t="shared" ref="R1022:R1023" si="544">J1022-B1022</f>
        <v>-0.10287272727272878</v>
      </c>
      <c r="S1022" s="4">
        <f t="shared" ref="S1022:S1023" si="545">K1022-E1022</f>
        <v>0.60459178082191833</v>
      </c>
    </row>
    <row r="1023" spans="1:19" x14ac:dyDescent="0.35">
      <c r="A1023" s="1">
        <v>43757</v>
      </c>
      <c r="B1023" s="4">
        <v>23.4</v>
      </c>
      <c r="C1023">
        <v>20.2</v>
      </c>
      <c r="D1023">
        <v>27.6</v>
      </c>
      <c r="E1023" s="4">
        <v>8.9</v>
      </c>
      <c r="F1023" t="str">
        <f t="shared" si="534"/>
        <v>OK</v>
      </c>
      <c r="G1023" t="str">
        <f t="shared" si="535"/>
        <v>OK</v>
      </c>
      <c r="H1023" t="str">
        <f t="shared" si="536"/>
        <v>OK</v>
      </c>
      <c r="I1023" s="4">
        <f t="shared" si="537"/>
        <v>2019</v>
      </c>
      <c r="J1023">
        <f t="shared" si="542"/>
        <v>23.171919999999997</v>
      </c>
      <c r="K1023">
        <f t="shared" si="543"/>
        <v>5.2292547945205481</v>
      </c>
      <c r="R1023" s="4">
        <f t="shared" si="544"/>
        <v>-0.22808000000000206</v>
      </c>
      <c r="S1023" s="4">
        <f t="shared" si="545"/>
        <v>-3.6707452054794523</v>
      </c>
    </row>
    <row r="1024" spans="1:19" hidden="1" x14ac:dyDescent="0.35">
      <c r="A1024" s="1">
        <v>43758</v>
      </c>
      <c r="B1024" s="4">
        <v>23.3</v>
      </c>
      <c r="C1024">
        <v>21</v>
      </c>
      <c r="D1024">
        <v>27.9</v>
      </c>
      <c r="E1024" s="4">
        <v>0</v>
      </c>
      <c r="F1024" t="str">
        <f t="shared" si="534"/>
        <v>OK</v>
      </c>
      <c r="G1024" t="str">
        <f t="shared" si="535"/>
        <v>OK</v>
      </c>
      <c r="H1024" t="str">
        <f t="shared" si="536"/>
        <v>OK</v>
      </c>
      <c r="I1024" s="4">
        <f t="shared" si="537"/>
        <v>2019</v>
      </c>
    </row>
    <row r="1025" spans="1:19" x14ac:dyDescent="0.35">
      <c r="A1025" s="1">
        <v>43759</v>
      </c>
      <c r="B1025" s="4">
        <v>22.2</v>
      </c>
      <c r="C1025">
        <v>20.6</v>
      </c>
      <c r="D1025">
        <v>28.6</v>
      </c>
      <c r="E1025" s="4">
        <v>7.9</v>
      </c>
      <c r="F1025" t="str">
        <f t="shared" si="534"/>
        <v>OK</v>
      </c>
      <c r="G1025" t="str">
        <f t="shared" si="535"/>
        <v>OK</v>
      </c>
      <c r="H1025" t="str">
        <f t="shared" si="536"/>
        <v>OK</v>
      </c>
      <c r="I1025" s="4">
        <f t="shared" si="537"/>
        <v>2019</v>
      </c>
      <c r="J1025">
        <f t="shared" ref="J1025:J1027" si="546">( 377.84*B1025 + 3903.1)/550</f>
        <v>22.347541818181817</v>
      </c>
      <c r="K1025">
        <f t="shared" ref="K1025:K1027" si="547" xml:space="preserve"> (59.02*E1025 + 1383.4)/365</f>
        <v>5.0675561643835616</v>
      </c>
      <c r="R1025" s="4">
        <f t="shared" ref="R1025:R1027" si="548">J1025-B1025</f>
        <v>0.14754181818181777</v>
      </c>
      <c r="S1025" s="4">
        <f t="shared" ref="S1025:S1027" si="549">K1025-E1025</f>
        <v>-2.8324438356164388</v>
      </c>
    </row>
    <row r="1026" spans="1:19" x14ac:dyDescent="0.35">
      <c r="A1026" s="1">
        <v>43760</v>
      </c>
      <c r="B1026" s="4">
        <v>21.4</v>
      </c>
      <c r="C1026">
        <v>20.3</v>
      </c>
      <c r="D1026">
        <v>27.1</v>
      </c>
      <c r="E1026" s="4">
        <v>38.9</v>
      </c>
      <c r="F1026" t="str">
        <f t="shared" si="534"/>
        <v>OK</v>
      </c>
      <c r="G1026" t="str">
        <f t="shared" si="535"/>
        <v>OK</v>
      </c>
      <c r="H1026" t="str">
        <f t="shared" si="536"/>
        <v>OK</v>
      </c>
      <c r="I1026" s="4">
        <f t="shared" si="537"/>
        <v>2019</v>
      </c>
      <c r="J1026">
        <f t="shared" si="546"/>
        <v>21.797956363636359</v>
      </c>
      <c r="K1026">
        <f t="shared" si="547"/>
        <v>10.080213698630137</v>
      </c>
      <c r="R1026" s="4">
        <f t="shared" si="548"/>
        <v>0.39795636363636078</v>
      </c>
      <c r="S1026" s="4">
        <f t="shared" si="549"/>
        <v>-28.819786301369859</v>
      </c>
    </row>
    <row r="1027" spans="1:19" x14ac:dyDescent="0.35">
      <c r="A1027" s="1">
        <v>43761</v>
      </c>
      <c r="B1027" s="4">
        <v>22.8</v>
      </c>
      <c r="C1027">
        <v>19.8</v>
      </c>
      <c r="D1027">
        <v>28</v>
      </c>
      <c r="E1027" s="4">
        <v>13.2</v>
      </c>
      <c r="F1027" t="str">
        <f t="shared" si="534"/>
        <v>OK</v>
      </c>
      <c r="G1027" t="str">
        <f t="shared" si="535"/>
        <v>OK</v>
      </c>
      <c r="H1027" t="str">
        <f t="shared" si="536"/>
        <v>OK</v>
      </c>
      <c r="I1027" s="4">
        <f t="shared" si="537"/>
        <v>2019</v>
      </c>
      <c r="J1027">
        <f t="shared" si="546"/>
        <v>22.759730909090912</v>
      </c>
      <c r="K1027">
        <f t="shared" si="547"/>
        <v>5.9245589041095892</v>
      </c>
      <c r="R1027" s="4">
        <f t="shared" si="548"/>
        <v>-4.026909090908859E-2</v>
      </c>
      <c r="S1027" s="4">
        <f t="shared" si="549"/>
        <v>-7.2754410958904101</v>
      </c>
    </row>
    <row r="1028" spans="1:19" hidden="1" x14ac:dyDescent="0.35">
      <c r="A1028" s="1">
        <v>43762</v>
      </c>
      <c r="B1028" s="4">
        <v>22.5</v>
      </c>
      <c r="C1028">
        <v>20</v>
      </c>
      <c r="D1028">
        <v>27.6</v>
      </c>
      <c r="E1028" s="4">
        <v>0</v>
      </c>
      <c r="F1028" t="str">
        <f t="shared" si="534"/>
        <v>OK</v>
      </c>
      <c r="G1028" t="str">
        <f t="shared" si="535"/>
        <v>OK</v>
      </c>
      <c r="H1028" t="str">
        <f t="shared" si="536"/>
        <v>OK</v>
      </c>
      <c r="I1028" s="4">
        <f t="shared" si="537"/>
        <v>2019</v>
      </c>
    </row>
    <row r="1029" spans="1:19" hidden="1" x14ac:dyDescent="0.35">
      <c r="A1029" s="1">
        <v>43763</v>
      </c>
      <c r="B1029" s="4">
        <v>21.5</v>
      </c>
      <c r="C1029">
        <v>19.600000000000001</v>
      </c>
      <c r="D1029">
        <v>26.7</v>
      </c>
      <c r="E1029" s="4">
        <v>0</v>
      </c>
      <c r="F1029" t="str">
        <f t="shared" si="534"/>
        <v>OK</v>
      </c>
      <c r="G1029" t="str">
        <f t="shared" si="535"/>
        <v>OK</v>
      </c>
      <c r="H1029" t="str">
        <f t="shared" si="536"/>
        <v>OK</v>
      </c>
      <c r="I1029" s="4">
        <f t="shared" si="537"/>
        <v>2019</v>
      </c>
    </row>
    <row r="1030" spans="1:19" x14ac:dyDescent="0.35">
      <c r="A1030" s="1">
        <v>43764</v>
      </c>
      <c r="B1030" s="4">
        <v>22.4</v>
      </c>
      <c r="C1030">
        <v>19</v>
      </c>
      <c r="D1030">
        <v>27</v>
      </c>
      <c r="E1030" s="4">
        <v>6.1</v>
      </c>
      <c r="F1030" t="str">
        <f t="shared" si="534"/>
        <v>OK</v>
      </c>
      <c r="G1030" t="str">
        <f t="shared" si="535"/>
        <v>OK</v>
      </c>
      <c r="H1030" t="str">
        <f t="shared" si="536"/>
        <v>OK</v>
      </c>
      <c r="I1030" s="4">
        <f t="shared" si="537"/>
        <v>2019</v>
      </c>
      <c r="J1030">
        <f t="shared" ref="J1030:J1032" si="550">( 377.84*B1030 + 3903.1)/550</f>
        <v>22.48493818181818</v>
      </c>
      <c r="K1030">
        <f t="shared" ref="K1030:K1032" si="551" xml:space="preserve"> (59.02*E1030 + 1383.4)/365</f>
        <v>4.7764986301369863</v>
      </c>
      <c r="R1030" s="4">
        <f t="shared" ref="R1030:R1032" si="552">J1030-B1030</f>
        <v>8.4938181818181135E-2</v>
      </c>
      <c r="S1030" s="4">
        <f t="shared" ref="S1030:S1032" si="553">K1030-E1030</f>
        <v>-1.3235013698630134</v>
      </c>
    </row>
    <row r="1031" spans="1:19" x14ac:dyDescent="0.35">
      <c r="A1031" s="1">
        <v>43765</v>
      </c>
      <c r="B1031" s="4">
        <v>22.3</v>
      </c>
      <c r="C1031">
        <v>19.399999999999999</v>
      </c>
      <c r="D1031">
        <v>27.8</v>
      </c>
      <c r="E1031" s="4">
        <v>3</v>
      </c>
      <c r="F1031" t="str">
        <f t="shared" si="534"/>
        <v>OK</v>
      </c>
      <c r="G1031" t="str">
        <f t="shared" si="535"/>
        <v>OK</v>
      </c>
      <c r="H1031" t="str">
        <f t="shared" si="536"/>
        <v>OK</v>
      </c>
      <c r="I1031" s="4">
        <f t="shared" si="537"/>
        <v>2019</v>
      </c>
      <c r="J1031">
        <f t="shared" si="550"/>
        <v>22.416240000000002</v>
      </c>
      <c r="K1031">
        <f t="shared" si="551"/>
        <v>4.2752328767123284</v>
      </c>
      <c r="R1031" s="4">
        <f t="shared" si="552"/>
        <v>0.11624000000000123</v>
      </c>
      <c r="S1031" s="4">
        <f t="shared" si="553"/>
        <v>1.2752328767123284</v>
      </c>
    </row>
    <row r="1032" spans="1:19" x14ac:dyDescent="0.35">
      <c r="A1032" s="1">
        <v>43766</v>
      </c>
      <c r="B1032" s="4">
        <v>23.1</v>
      </c>
      <c r="C1032">
        <v>19.399999999999999</v>
      </c>
      <c r="D1032">
        <v>27.4</v>
      </c>
      <c r="E1032" s="4">
        <v>37.1</v>
      </c>
      <c r="F1032" t="str">
        <f t="shared" si="534"/>
        <v>OK</v>
      </c>
      <c r="G1032" t="str">
        <f t="shared" si="535"/>
        <v>OK</v>
      </c>
      <c r="H1032" t="str">
        <f t="shared" si="536"/>
        <v>OK</v>
      </c>
      <c r="I1032" s="4">
        <f t="shared" si="537"/>
        <v>2019</v>
      </c>
      <c r="J1032">
        <f t="shared" si="550"/>
        <v>22.965825454545453</v>
      </c>
      <c r="K1032">
        <f t="shared" si="551"/>
        <v>9.789156164383563</v>
      </c>
      <c r="R1032" s="4">
        <f t="shared" si="552"/>
        <v>-0.13417454545454888</v>
      </c>
      <c r="S1032" s="4">
        <f t="shared" si="553"/>
        <v>-27.310843835616438</v>
      </c>
    </row>
    <row r="1033" spans="1:19" hidden="1" x14ac:dyDescent="0.35">
      <c r="A1033" s="1">
        <v>43767</v>
      </c>
      <c r="B1033" s="4">
        <v>22</v>
      </c>
      <c r="C1033">
        <v>20</v>
      </c>
      <c r="D1033">
        <v>27.6</v>
      </c>
      <c r="E1033" s="4">
        <v>0</v>
      </c>
      <c r="F1033" t="str">
        <f t="shared" si="534"/>
        <v>OK</v>
      </c>
      <c r="G1033" t="str">
        <f t="shared" si="535"/>
        <v>OK</v>
      </c>
      <c r="H1033" t="str">
        <f t="shared" si="536"/>
        <v>OK</v>
      </c>
      <c r="I1033" s="4">
        <f t="shared" si="537"/>
        <v>2019</v>
      </c>
    </row>
    <row r="1034" spans="1:19" x14ac:dyDescent="0.35">
      <c r="A1034" s="1">
        <v>43768</v>
      </c>
      <c r="B1034" s="4">
        <v>21.4</v>
      </c>
      <c r="C1034">
        <v>19.7</v>
      </c>
      <c r="D1034">
        <v>25.3</v>
      </c>
      <c r="E1034" s="4">
        <v>4.5999999999999996</v>
      </c>
      <c r="F1034" t="str">
        <f t="shared" si="534"/>
        <v>OK</v>
      </c>
      <c r="G1034" t="str">
        <f t="shared" si="535"/>
        <v>OK</v>
      </c>
      <c r="H1034" t="str">
        <f t="shared" si="536"/>
        <v>OK</v>
      </c>
      <c r="I1034" s="4">
        <f t="shared" si="537"/>
        <v>2019</v>
      </c>
      <c r="J1034">
        <f t="shared" ref="J1034:J1036" si="554">( 377.84*B1034 + 3903.1)/550</f>
        <v>21.797956363636359</v>
      </c>
      <c r="K1034">
        <f t="shared" ref="K1034:K1036" si="555" xml:space="preserve"> (59.02*E1034 + 1383.4)/365</f>
        <v>4.533950684931507</v>
      </c>
      <c r="R1034" s="4">
        <f t="shared" ref="R1034:R1036" si="556">J1034-B1034</f>
        <v>0.39795636363636078</v>
      </c>
      <c r="S1034" s="4">
        <f t="shared" ref="S1034:S1036" si="557">K1034-E1034</f>
        <v>-6.6049315068492653E-2</v>
      </c>
    </row>
    <row r="1035" spans="1:19" x14ac:dyDescent="0.35">
      <c r="A1035" s="1">
        <v>43769</v>
      </c>
      <c r="B1035" s="4">
        <v>22.5</v>
      </c>
      <c r="C1035">
        <v>19.7</v>
      </c>
      <c r="D1035">
        <v>25.6</v>
      </c>
      <c r="E1035" s="4">
        <v>6.9</v>
      </c>
      <c r="F1035" t="str">
        <f t="shared" si="534"/>
        <v>OK</v>
      </c>
      <c r="G1035" t="str">
        <f t="shared" si="535"/>
        <v>OK</v>
      </c>
      <c r="H1035" t="str">
        <f t="shared" si="536"/>
        <v>OK</v>
      </c>
      <c r="I1035" s="4">
        <f t="shared" si="537"/>
        <v>2019</v>
      </c>
      <c r="J1035">
        <f t="shared" si="554"/>
        <v>22.553636363636365</v>
      </c>
      <c r="K1035">
        <f t="shared" si="555"/>
        <v>4.905857534246576</v>
      </c>
      <c r="R1035" s="4">
        <f t="shared" si="556"/>
        <v>5.3636363636364592E-2</v>
      </c>
      <c r="S1035" s="4">
        <f t="shared" si="557"/>
        <v>-1.9941424657534244</v>
      </c>
    </row>
    <row r="1036" spans="1:19" x14ac:dyDescent="0.35">
      <c r="A1036" s="1">
        <v>43770</v>
      </c>
      <c r="B1036" s="4">
        <v>23.8</v>
      </c>
      <c r="C1036">
        <v>18</v>
      </c>
      <c r="D1036">
        <v>28.8</v>
      </c>
      <c r="E1036" s="4">
        <v>0.3</v>
      </c>
      <c r="F1036" t="str">
        <f t="shared" si="534"/>
        <v>OK</v>
      </c>
      <c r="G1036" t="str">
        <f t="shared" si="535"/>
        <v>OK</v>
      </c>
      <c r="H1036" t="str">
        <f t="shared" si="536"/>
        <v>OK</v>
      </c>
      <c r="I1036" s="4">
        <f t="shared" si="537"/>
        <v>2019</v>
      </c>
      <c r="J1036">
        <f t="shared" si="554"/>
        <v>23.446712727272729</v>
      </c>
      <c r="K1036">
        <f t="shared" si="555"/>
        <v>3.8386465753424659</v>
      </c>
      <c r="R1036" s="4">
        <f t="shared" si="556"/>
        <v>-0.35328727272727178</v>
      </c>
      <c r="S1036" s="4">
        <f t="shared" si="557"/>
        <v>3.5386465753424661</v>
      </c>
    </row>
    <row r="1037" spans="1:19" hidden="1" x14ac:dyDescent="0.35">
      <c r="A1037" s="1">
        <v>43771</v>
      </c>
      <c r="B1037" s="4">
        <v>24.2</v>
      </c>
      <c r="C1037">
        <v>21</v>
      </c>
      <c r="D1037">
        <v>29.4</v>
      </c>
      <c r="E1037" s="4">
        <v>0</v>
      </c>
      <c r="F1037" t="str">
        <f t="shared" si="534"/>
        <v>OK</v>
      </c>
      <c r="G1037" t="str">
        <f t="shared" si="535"/>
        <v>OK</v>
      </c>
      <c r="H1037" t="str">
        <f t="shared" si="536"/>
        <v>OK</v>
      </c>
      <c r="I1037" s="4">
        <f t="shared" si="537"/>
        <v>2019</v>
      </c>
    </row>
    <row r="1038" spans="1:19" hidden="1" x14ac:dyDescent="0.35">
      <c r="A1038" s="1">
        <v>43772</v>
      </c>
      <c r="B1038">
        <v>24.4</v>
      </c>
      <c r="C1038">
        <v>20.5</v>
      </c>
      <c r="D1038">
        <v>29.5</v>
      </c>
      <c r="E1038"/>
      <c r="I1038"/>
    </row>
    <row r="1039" spans="1:19" hidden="1" x14ac:dyDescent="0.35">
      <c r="A1039" s="1">
        <v>43773</v>
      </c>
      <c r="B1039">
        <v>24</v>
      </c>
      <c r="C1039">
        <v>19.2</v>
      </c>
      <c r="D1039">
        <v>29.8</v>
      </c>
      <c r="E1039"/>
      <c r="I1039"/>
    </row>
    <row r="1040" spans="1:19" hidden="1" x14ac:dyDescent="0.35">
      <c r="A1040" s="1">
        <v>43774</v>
      </c>
      <c r="B1040">
        <v>24.1</v>
      </c>
      <c r="C1040">
        <v>18.2</v>
      </c>
      <c r="D1040">
        <v>30.8</v>
      </c>
      <c r="E1040"/>
      <c r="I1040"/>
    </row>
    <row r="1041" spans="1:19" hidden="1" x14ac:dyDescent="0.35">
      <c r="A1041" s="1">
        <v>43775</v>
      </c>
      <c r="B1041">
        <v>24.1</v>
      </c>
      <c r="C1041">
        <v>19.2</v>
      </c>
      <c r="D1041">
        <v>30.4</v>
      </c>
      <c r="E1041"/>
      <c r="I1041"/>
    </row>
    <row r="1042" spans="1:19" hidden="1" x14ac:dyDescent="0.35">
      <c r="A1042" s="1">
        <v>43776</v>
      </c>
      <c r="B1042">
        <v>24.7</v>
      </c>
      <c r="C1042">
        <v>19.600000000000001</v>
      </c>
      <c r="D1042">
        <v>30.9</v>
      </c>
      <c r="E1042"/>
      <c r="I1042"/>
    </row>
    <row r="1043" spans="1:19" x14ac:dyDescent="0.35">
      <c r="A1043" s="1">
        <v>43777</v>
      </c>
      <c r="B1043" s="4">
        <v>24.4</v>
      </c>
      <c r="C1043">
        <v>18.8</v>
      </c>
      <c r="D1043">
        <v>29.4</v>
      </c>
      <c r="E1043" s="4">
        <v>3</v>
      </c>
      <c r="F1043" t="str">
        <f t="shared" ref="F1043:F1046" si="558">IF(OR(B1043 &lt; $N$30, B1043 &gt; $N$67), "Outlier", "OK")</f>
        <v>OK</v>
      </c>
      <c r="G1043" t="str">
        <f t="shared" ref="G1043:G1046" si="559">IF(OR(C1043 &lt; $O$30, C1043 &gt; $O$67), "Outlier", "OK")</f>
        <v>OK</v>
      </c>
      <c r="H1043" t="str">
        <f t="shared" ref="H1043:H1046" si="560">IF(OR(D1043 &lt; $P$30, D1043 &gt; $P$67), "Outlier", "OK")</f>
        <v>OK</v>
      </c>
      <c r="I1043" s="4">
        <f t="shared" ref="I1043:I1046" si="561">YEAR(A1043)</f>
        <v>2019</v>
      </c>
      <c r="J1043">
        <f>( 377.84*B1043 + 3903.1)/550</f>
        <v>23.858901818181817</v>
      </c>
      <c r="K1043">
        <f xml:space="preserve"> (59.02*E1043 + 1383.4)/365</f>
        <v>4.2752328767123284</v>
      </c>
      <c r="R1043" s="4">
        <f>J1043-B1043</f>
        <v>-0.5410981818181817</v>
      </c>
      <c r="S1043" s="4">
        <f>K1043-E1043</f>
        <v>1.2752328767123284</v>
      </c>
    </row>
    <row r="1044" spans="1:19" hidden="1" x14ac:dyDescent="0.35">
      <c r="A1044" s="1">
        <v>43778</v>
      </c>
      <c r="B1044" s="4">
        <v>24.3</v>
      </c>
      <c r="C1044">
        <v>20.3</v>
      </c>
      <c r="D1044">
        <v>29.2</v>
      </c>
      <c r="E1044" s="4">
        <v>0</v>
      </c>
      <c r="F1044" t="str">
        <f t="shared" si="558"/>
        <v>OK</v>
      </c>
      <c r="G1044" t="str">
        <f t="shared" si="559"/>
        <v>OK</v>
      </c>
      <c r="H1044" t="str">
        <f t="shared" si="560"/>
        <v>OK</v>
      </c>
      <c r="I1044" s="4">
        <f t="shared" si="561"/>
        <v>2019</v>
      </c>
    </row>
    <row r="1045" spans="1:19" x14ac:dyDescent="0.35">
      <c r="A1045" s="1">
        <v>43779</v>
      </c>
      <c r="B1045" s="4">
        <v>24.6</v>
      </c>
      <c r="C1045">
        <v>20.399999999999999</v>
      </c>
      <c r="D1045">
        <v>29.9</v>
      </c>
      <c r="E1045" s="4">
        <v>49.5</v>
      </c>
      <c r="F1045" t="str">
        <f t="shared" si="558"/>
        <v>OK</v>
      </c>
      <c r="G1045" t="str">
        <f t="shared" si="559"/>
        <v>OK</v>
      </c>
      <c r="H1045" t="str">
        <f t="shared" si="560"/>
        <v>OK</v>
      </c>
      <c r="I1045" s="4">
        <f t="shared" si="561"/>
        <v>2019</v>
      </c>
      <c r="J1045">
        <f>( 377.84*B1045 + 3903.1)/550</f>
        <v>23.996298181818183</v>
      </c>
      <c r="K1045">
        <f xml:space="preserve"> (59.02*E1045 + 1383.4)/365</f>
        <v>11.794219178082193</v>
      </c>
      <c r="R1045" s="4">
        <f>J1045-B1045</f>
        <v>-0.60370181818181834</v>
      </c>
      <c r="S1045" s="4">
        <f>K1045-E1045</f>
        <v>-37.705780821917806</v>
      </c>
    </row>
    <row r="1046" spans="1:19" hidden="1" x14ac:dyDescent="0.35">
      <c r="A1046" s="1">
        <v>43780</v>
      </c>
      <c r="B1046" s="4">
        <v>23.8</v>
      </c>
      <c r="C1046">
        <v>19.7</v>
      </c>
      <c r="D1046">
        <v>29.8</v>
      </c>
      <c r="E1046" s="4">
        <v>0</v>
      </c>
      <c r="F1046" t="str">
        <f t="shared" si="558"/>
        <v>OK</v>
      </c>
      <c r="G1046" t="str">
        <f t="shared" si="559"/>
        <v>OK</v>
      </c>
      <c r="H1046" t="str">
        <f t="shared" si="560"/>
        <v>OK</v>
      </c>
      <c r="I1046" s="4">
        <f t="shared" si="561"/>
        <v>2019</v>
      </c>
    </row>
    <row r="1047" spans="1:19" hidden="1" x14ac:dyDescent="0.35">
      <c r="A1047" s="1">
        <v>43781</v>
      </c>
      <c r="B1047">
        <v>23.1</v>
      </c>
      <c r="C1047">
        <v>18.8</v>
      </c>
      <c r="D1047">
        <v>28.6</v>
      </c>
      <c r="E1047"/>
      <c r="I1047"/>
    </row>
    <row r="1048" spans="1:19" hidden="1" x14ac:dyDescent="0.35">
      <c r="A1048" s="1">
        <v>43782</v>
      </c>
      <c r="B1048">
        <v>22.9</v>
      </c>
      <c r="C1048">
        <v>18.5</v>
      </c>
      <c r="D1048">
        <v>28</v>
      </c>
      <c r="E1048"/>
      <c r="I1048"/>
    </row>
    <row r="1049" spans="1:19" hidden="1" x14ac:dyDescent="0.35">
      <c r="A1049" s="1">
        <v>43783</v>
      </c>
      <c r="B1049">
        <v>22.3</v>
      </c>
      <c r="C1049">
        <v>18.8</v>
      </c>
      <c r="D1049">
        <v>28.8</v>
      </c>
      <c r="E1049"/>
      <c r="I1049"/>
    </row>
    <row r="1050" spans="1:19" x14ac:dyDescent="0.35">
      <c r="A1050" s="1">
        <v>43784</v>
      </c>
      <c r="B1050" s="4">
        <v>22.7</v>
      </c>
      <c r="C1050">
        <v>19.600000000000001</v>
      </c>
      <c r="D1050">
        <v>26.8</v>
      </c>
      <c r="E1050" s="4">
        <v>2.8</v>
      </c>
      <c r="F1050" t="str">
        <f t="shared" ref="F1050:F1052" si="562">IF(OR(B1050 &lt; $N$30, B1050 &gt; $N$67), "Outlier", "OK")</f>
        <v>OK</v>
      </c>
      <c r="G1050" t="str">
        <f t="shared" ref="G1050:G1052" si="563">IF(OR(C1050 &lt; $O$30, C1050 &gt; $O$67), "Outlier", "OK")</f>
        <v>OK</v>
      </c>
      <c r="H1050" t="str">
        <f t="shared" ref="H1050:H1052" si="564">IF(OR(D1050 &lt; $P$30, D1050 &gt; $P$67), "Outlier", "OK")</f>
        <v>OK</v>
      </c>
      <c r="I1050" s="4">
        <f t="shared" ref="I1050:I1052" si="565">YEAR(A1050)</f>
        <v>2019</v>
      </c>
      <c r="J1050">
        <f t="shared" ref="J1050:J1051" si="566">( 377.84*B1050 + 3903.1)/550</f>
        <v>22.691032727272727</v>
      </c>
      <c r="K1050">
        <f t="shared" ref="K1050:K1051" si="567" xml:space="preserve"> (59.02*E1050 + 1383.4)/365</f>
        <v>4.2428931506849317</v>
      </c>
      <c r="R1050" s="4">
        <f t="shared" ref="R1050:R1051" si="568">J1050-B1050</f>
        <v>-8.9672727272720465E-3</v>
      </c>
      <c r="S1050" s="4">
        <f t="shared" ref="S1050:S1051" si="569">K1050-E1050</f>
        <v>1.4428931506849318</v>
      </c>
    </row>
    <row r="1051" spans="1:19" x14ac:dyDescent="0.35">
      <c r="A1051" s="1">
        <v>43785</v>
      </c>
      <c r="B1051" s="4">
        <v>23.5</v>
      </c>
      <c r="C1051">
        <v>20.399999999999999</v>
      </c>
      <c r="D1051">
        <v>26.2</v>
      </c>
      <c r="E1051" s="4">
        <v>0.5</v>
      </c>
      <c r="F1051" t="str">
        <f t="shared" si="562"/>
        <v>OK</v>
      </c>
      <c r="G1051" t="str">
        <f t="shared" si="563"/>
        <v>OK</v>
      </c>
      <c r="H1051" t="str">
        <f t="shared" si="564"/>
        <v>OK</v>
      </c>
      <c r="I1051" s="4">
        <f t="shared" si="565"/>
        <v>2019</v>
      </c>
      <c r="J1051">
        <f t="shared" si="566"/>
        <v>23.240618181818181</v>
      </c>
      <c r="K1051">
        <f t="shared" si="567"/>
        <v>3.8709863013698631</v>
      </c>
      <c r="R1051" s="4">
        <f t="shared" si="568"/>
        <v>-0.2593818181818186</v>
      </c>
      <c r="S1051" s="4">
        <f t="shared" si="569"/>
        <v>3.3709863013698631</v>
      </c>
    </row>
    <row r="1052" spans="1:19" hidden="1" x14ac:dyDescent="0.35">
      <c r="A1052" s="1">
        <v>43786</v>
      </c>
      <c r="B1052" s="4">
        <v>24</v>
      </c>
      <c r="C1052">
        <v>19.5</v>
      </c>
      <c r="D1052">
        <v>29.2</v>
      </c>
      <c r="E1052" s="4">
        <v>0</v>
      </c>
      <c r="F1052" t="str">
        <f t="shared" si="562"/>
        <v>OK</v>
      </c>
      <c r="G1052" t="str">
        <f t="shared" si="563"/>
        <v>OK</v>
      </c>
      <c r="H1052" t="str">
        <f t="shared" si="564"/>
        <v>OK</v>
      </c>
      <c r="I1052" s="4">
        <f t="shared" si="565"/>
        <v>2019</v>
      </c>
    </row>
    <row r="1053" spans="1:19" hidden="1" x14ac:dyDescent="0.35">
      <c r="A1053" s="1">
        <v>43787</v>
      </c>
      <c r="B1053">
        <v>23.8</v>
      </c>
      <c r="C1053">
        <v>20</v>
      </c>
      <c r="D1053">
        <v>29.6</v>
      </c>
      <c r="E1053"/>
      <c r="I1053"/>
    </row>
    <row r="1054" spans="1:19" hidden="1" x14ac:dyDescent="0.35">
      <c r="A1054" s="1">
        <v>43788</v>
      </c>
      <c r="B1054" s="4">
        <v>23.6</v>
      </c>
      <c r="C1054">
        <v>19.8</v>
      </c>
      <c r="D1054">
        <v>29.4</v>
      </c>
      <c r="E1054" s="4">
        <v>0</v>
      </c>
      <c r="F1054" t="str">
        <f>IF(OR(B1054 &lt; $N$30, B1054 &gt; $N$67), "Outlier", "OK")</f>
        <v>OK</v>
      </c>
      <c r="G1054" t="str">
        <f>IF(OR(C1054 &lt; $O$30, C1054 &gt; $O$67), "Outlier", "OK")</f>
        <v>OK</v>
      </c>
      <c r="H1054" t="str">
        <f>IF(OR(D1054 &lt; $P$30, D1054 &gt; $P$67), "Outlier", "OK")</f>
        <v>OK</v>
      </c>
      <c r="I1054" s="4">
        <f>YEAR(A1054)</f>
        <v>2019</v>
      </c>
    </row>
    <row r="1055" spans="1:19" hidden="1" x14ac:dyDescent="0.35">
      <c r="A1055" s="1">
        <v>43789</v>
      </c>
      <c r="B1055">
        <v>22.3</v>
      </c>
      <c r="C1055">
        <v>19.8</v>
      </c>
      <c r="D1055">
        <v>29.8</v>
      </c>
      <c r="E1055"/>
      <c r="I1055"/>
    </row>
    <row r="1056" spans="1:19" x14ac:dyDescent="0.35">
      <c r="A1056" s="1">
        <v>43790</v>
      </c>
      <c r="B1056" s="4">
        <v>22.4</v>
      </c>
      <c r="C1056">
        <v>20.399999999999999</v>
      </c>
      <c r="D1056">
        <v>27.6</v>
      </c>
      <c r="E1056" s="4">
        <v>2.5</v>
      </c>
      <c r="F1056" t="str">
        <f t="shared" ref="F1056:F1058" si="570">IF(OR(B1056 &lt; $N$30, B1056 &gt; $N$67), "Outlier", "OK")</f>
        <v>OK</v>
      </c>
      <c r="G1056" t="str">
        <f t="shared" ref="G1056:G1058" si="571">IF(OR(C1056 &lt; $O$30, C1056 &gt; $O$67), "Outlier", "OK")</f>
        <v>OK</v>
      </c>
      <c r="H1056" t="str">
        <f t="shared" ref="H1056:H1058" si="572">IF(OR(D1056 &lt; $P$30, D1056 &gt; $P$67), "Outlier", "OK")</f>
        <v>OK</v>
      </c>
      <c r="I1056" s="4">
        <f t="shared" ref="I1056:I1058" si="573">YEAR(A1056)</f>
        <v>2019</v>
      </c>
      <c r="J1056">
        <f>( 377.84*B1056 + 3903.1)/550</f>
        <v>22.48493818181818</v>
      </c>
      <c r="K1056">
        <f xml:space="preserve"> (59.02*E1056 + 1383.4)/365</f>
        <v>4.1943835616438356</v>
      </c>
      <c r="R1056" s="4">
        <f>J1056-B1056</f>
        <v>8.4938181818181135E-2</v>
      </c>
      <c r="S1056" s="4">
        <f>K1056-E1056</f>
        <v>1.6943835616438356</v>
      </c>
    </row>
    <row r="1057" spans="1:19" hidden="1" x14ac:dyDescent="0.35">
      <c r="A1057" s="1">
        <v>43791</v>
      </c>
      <c r="B1057" s="4">
        <v>22.3</v>
      </c>
      <c r="C1057">
        <v>19.2</v>
      </c>
      <c r="D1057">
        <v>25.6</v>
      </c>
      <c r="E1057" s="4">
        <v>0</v>
      </c>
      <c r="F1057" t="str">
        <f t="shared" si="570"/>
        <v>OK</v>
      </c>
      <c r="G1057" t="str">
        <f t="shared" si="571"/>
        <v>OK</v>
      </c>
      <c r="H1057" t="str">
        <f t="shared" si="572"/>
        <v>OK</v>
      </c>
      <c r="I1057" s="4">
        <f t="shared" si="573"/>
        <v>2019</v>
      </c>
    </row>
    <row r="1058" spans="1:19" hidden="1" x14ac:dyDescent="0.35">
      <c r="A1058" s="1">
        <v>43792</v>
      </c>
      <c r="B1058" s="4">
        <v>23.2</v>
      </c>
      <c r="C1058">
        <v>17.3</v>
      </c>
      <c r="D1058">
        <v>28</v>
      </c>
      <c r="E1058" s="4">
        <v>0</v>
      </c>
      <c r="F1058" t="str">
        <f t="shared" si="570"/>
        <v>OK</v>
      </c>
      <c r="G1058" t="str">
        <f t="shared" si="571"/>
        <v>OK</v>
      </c>
      <c r="H1058" t="str">
        <f t="shared" si="572"/>
        <v>OK</v>
      </c>
      <c r="I1058" s="4">
        <f t="shared" si="573"/>
        <v>2019</v>
      </c>
    </row>
    <row r="1059" spans="1:19" hidden="1" x14ac:dyDescent="0.35">
      <c r="A1059" s="1">
        <v>43793</v>
      </c>
      <c r="B1059">
        <v>22.5</v>
      </c>
      <c r="C1059">
        <v>18.2</v>
      </c>
      <c r="D1059">
        <v>29.2</v>
      </c>
      <c r="E1059"/>
      <c r="I1059"/>
    </row>
    <row r="1060" spans="1:19" hidden="1" x14ac:dyDescent="0.35">
      <c r="A1060" s="1">
        <v>43794</v>
      </c>
      <c r="B1060">
        <v>22.4</v>
      </c>
      <c r="C1060">
        <v>18.600000000000001</v>
      </c>
      <c r="D1060">
        <v>28.5</v>
      </c>
      <c r="E1060"/>
      <c r="I1060"/>
    </row>
    <row r="1061" spans="1:19" hidden="1" x14ac:dyDescent="0.35">
      <c r="A1061" s="1">
        <v>43795</v>
      </c>
      <c r="B1061">
        <v>22.7</v>
      </c>
      <c r="C1061">
        <v>16.7</v>
      </c>
      <c r="D1061">
        <v>27.3</v>
      </c>
      <c r="E1061"/>
      <c r="I1061"/>
    </row>
    <row r="1062" spans="1:19" x14ac:dyDescent="0.35">
      <c r="A1062" s="1">
        <v>43796</v>
      </c>
      <c r="B1062" s="4">
        <v>21.9</v>
      </c>
      <c r="C1062">
        <v>20</v>
      </c>
      <c r="D1062">
        <v>28.3</v>
      </c>
      <c r="E1062" s="4">
        <v>0.3</v>
      </c>
      <c r="F1062" t="str">
        <f t="shared" ref="F1062:F1070" si="574">IF(OR(B1062 &lt; $N$30, B1062 &gt; $N$67), "Outlier", "OK")</f>
        <v>OK</v>
      </c>
      <c r="G1062" t="str">
        <f t="shared" ref="G1062:G1070" si="575">IF(OR(C1062 &lt; $O$30, C1062 &gt; $O$67), "Outlier", "OK")</f>
        <v>OK</v>
      </c>
      <c r="H1062" t="str">
        <f t="shared" ref="H1062:H1070" si="576">IF(OR(D1062 &lt; $P$30, D1062 &gt; $P$67), "Outlier", "OK")</f>
        <v>OK</v>
      </c>
      <c r="I1062" s="4">
        <f t="shared" ref="I1062:I1070" si="577">YEAR(A1062)</f>
        <v>2019</v>
      </c>
      <c r="J1062">
        <f>( 377.84*B1062 + 3903.1)/550</f>
        <v>22.14144727272727</v>
      </c>
      <c r="K1062">
        <f xml:space="preserve"> (59.02*E1062 + 1383.4)/365</f>
        <v>3.8386465753424659</v>
      </c>
      <c r="R1062" s="4">
        <f>J1062-B1062</f>
        <v>0.24144727272727096</v>
      </c>
      <c r="S1062" s="4">
        <f>K1062-E1062</f>
        <v>3.5386465753424661</v>
      </c>
    </row>
    <row r="1063" spans="1:19" hidden="1" x14ac:dyDescent="0.35">
      <c r="A1063" s="1">
        <v>43797</v>
      </c>
      <c r="B1063" s="4">
        <v>22.6</v>
      </c>
      <c r="C1063">
        <v>19.2</v>
      </c>
      <c r="D1063">
        <v>27.8</v>
      </c>
      <c r="E1063" s="4">
        <v>0</v>
      </c>
      <c r="F1063" t="str">
        <f t="shared" si="574"/>
        <v>OK</v>
      </c>
      <c r="G1063" t="str">
        <f t="shared" si="575"/>
        <v>OK</v>
      </c>
      <c r="H1063" t="str">
        <f t="shared" si="576"/>
        <v>OK</v>
      </c>
      <c r="I1063" s="4">
        <f t="shared" si="577"/>
        <v>2019</v>
      </c>
    </row>
    <row r="1064" spans="1:19" hidden="1" x14ac:dyDescent="0.35">
      <c r="A1064" s="1">
        <v>43798</v>
      </c>
      <c r="B1064" s="4">
        <v>22.5</v>
      </c>
      <c r="C1064">
        <v>19.399999999999999</v>
      </c>
      <c r="D1064">
        <v>28.4</v>
      </c>
      <c r="E1064" s="4">
        <v>0</v>
      </c>
      <c r="F1064" t="str">
        <f t="shared" si="574"/>
        <v>OK</v>
      </c>
      <c r="G1064" t="str">
        <f t="shared" si="575"/>
        <v>OK</v>
      </c>
      <c r="H1064" t="str">
        <f t="shared" si="576"/>
        <v>OK</v>
      </c>
      <c r="I1064" s="4">
        <f t="shared" si="577"/>
        <v>2019</v>
      </c>
    </row>
    <row r="1065" spans="1:19" x14ac:dyDescent="0.35">
      <c r="A1065" s="1">
        <v>43799</v>
      </c>
      <c r="B1065" s="4">
        <v>21.4</v>
      </c>
      <c r="C1065">
        <v>18.7</v>
      </c>
      <c r="D1065">
        <v>27</v>
      </c>
      <c r="E1065" s="4">
        <v>1.5</v>
      </c>
      <c r="F1065" t="str">
        <f t="shared" si="574"/>
        <v>OK</v>
      </c>
      <c r="G1065" t="str">
        <f t="shared" si="575"/>
        <v>OK</v>
      </c>
      <c r="H1065" t="str">
        <f t="shared" si="576"/>
        <v>OK</v>
      </c>
      <c r="I1065" s="4">
        <f t="shared" si="577"/>
        <v>2019</v>
      </c>
      <c r="J1065">
        <f t="shared" ref="J1065:J1068" si="578">( 377.84*B1065 + 3903.1)/550</f>
        <v>21.797956363636359</v>
      </c>
      <c r="K1065">
        <f t="shared" ref="K1065:K1068" si="579" xml:space="preserve"> (59.02*E1065 + 1383.4)/365</f>
        <v>4.0326849315068491</v>
      </c>
      <c r="R1065" s="4">
        <f t="shared" ref="R1065:R1068" si="580">J1065-B1065</f>
        <v>0.39795636363636078</v>
      </c>
      <c r="S1065" s="4">
        <f t="shared" ref="S1065:S1068" si="581">K1065-E1065</f>
        <v>2.5326849315068491</v>
      </c>
    </row>
    <row r="1066" spans="1:19" x14ac:dyDescent="0.35">
      <c r="A1066" s="1">
        <v>43800</v>
      </c>
      <c r="B1066" s="4">
        <v>21.2</v>
      </c>
      <c r="C1066">
        <v>19.399999999999999</v>
      </c>
      <c r="D1066">
        <v>24.6</v>
      </c>
      <c r="E1066" s="4">
        <v>1.8</v>
      </c>
      <c r="F1066" t="str">
        <f t="shared" si="574"/>
        <v>OK</v>
      </c>
      <c r="G1066" t="str">
        <f t="shared" si="575"/>
        <v>OK</v>
      </c>
      <c r="H1066" t="str">
        <f t="shared" si="576"/>
        <v>OK</v>
      </c>
      <c r="I1066" s="4">
        <f t="shared" si="577"/>
        <v>2019</v>
      </c>
      <c r="J1066">
        <f t="shared" si="578"/>
        <v>21.660559999999997</v>
      </c>
      <c r="K1066">
        <f t="shared" si="579"/>
        <v>4.0811945205479461</v>
      </c>
      <c r="R1066" s="4">
        <f t="shared" si="580"/>
        <v>0.46055999999999742</v>
      </c>
      <c r="S1066" s="4">
        <f t="shared" si="581"/>
        <v>2.2811945205479462</v>
      </c>
    </row>
    <row r="1067" spans="1:19" x14ac:dyDescent="0.35">
      <c r="A1067" s="1">
        <v>43801</v>
      </c>
      <c r="B1067" s="4">
        <v>21.3</v>
      </c>
      <c r="C1067">
        <v>19.2</v>
      </c>
      <c r="D1067">
        <v>25</v>
      </c>
      <c r="E1067" s="4">
        <v>6.9</v>
      </c>
      <c r="F1067" t="str">
        <f t="shared" si="574"/>
        <v>OK</v>
      </c>
      <c r="G1067" t="str">
        <f t="shared" si="575"/>
        <v>OK</v>
      </c>
      <c r="H1067" t="str">
        <f t="shared" si="576"/>
        <v>OK</v>
      </c>
      <c r="I1067" s="4">
        <f t="shared" si="577"/>
        <v>2019</v>
      </c>
      <c r="J1067">
        <f t="shared" si="578"/>
        <v>21.729258181818182</v>
      </c>
      <c r="K1067">
        <f t="shared" si="579"/>
        <v>4.905857534246576</v>
      </c>
      <c r="R1067" s="4">
        <f t="shared" si="580"/>
        <v>0.42925818181818087</v>
      </c>
      <c r="S1067" s="4">
        <f t="shared" si="581"/>
        <v>-1.9941424657534244</v>
      </c>
    </row>
    <row r="1068" spans="1:19" x14ac:dyDescent="0.35">
      <c r="A1068" s="1">
        <v>43802</v>
      </c>
      <c r="B1068" s="4">
        <v>21.1</v>
      </c>
      <c r="C1068">
        <v>19.399999999999999</v>
      </c>
      <c r="D1068">
        <v>24.5</v>
      </c>
      <c r="E1068" s="4">
        <v>0.5</v>
      </c>
      <c r="F1068" t="str">
        <f t="shared" si="574"/>
        <v>OK</v>
      </c>
      <c r="G1068" t="str">
        <f t="shared" si="575"/>
        <v>OK</v>
      </c>
      <c r="H1068" t="str">
        <f t="shared" si="576"/>
        <v>OK</v>
      </c>
      <c r="I1068" s="4">
        <f t="shared" si="577"/>
        <v>2019</v>
      </c>
      <c r="J1068">
        <f t="shared" si="578"/>
        <v>21.591861818181815</v>
      </c>
      <c r="K1068">
        <f t="shared" si="579"/>
        <v>3.8709863013698631</v>
      </c>
      <c r="R1068" s="4">
        <f t="shared" si="580"/>
        <v>0.49186181818181396</v>
      </c>
      <c r="S1068" s="4">
        <f t="shared" si="581"/>
        <v>3.3709863013698631</v>
      </c>
    </row>
    <row r="1069" spans="1:19" hidden="1" x14ac:dyDescent="0.35">
      <c r="A1069" s="1">
        <v>43803</v>
      </c>
      <c r="B1069" s="4">
        <v>21.2</v>
      </c>
      <c r="C1069">
        <v>18.8</v>
      </c>
      <c r="D1069">
        <v>26</v>
      </c>
      <c r="E1069" s="4">
        <v>0</v>
      </c>
      <c r="F1069" t="str">
        <f t="shared" si="574"/>
        <v>OK</v>
      </c>
      <c r="G1069" t="str">
        <f t="shared" si="575"/>
        <v>OK</v>
      </c>
      <c r="H1069" t="str">
        <f t="shared" si="576"/>
        <v>OK</v>
      </c>
      <c r="I1069" s="4">
        <f t="shared" si="577"/>
        <v>2019</v>
      </c>
    </row>
    <row r="1070" spans="1:19" hidden="1" x14ac:dyDescent="0.35">
      <c r="A1070" s="1">
        <v>43804</v>
      </c>
      <c r="B1070" s="4">
        <v>20.8</v>
      </c>
      <c r="C1070">
        <v>18</v>
      </c>
      <c r="D1070">
        <v>26</v>
      </c>
      <c r="E1070" s="4">
        <v>0</v>
      </c>
      <c r="F1070" t="str">
        <f t="shared" si="574"/>
        <v>OK</v>
      </c>
      <c r="G1070" t="str">
        <f t="shared" si="575"/>
        <v>OK</v>
      </c>
      <c r="H1070" t="str">
        <f t="shared" si="576"/>
        <v>OK</v>
      </c>
      <c r="I1070" s="4">
        <f t="shared" si="577"/>
        <v>2019</v>
      </c>
    </row>
    <row r="1071" spans="1:19" hidden="1" x14ac:dyDescent="0.35">
      <c r="A1071" s="1">
        <v>43805</v>
      </c>
      <c r="B1071">
        <v>20.399999999999999</v>
      </c>
      <c r="C1071">
        <v>17.600000000000001</v>
      </c>
      <c r="D1071">
        <v>25.4</v>
      </c>
      <c r="E1071"/>
      <c r="I1071"/>
    </row>
    <row r="1072" spans="1:19" hidden="1" x14ac:dyDescent="0.35">
      <c r="A1072" s="1">
        <v>43806</v>
      </c>
      <c r="B1072">
        <v>20.3</v>
      </c>
      <c r="C1072">
        <v>15.8</v>
      </c>
      <c r="D1072">
        <v>24.5</v>
      </c>
      <c r="E1072"/>
      <c r="I1072"/>
    </row>
    <row r="1073" spans="1:19" x14ac:dyDescent="0.35">
      <c r="A1073" s="1">
        <v>43807</v>
      </c>
      <c r="B1073" s="4">
        <v>20.2</v>
      </c>
      <c r="C1073">
        <v>17.8</v>
      </c>
      <c r="D1073">
        <v>24.9</v>
      </c>
      <c r="E1073" s="4">
        <v>0.5</v>
      </c>
      <c r="F1073" t="str">
        <f t="shared" ref="F1073:F1074" si="582">IF(OR(B1073 &lt; $N$30, B1073 &gt; $N$67), "Outlier", "OK")</f>
        <v>OK</v>
      </c>
      <c r="G1073" t="str">
        <f t="shared" ref="G1073:G1074" si="583">IF(OR(C1073 &lt; $O$30, C1073 &gt; $O$67), "Outlier", "OK")</f>
        <v>OK</v>
      </c>
      <c r="H1073" t="str">
        <f t="shared" ref="H1073:H1074" si="584">IF(OR(D1073 &lt; $P$30, D1073 &gt; $P$67), "Outlier", "OK")</f>
        <v>OK</v>
      </c>
      <c r="I1073" s="4">
        <f t="shared" ref="I1073:I1074" si="585">YEAR(A1073)</f>
        <v>2019</v>
      </c>
      <c r="J1073">
        <f>( 377.84*B1073 + 3903.1)/550</f>
        <v>20.97357818181818</v>
      </c>
      <c r="K1073">
        <f xml:space="preserve"> (59.02*E1073 + 1383.4)/365</f>
        <v>3.8709863013698631</v>
      </c>
      <c r="R1073" s="4">
        <f>J1073-B1073</f>
        <v>0.77357818181818061</v>
      </c>
      <c r="S1073" s="4">
        <f>K1073-E1073</f>
        <v>3.3709863013698631</v>
      </c>
    </row>
    <row r="1074" spans="1:19" hidden="1" x14ac:dyDescent="0.35">
      <c r="A1074" s="1">
        <v>43808</v>
      </c>
      <c r="B1074" s="4">
        <v>21.5</v>
      </c>
      <c r="C1074">
        <v>17</v>
      </c>
      <c r="D1074">
        <v>26.8</v>
      </c>
      <c r="E1074" s="4">
        <v>0</v>
      </c>
      <c r="F1074" t="str">
        <f t="shared" si="582"/>
        <v>OK</v>
      </c>
      <c r="G1074" t="str">
        <f t="shared" si="583"/>
        <v>OK</v>
      </c>
      <c r="H1074" t="str">
        <f t="shared" si="584"/>
        <v>OK</v>
      </c>
      <c r="I1074" s="4">
        <f t="shared" si="585"/>
        <v>2019</v>
      </c>
    </row>
    <row r="1075" spans="1:19" hidden="1" x14ac:dyDescent="0.35">
      <c r="A1075" s="1">
        <v>43809</v>
      </c>
      <c r="B1075">
        <v>21.6</v>
      </c>
      <c r="C1075">
        <v>17.899999999999999</v>
      </c>
      <c r="D1075">
        <v>26.4</v>
      </c>
      <c r="E1075"/>
      <c r="I1075"/>
    </row>
    <row r="1076" spans="1:19" hidden="1" x14ac:dyDescent="0.35">
      <c r="A1076" s="1">
        <v>43810</v>
      </c>
      <c r="B1076">
        <v>22.3</v>
      </c>
      <c r="C1076">
        <v>16.5</v>
      </c>
      <c r="D1076">
        <v>26.2</v>
      </c>
      <c r="E1076"/>
      <c r="I1076"/>
    </row>
    <row r="1077" spans="1:19" hidden="1" x14ac:dyDescent="0.35">
      <c r="A1077" s="1">
        <v>43811</v>
      </c>
      <c r="B1077">
        <v>21.4</v>
      </c>
      <c r="C1077">
        <v>16.8</v>
      </c>
      <c r="D1077">
        <v>27.8</v>
      </c>
      <c r="E1077"/>
      <c r="I1077"/>
    </row>
    <row r="1078" spans="1:19" hidden="1" x14ac:dyDescent="0.35">
      <c r="A1078" s="1">
        <v>43812</v>
      </c>
      <c r="B1078">
        <v>22.2</v>
      </c>
      <c r="C1078">
        <v>17.399999999999999</v>
      </c>
      <c r="D1078">
        <v>28.2</v>
      </c>
      <c r="E1078"/>
      <c r="I1078"/>
    </row>
    <row r="1079" spans="1:19" hidden="1" x14ac:dyDescent="0.35">
      <c r="A1079" s="1">
        <v>43813</v>
      </c>
      <c r="B1079" s="4">
        <v>21.1</v>
      </c>
      <c r="C1079">
        <v>18.8</v>
      </c>
      <c r="D1079">
        <v>28.8</v>
      </c>
      <c r="E1079" s="4">
        <v>0</v>
      </c>
      <c r="F1079" t="str">
        <f t="shared" ref="F1079:F1083" si="586">IF(OR(B1079 &lt; $N$30, B1079 &gt; $N$67), "Outlier", "OK")</f>
        <v>OK</v>
      </c>
      <c r="G1079" t="str">
        <f t="shared" ref="G1079:G1083" si="587">IF(OR(C1079 &lt; $O$30, C1079 &gt; $O$67), "Outlier", "OK")</f>
        <v>OK</v>
      </c>
      <c r="H1079" t="str">
        <f t="shared" ref="H1079:H1083" si="588">IF(OR(D1079 &lt; $P$30, D1079 &gt; $P$67), "Outlier", "OK")</f>
        <v>OK</v>
      </c>
      <c r="I1079" s="4">
        <f t="shared" ref="I1079:I1083" si="589">YEAR(A1079)</f>
        <v>2019</v>
      </c>
    </row>
    <row r="1080" spans="1:19" x14ac:dyDescent="0.35">
      <c r="A1080" s="1">
        <v>43814</v>
      </c>
      <c r="B1080" s="4">
        <v>21.7</v>
      </c>
      <c r="C1080">
        <v>17.600000000000001</v>
      </c>
      <c r="D1080">
        <v>25.8</v>
      </c>
      <c r="E1080" s="4">
        <v>2.8</v>
      </c>
      <c r="F1080" t="str">
        <f t="shared" si="586"/>
        <v>OK</v>
      </c>
      <c r="G1080" t="str">
        <f t="shared" si="587"/>
        <v>OK</v>
      </c>
      <c r="H1080" t="str">
        <f t="shared" si="588"/>
        <v>OK</v>
      </c>
      <c r="I1080" s="4">
        <f t="shared" si="589"/>
        <v>2019</v>
      </c>
      <c r="J1080">
        <f>( 377.84*B1080 + 3903.1)/550</f>
        <v>22.004050909090907</v>
      </c>
      <c r="K1080">
        <f xml:space="preserve"> (59.02*E1080 + 1383.4)/365</f>
        <v>4.2428931506849317</v>
      </c>
      <c r="R1080" s="4">
        <f>J1080-B1080</f>
        <v>0.3040509090909076</v>
      </c>
      <c r="S1080" s="4">
        <f>K1080-E1080</f>
        <v>1.4428931506849318</v>
      </c>
    </row>
    <row r="1081" spans="1:19" hidden="1" x14ac:dyDescent="0.35">
      <c r="A1081" s="1">
        <v>43815</v>
      </c>
      <c r="B1081" s="4">
        <v>22.1</v>
      </c>
      <c r="C1081">
        <v>17.399999999999999</v>
      </c>
      <c r="D1081">
        <v>26.7</v>
      </c>
      <c r="E1081" s="4">
        <v>0</v>
      </c>
      <c r="F1081" t="str">
        <f t="shared" si="586"/>
        <v>OK</v>
      </c>
      <c r="G1081" t="str">
        <f t="shared" si="587"/>
        <v>OK</v>
      </c>
      <c r="H1081" t="str">
        <f t="shared" si="588"/>
        <v>OK</v>
      </c>
      <c r="I1081" s="4">
        <f t="shared" si="589"/>
        <v>2019</v>
      </c>
    </row>
    <row r="1082" spans="1:19" hidden="1" x14ac:dyDescent="0.35">
      <c r="A1082" s="1">
        <v>43816</v>
      </c>
      <c r="B1082" s="4">
        <v>21.3</v>
      </c>
      <c r="C1082">
        <v>18.399999999999999</v>
      </c>
      <c r="D1082">
        <v>27.6</v>
      </c>
      <c r="E1082" s="4">
        <v>0</v>
      </c>
      <c r="F1082" t="str">
        <f t="shared" si="586"/>
        <v>OK</v>
      </c>
      <c r="G1082" t="str">
        <f t="shared" si="587"/>
        <v>OK</v>
      </c>
      <c r="H1082" t="str">
        <f t="shared" si="588"/>
        <v>OK</v>
      </c>
      <c r="I1082" s="4">
        <f t="shared" si="589"/>
        <v>2019</v>
      </c>
    </row>
    <row r="1083" spans="1:19" hidden="1" x14ac:dyDescent="0.35">
      <c r="A1083" s="1">
        <v>43817</v>
      </c>
      <c r="B1083" s="4">
        <v>21.6</v>
      </c>
      <c r="C1083">
        <v>17</v>
      </c>
      <c r="D1083">
        <v>26.2</v>
      </c>
      <c r="E1083" s="4">
        <v>0</v>
      </c>
      <c r="F1083" t="str">
        <f t="shared" si="586"/>
        <v>OK</v>
      </c>
      <c r="G1083" t="str">
        <f t="shared" si="587"/>
        <v>OK</v>
      </c>
      <c r="H1083" t="str">
        <f t="shared" si="588"/>
        <v>OK</v>
      </c>
      <c r="I1083" s="4">
        <f t="shared" si="589"/>
        <v>2019</v>
      </c>
    </row>
    <row r="1084" spans="1:19" hidden="1" x14ac:dyDescent="0.35">
      <c r="A1084" s="1">
        <v>43818</v>
      </c>
      <c r="B1084">
        <v>20.7</v>
      </c>
      <c r="C1084">
        <v>17.8</v>
      </c>
      <c r="D1084">
        <v>26.4</v>
      </c>
      <c r="E1084"/>
      <c r="I1084"/>
    </row>
    <row r="1085" spans="1:19" hidden="1" x14ac:dyDescent="0.35">
      <c r="A1085" s="1">
        <v>43819</v>
      </c>
      <c r="B1085">
        <v>20.9</v>
      </c>
      <c r="C1085">
        <v>16.2</v>
      </c>
      <c r="D1085">
        <v>25.8</v>
      </c>
      <c r="E1085"/>
      <c r="I1085"/>
    </row>
    <row r="1086" spans="1:19" hidden="1" x14ac:dyDescent="0.35">
      <c r="A1086" s="1">
        <v>43820</v>
      </c>
      <c r="B1086">
        <v>21.9</v>
      </c>
      <c r="C1086">
        <v>18</v>
      </c>
      <c r="D1086">
        <v>27.8</v>
      </c>
      <c r="E1086"/>
      <c r="I1086"/>
    </row>
    <row r="1087" spans="1:19" hidden="1" x14ac:dyDescent="0.35">
      <c r="A1087" s="1">
        <v>43821</v>
      </c>
      <c r="B1087">
        <v>21.8</v>
      </c>
      <c r="C1087">
        <v>18.399999999999999</v>
      </c>
      <c r="D1087">
        <v>28.3</v>
      </c>
      <c r="E1087"/>
      <c r="I1087"/>
    </row>
    <row r="1088" spans="1:19" hidden="1" x14ac:dyDescent="0.35">
      <c r="A1088" s="1">
        <v>43822</v>
      </c>
      <c r="B1088">
        <v>21</v>
      </c>
      <c r="C1088">
        <v>18.100000000000001</v>
      </c>
      <c r="D1088">
        <v>28</v>
      </c>
      <c r="E1088"/>
      <c r="I1088"/>
    </row>
    <row r="1089" spans="1:19" hidden="1" x14ac:dyDescent="0.35">
      <c r="A1089" s="1">
        <v>43823</v>
      </c>
      <c r="B1089">
        <v>22.3</v>
      </c>
      <c r="C1089">
        <v>18.399999999999999</v>
      </c>
      <c r="D1089">
        <v>27.8</v>
      </c>
      <c r="E1089"/>
      <c r="I1089"/>
    </row>
    <row r="1090" spans="1:19" hidden="1" x14ac:dyDescent="0.35">
      <c r="A1090" s="1">
        <v>43824</v>
      </c>
      <c r="B1090">
        <v>21.6</v>
      </c>
      <c r="C1090">
        <v>18.8</v>
      </c>
      <c r="D1090">
        <v>28.6</v>
      </c>
      <c r="E1090"/>
      <c r="I1090"/>
    </row>
    <row r="1091" spans="1:19" hidden="1" x14ac:dyDescent="0.35">
      <c r="A1091" s="1">
        <v>43825</v>
      </c>
      <c r="B1091">
        <v>22.3</v>
      </c>
      <c r="C1091">
        <v>19</v>
      </c>
      <c r="D1091">
        <v>28.8</v>
      </c>
      <c r="E1091"/>
      <c r="I1091"/>
    </row>
    <row r="1092" spans="1:19" hidden="1" x14ac:dyDescent="0.35">
      <c r="A1092" s="1">
        <v>43826</v>
      </c>
      <c r="B1092">
        <v>23.4</v>
      </c>
      <c r="C1092">
        <v>18</v>
      </c>
      <c r="D1092">
        <v>29.6</v>
      </c>
      <c r="E1092"/>
      <c r="I1092"/>
    </row>
    <row r="1093" spans="1:19" hidden="1" x14ac:dyDescent="0.35">
      <c r="A1093" s="1">
        <v>43827</v>
      </c>
      <c r="B1093">
        <v>21.9</v>
      </c>
      <c r="C1093">
        <v>17.600000000000001</v>
      </c>
      <c r="D1093">
        <v>29.8</v>
      </c>
      <c r="E1093"/>
      <c r="I1093"/>
    </row>
    <row r="1094" spans="1:19" hidden="1" x14ac:dyDescent="0.35">
      <c r="A1094" s="1">
        <v>43828</v>
      </c>
      <c r="B1094">
        <v>21.8</v>
      </c>
      <c r="C1094">
        <v>16.8</v>
      </c>
      <c r="D1094">
        <v>28.2</v>
      </c>
      <c r="E1094"/>
      <c r="I1094"/>
    </row>
    <row r="1095" spans="1:19" hidden="1" x14ac:dyDescent="0.35">
      <c r="A1095" s="1">
        <v>43829</v>
      </c>
      <c r="B1095">
        <v>21.7</v>
      </c>
      <c r="C1095">
        <v>17.5</v>
      </c>
      <c r="D1095">
        <v>27.6</v>
      </c>
      <c r="E1095"/>
      <c r="I1095"/>
    </row>
    <row r="1096" spans="1:19" hidden="1" x14ac:dyDescent="0.35">
      <c r="A1096" s="1">
        <v>43830</v>
      </c>
      <c r="B1096">
        <v>21.9</v>
      </c>
      <c r="C1096">
        <v>17.5</v>
      </c>
      <c r="D1096">
        <v>28.1</v>
      </c>
      <c r="E1096"/>
      <c r="I1096"/>
    </row>
    <row r="1097" spans="1:19" hidden="1" x14ac:dyDescent="0.35">
      <c r="A1097" s="1">
        <v>43831</v>
      </c>
      <c r="B1097">
        <v>22</v>
      </c>
      <c r="C1097">
        <v>19.2</v>
      </c>
      <c r="D1097">
        <v>27.2</v>
      </c>
      <c r="E1097"/>
      <c r="I1097"/>
    </row>
    <row r="1098" spans="1:19" hidden="1" x14ac:dyDescent="0.35">
      <c r="A1098" s="1">
        <v>43832</v>
      </c>
      <c r="B1098">
        <v>22.2</v>
      </c>
      <c r="C1098">
        <v>19.399999999999999</v>
      </c>
      <c r="D1098">
        <v>27.8</v>
      </c>
      <c r="E1098"/>
      <c r="I1098"/>
    </row>
    <row r="1099" spans="1:19" hidden="1" x14ac:dyDescent="0.35">
      <c r="A1099" s="1">
        <v>43833</v>
      </c>
      <c r="B1099">
        <v>23.4</v>
      </c>
      <c r="C1099">
        <v>19.399999999999999</v>
      </c>
      <c r="D1099">
        <v>28.4</v>
      </c>
      <c r="E1099"/>
      <c r="I1099"/>
    </row>
    <row r="1100" spans="1:19" hidden="1" x14ac:dyDescent="0.35">
      <c r="A1100" s="1">
        <v>43834</v>
      </c>
      <c r="B1100" s="4">
        <v>23.6</v>
      </c>
      <c r="C1100">
        <v>18.600000000000001</v>
      </c>
      <c r="D1100">
        <v>30.5</v>
      </c>
      <c r="E1100" s="4">
        <v>0</v>
      </c>
      <c r="F1100" t="str">
        <f>IF(OR(B1100 &lt; $N$30, B1100 &gt; $N$67), "Outlier", "OK")</f>
        <v>OK</v>
      </c>
      <c r="G1100" t="str">
        <f>IF(OR(C1100 &lt; $O$30, C1100 &gt; $O$67), "Outlier", "OK")</f>
        <v>OK</v>
      </c>
      <c r="H1100" t="str">
        <f>IF(OR(D1100 &lt; $P$30, D1100 &gt; $P$67), "Outlier", "OK")</f>
        <v>OK</v>
      </c>
      <c r="I1100" s="4">
        <f>YEAR(A1100)</f>
        <v>2020</v>
      </c>
    </row>
    <row r="1101" spans="1:19" hidden="1" x14ac:dyDescent="0.35">
      <c r="A1101" s="1">
        <v>43835</v>
      </c>
      <c r="B1101">
        <v>24.2</v>
      </c>
      <c r="C1101">
        <v>20.399999999999999</v>
      </c>
      <c r="D1101">
        <v>30.5</v>
      </c>
      <c r="E1101"/>
      <c r="I1101"/>
    </row>
    <row r="1102" spans="1:19" x14ac:dyDescent="0.35">
      <c r="A1102" s="1">
        <v>43836</v>
      </c>
      <c r="B1102" s="4">
        <v>22.1</v>
      </c>
      <c r="C1102">
        <v>20.399999999999999</v>
      </c>
      <c r="D1102">
        <v>30.8</v>
      </c>
      <c r="E1102" s="4">
        <v>0.3</v>
      </c>
      <c r="F1102" t="str">
        <f t="shared" ref="F1102:F1103" si="590">IF(OR(B1102 &lt; $N$30, B1102 &gt; $N$67), "Outlier", "OK")</f>
        <v>OK</v>
      </c>
      <c r="G1102" t="str">
        <f t="shared" ref="G1102:G1103" si="591">IF(OR(C1102 &lt; $O$30, C1102 &gt; $O$67), "Outlier", "OK")</f>
        <v>OK</v>
      </c>
      <c r="H1102" t="str">
        <f t="shared" ref="H1102:H1103" si="592">IF(OR(D1102 &lt; $P$30, D1102 &gt; $P$67), "Outlier", "OK")</f>
        <v>OK</v>
      </c>
      <c r="I1102" s="4">
        <f t="shared" ref="I1102:I1103" si="593">YEAR(A1102)</f>
        <v>2020</v>
      </c>
      <c r="J1102">
        <f>( 377.84*B1102 + 3903.1)/550</f>
        <v>22.278843636363636</v>
      </c>
      <c r="K1102">
        <f xml:space="preserve"> (59.02*E1102 + 1383.4)/365</f>
        <v>3.8386465753424659</v>
      </c>
      <c r="R1102" s="4">
        <f>J1102-B1102</f>
        <v>0.17884363636363432</v>
      </c>
      <c r="S1102" s="4">
        <f>K1102-E1102</f>
        <v>3.5386465753424661</v>
      </c>
    </row>
    <row r="1103" spans="1:19" hidden="1" x14ac:dyDescent="0.35">
      <c r="A1103" s="1">
        <v>43837</v>
      </c>
      <c r="B1103" s="4">
        <v>22.2</v>
      </c>
      <c r="C1103">
        <v>18.8</v>
      </c>
      <c r="D1103">
        <v>26.2</v>
      </c>
      <c r="E1103" s="4">
        <v>0</v>
      </c>
      <c r="F1103" t="str">
        <f t="shared" si="590"/>
        <v>OK</v>
      </c>
      <c r="G1103" t="str">
        <f t="shared" si="591"/>
        <v>OK</v>
      </c>
      <c r="H1103" t="str">
        <f t="shared" si="592"/>
        <v>OK</v>
      </c>
      <c r="I1103" s="4">
        <f t="shared" si="593"/>
        <v>2020</v>
      </c>
    </row>
    <row r="1104" spans="1:19" hidden="1" x14ac:dyDescent="0.35">
      <c r="A1104" s="1">
        <v>43838</v>
      </c>
      <c r="B1104">
        <v>22.7</v>
      </c>
      <c r="C1104">
        <v>18.2</v>
      </c>
      <c r="D1104">
        <v>28.3</v>
      </c>
      <c r="E1104"/>
      <c r="I1104"/>
    </row>
    <row r="1105" spans="1:4" customFormat="1" hidden="1" x14ac:dyDescent="0.35">
      <c r="A1105" s="1">
        <v>43839</v>
      </c>
      <c r="B1105">
        <v>23.1</v>
      </c>
      <c r="C1105">
        <v>18</v>
      </c>
      <c r="D1105">
        <v>29.8</v>
      </c>
    </row>
    <row r="1106" spans="1:4" customFormat="1" hidden="1" x14ac:dyDescent="0.35">
      <c r="A1106" s="1">
        <v>43840</v>
      </c>
      <c r="B1106">
        <v>22.1</v>
      </c>
      <c r="C1106">
        <v>14.8</v>
      </c>
      <c r="D1106">
        <v>30.4</v>
      </c>
    </row>
    <row r="1107" spans="1:4" customFormat="1" hidden="1" x14ac:dyDescent="0.35">
      <c r="A1107" s="1">
        <v>43841</v>
      </c>
      <c r="B1107">
        <v>20.8</v>
      </c>
      <c r="C1107">
        <v>15.6</v>
      </c>
      <c r="D1107">
        <v>29.2</v>
      </c>
    </row>
    <row r="1108" spans="1:4" customFormat="1" hidden="1" x14ac:dyDescent="0.35">
      <c r="A1108" s="1">
        <v>43842</v>
      </c>
      <c r="B1108">
        <v>21.1</v>
      </c>
      <c r="C1108">
        <v>15.5</v>
      </c>
      <c r="D1108">
        <v>28.5</v>
      </c>
    </row>
    <row r="1109" spans="1:4" customFormat="1" hidden="1" x14ac:dyDescent="0.35">
      <c r="A1109" s="1">
        <v>43843</v>
      </c>
      <c r="B1109">
        <v>22.9</v>
      </c>
      <c r="C1109">
        <v>17.399999999999999</v>
      </c>
      <c r="D1109">
        <v>28.8</v>
      </c>
    </row>
    <row r="1110" spans="1:4" customFormat="1" hidden="1" x14ac:dyDescent="0.35">
      <c r="A1110" s="1">
        <v>43844</v>
      </c>
      <c r="B1110">
        <v>21.9</v>
      </c>
      <c r="C1110">
        <v>16.399999999999999</v>
      </c>
      <c r="D1110">
        <v>29</v>
      </c>
    </row>
    <row r="1111" spans="1:4" customFormat="1" hidden="1" x14ac:dyDescent="0.35">
      <c r="A1111" s="1">
        <v>43845</v>
      </c>
      <c r="B1111">
        <v>21</v>
      </c>
      <c r="C1111">
        <v>14.4</v>
      </c>
      <c r="D1111">
        <v>29.5</v>
      </c>
    </row>
    <row r="1112" spans="1:4" customFormat="1" hidden="1" x14ac:dyDescent="0.35">
      <c r="A1112" s="1">
        <v>43846</v>
      </c>
      <c r="B1112">
        <v>21.8</v>
      </c>
      <c r="C1112">
        <v>15.3</v>
      </c>
      <c r="D1112">
        <v>29.5</v>
      </c>
    </row>
    <row r="1113" spans="1:4" customFormat="1" hidden="1" x14ac:dyDescent="0.35">
      <c r="A1113" s="1">
        <v>43847</v>
      </c>
      <c r="B1113">
        <v>22.1</v>
      </c>
      <c r="C1113">
        <v>15.8</v>
      </c>
      <c r="D1113">
        <v>28.7</v>
      </c>
    </row>
    <row r="1114" spans="1:4" customFormat="1" hidden="1" x14ac:dyDescent="0.35">
      <c r="A1114" s="1">
        <v>43848</v>
      </c>
      <c r="B1114">
        <v>22.4</v>
      </c>
      <c r="C1114">
        <v>18.399999999999999</v>
      </c>
      <c r="D1114">
        <v>29.9</v>
      </c>
    </row>
    <row r="1115" spans="1:4" customFormat="1" hidden="1" x14ac:dyDescent="0.35">
      <c r="A1115" s="1">
        <v>43849</v>
      </c>
      <c r="B1115">
        <v>23.3</v>
      </c>
      <c r="C1115">
        <v>19.2</v>
      </c>
      <c r="D1115">
        <v>28.8</v>
      </c>
    </row>
    <row r="1116" spans="1:4" customFormat="1" hidden="1" x14ac:dyDescent="0.35">
      <c r="A1116" s="1">
        <v>43850</v>
      </c>
      <c r="B1116">
        <v>23.3</v>
      </c>
      <c r="C1116">
        <v>17.7</v>
      </c>
      <c r="D1116">
        <v>29.8</v>
      </c>
    </row>
    <row r="1117" spans="1:4" customFormat="1" hidden="1" x14ac:dyDescent="0.35">
      <c r="A1117" s="1">
        <v>43851</v>
      </c>
      <c r="B1117">
        <v>22.6</v>
      </c>
      <c r="C1117">
        <v>17.2</v>
      </c>
      <c r="D1117">
        <v>31</v>
      </c>
    </row>
    <row r="1118" spans="1:4" customFormat="1" hidden="1" x14ac:dyDescent="0.35">
      <c r="A1118" s="1">
        <v>43852</v>
      </c>
      <c r="B1118">
        <v>22.3</v>
      </c>
      <c r="C1118">
        <v>16</v>
      </c>
      <c r="D1118">
        <v>30.2</v>
      </c>
    </row>
    <row r="1119" spans="1:4" customFormat="1" hidden="1" x14ac:dyDescent="0.35">
      <c r="A1119" s="1">
        <v>43853</v>
      </c>
      <c r="B1119">
        <v>23.2</v>
      </c>
      <c r="C1119">
        <v>17.899999999999999</v>
      </c>
      <c r="D1119">
        <v>30.1</v>
      </c>
    </row>
    <row r="1120" spans="1:4" customFormat="1" hidden="1" x14ac:dyDescent="0.35">
      <c r="A1120" s="1">
        <v>43854</v>
      </c>
      <c r="B1120">
        <v>22.7</v>
      </c>
      <c r="C1120">
        <v>17</v>
      </c>
      <c r="D1120">
        <v>30.4</v>
      </c>
    </row>
    <row r="1121" spans="1:4" customFormat="1" hidden="1" x14ac:dyDescent="0.35">
      <c r="A1121" s="1">
        <v>43855</v>
      </c>
      <c r="B1121">
        <v>22.6</v>
      </c>
      <c r="C1121">
        <v>15.4</v>
      </c>
      <c r="D1121">
        <v>31.3</v>
      </c>
    </row>
    <row r="1122" spans="1:4" customFormat="1" hidden="1" x14ac:dyDescent="0.35">
      <c r="A1122" s="1">
        <v>43856</v>
      </c>
      <c r="B1122">
        <v>23.4</v>
      </c>
      <c r="C1122">
        <v>15.5</v>
      </c>
      <c r="D1122">
        <v>31.7</v>
      </c>
    </row>
    <row r="1123" spans="1:4" customFormat="1" hidden="1" x14ac:dyDescent="0.35">
      <c r="A1123" s="1">
        <v>43857</v>
      </c>
      <c r="B1123">
        <v>23.9</v>
      </c>
      <c r="C1123">
        <v>15.9</v>
      </c>
      <c r="D1123">
        <v>32.700000000000003</v>
      </c>
    </row>
    <row r="1124" spans="1:4" customFormat="1" hidden="1" x14ac:dyDescent="0.35">
      <c r="A1124" s="1">
        <v>43858</v>
      </c>
      <c r="B1124">
        <v>23.9</v>
      </c>
      <c r="C1124">
        <v>19.100000000000001</v>
      </c>
      <c r="D1124">
        <v>31.8</v>
      </c>
    </row>
    <row r="1125" spans="1:4" customFormat="1" hidden="1" x14ac:dyDescent="0.35">
      <c r="A1125" s="1">
        <v>43859</v>
      </c>
      <c r="B1125">
        <v>24.2</v>
      </c>
      <c r="C1125">
        <v>18.3</v>
      </c>
      <c r="D1125">
        <v>31.6</v>
      </c>
    </row>
    <row r="1126" spans="1:4" customFormat="1" hidden="1" x14ac:dyDescent="0.35">
      <c r="A1126" s="1">
        <v>43860</v>
      </c>
      <c r="B1126">
        <v>24.8</v>
      </c>
      <c r="C1126">
        <v>17.5</v>
      </c>
      <c r="D1126">
        <v>32</v>
      </c>
    </row>
    <row r="1127" spans="1:4" customFormat="1" hidden="1" x14ac:dyDescent="0.35">
      <c r="A1127" s="1">
        <v>43861</v>
      </c>
      <c r="B1127">
        <v>25.1</v>
      </c>
      <c r="C1127">
        <v>19</v>
      </c>
      <c r="D1127">
        <v>33.4</v>
      </c>
    </row>
    <row r="1128" spans="1:4" customFormat="1" hidden="1" x14ac:dyDescent="0.35">
      <c r="A1128" s="1">
        <v>43862</v>
      </c>
      <c r="B1128">
        <v>23.4</v>
      </c>
      <c r="C1128">
        <v>18.8</v>
      </c>
      <c r="D1128">
        <v>32.700000000000003</v>
      </c>
    </row>
    <row r="1129" spans="1:4" customFormat="1" hidden="1" x14ac:dyDescent="0.35">
      <c r="A1129" s="1">
        <v>43863</v>
      </c>
      <c r="B1129">
        <v>22.9</v>
      </c>
      <c r="C1129">
        <v>17.399999999999999</v>
      </c>
      <c r="D1129">
        <v>30.5</v>
      </c>
    </row>
    <row r="1130" spans="1:4" customFormat="1" hidden="1" x14ac:dyDescent="0.35">
      <c r="A1130" s="1">
        <v>43864</v>
      </c>
      <c r="B1130">
        <v>23.3</v>
      </c>
      <c r="C1130">
        <v>17.2</v>
      </c>
      <c r="D1130">
        <v>29.2</v>
      </c>
    </row>
    <row r="1131" spans="1:4" customFormat="1" hidden="1" x14ac:dyDescent="0.35">
      <c r="A1131" s="1">
        <v>43865</v>
      </c>
      <c r="B1131">
        <v>23.5</v>
      </c>
      <c r="C1131">
        <v>16</v>
      </c>
      <c r="D1131">
        <v>31</v>
      </c>
    </row>
    <row r="1132" spans="1:4" customFormat="1" hidden="1" x14ac:dyDescent="0.35">
      <c r="A1132" s="1">
        <v>43866</v>
      </c>
      <c r="B1132">
        <v>23.7</v>
      </c>
      <c r="C1132">
        <v>18.5</v>
      </c>
      <c r="D1132">
        <v>30.4</v>
      </c>
    </row>
    <row r="1133" spans="1:4" customFormat="1" hidden="1" x14ac:dyDescent="0.35">
      <c r="A1133" s="1">
        <v>43867</v>
      </c>
      <c r="B1133">
        <v>24</v>
      </c>
      <c r="C1133">
        <v>17.7</v>
      </c>
      <c r="D1133">
        <v>30.3</v>
      </c>
    </row>
    <row r="1134" spans="1:4" customFormat="1" hidden="1" x14ac:dyDescent="0.35">
      <c r="A1134" s="1">
        <v>43868</v>
      </c>
      <c r="B1134">
        <v>23.7</v>
      </c>
      <c r="C1134">
        <v>18</v>
      </c>
      <c r="D1134">
        <v>31</v>
      </c>
    </row>
    <row r="1135" spans="1:4" customFormat="1" hidden="1" x14ac:dyDescent="0.35">
      <c r="A1135" s="1">
        <v>43869</v>
      </c>
      <c r="B1135">
        <v>24.4</v>
      </c>
      <c r="C1135">
        <v>19</v>
      </c>
      <c r="D1135">
        <v>30.8</v>
      </c>
    </row>
    <row r="1136" spans="1:4" customFormat="1" hidden="1" x14ac:dyDescent="0.35">
      <c r="A1136" s="1">
        <v>43870</v>
      </c>
      <c r="B1136">
        <v>23.8</v>
      </c>
      <c r="C1136">
        <v>18.2</v>
      </c>
      <c r="D1136">
        <v>31.6</v>
      </c>
    </row>
    <row r="1137" spans="1:4" customFormat="1" hidden="1" x14ac:dyDescent="0.35">
      <c r="A1137" s="1">
        <v>43871</v>
      </c>
      <c r="B1137">
        <v>23.2</v>
      </c>
      <c r="C1137">
        <v>18.8</v>
      </c>
      <c r="D1137">
        <v>30.4</v>
      </c>
    </row>
    <row r="1138" spans="1:4" customFormat="1" hidden="1" x14ac:dyDescent="0.35">
      <c r="A1138" s="1">
        <v>43872</v>
      </c>
      <c r="B1138">
        <v>23.2</v>
      </c>
      <c r="C1138">
        <v>16.399999999999999</v>
      </c>
      <c r="D1138">
        <v>29.3</v>
      </c>
    </row>
    <row r="1139" spans="1:4" customFormat="1" hidden="1" x14ac:dyDescent="0.35">
      <c r="A1139" s="1">
        <v>43873</v>
      </c>
      <c r="B1139">
        <v>23.3</v>
      </c>
      <c r="C1139">
        <v>17.399999999999999</v>
      </c>
      <c r="D1139">
        <v>30.4</v>
      </c>
    </row>
    <row r="1140" spans="1:4" customFormat="1" hidden="1" x14ac:dyDescent="0.35">
      <c r="A1140" s="1">
        <v>43874</v>
      </c>
      <c r="B1140">
        <v>24.5</v>
      </c>
      <c r="C1140">
        <v>18.600000000000001</v>
      </c>
      <c r="D1140">
        <v>29.2</v>
      </c>
    </row>
    <row r="1141" spans="1:4" customFormat="1" hidden="1" x14ac:dyDescent="0.35">
      <c r="A1141" s="1">
        <v>43875</v>
      </c>
      <c r="B1141">
        <v>24.7</v>
      </c>
      <c r="C1141">
        <v>18</v>
      </c>
      <c r="D1141">
        <v>32.200000000000003</v>
      </c>
    </row>
    <row r="1142" spans="1:4" customFormat="1" hidden="1" x14ac:dyDescent="0.35">
      <c r="A1142" s="1">
        <v>43876</v>
      </c>
      <c r="B1142">
        <v>25.2</v>
      </c>
      <c r="C1142">
        <v>17.600000000000001</v>
      </c>
      <c r="D1142">
        <v>32.299999999999997</v>
      </c>
    </row>
    <row r="1143" spans="1:4" customFormat="1" hidden="1" x14ac:dyDescent="0.35">
      <c r="A1143" s="1">
        <v>43877</v>
      </c>
      <c r="B1143">
        <v>24.8</v>
      </c>
      <c r="C1143">
        <v>17.5</v>
      </c>
      <c r="D1143">
        <v>33.1</v>
      </c>
    </row>
    <row r="1144" spans="1:4" customFormat="1" hidden="1" x14ac:dyDescent="0.35">
      <c r="A1144" s="1">
        <v>43878</v>
      </c>
      <c r="B1144">
        <v>23.9</v>
      </c>
      <c r="C1144">
        <v>17.2</v>
      </c>
      <c r="D1144">
        <v>32.6</v>
      </c>
    </row>
    <row r="1145" spans="1:4" customFormat="1" hidden="1" x14ac:dyDescent="0.35">
      <c r="A1145" s="1">
        <v>43879</v>
      </c>
      <c r="B1145">
        <v>23.9</v>
      </c>
      <c r="C1145">
        <v>17</v>
      </c>
      <c r="D1145">
        <v>32.4</v>
      </c>
    </row>
    <row r="1146" spans="1:4" customFormat="1" hidden="1" x14ac:dyDescent="0.35">
      <c r="A1146" s="1">
        <v>43880</v>
      </c>
      <c r="B1146">
        <v>23.8</v>
      </c>
      <c r="C1146">
        <v>17.600000000000001</v>
      </c>
      <c r="D1146">
        <v>32.6</v>
      </c>
    </row>
    <row r="1147" spans="1:4" customFormat="1" hidden="1" x14ac:dyDescent="0.35">
      <c r="A1147" s="1">
        <v>43881</v>
      </c>
      <c r="B1147">
        <v>23.7</v>
      </c>
      <c r="C1147">
        <v>16.5</v>
      </c>
      <c r="D1147">
        <v>31.5</v>
      </c>
    </row>
    <row r="1148" spans="1:4" customFormat="1" hidden="1" x14ac:dyDescent="0.35">
      <c r="A1148" s="1">
        <v>43882</v>
      </c>
      <c r="B1148">
        <v>24</v>
      </c>
      <c r="C1148">
        <v>16.600000000000001</v>
      </c>
      <c r="D1148">
        <v>32.6</v>
      </c>
    </row>
    <row r="1149" spans="1:4" customFormat="1" hidden="1" x14ac:dyDescent="0.35">
      <c r="A1149" s="1">
        <v>43883</v>
      </c>
      <c r="B1149">
        <v>24.1</v>
      </c>
      <c r="C1149">
        <v>18.399999999999999</v>
      </c>
      <c r="D1149">
        <v>32.200000000000003</v>
      </c>
    </row>
    <row r="1150" spans="1:4" customFormat="1" hidden="1" x14ac:dyDescent="0.35">
      <c r="A1150" s="1">
        <v>43884</v>
      </c>
      <c r="B1150">
        <v>23.7</v>
      </c>
      <c r="C1150">
        <v>18</v>
      </c>
      <c r="D1150">
        <v>31.4</v>
      </c>
    </row>
    <row r="1151" spans="1:4" customFormat="1" hidden="1" x14ac:dyDescent="0.35">
      <c r="A1151" s="1">
        <v>43885</v>
      </c>
      <c r="B1151">
        <v>23.3</v>
      </c>
      <c r="C1151">
        <v>18.600000000000001</v>
      </c>
      <c r="D1151">
        <v>31</v>
      </c>
    </row>
    <row r="1152" spans="1:4" customFormat="1" hidden="1" x14ac:dyDescent="0.35">
      <c r="A1152" s="1">
        <v>43886</v>
      </c>
      <c r="B1152">
        <v>25</v>
      </c>
      <c r="C1152">
        <v>18</v>
      </c>
      <c r="D1152">
        <v>31.8</v>
      </c>
    </row>
    <row r="1153" spans="1:19" hidden="1" x14ac:dyDescent="0.35">
      <c r="A1153" s="1">
        <v>43887</v>
      </c>
      <c r="B1153">
        <v>25.4</v>
      </c>
      <c r="C1153">
        <v>19.399999999999999</v>
      </c>
      <c r="D1153">
        <v>32.5</v>
      </c>
      <c r="E1153"/>
      <c r="I1153"/>
    </row>
    <row r="1154" spans="1:19" hidden="1" x14ac:dyDescent="0.35">
      <c r="A1154" s="1">
        <v>43888</v>
      </c>
      <c r="B1154">
        <v>25.2</v>
      </c>
      <c r="C1154">
        <v>20.399999999999999</v>
      </c>
      <c r="D1154">
        <v>32.4</v>
      </c>
      <c r="E1154"/>
      <c r="I1154"/>
    </row>
    <row r="1155" spans="1:19" hidden="1" x14ac:dyDescent="0.35">
      <c r="A1155" s="1">
        <v>43889</v>
      </c>
      <c r="B1155">
        <v>24.5</v>
      </c>
      <c r="C1155">
        <v>19.2</v>
      </c>
      <c r="D1155">
        <v>31.6</v>
      </c>
      <c r="E1155"/>
      <c r="I1155"/>
    </row>
    <row r="1156" spans="1:19" hidden="1" x14ac:dyDescent="0.35">
      <c r="A1156" s="1">
        <v>43890</v>
      </c>
      <c r="B1156">
        <v>25.2</v>
      </c>
      <c r="C1156">
        <v>19.5</v>
      </c>
      <c r="D1156">
        <v>30.8</v>
      </c>
      <c r="E1156"/>
      <c r="I1156"/>
    </row>
    <row r="1157" spans="1:19" hidden="1" x14ac:dyDescent="0.35">
      <c r="A1157" s="1">
        <v>43891</v>
      </c>
      <c r="B1157">
        <v>25.5</v>
      </c>
      <c r="C1157">
        <v>20.2</v>
      </c>
      <c r="D1157">
        <v>32.799999999999997</v>
      </c>
      <c r="E1157"/>
      <c r="I1157"/>
    </row>
    <row r="1158" spans="1:19" hidden="1" x14ac:dyDescent="0.35">
      <c r="A1158" s="1">
        <v>43892</v>
      </c>
      <c r="B1158">
        <v>24.5</v>
      </c>
      <c r="C1158">
        <v>20.399999999999999</v>
      </c>
      <c r="D1158">
        <v>32.299999999999997</v>
      </c>
      <c r="E1158"/>
      <c r="I1158"/>
    </row>
    <row r="1159" spans="1:19" hidden="1" x14ac:dyDescent="0.35">
      <c r="A1159" s="1">
        <v>43893</v>
      </c>
      <c r="B1159" s="4">
        <v>25.8</v>
      </c>
      <c r="C1159">
        <v>20</v>
      </c>
      <c r="D1159">
        <v>30.6</v>
      </c>
      <c r="E1159" s="4">
        <v>0</v>
      </c>
      <c r="F1159" t="str">
        <f t="shared" ref="F1159:F1161" si="594">IF(OR(B1159 &lt; $N$30, B1159 &gt; $N$67), "Outlier", "OK")</f>
        <v>OK</v>
      </c>
      <c r="G1159" t="str">
        <f t="shared" ref="G1159:G1161" si="595">IF(OR(C1159 &lt; $O$30, C1159 &gt; $O$67), "Outlier", "OK")</f>
        <v>OK</v>
      </c>
      <c r="H1159" t="str">
        <f t="shared" ref="H1159:H1161" si="596">IF(OR(D1159 &lt; $P$30, D1159 &gt; $P$67), "Outlier", "OK")</f>
        <v>OK</v>
      </c>
      <c r="I1159" s="4">
        <f t="shared" ref="I1159:I1161" si="597">YEAR(A1159)</f>
        <v>2020</v>
      </c>
    </row>
    <row r="1160" spans="1:19" x14ac:dyDescent="0.35">
      <c r="A1160" s="1">
        <v>43894</v>
      </c>
      <c r="B1160" s="4">
        <v>26.4</v>
      </c>
      <c r="C1160">
        <v>21.4</v>
      </c>
      <c r="D1160">
        <v>33</v>
      </c>
      <c r="E1160" s="4">
        <v>1</v>
      </c>
      <c r="F1160" t="str">
        <f t="shared" si="594"/>
        <v>OK</v>
      </c>
      <c r="G1160" t="str">
        <f t="shared" si="595"/>
        <v>OK</v>
      </c>
      <c r="H1160" t="str">
        <f t="shared" si="596"/>
        <v>OK</v>
      </c>
      <c r="I1160" s="4">
        <f t="shared" si="597"/>
        <v>2020</v>
      </c>
      <c r="J1160">
        <f>( 377.84*B1160 + 3903.1)/550</f>
        <v>25.232865454545454</v>
      </c>
      <c r="K1160">
        <f xml:space="preserve"> (59.02*E1160 + 1383.4)/365</f>
        <v>3.9518356164383563</v>
      </c>
      <c r="R1160" s="4">
        <f>J1160-B1160</f>
        <v>-1.1671345454545445</v>
      </c>
      <c r="S1160" s="4">
        <f>K1160-E1160</f>
        <v>2.9518356164383563</v>
      </c>
    </row>
    <row r="1161" spans="1:19" hidden="1" x14ac:dyDescent="0.35">
      <c r="A1161" s="1">
        <v>43895</v>
      </c>
      <c r="B1161" s="4">
        <v>27.4</v>
      </c>
      <c r="C1161">
        <v>21.6</v>
      </c>
      <c r="D1161">
        <v>32.4</v>
      </c>
      <c r="E1161" s="4">
        <v>0</v>
      </c>
      <c r="F1161" t="str">
        <f t="shared" si="594"/>
        <v>OK</v>
      </c>
      <c r="G1161" t="str">
        <f t="shared" si="595"/>
        <v>OK</v>
      </c>
      <c r="H1161" t="str">
        <f t="shared" si="596"/>
        <v>OK</v>
      </c>
      <c r="I1161" s="4">
        <f t="shared" si="597"/>
        <v>2020</v>
      </c>
    </row>
    <row r="1162" spans="1:19" hidden="1" x14ac:dyDescent="0.35">
      <c r="A1162" s="1">
        <v>43896</v>
      </c>
      <c r="B1162">
        <v>26.6</v>
      </c>
      <c r="C1162">
        <v>22.4</v>
      </c>
      <c r="D1162">
        <v>33.4</v>
      </c>
      <c r="E1162"/>
      <c r="I1162"/>
    </row>
    <row r="1163" spans="1:19" x14ac:dyDescent="0.35">
      <c r="A1163" s="1">
        <v>43897</v>
      </c>
      <c r="B1163" s="4">
        <v>26.1</v>
      </c>
      <c r="C1163">
        <v>22.3</v>
      </c>
      <c r="D1163">
        <v>33.4</v>
      </c>
      <c r="E1163" s="4">
        <v>1</v>
      </c>
      <c r="F1163" t="str">
        <f t="shared" ref="F1163:F1164" si="598">IF(OR(B1163 &lt; $N$30, B1163 &gt; $N$67), "Outlier", "OK")</f>
        <v>OK</v>
      </c>
      <c r="G1163" t="str">
        <f t="shared" ref="G1163:G1164" si="599">IF(OR(C1163 &lt; $O$30, C1163 &gt; $O$67), "Outlier", "OK")</f>
        <v>OK</v>
      </c>
      <c r="H1163" t="str">
        <f t="shared" ref="H1163:H1164" si="600">IF(OR(D1163 &lt; $P$30, D1163 &gt; $P$67), "Outlier", "OK")</f>
        <v>OK</v>
      </c>
      <c r="I1163" s="4">
        <f t="shared" ref="I1163:I1164" si="601">YEAR(A1163)</f>
        <v>2020</v>
      </c>
      <c r="J1163">
        <f>( 377.84*B1163 + 3903.1)/550</f>
        <v>25.02677090909091</v>
      </c>
      <c r="K1163">
        <f xml:space="preserve"> (59.02*E1163 + 1383.4)/365</f>
        <v>3.9518356164383563</v>
      </c>
      <c r="R1163" s="4">
        <f>J1163-B1163</f>
        <v>-1.0732290909090914</v>
      </c>
      <c r="S1163" s="4">
        <f>K1163-E1163</f>
        <v>2.9518356164383563</v>
      </c>
    </row>
    <row r="1164" spans="1:19" hidden="1" x14ac:dyDescent="0.35">
      <c r="A1164" s="1">
        <v>43898</v>
      </c>
      <c r="B1164" s="4">
        <v>26.4</v>
      </c>
      <c r="C1164">
        <v>21.2</v>
      </c>
      <c r="D1164">
        <v>32.299999999999997</v>
      </c>
      <c r="E1164" s="4">
        <v>0</v>
      </c>
      <c r="F1164" t="str">
        <f t="shared" si="598"/>
        <v>OK</v>
      </c>
      <c r="G1164" t="str">
        <f t="shared" si="599"/>
        <v>OK</v>
      </c>
      <c r="H1164" t="str">
        <f t="shared" si="600"/>
        <v>OK</v>
      </c>
      <c r="I1164" s="4">
        <f t="shared" si="601"/>
        <v>2020</v>
      </c>
    </row>
    <row r="1165" spans="1:19" hidden="1" x14ac:dyDescent="0.35">
      <c r="A1165" s="1">
        <v>43899</v>
      </c>
      <c r="B1165">
        <v>26.4</v>
      </c>
      <c r="C1165">
        <v>21.6</v>
      </c>
      <c r="D1165">
        <v>33.299999999999997</v>
      </c>
      <c r="E1165"/>
      <c r="I1165"/>
    </row>
    <row r="1166" spans="1:19" hidden="1" x14ac:dyDescent="0.35">
      <c r="A1166" s="1">
        <v>43900</v>
      </c>
      <c r="B1166">
        <v>27</v>
      </c>
      <c r="C1166">
        <v>22.4</v>
      </c>
      <c r="D1166">
        <v>32.9</v>
      </c>
      <c r="E1166"/>
      <c r="I1166"/>
    </row>
    <row r="1167" spans="1:19" hidden="1" x14ac:dyDescent="0.35">
      <c r="A1167" s="1">
        <v>43901</v>
      </c>
      <c r="B1167">
        <v>26.9</v>
      </c>
      <c r="C1167">
        <v>22.2</v>
      </c>
      <c r="D1167">
        <v>34</v>
      </c>
      <c r="E1167"/>
      <c r="I1167"/>
    </row>
    <row r="1168" spans="1:19" hidden="1" x14ac:dyDescent="0.35">
      <c r="A1168" s="1">
        <v>43902</v>
      </c>
      <c r="B1168">
        <v>26.3</v>
      </c>
      <c r="C1168">
        <v>19.600000000000001</v>
      </c>
      <c r="D1168">
        <v>33.6</v>
      </c>
      <c r="E1168"/>
      <c r="I1168"/>
    </row>
    <row r="1169" spans="1:19" hidden="1" x14ac:dyDescent="0.35">
      <c r="A1169" s="1">
        <v>43903</v>
      </c>
      <c r="B1169">
        <v>26.4</v>
      </c>
      <c r="C1169">
        <v>21</v>
      </c>
      <c r="D1169">
        <v>34.4</v>
      </c>
      <c r="E1169"/>
      <c r="I1169"/>
    </row>
    <row r="1170" spans="1:19" hidden="1" x14ac:dyDescent="0.35">
      <c r="A1170" s="1">
        <v>43904</v>
      </c>
      <c r="B1170">
        <v>26.9</v>
      </c>
      <c r="C1170">
        <v>20.399999999999999</v>
      </c>
      <c r="D1170">
        <v>33.799999999999997</v>
      </c>
      <c r="E1170"/>
      <c r="I1170"/>
    </row>
    <row r="1171" spans="1:19" hidden="1" x14ac:dyDescent="0.35">
      <c r="A1171" s="1">
        <v>43905</v>
      </c>
      <c r="B1171">
        <v>26.6</v>
      </c>
      <c r="C1171">
        <v>20.5</v>
      </c>
      <c r="D1171">
        <v>34.4</v>
      </c>
      <c r="E1171"/>
      <c r="I1171"/>
    </row>
    <row r="1172" spans="1:19" hidden="1" x14ac:dyDescent="0.35">
      <c r="A1172" s="1">
        <v>43906</v>
      </c>
      <c r="B1172">
        <v>26.6</v>
      </c>
      <c r="C1172">
        <v>19.3</v>
      </c>
      <c r="D1172">
        <v>34.5</v>
      </c>
      <c r="E1172"/>
      <c r="I1172"/>
    </row>
    <row r="1173" spans="1:19" hidden="1" x14ac:dyDescent="0.35">
      <c r="A1173" s="1">
        <v>43907</v>
      </c>
      <c r="B1173">
        <v>26.3</v>
      </c>
      <c r="C1173">
        <v>20.2</v>
      </c>
      <c r="D1173">
        <v>34.200000000000003</v>
      </c>
      <c r="E1173"/>
      <c r="I1173"/>
    </row>
    <row r="1174" spans="1:19" hidden="1" x14ac:dyDescent="0.35">
      <c r="A1174" s="1">
        <v>43908</v>
      </c>
      <c r="B1174">
        <v>27.2</v>
      </c>
      <c r="C1174">
        <v>19.399999999999999</v>
      </c>
      <c r="D1174">
        <v>32.799999999999997</v>
      </c>
      <c r="E1174"/>
      <c r="I1174"/>
    </row>
    <row r="1175" spans="1:19" hidden="1" x14ac:dyDescent="0.35">
      <c r="A1175" s="1">
        <v>43909</v>
      </c>
      <c r="B1175">
        <v>27.6</v>
      </c>
      <c r="C1175">
        <v>20.9</v>
      </c>
      <c r="D1175">
        <v>35.200000000000003</v>
      </c>
      <c r="E1175"/>
      <c r="I1175"/>
    </row>
    <row r="1176" spans="1:19" hidden="1" x14ac:dyDescent="0.35">
      <c r="A1176" s="1">
        <v>43910</v>
      </c>
      <c r="B1176">
        <v>25.4</v>
      </c>
      <c r="C1176">
        <v>21.6</v>
      </c>
      <c r="D1176">
        <v>35.200000000000003</v>
      </c>
      <c r="E1176"/>
      <c r="I1176"/>
    </row>
    <row r="1177" spans="1:19" x14ac:dyDescent="0.35">
      <c r="A1177" s="1">
        <v>43911</v>
      </c>
      <c r="B1177" s="4">
        <v>27.4</v>
      </c>
      <c r="C1177">
        <v>22</v>
      </c>
      <c r="D1177">
        <v>34.1</v>
      </c>
      <c r="E1177" s="4">
        <v>1</v>
      </c>
      <c r="F1177" t="str">
        <f t="shared" ref="F1177:F1181" si="602">IF(OR(B1177 &lt; $N$30, B1177 &gt; $N$67), "Outlier", "OK")</f>
        <v>OK</v>
      </c>
      <c r="G1177" t="str">
        <f t="shared" ref="G1177:G1181" si="603">IF(OR(C1177 &lt; $O$30, C1177 &gt; $O$67), "Outlier", "OK")</f>
        <v>OK</v>
      </c>
      <c r="H1177" t="str">
        <f t="shared" ref="H1177:H1181" si="604">IF(OR(D1177 &lt; $P$30, D1177 &gt; $P$67), "Outlier", "OK")</f>
        <v>OK</v>
      </c>
      <c r="I1177" s="4">
        <f t="shared" ref="I1177:I1181" si="605">YEAR(A1177)</f>
        <v>2020</v>
      </c>
      <c r="J1177">
        <f>( 377.84*B1177 + 3903.1)/550</f>
        <v>25.919847272727271</v>
      </c>
      <c r="K1177">
        <f xml:space="preserve"> (59.02*E1177 + 1383.4)/365</f>
        <v>3.9518356164383563</v>
      </c>
      <c r="R1177" s="4">
        <f>J1177-B1177</f>
        <v>-1.4801527272727277</v>
      </c>
      <c r="S1177" s="4">
        <f>K1177-E1177</f>
        <v>2.9518356164383563</v>
      </c>
    </row>
    <row r="1178" spans="1:19" hidden="1" x14ac:dyDescent="0.35">
      <c r="A1178" s="1">
        <v>43912</v>
      </c>
      <c r="B1178" s="4">
        <v>27.8</v>
      </c>
      <c r="C1178">
        <v>22.8</v>
      </c>
      <c r="D1178">
        <v>35.4</v>
      </c>
      <c r="E1178" s="4">
        <v>0</v>
      </c>
      <c r="F1178" t="str">
        <f t="shared" si="602"/>
        <v>OK</v>
      </c>
      <c r="G1178" t="str">
        <f t="shared" si="603"/>
        <v>OK</v>
      </c>
      <c r="H1178" t="str">
        <f t="shared" si="604"/>
        <v>OK</v>
      </c>
      <c r="I1178" s="4">
        <f t="shared" si="605"/>
        <v>2020</v>
      </c>
    </row>
    <row r="1179" spans="1:19" hidden="1" x14ac:dyDescent="0.35">
      <c r="A1179" s="1">
        <v>43913</v>
      </c>
      <c r="B1179" s="4">
        <v>25.3</v>
      </c>
      <c r="C1179">
        <v>22.8</v>
      </c>
      <c r="D1179">
        <v>34.4</v>
      </c>
      <c r="E1179" s="4">
        <v>0</v>
      </c>
      <c r="F1179" t="str">
        <f t="shared" si="602"/>
        <v>OK</v>
      </c>
      <c r="G1179" t="str">
        <f t="shared" si="603"/>
        <v>OK</v>
      </c>
      <c r="H1179" t="str">
        <f t="shared" si="604"/>
        <v>OK</v>
      </c>
      <c r="I1179" s="4">
        <f t="shared" si="605"/>
        <v>2020</v>
      </c>
    </row>
    <row r="1180" spans="1:19" x14ac:dyDescent="0.35">
      <c r="A1180" s="1">
        <v>43914</v>
      </c>
      <c r="B1180" s="4">
        <v>27.4</v>
      </c>
      <c r="C1180">
        <v>20.8</v>
      </c>
      <c r="D1180">
        <v>34.4</v>
      </c>
      <c r="E1180" s="4">
        <v>5.0999999999999996</v>
      </c>
      <c r="F1180" t="str">
        <f t="shared" si="602"/>
        <v>OK</v>
      </c>
      <c r="G1180" t="str">
        <f t="shared" si="603"/>
        <v>OK</v>
      </c>
      <c r="H1180" t="str">
        <f t="shared" si="604"/>
        <v>OK</v>
      </c>
      <c r="I1180" s="4">
        <f t="shared" si="605"/>
        <v>2020</v>
      </c>
      <c r="J1180">
        <f>( 377.84*B1180 + 3903.1)/550</f>
        <v>25.919847272727271</v>
      </c>
      <c r="K1180">
        <f xml:space="preserve"> (59.02*E1180 + 1383.4)/365</f>
        <v>4.6147999999999998</v>
      </c>
      <c r="R1180" s="4">
        <f>J1180-B1180</f>
        <v>-1.4801527272727277</v>
      </c>
      <c r="S1180" s="4">
        <f>K1180-E1180</f>
        <v>-0.48519999999999985</v>
      </c>
    </row>
    <row r="1181" spans="1:19" hidden="1" x14ac:dyDescent="0.35">
      <c r="A1181" s="1">
        <v>43915</v>
      </c>
      <c r="B1181" s="4">
        <v>26.8</v>
      </c>
      <c r="C1181">
        <v>21</v>
      </c>
      <c r="D1181">
        <v>34.700000000000003</v>
      </c>
      <c r="E1181" s="4">
        <v>0</v>
      </c>
      <c r="F1181" t="str">
        <f t="shared" si="602"/>
        <v>OK</v>
      </c>
      <c r="G1181" t="str">
        <f t="shared" si="603"/>
        <v>OK</v>
      </c>
      <c r="H1181" t="str">
        <f t="shared" si="604"/>
        <v>OK</v>
      </c>
      <c r="I1181" s="4">
        <f t="shared" si="605"/>
        <v>2020</v>
      </c>
    </row>
    <row r="1182" spans="1:19" hidden="1" x14ac:dyDescent="0.35">
      <c r="A1182" s="1">
        <v>43916</v>
      </c>
      <c r="B1182">
        <v>26.9</v>
      </c>
      <c r="C1182">
        <v>20.6</v>
      </c>
      <c r="D1182">
        <v>33.799999999999997</v>
      </c>
      <c r="E1182"/>
      <c r="I1182"/>
    </row>
    <row r="1183" spans="1:19" hidden="1" x14ac:dyDescent="0.35">
      <c r="A1183" s="1">
        <v>43917</v>
      </c>
      <c r="B1183">
        <v>26.4</v>
      </c>
      <c r="C1183">
        <v>19.600000000000001</v>
      </c>
      <c r="D1183">
        <v>33.799999999999997</v>
      </c>
      <c r="E1183"/>
      <c r="I1183"/>
    </row>
    <row r="1184" spans="1:19" hidden="1" x14ac:dyDescent="0.35">
      <c r="A1184" s="1">
        <v>43918</v>
      </c>
      <c r="B1184">
        <v>26.9</v>
      </c>
      <c r="C1184">
        <v>19.2</v>
      </c>
      <c r="D1184">
        <v>34</v>
      </c>
      <c r="E1184"/>
      <c r="I1184"/>
    </row>
    <row r="1185" spans="1:19" hidden="1" x14ac:dyDescent="0.35">
      <c r="A1185" s="1">
        <v>43919</v>
      </c>
      <c r="B1185">
        <v>27.8</v>
      </c>
      <c r="C1185">
        <v>19.399999999999999</v>
      </c>
      <c r="D1185">
        <v>35.200000000000003</v>
      </c>
      <c r="E1185"/>
      <c r="I1185"/>
    </row>
    <row r="1186" spans="1:19" hidden="1" x14ac:dyDescent="0.35">
      <c r="A1186" s="1">
        <v>43920</v>
      </c>
      <c r="B1186">
        <v>27.8</v>
      </c>
      <c r="C1186">
        <v>21.4</v>
      </c>
      <c r="D1186">
        <v>35.6</v>
      </c>
      <c r="E1186"/>
      <c r="I1186"/>
    </row>
    <row r="1187" spans="1:19" hidden="1" x14ac:dyDescent="0.35">
      <c r="A1187" s="1">
        <v>43921</v>
      </c>
      <c r="B1187">
        <v>27.8</v>
      </c>
      <c r="C1187">
        <v>19.600000000000001</v>
      </c>
      <c r="D1187">
        <v>36.1</v>
      </c>
      <c r="E1187"/>
      <c r="I1187"/>
    </row>
    <row r="1188" spans="1:19" hidden="1" x14ac:dyDescent="0.35">
      <c r="A1188" s="1">
        <v>43922</v>
      </c>
      <c r="B1188">
        <v>28.8</v>
      </c>
      <c r="C1188">
        <v>21</v>
      </c>
      <c r="D1188">
        <v>35.4</v>
      </c>
      <c r="E1188"/>
      <c r="I1188"/>
    </row>
    <row r="1189" spans="1:19" hidden="1" x14ac:dyDescent="0.35">
      <c r="A1189" s="1">
        <v>43923</v>
      </c>
      <c r="B1189">
        <v>28.8</v>
      </c>
      <c r="C1189">
        <v>22</v>
      </c>
      <c r="D1189">
        <v>36</v>
      </c>
      <c r="E1189"/>
      <c r="I1189"/>
    </row>
    <row r="1190" spans="1:19" hidden="1" x14ac:dyDescent="0.35">
      <c r="A1190" s="1">
        <v>43924</v>
      </c>
      <c r="B1190">
        <v>28.5</v>
      </c>
      <c r="C1190">
        <v>23</v>
      </c>
      <c r="D1190">
        <v>35.799999999999997</v>
      </c>
      <c r="E1190"/>
      <c r="I1190"/>
    </row>
    <row r="1191" spans="1:19" hidden="1" x14ac:dyDescent="0.35">
      <c r="A1191" s="1">
        <v>43925</v>
      </c>
      <c r="B1191">
        <v>28.4</v>
      </c>
      <c r="C1191">
        <v>22.1</v>
      </c>
      <c r="D1191">
        <v>35.6</v>
      </c>
      <c r="E1191"/>
      <c r="I1191"/>
    </row>
    <row r="1192" spans="1:19" hidden="1" x14ac:dyDescent="0.35">
      <c r="A1192" s="1">
        <v>43926</v>
      </c>
      <c r="B1192">
        <v>28.8</v>
      </c>
      <c r="C1192">
        <v>22.3</v>
      </c>
      <c r="D1192">
        <v>36</v>
      </c>
      <c r="E1192"/>
      <c r="I1192"/>
    </row>
    <row r="1193" spans="1:19" hidden="1" x14ac:dyDescent="0.35">
      <c r="A1193" s="1">
        <v>43927</v>
      </c>
      <c r="B1193" s="4">
        <v>27.7</v>
      </c>
      <c r="C1193">
        <v>21.8</v>
      </c>
      <c r="D1193">
        <v>36.4</v>
      </c>
      <c r="E1193" s="4">
        <v>0</v>
      </c>
      <c r="F1193" t="str">
        <f t="shared" ref="F1193:F1198" si="606">IF(OR(B1193 &lt; $N$30, B1193 &gt; $N$67), "Outlier", "OK")</f>
        <v>OK</v>
      </c>
      <c r="G1193" t="str">
        <f t="shared" ref="G1193:G1198" si="607">IF(OR(C1193 &lt; $O$30, C1193 &gt; $O$67), "Outlier", "OK")</f>
        <v>OK</v>
      </c>
      <c r="H1193" t="str">
        <f t="shared" ref="H1193:H1198" si="608">IF(OR(D1193 &lt; $P$30, D1193 &gt; $P$67), "Outlier", "OK")</f>
        <v>OK</v>
      </c>
      <c r="I1193" s="4">
        <f t="shared" ref="I1193:I1198" si="609">YEAR(A1193)</f>
        <v>2020</v>
      </c>
    </row>
    <row r="1194" spans="1:19" x14ac:dyDescent="0.35">
      <c r="A1194" s="1">
        <v>43928</v>
      </c>
      <c r="B1194" s="4">
        <v>25</v>
      </c>
      <c r="C1194">
        <v>21</v>
      </c>
      <c r="D1194">
        <v>35.6</v>
      </c>
      <c r="E1194" s="4">
        <v>30</v>
      </c>
      <c r="F1194" t="str">
        <f t="shared" si="606"/>
        <v>OK</v>
      </c>
      <c r="G1194" t="str">
        <f t="shared" si="607"/>
        <v>OK</v>
      </c>
      <c r="H1194" t="str">
        <f t="shared" si="608"/>
        <v>OK</v>
      </c>
      <c r="I1194" s="4">
        <f t="shared" si="609"/>
        <v>2020</v>
      </c>
      <c r="J1194">
        <f>( 377.84*B1194 + 3903.1)/550</f>
        <v>24.271090909090908</v>
      </c>
      <c r="K1194">
        <f xml:space="preserve"> (59.02*E1194 + 1383.4)/365</f>
        <v>8.6410958904109592</v>
      </c>
      <c r="R1194" s="4">
        <f>J1194-B1194</f>
        <v>-0.72890909090909162</v>
      </c>
      <c r="S1194" s="4">
        <f>K1194-E1194</f>
        <v>-21.358904109589041</v>
      </c>
    </row>
    <row r="1195" spans="1:19" hidden="1" x14ac:dyDescent="0.35">
      <c r="A1195" s="1">
        <v>43929</v>
      </c>
      <c r="B1195" s="4">
        <v>26.8</v>
      </c>
      <c r="C1195">
        <v>21</v>
      </c>
      <c r="D1195">
        <v>32.799999999999997</v>
      </c>
      <c r="E1195" s="4">
        <v>0</v>
      </c>
      <c r="F1195" t="str">
        <f t="shared" si="606"/>
        <v>OK</v>
      </c>
      <c r="G1195" t="str">
        <f t="shared" si="607"/>
        <v>OK</v>
      </c>
      <c r="H1195" t="str">
        <f t="shared" si="608"/>
        <v>OK</v>
      </c>
      <c r="I1195" s="4">
        <f t="shared" si="609"/>
        <v>2020</v>
      </c>
    </row>
    <row r="1196" spans="1:19" hidden="1" x14ac:dyDescent="0.35">
      <c r="A1196" s="1">
        <v>43930</v>
      </c>
      <c r="B1196" s="4">
        <v>24.9</v>
      </c>
      <c r="C1196">
        <v>19.8</v>
      </c>
      <c r="D1196">
        <v>33.700000000000003</v>
      </c>
      <c r="E1196" s="4">
        <v>0</v>
      </c>
      <c r="F1196" t="str">
        <f t="shared" si="606"/>
        <v>OK</v>
      </c>
      <c r="G1196" t="str">
        <f t="shared" si="607"/>
        <v>OK</v>
      </c>
      <c r="H1196" t="str">
        <f t="shared" si="608"/>
        <v>OK</v>
      </c>
      <c r="I1196" s="4">
        <f t="shared" si="609"/>
        <v>2020</v>
      </c>
    </row>
    <row r="1197" spans="1:19" x14ac:dyDescent="0.35">
      <c r="A1197" s="1">
        <v>43931</v>
      </c>
      <c r="B1197" s="4">
        <v>24.7</v>
      </c>
      <c r="C1197">
        <v>18.600000000000001</v>
      </c>
      <c r="D1197">
        <v>33.4</v>
      </c>
      <c r="E1197" s="4">
        <v>33.299999999999997</v>
      </c>
      <c r="F1197" t="str">
        <f t="shared" si="606"/>
        <v>OK</v>
      </c>
      <c r="G1197" t="str">
        <f t="shared" si="607"/>
        <v>OK</v>
      </c>
      <c r="H1197" t="str">
        <f t="shared" si="608"/>
        <v>OK</v>
      </c>
      <c r="I1197" s="4">
        <f t="shared" si="609"/>
        <v>2020</v>
      </c>
      <c r="J1197">
        <f>( 377.84*B1197 + 3903.1)/550</f>
        <v>24.064996363636364</v>
      </c>
      <c r="K1197">
        <f xml:space="preserve"> (59.02*E1197 + 1383.4)/365</f>
        <v>9.1747013698630138</v>
      </c>
      <c r="R1197" s="4">
        <f>J1197-B1197</f>
        <v>-0.63500363636363488</v>
      </c>
      <c r="S1197" s="4">
        <f>K1197-E1197</f>
        <v>-24.125298630136982</v>
      </c>
    </row>
    <row r="1198" spans="1:19" hidden="1" x14ac:dyDescent="0.35">
      <c r="A1198" s="1">
        <v>43932</v>
      </c>
      <c r="B1198" s="4">
        <v>26.6</v>
      </c>
      <c r="C1198">
        <v>21</v>
      </c>
      <c r="D1198">
        <v>31.8</v>
      </c>
      <c r="E1198" s="4">
        <v>0</v>
      </c>
      <c r="F1198" t="str">
        <f t="shared" si="606"/>
        <v>OK</v>
      </c>
      <c r="G1198" t="str">
        <f t="shared" si="607"/>
        <v>OK</v>
      </c>
      <c r="H1198" t="str">
        <f t="shared" si="608"/>
        <v>OK</v>
      </c>
      <c r="I1198" s="4">
        <f t="shared" si="609"/>
        <v>2020</v>
      </c>
    </row>
    <row r="1199" spans="1:19" hidden="1" x14ac:dyDescent="0.35">
      <c r="A1199" s="1">
        <v>43933</v>
      </c>
      <c r="B1199">
        <v>27.1</v>
      </c>
      <c r="C1199">
        <v>20.5</v>
      </c>
      <c r="D1199">
        <v>32.200000000000003</v>
      </c>
      <c r="E1199"/>
      <c r="I1199"/>
    </row>
    <row r="1200" spans="1:19" hidden="1" x14ac:dyDescent="0.35">
      <c r="A1200" s="1">
        <v>43934</v>
      </c>
      <c r="B1200">
        <v>27.6</v>
      </c>
      <c r="C1200">
        <v>20.5</v>
      </c>
      <c r="D1200">
        <v>34.799999999999997</v>
      </c>
      <c r="E1200"/>
      <c r="I1200"/>
    </row>
    <row r="1201" spans="1:19" hidden="1" x14ac:dyDescent="0.35">
      <c r="A1201" s="1">
        <v>43935</v>
      </c>
      <c r="B1201">
        <v>27.3</v>
      </c>
      <c r="C1201">
        <v>19.600000000000001</v>
      </c>
      <c r="D1201">
        <v>34.799999999999997</v>
      </c>
      <c r="E1201"/>
      <c r="I1201"/>
    </row>
    <row r="1202" spans="1:19" hidden="1" x14ac:dyDescent="0.35">
      <c r="A1202" s="1">
        <v>43936</v>
      </c>
      <c r="B1202">
        <v>27.7</v>
      </c>
      <c r="C1202">
        <v>20.8</v>
      </c>
      <c r="D1202">
        <v>34.6</v>
      </c>
      <c r="E1202"/>
      <c r="I1202"/>
    </row>
    <row r="1203" spans="1:19" hidden="1" x14ac:dyDescent="0.35">
      <c r="A1203" s="1">
        <v>43937</v>
      </c>
      <c r="B1203">
        <v>28</v>
      </c>
      <c r="C1203">
        <v>23</v>
      </c>
      <c r="D1203">
        <v>34.5</v>
      </c>
      <c r="E1203"/>
      <c r="I1203"/>
    </row>
    <row r="1204" spans="1:19" hidden="1" x14ac:dyDescent="0.35">
      <c r="A1204" s="1">
        <v>43938</v>
      </c>
      <c r="B1204">
        <v>28.3</v>
      </c>
      <c r="C1204">
        <v>23.5</v>
      </c>
      <c r="D1204">
        <v>34.9</v>
      </c>
      <c r="E1204"/>
      <c r="I1204"/>
    </row>
    <row r="1205" spans="1:19" hidden="1" x14ac:dyDescent="0.35">
      <c r="A1205" s="1">
        <v>43939</v>
      </c>
      <c r="B1205">
        <v>28.4</v>
      </c>
      <c r="C1205">
        <v>23.8</v>
      </c>
      <c r="D1205">
        <v>35.200000000000003</v>
      </c>
      <c r="E1205"/>
      <c r="I1205"/>
    </row>
    <row r="1206" spans="1:19" hidden="1" x14ac:dyDescent="0.35">
      <c r="A1206" s="1">
        <v>43940</v>
      </c>
      <c r="B1206">
        <v>28.2</v>
      </c>
      <c r="C1206">
        <v>24</v>
      </c>
      <c r="D1206">
        <v>34.4</v>
      </c>
      <c r="E1206"/>
      <c r="I1206"/>
    </row>
    <row r="1207" spans="1:19" hidden="1" x14ac:dyDescent="0.35">
      <c r="A1207" s="1">
        <v>43941</v>
      </c>
      <c r="B1207">
        <v>28.2</v>
      </c>
      <c r="C1207">
        <v>22.6</v>
      </c>
      <c r="D1207">
        <v>34.200000000000003</v>
      </c>
      <c r="E1207"/>
      <c r="I1207"/>
    </row>
    <row r="1208" spans="1:19" hidden="1" x14ac:dyDescent="0.35">
      <c r="A1208" s="1">
        <v>43942</v>
      </c>
      <c r="B1208">
        <v>28</v>
      </c>
      <c r="C1208">
        <v>22.3</v>
      </c>
      <c r="D1208">
        <v>34.200000000000003</v>
      </c>
      <c r="E1208"/>
      <c r="I1208"/>
    </row>
    <row r="1209" spans="1:19" hidden="1" x14ac:dyDescent="0.35">
      <c r="A1209" s="1">
        <v>43943</v>
      </c>
      <c r="B1209">
        <v>29.6</v>
      </c>
      <c r="C1209">
        <v>24.6</v>
      </c>
      <c r="D1209">
        <v>34.6</v>
      </c>
      <c r="E1209"/>
      <c r="I1209"/>
    </row>
    <row r="1210" spans="1:19" hidden="1" x14ac:dyDescent="0.35">
      <c r="A1210" s="1">
        <v>43944</v>
      </c>
      <c r="B1210">
        <v>29.1</v>
      </c>
      <c r="C1210">
        <v>23.4</v>
      </c>
      <c r="D1210">
        <v>35.4</v>
      </c>
      <c r="E1210"/>
      <c r="I1210"/>
    </row>
    <row r="1211" spans="1:19" x14ac:dyDescent="0.35">
      <c r="A1211" s="1">
        <v>43945</v>
      </c>
      <c r="B1211" s="4">
        <v>25.7</v>
      </c>
      <c r="C1211">
        <v>20.5</v>
      </c>
      <c r="D1211">
        <v>36</v>
      </c>
      <c r="E1211" s="4">
        <v>23.1</v>
      </c>
      <c r="F1211" t="str">
        <f t="shared" ref="F1211:F1218" si="610">IF(OR(B1211 &lt; $N$30, B1211 &gt; $N$67), "Outlier", "OK")</f>
        <v>OK</v>
      </c>
      <c r="G1211" t="str">
        <f t="shared" ref="G1211:G1218" si="611">IF(OR(C1211 &lt; $O$30, C1211 &gt; $O$67), "Outlier", "OK")</f>
        <v>OK</v>
      </c>
      <c r="H1211" t="str">
        <f t="shared" ref="H1211:H1218" si="612">IF(OR(D1211 &lt; $P$30, D1211 &gt; $P$67), "Outlier", "OK")</f>
        <v>OK</v>
      </c>
      <c r="I1211" s="4">
        <f t="shared" ref="I1211:I1218" si="613">YEAR(A1211)</f>
        <v>2020</v>
      </c>
      <c r="J1211">
        <f>( 377.84*B1211 + 3903.1)/550</f>
        <v>24.751978181818181</v>
      </c>
      <c r="K1211">
        <f xml:space="preserve"> (59.02*E1211 + 1383.4)/365</f>
        <v>7.5253753424657539</v>
      </c>
      <c r="R1211" s="4">
        <f>J1211-B1211</f>
        <v>-0.94802181818181808</v>
      </c>
      <c r="S1211" s="4">
        <f>K1211-E1211</f>
        <v>-15.574624657534248</v>
      </c>
    </row>
    <row r="1212" spans="1:19" hidden="1" x14ac:dyDescent="0.35">
      <c r="A1212" s="1">
        <v>43946</v>
      </c>
      <c r="B1212" s="4">
        <v>25.8</v>
      </c>
      <c r="C1212">
        <v>22.7</v>
      </c>
      <c r="D1212">
        <v>30.8</v>
      </c>
      <c r="E1212" s="4">
        <v>0</v>
      </c>
      <c r="F1212" t="str">
        <f t="shared" si="610"/>
        <v>OK</v>
      </c>
      <c r="G1212" t="str">
        <f t="shared" si="611"/>
        <v>OK</v>
      </c>
      <c r="H1212" t="str">
        <f t="shared" si="612"/>
        <v>OK</v>
      </c>
      <c r="I1212" s="4">
        <f t="shared" si="613"/>
        <v>2020</v>
      </c>
    </row>
    <row r="1213" spans="1:19" hidden="1" x14ac:dyDescent="0.35">
      <c r="A1213" s="1">
        <v>43947</v>
      </c>
      <c r="B1213" s="4">
        <v>26.7</v>
      </c>
      <c r="C1213">
        <v>22.6</v>
      </c>
      <c r="D1213">
        <v>32</v>
      </c>
      <c r="E1213" s="4">
        <v>0</v>
      </c>
      <c r="F1213" t="str">
        <f t="shared" si="610"/>
        <v>OK</v>
      </c>
      <c r="G1213" t="str">
        <f t="shared" si="611"/>
        <v>OK</v>
      </c>
      <c r="H1213" t="str">
        <f t="shared" si="612"/>
        <v>OK</v>
      </c>
      <c r="I1213" s="4">
        <f t="shared" si="613"/>
        <v>2020</v>
      </c>
    </row>
    <row r="1214" spans="1:19" hidden="1" x14ac:dyDescent="0.35">
      <c r="A1214" s="1">
        <v>43948</v>
      </c>
      <c r="B1214" s="4">
        <v>26.7</v>
      </c>
      <c r="C1214">
        <v>22.4</v>
      </c>
      <c r="D1214">
        <v>31.6</v>
      </c>
      <c r="E1214" s="4">
        <v>0</v>
      </c>
      <c r="F1214" t="str">
        <f t="shared" si="610"/>
        <v>OK</v>
      </c>
      <c r="G1214" t="str">
        <f t="shared" si="611"/>
        <v>OK</v>
      </c>
      <c r="H1214" t="str">
        <f t="shared" si="612"/>
        <v>OK</v>
      </c>
      <c r="I1214" s="4">
        <f t="shared" si="613"/>
        <v>2020</v>
      </c>
    </row>
    <row r="1215" spans="1:19" x14ac:dyDescent="0.35">
      <c r="A1215" s="1">
        <v>43949</v>
      </c>
      <c r="B1215" s="4">
        <v>27.2</v>
      </c>
      <c r="C1215">
        <v>23</v>
      </c>
      <c r="D1215">
        <v>34.799999999999997</v>
      </c>
      <c r="E1215" s="4">
        <v>3</v>
      </c>
      <c r="F1215" t="str">
        <f t="shared" si="610"/>
        <v>OK</v>
      </c>
      <c r="G1215" t="str">
        <f t="shared" si="611"/>
        <v>OK</v>
      </c>
      <c r="H1215" t="str">
        <f t="shared" si="612"/>
        <v>OK</v>
      </c>
      <c r="I1215" s="4">
        <f t="shared" si="613"/>
        <v>2020</v>
      </c>
      <c r="J1215">
        <f t="shared" ref="J1215:J1217" si="614">( 377.84*B1215 + 3903.1)/550</f>
        <v>25.782450909090908</v>
      </c>
      <c r="K1215">
        <f t="shared" ref="K1215:K1217" si="615" xml:space="preserve"> (59.02*E1215 + 1383.4)/365</f>
        <v>4.2752328767123284</v>
      </c>
      <c r="R1215" s="4">
        <f t="shared" ref="R1215:R1217" si="616">J1215-B1215</f>
        <v>-1.4175490909090911</v>
      </c>
      <c r="S1215" s="4">
        <f t="shared" ref="S1215:S1217" si="617">K1215-E1215</f>
        <v>1.2752328767123284</v>
      </c>
    </row>
    <row r="1216" spans="1:19" x14ac:dyDescent="0.35">
      <c r="A1216" s="1">
        <v>43950</v>
      </c>
      <c r="B1216" s="4">
        <v>23.2</v>
      </c>
      <c r="C1216">
        <v>19.600000000000001</v>
      </c>
      <c r="D1216">
        <v>34</v>
      </c>
      <c r="E1216" s="4">
        <v>30.7</v>
      </c>
      <c r="F1216" t="str">
        <f t="shared" si="610"/>
        <v>OK</v>
      </c>
      <c r="G1216" t="str">
        <f t="shared" si="611"/>
        <v>OK</v>
      </c>
      <c r="H1216" t="str">
        <f t="shared" si="612"/>
        <v>OK</v>
      </c>
      <c r="I1216" s="4">
        <f t="shared" si="613"/>
        <v>2020</v>
      </c>
      <c r="J1216">
        <f t="shared" si="614"/>
        <v>23.034523636363634</v>
      </c>
      <c r="K1216">
        <f t="shared" si="615"/>
        <v>8.7542849315068505</v>
      </c>
      <c r="R1216" s="4">
        <f t="shared" si="616"/>
        <v>-0.16547636363636542</v>
      </c>
      <c r="S1216" s="4">
        <f t="shared" si="617"/>
        <v>-21.945715068493151</v>
      </c>
    </row>
    <row r="1217" spans="1:19" x14ac:dyDescent="0.35">
      <c r="A1217" s="1">
        <v>43951</v>
      </c>
      <c r="B1217" s="4">
        <v>26.5</v>
      </c>
      <c r="C1217">
        <v>21</v>
      </c>
      <c r="D1217">
        <v>33.799999999999997</v>
      </c>
      <c r="E1217" s="4">
        <v>1</v>
      </c>
      <c r="F1217" t="str">
        <f t="shared" si="610"/>
        <v>OK</v>
      </c>
      <c r="G1217" t="str">
        <f t="shared" si="611"/>
        <v>OK</v>
      </c>
      <c r="H1217" t="str">
        <f t="shared" si="612"/>
        <v>OK</v>
      </c>
      <c r="I1217" s="4">
        <f t="shared" si="613"/>
        <v>2020</v>
      </c>
      <c r="J1217">
        <f t="shared" si="614"/>
        <v>25.301563636363639</v>
      </c>
      <c r="K1217">
        <f t="shared" si="615"/>
        <v>3.9518356164383563</v>
      </c>
      <c r="R1217" s="4">
        <f t="shared" si="616"/>
        <v>-1.1984363636363611</v>
      </c>
      <c r="S1217" s="4">
        <f t="shared" si="617"/>
        <v>2.9518356164383563</v>
      </c>
    </row>
    <row r="1218" spans="1:19" hidden="1" x14ac:dyDescent="0.35">
      <c r="A1218" s="1">
        <v>43952</v>
      </c>
      <c r="B1218" s="4">
        <v>28.7</v>
      </c>
      <c r="C1218">
        <v>23</v>
      </c>
      <c r="D1218">
        <v>32.799999999999997</v>
      </c>
      <c r="E1218" s="4">
        <v>0</v>
      </c>
      <c r="F1218" t="str">
        <f t="shared" si="610"/>
        <v>OK</v>
      </c>
      <c r="G1218" t="str">
        <f t="shared" si="611"/>
        <v>OK</v>
      </c>
      <c r="H1218" t="str">
        <f t="shared" si="612"/>
        <v>OK</v>
      </c>
      <c r="I1218" s="4">
        <f t="shared" si="613"/>
        <v>2020</v>
      </c>
    </row>
    <row r="1219" spans="1:19" hidden="1" x14ac:dyDescent="0.35">
      <c r="A1219" s="1">
        <v>43953</v>
      </c>
      <c r="B1219">
        <v>27.7</v>
      </c>
      <c r="C1219">
        <v>23.7</v>
      </c>
      <c r="D1219">
        <v>33.6</v>
      </c>
      <c r="E1219"/>
      <c r="I1219"/>
    </row>
    <row r="1220" spans="1:19" hidden="1" x14ac:dyDescent="0.35">
      <c r="A1220" s="1">
        <v>43954</v>
      </c>
      <c r="B1220">
        <v>27.5</v>
      </c>
      <c r="C1220">
        <v>23.2</v>
      </c>
      <c r="D1220">
        <v>33.4</v>
      </c>
      <c r="E1220"/>
      <c r="I1220"/>
    </row>
    <row r="1221" spans="1:19" hidden="1" x14ac:dyDescent="0.35">
      <c r="A1221" s="1">
        <v>43955</v>
      </c>
      <c r="B1221">
        <v>28.7</v>
      </c>
      <c r="C1221">
        <v>23</v>
      </c>
      <c r="D1221">
        <v>33.799999999999997</v>
      </c>
      <c r="E1221"/>
      <c r="I1221"/>
    </row>
    <row r="1222" spans="1:19" hidden="1" x14ac:dyDescent="0.35">
      <c r="A1222" s="1">
        <v>43956</v>
      </c>
      <c r="B1222">
        <v>29.1</v>
      </c>
      <c r="C1222">
        <v>23.4</v>
      </c>
      <c r="D1222">
        <v>34.799999999999997</v>
      </c>
      <c r="E1222"/>
      <c r="I1222"/>
    </row>
    <row r="1223" spans="1:19" hidden="1" x14ac:dyDescent="0.35">
      <c r="A1223" s="1">
        <v>43957</v>
      </c>
      <c r="B1223">
        <v>27.2</v>
      </c>
      <c r="C1223">
        <v>22.2</v>
      </c>
      <c r="D1223">
        <v>34.299999999999997</v>
      </c>
      <c r="E1223"/>
      <c r="I1223"/>
    </row>
    <row r="1224" spans="1:19" hidden="1" x14ac:dyDescent="0.35">
      <c r="A1224" s="1">
        <v>43958</v>
      </c>
      <c r="B1224">
        <v>26.9</v>
      </c>
      <c r="C1224">
        <v>23.1</v>
      </c>
      <c r="D1224">
        <v>33.6</v>
      </c>
      <c r="E1224"/>
      <c r="I1224"/>
    </row>
    <row r="1225" spans="1:19" hidden="1" x14ac:dyDescent="0.35">
      <c r="A1225" s="1">
        <v>43959</v>
      </c>
      <c r="B1225">
        <v>27.7</v>
      </c>
      <c r="C1225">
        <v>23.4</v>
      </c>
      <c r="D1225">
        <v>32.5</v>
      </c>
      <c r="E1225"/>
      <c r="I1225"/>
    </row>
    <row r="1226" spans="1:19" hidden="1" x14ac:dyDescent="0.35">
      <c r="A1226" s="1">
        <v>43960</v>
      </c>
      <c r="B1226" s="4">
        <v>29.1</v>
      </c>
      <c r="C1226">
        <v>23.8</v>
      </c>
      <c r="D1226">
        <v>35.200000000000003</v>
      </c>
      <c r="E1226" s="4">
        <v>0</v>
      </c>
      <c r="F1226" t="str">
        <f t="shared" ref="F1226:F1227" si="618">IF(OR(B1226 &lt; $N$30, B1226 &gt; $N$67), "Outlier", "OK")</f>
        <v>OK</v>
      </c>
      <c r="G1226" t="str">
        <f t="shared" ref="G1226:G1227" si="619">IF(OR(C1226 &lt; $O$30, C1226 &gt; $O$67), "Outlier", "OK")</f>
        <v>OK</v>
      </c>
      <c r="H1226" t="str">
        <f t="shared" ref="H1226:H1227" si="620">IF(OR(D1226 &lt; $P$30, D1226 &gt; $P$67), "Outlier", "OK")</f>
        <v>OK</v>
      </c>
      <c r="I1226" s="4">
        <f t="shared" ref="I1226:I1227" si="621">YEAR(A1226)</f>
        <v>2020</v>
      </c>
    </row>
    <row r="1227" spans="1:19" hidden="1" x14ac:dyDescent="0.35">
      <c r="A1227" s="1">
        <v>43961</v>
      </c>
      <c r="B1227" s="4">
        <v>29</v>
      </c>
      <c r="C1227">
        <v>24</v>
      </c>
      <c r="D1227">
        <v>35.200000000000003</v>
      </c>
      <c r="E1227" s="4">
        <v>0</v>
      </c>
      <c r="F1227" t="str">
        <f t="shared" si="618"/>
        <v>OK</v>
      </c>
      <c r="G1227" t="str">
        <f t="shared" si="619"/>
        <v>OK</v>
      </c>
      <c r="H1227" t="str">
        <f t="shared" si="620"/>
        <v>OK</v>
      </c>
      <c r="I1227" s="4">
        <f t="shared" si="621"/>
        <v>2020</v>
      </c>
    </row>
    <row r="1228" spans="1:19" hidden="1" x14ac:dyDescent="0.35">
      <c r="A1228" s="1">
        <v>43962</v>
      </c>
      <c r="B1228">
        <v>28.3</v>
      </c>
      <c r="C1228">
        <v>23.6</v>
      </c>
      <c r="D1228">
        <v>35.299999999999997</v>
      </c>
      <c r="E1228"/>
      <c r="I1228"/>
    </row>
    <row r="1229" spans="1:19" hidden="1" x14ac:dyDescent="0.35">
      <c r="A1229" s="1">
        <v>43963</v>
      </c>
      <c r="B1229">
        <v>27.6</v>
      </c>
      <c r="C1229">
        <v>23.4</v>
      </c>
      <c r="D1229">
        <v>34</v>
      </c>
      <c r="E1229"/>
      <c r="I1229"/>
    </row>
    <row r="1230" spans="1:19" hidden="1" x14ac:dyDescent="0.35">
      <c r="A1230" s="1">
        <v>43964</v>
      </c>
      <c r="B1230">
        <v>27.9</v>
      </c>
      <c r="C1230">
        <v>22.4</v>
      </c>
      <c r="D1230">
        <v>33.799999999999997</v>
      </c>
      <c r="E1230"/>
      <c r="I1230"/>
    </row>
    <row r="1231" spans="1:19" hidden="1" x14ac:dyDescent="0.35">
      <c r="A1231" s="1">
        <v>43965</v>
      </c>
      <c r="B1231">
        <v>28.7</v>
      </c>
      <c r="C1231">
        <v>23.7</v>
      </c>
      <c r="D1231">
        <v>33.799999999999997</v>
      </c>
      <c r="E1231"/>
      <c r="I1231"/>
    </row>
    <row r="1232" spans="1:19" hidden="1" x14ac:dyDescent="0.35">
      <c r="A1232" s="1">
        <v>43966</v>
      </c>
      <c r="B1232" s="4">
        <v>29</v>
      </c>
      <c r="C1232">
        <v>24</v>
      </c>
      <c r="D1232">
        <v>34.9</v>
      </c>
      <c r="E1232" s="4">
        <v>0</v>
      </c>
      <c r="F1232" t="str">
        <f>IF(OR(B1232 &lt; $N$30, B1232 &gt; $N$67), "Outlier", "OK")</f>
        <v>OK</v>
      </c>
      <c r="G1232" t="str">
        <f>IF(OR(C1232 &lt; $O$30, C1232 &gt; $O$67), "Outlier", "OK")</f>
        <v>OK</v>
      </c>
      <c r="H1232" t="str">
        <f>IF(OR(D1232 &lt; $P$30, D1232 &gt; $P$67), "Outlier", "OK")</f>
        <v>OK</v>
      </c>
      <c r="I1232" s="4">
        <f>YEAR(A1232)</f>
        <v>2020</v>
      </c>
    </row>
    <row r="1233" spans="1:19" hidden="1" x14ac:dyDescent="0.35">
      <c r="A1233" s="1">
        <v>43967</v>
      </c>
      <c r="B1233">
        <v>28.3</v>
      </c>
      <c r="C1233">
        <v>24</v>
      </c>
      <c r="D1233">
        <v>35.200000000000003</v>
      </c>
      <c r="E1233"/>
      <c r="I1233"/>
    </row>
    <row r="1234" spans="1:19" hidden="1" x14ac:dyDescent="0.35">
      <c r="A1234" s="1">
        <v>43968</v>
      </c>
      <c r="B1234">
        <v>27.8</v>
      </c>
      <c r="C1234">
        <v>22.8</v>
      </c>
      <c r="D1234">
        <v>34.700000000000003</v>
      </c>
      <c r="E1234"/>
      <c r="I1234"/>
    </row>
    <row r="1235" spans="1:19" x14ac:dyDescent="0.35">
      <c r="A1235" s="1">
        <v>43969</v>
      </c>
      <c r="B1235" s="4">
        <v>25.3</v>
      </c>
      <c r="C1235">
        <v>21.2</v>
      </c>
      <c r="D1235">
        <v>35.6</v>
      </c>
      <c r="E1235" s="4">
        <v>10.9</v>
      </c>
      <c r="F1235" t="str">
        <f t="shared" ref="F1235:F1236" si="622">IF(OR(B1235 &lt; $N$30, B1235 &gt; $N$67), "Outlier", "OK")</f>
        <v>OK</v>
      </c>
      <c r="G1235" t="str">
        <f t="shared" ref="G1235:G1236" si="623">IF(OR(C1235 &lt; $O$30, C1235 &gt; $O$67), "Outlier", "OK")</f>
        <v>OK</v>
      </c>
      <c r="H1235" t="str">
        <f t="shared" ref="H1235:H1236" si="624">IF(OR(D1235 &lt; $P$30, D1235 &gt; $P$67), "Outlier", "OK")</f>
        <v>OK</v>
      </c>
      <c r="I1235" s="4">
        <f t="shared" ref="I1235:I1236" si="625">YEAR(A1235)</f>
        <v>2020</v>
      </c>
      <c r="J1235">
        <f>( 377.84*B1235 + 3903.1)/550</f>
        <v>24.477185454545452</v>
      </c>
      <c r="K1235">
        <f xml:space="preserve"> (59.02*E1235 + 1383.4)/365</f>
        <v>5.5526520547945211</v>
      </c>
      <c r="R1235" s="4">
        <f>J1235-B1235</f>
        <v>-0.82281454545454835</v>
      </c>
      <c r="S1235" s="4">
        <f>K1235-E1235</f>
        <v>-5.3473479452054793</v>
      </c>
    </row>
    <row r="1236" spans="1:19" hidden="1" x14ac:dyDescent="0.35">
      <c r="A1236" s="1">
        <v>43970</v>
      </c>
      <c r="B1236" s="4">
        <v>26.7</v>
      </c>
      <c r="C1236">
        <v>22.6</v>
      </c>
      <c r="D1236">
        <v>31.5</v>
      </c>
      <c r="E1236" s="4">
        <v>0</v>
      </c>
      <c r="F1236" t="str">
        <f t="shared" si="622"/>
        <v>OK</v>
      </c>
      <c r="G1236" t="str">
        <f t="shared" si="623"/>
        <v>OK</v>
      </c>
      <c r="H1236" t="str">
        <f t="shared" si="624"/>
        <v>OK</v>
      </c>
      <c r="I1236" s="4">
        <f t="shared" si="625"/>
        <v>2020</v>
      </c>
    </row>
    <row r="1237" spans="1:19" hidden="1" x14ac:dyDescent="0.35">
      <c r="A1237" s="1">
        <v>43971</v>
      </c>
      <c r="B1237">
        <v>27.8</v>
      </c>
      <c r="C1237">
        <v>21.8</v>
      </c>
      <c r="D1237">
        <v>32.799999999999997</v>
      </c>
      <c r="E1237"/>
      <c r="I1237"/>
    </row>
    <row r="1238" spans="1:19" hidden="1" x14ac:dyDescent="0.35">
      <c r="A1238" s="1">
        <v>43972</v>
      </c>
      <c r="B1238">
        <v>26.4</v>
      </c>
      <c r="C1238">
        <v>22</v>
      </c>
      <c r="D1238">
        <v>33.200000000000003</v>
      </c>
      <c r="E1238"/>
      <c r="I1238"/>
    </row>
    <row r="1239" spans="1:19" hidden="1" x14ac:dyDescent="0.35">
      <c r="A1239" s="1">
        <v>43973</v>
      </c>
      <c r="B1239" s="4">
        <v>28.6</v>
      </c>
      <c r="C1239">
        <v>22.1</v>
      </c>
      <c r="D1239">
        <v>34.6</v>
      </c>
      <c r="E1239" s="4">
        <v>0</v>
      </c>
      <c r="F1239" t="str">
        <f>IF(OR(B1239 &lt; $N$30, B1239 &gt; $N$67), "Outlier", "OK")</f>
        <v>OK</v>
      </c>
      <c r="G1239" t="str">
        <f>IF(OR(C1239 &lt; $O$30, C1239 &gt; $O$67), "Outlier", "OK")</f>
        <v>OK</v>
      </c>
      <c r="H1239" t="str">
        <f>IF(OR(D1239 &lt; $P$30, D1239 &gt; $P$67), "Outlier", "OK")</f>
        <v>OK</v>
      </c>
      <c r="I1239" s="4">
        <f>YEAR(A1239)</f>
        <v>2020</v>
      </c>
    </row>
    <row r="1240" spans="1:19" hidden="1" x14ac:dyDescent="0.35">
      <c r="A1240" s="1">
        <v>43974</v>
      </c>
      <c r="B1240">
        <v>28.7</v>
      </c>
      <c r="C1240">
        <v>22.9</v>
      </c>
      <c r="D1240">
        <v>35.299999999999997</v>
      </c>
      <c r="E1240"/>
      <c r="I1240"/>
    </row>
    <row r="1241" spans="1:19" hidden="1" x14ac:dyDescent="0.35">
      <c r="A1241" s="1">
        <v>43975</v>
      </c>
      <c r="B1241" s="4">
        <v>25.6</v>
      </c>
      <c r="C1241">
        <v>21.8</v>
      </c>
      <c r="D1241">
        <v>35.6</v>
      </c>
      <c r="E1241" s="4">
        <v>0</v>
      </c>
      <c r="F1241" t="str">
        <f t="shared" ref="F1241:F1257" si="626">IF(OR(B1241 &lt; $N$30, B1241 &gt; $N$67), "Outlier", "OK")</f>
        <v>OK</v>
      </c>
      <c r="G1241" t="str">
        <f t="shared" ref="G1241:G1257" si="627">IF(OR(C1241 &lt; $O$30, C1241 &gt; $O$67), "Outlier", "OK")</f>
        <v>OK</v>
      </c>
      <c r="H1241" t="str">
        <f t="shared" ref="H1241:H1257" si="628">IF(OR(D1241 &lt; $P$30, D1241 &gt; $P$67), "Outlier", "OK")</f>
        <v>OK</v>
      </c>
      <c r="I1241" s="4">
        <f t="shared" ref="I1241:I1257" si="629">YEAR(A1241)</f>
        <v>2020</v>
      </c>
    </row>
    <row r="1242" spans="1:19" x14ac:dyDescent="0.35">
      <c r="A1242" s="1">
        <v>43976</v>
      </c>
      <c r="B1242" s="4">
        <v>26.7</v>
      </c>
      <c r="C1242">
        <v>22</v>
      </c>
      <c r="D1242">
        <v>34.4</v>
      </c>
      <c r="E1242" s="4">
        <v>35.299999999999997</v>
      </c>
      <c r="F1242" t="str">
        <f t="shared" si="626"/>
        <v>OK</v>
      </c>
      <c r="G1242" t="str">
        <f t="shared" si="627"/>
        <v>OK</v>
      </c>
      <c r="H1242" t="str">
        <f t="shared" si="628"/>
        <v>OK</v>
      </c>
      <c r="I1242" s="4">
        <f t="shared" si="629"/>
        <v>2020</v>
      </c>
      <c r="J1242">
        <f>( 377.84*B1242 + 3903.1)/550</f>
        <v>25.438959999999998</v>
      </c>
      <c r="K1242">
        <f xml:space="preserve"> (59.02*E1242 + 1383.4)/365</f>
        <v>9.4980986301369867</v>
      </c>
      <c r="R1242" s="4">
        <f>J1242-B1242</f>
        <v>-1.2610400000000013</v>
      </c>
      <c r="S1242" s="4">
        <f>K1242-E1242</f>
        <v>-25.80190136986301</v>
      </c>
    </row>
    <row r="1243" spans="1:19" hidden="1" x14ac:dyDescent="0.35">
      <c r="A1243" s="1">
        <v>43977</v>
      </c>
      <c r="B1243" s="4">
        <v>25.6</v>
      </c>
      <c r="C1243">
        <v>20.399999999999999</v>
      </c>
      <c r="D1243">
        <v>33.4</v>
      </c>
      <c r="E1243" s="4">
        <v>0</v>
      </c>
      <c r="F1243" t="str">
        <f t="shared" si="626"/>
        <v>OK</v>
      </c>
      <c r="G1243" t="str">
        <f t="shared" si="627"/>
        <v>OK</v>
      </c>
      <c r="H1243" t="str">
        <f t="shared" si="628"/>
        <v>OK</v>
      </c>
      <c r="I1243" s="4">
        <f t="shared" si="629"/>
        <v>2020</v>
      </c>
    </row>
    <row r="1244" spans="1:19" x14ac:dyDescent="0.35">
      <c r="A1244" s="1">
        <v>43978</v>
      </c>
      <c r="B1244" s="4">
        <v>24.1</v>
      </c>
      <c r="C1244">
        <v>20.9</v>
      </c>
      <c r="D1244">
        <v>32.9</v>
      </c>
      <c r="E1244" s="4">
        <v>31</v>
      </c>
      <c r="F1244" t="str">
        <f t="shared" si="626"/>
        <v>OK</v>
      </c>
      <c r="G1244" t="str">
        <f t="shared" si="627"/>
        <v>OK</v>
      </c>
      <c r="H1244" t="str">
        <f t="shared" si="628"/>
        <v>OK</v>
      </c>
      <c r="I1244" s="4">
        <f t="shared" si="629"/>
        <v>2020</v>
      </c>
      <c r="J1244">
        <f>( 377.84*B1244 + 3903.1)/550</f>
        <v>23.652807272727273</v>
      </c>
      <c r="K1244">
        <f xml:space="preserve"> (59.02*E1244 + 1383.4)/365</f>
        <v>8.8027945205479465</v>
      </c>
      <c r="R1244" s="4">
        <f>J1244-B1244</f>
        <v>-0.44719272727272852</v>
      </c>
      <c r="S1244" s="4">
        <f>K1244-E1244</f>
        <v>-22.197205479452052</v>
      </c>
    </row>
    <row r="1245" spans="1:19" hidden="1" x14ac:dyDescent="0.35">
      <c r="A1245" s="1">
        <v>43979</v>
      </c>
      <c r="B1245" s="4">
        <v>24.9</v>
      </c>
      <c r="C1245">
        <v>20.8</v>
      </c>
      <c r="D1245">
        <v>32.6</v>
      </c>
      <c r="E1245" s="4">
        <v>0</v>
      </c>
      <c r="F1245" t="str">
        <f t="shared" si="626"/>
        <v>OK</v>
      </c>
      <c r="G1245" t="str">
        <f t="shared" si="627"/>
        <v>OK</v>
      </c>
      <c r="H1245" t="str">
        <f t="shared" si="628"/>
        <v>OK</v>
      </c>
      <c r="I1245" s="4">
        <f t="shared" si="629"/>
        <v>2020</v>
      </c>
    </row>
    <row r="1246" spans="1:19" x14ac:dyDescent="0.35">
      <c r="A1246" s="1">
        <v>43980</v>
      </c>
      <c r="B1246" s="4">
        <v>24.1</v>
      </c>
      <c r="C1246">
        <v>20.6</v>
      </c>
      <c r="D1246">
        <v>32.4</v>
      </c>
      <c r="E1246" s="4">
        <v>4.3</v>
      </c>
      <c r="F1246" t="str">
        <f t="shared" si="626"/>
        <v>OK</v>
      </c>
      <c r="G1246" t="str">
        <f t="shared" si="627"/>
        <v>OK</v>
      </c>
      <c r="H1246" t="str">
        <f t="shared" si="628"/>
        <v>OK</v>
      </c>
      <c r="I1246" s="4">
        <f t="shared" si="629"/>
        <v>2020</v>
      </c>
      <c r="J1246">
        <f t="shared" ref="J1246:J1248" si="630">( 377.84*B1246 + 3903.1)/550</f>
        <v>23.652807272727273</v>
      </c>
      <c r="K1246">
        <f t="shared" ref="K1246:K1248" si="631" xml:space="preserve"> (59.02*E1246 + 1383.4)/365</f>
        <v>4.485441095890411</v>
      </c>
      <c r="R1246" s="4">
        <f t="shared" ref="R1246:R1248" si="632">J1246-B1246</f>
        <v>-0.44719272727272852</v>
      </c>
      <c r="S1246" s="4">
        <f t="shared" ref="S1246:S1248" si="633">K1246-E1246</f>
        <v>0.18544109589041113</v>
      </c>
    </row>
    <row r="1247" spans="1:19" x14ac:dyDescent="0.35">
      <c r="A1247" s="1">
        <v>43981</v>
      </c>
      <c r="B1247" s="4">
        <v>24.6</v>
      </c>
      <c r="C1247">
        <v>20.2</v>
      </c>
      <c r="D1247">
        <v>32.6</v>
      </c>
      <c r="E1247" s="4">
        <v>24.4</v>
      </c>
      <c r="F1247" t="str">
        <f t="shared" si="626"/>
        <v>OK</v>
      </c>
      <c r="G1247" t="str">
        <f t="shared" si="627"/>
        <v>OK</v>
      </c>
      <c r="H1247" t="str">
        <f t="shared" si="628"/>
        <v>OK</v>
      </c>
      <c r="I1247" s="4">
        <f t="shared" si="629"/>
        <v>2020</v>
      </c>
      <c r="J1247">
        <f t="shared" si="630"/>
        <v>23.996298181818183</v>
      </c>
      <c r="K1247">
        <f t="shared" si="631"/>
        <v>7.7355835616438364</v>
      </c>
      <c r="R1247" s="4">
        <f t="shared" si="632"/>
        <v>-0.60370181818181834</v>
      </c>
      <c r="S1247" s="4">
        <f t="shared" si="633"/>
        <v>-16.664416438356163</v>
      </c>
    </row>
    <row r="1248" spans="1:19" x14ac:dyDescent="0.35">
      <c r="A1248" s="1">
        <v>43982</v>
      </c>
      <c r="B1248" s="4">
        <v>26.3</v>
      </c>
      <c r="C1248">
        <v>22.4</v>
      </c>
      <c r="D1248">
        <v>31.9</v>
      </c>
      <c r="E1248" s="4">
        <v>0.3</v>
      </c>
      <c r="F1248" t="str">
        <f t="shared" si="626"/>
        <v>OK</v>
      </c>
      <c r="G1248" t="str">
        <f t="shared" si="627"/>
        <v>OK</v>
      </c>
      <c r="H1248" t="str">
        <f t="shared" si="628"/>
        <v>OK</v>
      </c>
      <c r="I1248" s="4">
        <f t="shared" si="629"/>
        <v>2020</v>
      </c>
      <c r="J1248">
        <f t="shared" si="630"/>
        <v>25.164167272727273</v>
      </c>
      <c r="K1248">
        <f t="shared" si="631"/>
        <v>3.8386465753424659</v>
      </c>
      <c r="R1248" s="4">
        <f t="shared" si="632"/>
        <v>-1.135832727272728</v>
      </c>
      <c r="S1248" s="4">
        <f t="shared" si="633"/>
        <v>3.5386465753424661</v>
      </c>
    </row>
    <row r="1249" spans="1:19" hidden="1" x14ac:dyDescent="0.35">
      <c r="A1249" s="1">
        <v>43983</v>
      </c>
      <c r="B1249" s="4">
        <v>25.9</v>
      </c>
      <c r="C1249">
        <v>22.4</v>
      </c>
      <c r="D1249">
        <v>32.799999999999997</v>
      </c>
      <c r="E1249" s="4">
        <v>0</v>
      </c>
      <c r="F1249" t="str">
        <f t="shared" si="626"/>
        <v>OK</v>
      </c>
      <c r="G1249" t="str">
        <f t="shared" si="627"/>
        <v>OK</v>
      </c>
      <c r="H1249" t="str">
        <f t="shared" si="628"/>
        <v>OK</v>
      </c>
      <c r="I1249" s="4">
        <f t="shared" si="629"/>
        <v>2020</v>
      </c>
    </row>
    <row r="1250" spans="1:19" hidden="1" x14ac:dyDescent="0.35">
      <c r="A1250" s="1">
        <v>43984</v>
      </c>
      <c r="B1250" s="4">
        <v>24.4</v>
      </c>
      <c r="C1250">
        <v>20.3</v>
      </c>
      <c r="D1250">
        <v>32</v>
      </c>
      <c r="E1250" s="4">
        <v>0</v>
      </c>
      <c r="F1250" t="str">
        <f t="shared" si="626"/>
        <v>OK</v>
      </c>
      <c r="G1250" t="str">
        <f t="shared" si="627"/>
        <v>OK</v>
      </c>
      <c r="H1250" t="str">
        <f t="shared" si="628"/>
        <v>OK</v>
      </c>
      <c r="I1250" s="4">
        <f t="shared" si="629"/>
        <v>2020</v>
      </c>
    </row>
    <row r="1251" spans="1:19" hidden="1" x14ac:dyDescent="0.35">
      <c r="A1251" s="1">
        <v>43985</v>
      </c>
      <c r="B1251" s="4">
        <v>24.7</v>
      </c>
      <c r="C1251">
        <v>21.2</v>
      </c>
      <c r="D1251">
        <v>28.8</v>
      </c>
      <c r="E1251" s="4">
        <v>0</v>
      </c>
      <c r="F1251" t="str">
        <f t="shared" si="626"/>
        <v>OK</v>
      </c>
      <c r="G1251" t="str">
        <f t="shared" si="627"/>
        <v>OK</v>
      </c>
      <c r="H1251" t="str">
        <f t="shared" si="628"/>
        <v>OK</v>
      </c>
      <c r="I1251" s="4">
        <f t="shared" si="629"/>
        <v>2020</v>
      </c>
    </row>
    <row r="1252" spans="1:19" hidden="1" x14ac:dyDescent="0.35">
      <c r="A1252" s="1">
        <v>43986</v>
      </c>
      <c r="B1252" s="4">
        <v>25.4</v>
      </c>
      <c r="C1252">
        <v>21.8</v>
      </c>
      <c r="D1252">
        <v>29.4</v>
      </c>
      <c r="E1252" s="4">
        <v>0</v>
      </c>
      <c r="F1252" t="str">
        <f t="shared" si="626"/>
        <v>OK</v>
      </c>
      <c r="G1252" t="str">
        <f t="shared" si="627"/>
        <v>OK</v>
      </c>
      <c r="H1252" t="str">
        <f t="shared" si="628"/>
        <v>OK</v>
      </c>
      <c r="I1252" s="4">
        <f t="shared" si="629"/>
        <v>2020</v>
      </c>
    </row>
    <row r="1253" spans="1:19" hidden="1" x14ac:dyDescent="0.35">
      <c r="A1253" s="1">
        <v>43987</v>
      </c>
      <c r="B1253" s="4">
        <v>25.7</v>
      </c>
      <c r="C1253">
        <v>21.6</v>
      </c>
      <c r="D1253">
        <v>31.2</v>
      </c>
      <c r="E1253" s="4">
        <v>0</v>
      </c>
      <c r="F1253" t="str">
        <f t="shared" si="626"/>
        <v>OK</v>
      </c>
      <c r="G1253" t="str">
        <f t="shared" si="627"/>
        <v>OK</v>
      </c>
      <c r="H1253" t="str">
        <f t="shared" si="628"/>
        <v>OK</v>
      </c>
      <c r="I1253" s="4">
        <f t="shared" si="629"/>
        <v>2020</v>
      </c>
    </row>
    <row r="1254" spans="1:19" hidden="1" x14ac:dyDescent="0.35">
      <c r="A1254" s="1">
        <v>43988</v>
      </c>
      <c r="B1254" s="4">
        <v>24.6</v>
      </c>
      <c r="C1254">
        <v>20.399999999999999</v>
      </c>
      <c r="D1254">
        <v>31.4</v>
      </c>
      <c r="E1254" s="4">
        <v>0</v>
      </c>
      <c r="F1254" t="str">
        <f t="shared" si="626"/>
        <v>OK</v>
      </c>
      <c r="G1254" t="str">
        <f t="shared" si="627"/>
        <v>OK</v>
      </c>
      <c r="H1254" t="str">
        <f t="shared" si="628"/>
        <v>OK</v>
      </c>
      <c r="I1254" s="4">
        <f t="shared" si="629"/>
        <v>2020</v>
      </c>
    </row>
    <row r="1255" spans="1:19" x14ac:dyDescent="0.35">
      <c r="A1255" s="1">
        <v>43989</v>
      </c>
      <c r="B1255" s="4">
        <v>24.5</v>
      </c>
      <c r="C1255">
        <v>20.8</v>
      </c>
      <c r="D1255">
        <v>30.4</v>
      </c>
      <c r="E1255" s="4">
        <v>20.3</v>
      </c>
      <c r="F1255" t="str">
        <f t="shared" si="626"/>
        <v>OK</v>
      </c>
      <c r="G1255" t="str">
        <f t="shared" si="627"/>
        <v>OK</v>
      </c>
      <c r="H1255" t="str">
        <f t="shared" si="628"/>
        <v>OK</v>
      </c>
      <c r="I1255" s="4">
        <f t="shared" si="629"/>
        <v>2020</v>
      </c>
      <c r="J1255">
        <f>( 377.84*B1255 + 3903.1)/550</f>
        <v>23.927600000000002</v>
      </c>
      <c r="K1255">
        <f xml:space="preserve"> (59.02*E1255 + 1383.4)/365</f>
        <v>7.072619178082193</v>
      </c>
      <c r="R1255" s="4">
        <f>J1255-B1255</f>
        <v>-0.57239999999999824</v>
      </c>
      <c r="S1255" s="4">
        <f>K1255-E1255</f>
        <v>-13.227380821917809</v>
      </c>
    </row>
    <row r="1256" spans="1:19" hidden="1" x14ac:dyDescent="0.35">
      <c r="A1256" s="1">
        <v>43990</v>
      </c>
      <c r="B1256" s="4">
        <v>26.2</v>
      </c>
      <c r="C1256">
        <v>21.2</v>
      </c>
      <c r="D1256">
        <v>31.8</v>
      </c>
      <c r="E1256" s="4">
        <v>0</v>
      </c>
      <c r="F1256" t="str">
        <f t="shared" si="626"/>
        <v>OK</v>
      </c>
      <c r="G1256" t="str">
        <f t="shared" si="627"/>
        <v>OK</v>
      </c>
      <c r="H1256" t="str">
        <f t="shared" si="628"/>
        <v>OK</v>
      </c>
      <c r="I1256" s="4">
        <f t="shared" si="629"/>
        <v>2020</v>
      </c>
    </row>
    <row r="1257" spans="1:19" hidden="1" x14ac:dyDescent="0.35">
      <c r="A1257" s="1">
        <v>43991</v>
      </c>
      <c r="B1257" s="4">
        <v>25.4</v>
      </c>
      <c r="C1257">
        <v>21.6</v>
      </c>
      <c r="D1257">
        <v>32.5</v>
      </c>
      <c r="E1257" s="4">
        <v>0</v>
      </c>
      <c r="F1257" t="str">
        <f t="shared" si="626"/>
        <v>OK</v>
      </c>
      <c r="G1257" t="str">
        <f t="shared" si="627"/>
        <v>OK</v>
      </c>
      <c r="H1257" t="str">
        <f t="shared" si="628"/>
        <v>OK</v>
      </c>
      <c r="I1257" s="4">
        <f t="shared" si="629"/>
        <v>2020</v>
      </c>
    </row>
    <row r="1258" spans="1:19" hidden="1" x14ac:dyDescent="0.35">
      <c r="A1258" s="1">
        <v>43992</v>
      </c>
      <c r="B1258">
        <v>24.7</v>
      </c>
      <c r="C1258">
        <v>21.6</v>
      </c>
      <c r="D1258">
        <v>30</v>
      </c>
      <c r="E1258"/>
      <c r="I1258"/>
    </row>
    <row r="1259" spans="1:19" x14ac:dyDescent="0.35">
      <c r="A1259" s="1">
        <v>43993</v>
      </c>
      <c r="B1259" s="4">
        <v>23.1</v>
      </c>
      <c r="C1259">
        <v>19.8</v>
      </c>
      <c r="D1259">
        <v>30.5</v>
      </c>
      <c r="E1259" s="4">
        <v>1</v>
      </c>
      <c r="F1259" t="str">
        <f t="shared" ref="F1259:F1279" si="634">IF(OR(B1259 &lt; $N$30, B1259 &gt; $N$67), "Outlier", "OK")</f>
        <v>OK</v>
      </c>
      <c r="G1259" t="str">
        <f t="shared" ref="G1259:G1279" si="635">IF(OR(C1259 &lt; $O$30, C1259 &gt; $O$67), "Outlier", "OK")</f>
        <v>OK</v>
      </c>
      <c r="H1259" t="str">
        <f t="shared" ref="H1259:H1279" si="636">IF(OR(D1259 &lt; $P$30, D1259 &gt; $P$67), "Outlier", "OK")</f>
        <v>OK</v>
      </c>
      <c r="I1259" s="4">
        <f t="shared" ref="I1259:I1279" si="637">YEAR(A1259)</f>
        <v>2020</v>
      </c>
      <c r="J1259">
        <f t="shared" ref="J1259:J1260" si="638">( 377.84*B1259 + 3903.1)/550</f>
        <v>22.965825454545453</v>
      </c>
      <c r="K1259">
        <f t="shared" ref="K1259:K1260" si="639" xml:space="preserve"> (59.02*E1259 + 1383.4)/365</f>
        <v>3.9518356164383563</v>
      </c>
      <c r="R1259" s="4">
        <f t="shared" ref="R1259:R1260" si="640">J1259-B1259</f>
        <v>-0.13417454545454888</v>
      </c>
      <c r="S1259" s="4">
        <f t="shared" ref="S1259:S1260" si="641">K1259-E1259</f>
        <v>2.9518356164383563</v>
      </c>
    </row>
    <row r="1260" spans="1:19" x14ac:dyDescent="0.35">
      <c r="A1260" s="1">
        <v>43994</v>
      </c>
      <c r="B1260" s="4">
        <v>23</v>
      </c>
      <c r="C1260">
        <v>19.8</v>
      </c>
      <c r="D1260">
        <v>27.6</v>
      </c>
      <c r="E1260" s="4">
        <v>20.6</v>
      </c>
      <c r="F1260" t="str">
        <f t="shared" si="634"/>
        <v>OK</v>
      </c>
      <c r="G1260" t="str">
        <f t="shared" si="635"/>
        <v>OK</v>
      </c>
      <c r="H1260" t="str">
        <f t="shared" si="636"/>
        <v>OK</v>
      </c>
      <c r="I1260" s="4">
        <f t="shared" si="637"/>
        <v>2020</v>
      </c>
      <c r="J1260">
        <f t="shared" si="638"/>
        <v>22.897127272727271</v>
      </c>
      <c r="K1260">
        <f t="shared" si="639"/>
        <v>7.121128767123289</v>
      </c>
      <c r="R1260" s="4">
        <f t="shared" si="640"/>
        <v>-0.10287272727272878</v>
      </c>
      <c r="S1260" s="4">
        <f t="shared" si="641"/>
        <v>-13.478871232876713</v>
      </c>
    </row>
    <row r="1261" spans="1:19" hidden="1" x14ac:dyDescent="0.35">
      <c r="A1261" s="1">
        <v>43995</v>
      </c>
      <c r="B1261" s="4">
        <v>23.3</v>
      </c>
      <c r="C1261">
        <v>20</v>
      </c>
      <c r="D1261">
        <v>28.4</v>
      </c>
      <c r="E1261" s="4">
        <v>0</v>
      </c>
      <c r="F1261" t="str">
        <f t="shared" si="634"/>
        <v>OK</v>
      </c>
      <c r="G1261" t="str">
        <f t="shared" si="635"/>
        <v>OK</v>
      </c>
      <c r="H1261" t="str">
        <f t="shared" si="636"/>
        <v>OK</v>
      </c>
      <c r="I1261" s="4">
        <f t="shared" si="637"/>
        <v>2020</v>
      </c>
    </row>
    <row r="1262" spans="1:19" x14ac:dyDescent="0.35">
      <c r="A1262" s="1">
        <v>43996</v>
      </c>
      <c r="B1262" s="4">
        <v>23.9</v>
      </c>
      <c r="C1262">
        <v>21</v>
      </c>
      <c r="D1262">
        <v>29.8</v>
      </c>
      <c r="E1262" s="4">
        <v>1.8</v>
      </c>
      <c r="F1262" t="str">
        <f t="shared" si="634"/>
        <v>OK</v>
      </c>
      <c r="G1262" t="str">
        <f t="shared" si="635"/>
        <v>OK</v>
      </c>
      <c r="H1262" t="str">
        <f t="shared" si="636"/>
        <v>OK</v>
      </c>
      <c r="I1262" s="4">
        <f t="shared" si="637"/>
        <v>2020</v>
      </c>
      <c r="J1262">
        <f>( 377.84*B1262 + 3903.1)/550</f>
        <v>23.515410909090907</v>
      </c>
      <c r="K1262">
        <f xml:space="preserve"> (59.02*E1262 + 1383.4)/365</f>
        <v>4.0811945205479461</v>
      </c>
      <c r="R1262" s="4">
        <f>J1262-B1262</f>
        <v>-0.38458909090909188</v>
      </c>
      <c r="S1262" s="4">
        <f>K1262-E1262</f>
        <v>2.2811945205479462</v>
      </c>
    </row>
    <row r="1263" spans="1:19" hidden="1" x14ac:dyDescent="0.35">
      <c r="A1263" s="1">
        <v>43997</v>
      </c>
      <c r="B1263" s="4">
        <v>25</v>
      </c>
      <c r="C1263">
        <v>21.2</v>
      </c>
      <c r="D1263">
        <v>28.9</v>
      </c>
      <c r="E1263" s="4">
        <v>0</v>
      </c>
      <c r="F1263" t="str">
        <f t="shared" si="634"/>
        <v>OK</v>
      </c>
      <c r="G1263" t="str">
        <f t="shared" si="635"/>
        <v>OK</v>
      </c>
      <c r="H1263" t="str">
        <f t="shared" si="636"/>
        <v>OK</v>
      </c>
      <c r="I1263" s="4">
        <f t="shared" si="637"/>
        <v>2020</v>
      </c>
    </row>
    <row r="1264" spans="1:19" x14ac:dyDescent="0.35">
      <c r="A1264" s="1">
        <v>43998</v>
      </c>
      <c r="B1264" s="4">
        <v>24.8</v>
      </c>
      <c r="C1264">
        <v>20.6</v>
      </c>
      <c r="D1264">
        <v>34.299999999999997</v>
      </c>
      <c r="E1264" s="4">
        <v>2</v>
      </c>
      <c r="F1264" t="str">
        <f t="shared" si="634"/>
        <v>OK</v>
      </c>
      <c r="G1264" t="str">
        <f t="shared" si="635"/>
        <v>OK</v>
      </c>
      <c r="H1264" t="str">
        <f t="shared" si="636"/>
        <v>OK</v>
      </c>
      <c r="I1264" s="4">
        <f t="shared" si="637"/>
        <v>2020</v>
      </c>
      <c r="J1264">
        <f>( 377.84*B1264 + 3903.1)/550</f>
        <v>24.133694545454546</v>
      </c>
      <c r="K1264">
        <f xml:space="preserve"> (59.02*E1264 + 1383.4)/365</f>
        <v>4.1135342465753428</v>
      </c>
      <c r="R1264" s="4">
        <f>J1264-B1264</f>
        <v>-0.66630545454545498</v>
      </c>
      <c r="S1264" s="4">
        <f>K1264-E1264</f>
        <v>2.1135342465753428</v>
      </c>
    </row>
    <row r="1265" spans="1:19" hidden="1" x14ac:dyDescent="0.35">
      <c r="A1265" s="1">
        <v>43999</v>
      </c>
      <c r="B1265" s="4">
        <v>23.4</v>
      </c>
      <c r="C1265">
        <v>21.4</v>
      </c>
      <c r="D1265">
        <v>28</v>
      </c>
      <c r="E1265" s="4">
        <v>0</v>
      </c>
      <c r="F1265" t="str">
        <f t="shared" si="634"/>
        <v>OK</v>
      </c>
      <c r="G1265" t="str">
        <f t="shared" si="635"/>
        <v>OK</v>
      </c>
      <c r="H1265" t="str">
        <f t="shared" si="636"/>
        <v>OK</v>
      </c>
      <c r="I1265" s="4">
        <f t="shared" si="637"/>
        <v>2020</v>
      </c>
    </row>
    <row r="1266" spans="1:19" hidden="1" x14ac:dyDescent="0.35">
      <c r="A1266" s="1">
        <v>44000</v>
      </c>
      <c r="B1266" s="4">
        <v>23.3</v>
      </c>
      <c r="C1266">
        <v>20.6</v>
      </c>
      <c r="D1266">
        <v>27.2</v>
      </c>
      <c r="E1266" s="4">
        <v>0</v>
      </c>
      <c r="F1266" t="str">
        <f t="shared" si="634"/>
        <v>OK</v>
      </c>
      <c r="G1266" t="str">
        <f t="shared" si="635"/>
        <v>OK</v>
      </c>
      <c r="H1266" t="str">
        <f t="shared" si="636"/>
        <v>OK</v>
      </c>
      <c r="I1266" s="4">
        <f t="shared" si="637"/>
        <v>2020</v>
      </c>
    </row>
    <row r="1267" spans="1:19" hidden="1" x14ac:dyDescent="0.35">
      <c r="A1267" s="1">
        <v>44001</v>
      </c>
      <c r="B1267" s="4">
        <v>24.7</v>
      </c>
      <c r="C1267">
        <v>20.7</v>
      </c>
      <c r="D1267">
        <v>30.8</v>
      </c>
      <c r="E1267" s="4">
        <v>0</v>
      </c>
      <c r="F1267" t="str">
        <f t="shared" si="634"/>
        <v>OK</v>
      </c>
      <c r="G1267" t="str">
        <f t="shared" si="635"/>
        <v>OK</v>
      </c>
      <c r="H1267" t="str">
        <f t="shared" si="636"/>
        <v>OK</v>
      </c>
      <c r="I1267" s="4">
        <f t="shared" si="637"/>
        <v>2020</v>
      </c>
    </row>
    <row r="1268" spans="1:19" hidden="1" x14ac:dyDescent="0.35">
      <c r="A1268" s="1">
        <v>44002</v>
      </c>
      <c r="B1268" s="4">
        <v>25.2</v>
      </c>
      <c r="C1268">
        <v>21.2</v>
      </c>
      <c r="D1268">
        <v>29.6</v>
      </c>
      <c r="E1268" s="4">
        <v>0</v>
      </c>
      <c r="F1268" t="str">
        <f t="shared" si="634"/>
        <v>OK</v>
      </c>
      <c r="G1268" t="str">
        <f t="shared" si="635"/>
        <v>OK</v>
      </c>
      <c r="H1268" t="str">
        <f t="shared" si="636"/>
        <v>OK</v>
      </c>
      <c r="I1268" s="4">
        <f t="shared" si="637"/>
        <v>2020</v>
      </c>
    </row>
    <row r="1269" spans="1:19" hidden="1" x14ac:dyDescent="0.35">
      <c r="A1269" s="1">
        <v>44003</v>
      </c>
      <c r="B1269" s="4">
        <v>23.8</v>
      </c>
      <c r="C1269">
        <v>21.1</v>
      </c>
      <c r="D1269">
        <v>30.3</v>
      </c>
      <c r="E1269" s="4">
        <v>0</v>
      </c>
      <c r="F1269" t="str">
        <f t="shared" si="634"/>
        <v>OK</v>
      </c>
      <c r="G1269" t="str">
        <f t="shared" si="635"/>
        <v>OK</v>
      </c>
      <c r="H1269" t="str">
        <f t="shared" si="636"/>
        <v>OK</v>
      </c>
      <c r="I1269" s="4">
        <f t="shared" si="637"/>
        <v>2020</v>
      </c>
    </row>
    <row r="1270" spans="1:19" x14ac:dyDescent="0.35">
      <c r="A1270" s="1">
        <v>44004</v>
      </c>
      <c r="B1270" s="4">
        <v>23.4</v>
      </c>
      <c r="C1270">
        <v>21</v>
      </c>
      <c r="D1270">
        <v>28.8</v>
      </c>
      <c r="E1270" s="4">
        <v>0.3</v>
      </c>
      <c r="F1270" t="str">
        <f t="shared" si="634"/>
        <v>OK</v>
      </c>
      <c r="G1270" t="str">
        <f t="shared" si="635"/>
        <v>OK</v>
      </c>
      <c r="H1270" t="str">
        <f t="shared" si="636"/>
        <v>OK</v>
      </c>
      <c r="I1270" s="4">
        <f t="shared" si="637"/>
        <v>2020</v>
      </c>
      <c r="J1270">
        <f t="shared" ref="J1270:J1274" si="642">( 377.84*B1270 + 3903.1)/550</f>
        <v>23.171919999999997</v>
      </c>
      <c r="K1270">
        <f t="shared" ref="K1270:K1274" si="643" xml:space="preserve"> (59.02*E1270 + 1383.4)/365</f>
        <v>3.8386465753424659</v>
      </c>
      <c r="R1270" s="4">
        <f t="shared" ref="R1270:R1274" si="644">J1270-B1270</f>
        <v>-0.22808000000000206</v>
      </c>
      <c r="S1270" s="4">
        <f t="shared" ref="S1270:S1274" si="645">K1270-E1270</f>
        <v>3.5386465753424661</v>
      </c>
    </row>
    <row r="1271" spans="1:19" x14ac:dyDescent="0.35">
      <c r="A1271" s="1">
        <v>44005</v>
      </c>
      <c r="B1271" s="4">
        <v>25.3</v>
      </c>
      <c r="C1271">
        <v>20.6</v>
      </c>
      <c r="D1271">
        <v>30.8</v>
      </c>
      <c r="E1271" s="4">
        <v>2.2999999999999998</v>
      </c>
      <c r="F1271" t="str">
        <f t="shared" si="634"/>
        <v>OK</v>
      </c>
      <c r="G1271" t="str">
        <f t="shared" si="635"/>
        <v>OK</v>
      </c>
      <c r="H1271" t="str">
        <f t="shared" si="636"/>
        <v>OK</v>
      </c>
      <c r="I1271" s="4">
        <f t="shared" si="637"/>
        <v>2020</v>
      </c>
      <c r="J1271">
        <f t="shared" si="642"/>
        <v>24.477185454545452</v>
      </c>
      <c r="K1271">
        <f t="shared" si="643"/>
        <v>4.1620438356164389</v>
      </c>
      <c r="R1271" s="4">
        <f t="shared" si="644"/>
        <v>-0.82281454545454835</v>
      </c>
      <c r="S1271" s="4">
        <f t="shared" si="645"/>
        <v>1.862043835616439</v>
      </c>
    </row>
    <row r="1272" spans="1:19" x14ac:dyDescent="0.35">
      <c r="A1272" s="1">
        <v>44006</v>
      </c>
      <c r="B1272" s="4">
        <v>24.2</v>
      </c>
      <c r="C1272">
        <v>20.2</v>
      </c>
      <c r="D1272">
        <v>30.4</v>
      </c>
      <c r="E1272" s="4">
        <v>4.5999999999999996</v>
      </c>
      <c r="F1272" t="str">
        <f t="shared" si="634"/>
        <v>OK</v>
      </c>
      <c r="G1272" t="str">
        <f t="shared" si="635"/>
        <v>OK</v>
      </c>
      <c r="H1272" t="str">
        <f t="shared" si="636"/>
        <v>OK</v>
      </c>
      <c r="I1272" s="4">
        <f t="shared" si="637"/>
        <v>2020</v>
      </c>
      <c r="J1272">
        <f t="shared" si="642"/>
        <v>23.721505454545454</v>
      </c>
      <c r="K1272">
        <f t="shared" si="643"/>
        <v>4.533950684931507</v>
      </c>
      <c r="R1272" s="4">
        <f t="shared" si="644"/>
        <v>-0.47849454545454506</v>
      </c>
      <c r="S1272" s="4">
        <f t="shared" si="645"/>
        <v>-6.6049315068492653E-2</v>
      </c>
    </row>
    <row r="1273" spans="1:19" x14ac:dyDescent="0.35">
      <c r="A1273" s="1">
        <v>44007</v>
      </c>
      <c r="B1273" s="4">
        <v>23.7</v>
      </c>
      <c r="C1273">
        <v>19.3</v>
      </c>
      <c r="D1273">
        <v>31.4</v>
      </c>
      <c r="E1273" s="4">
        <v>22.1</v>
      </c>
      <c r="F1273" t="str">
        <f t="shared" si="634"/>
        <v>OK</v>
      </c>
      <c r="G1273" t="str">
        <f t="shared" si="635"/>
        <v>OK</v>
      </c>
      <c r="H1273" t="str">
        <f t="shared" si="636"/>
        <v>OK</v>
      </c>
      <c r="I1273" s="4">
        <f t="shared" si="637"/>
        <v>2020</v>
      </c>
      <c r="J1273">
        <f t="shared" si="642"/>
        <v>23.378014545454544</v>
      </c>
      <c r="K1273">
        <f t="shared" si="643"/>
        <v>7.3636767123287674</v>
      </c>
      <c r="R1273" s="4">
        <f t="shared" si="644"/>
        <v>-0.32198545454545524</v>
      </c>
      <c r="S1273" s="4">
        <f t="shared" si="645"/>
        <v>-14.736323287671233</v>
      </c>
    </row>
    <row r="1274" spans="1:19" x14ac:dyDescent="0.35">
      <c r="A1274" s="1">
        <v>44008</v>
      </c>
      <c r="B1274" s="4">
        <v>24.2</v>
      </c>
      <c r="C1274">
        <v>20.399999999999999</v>
      </c>
      <c r="D1274">
        <v>30.4</v>
      </c>
      <c r="E1274" s="4">
        <v>39.6</v>
      </c>
      <c r="F1274" t="str">
        <f t="shared" si="634"/>
        <v>OK</v>
      </c>
      <c r="G1274" t="str">
        <f t="shared" si="635"/>
        <v>OK</v>
      </c>
      <c r="H1274" t="str">
        <f t="shared" si="636"/>
        <v>OK</v>
      </c>
      <c r="I1274" s="4">
        <f t="shared" si="637"/>
        <v>2020</v>
      </c>
      <c r="J1274">
        <f t="shared" si="642"/>
        <v>23.721505454545454</v>
      </c>
      <c r="K1274">
        <f t="shared" si="643"/>
        <v>10.193402739726027</v>
      </c>
      <c r="R1274" s="4">
        <f t="shared" si="644"/>
        <v>-0.47849454545454506</v>
      </c>
      <c r="S1274" s="4">
        <f t="shared" si="645"/>
        <v>-29.406597260273976</v>
      </c>
    </row>
    <row r="1275" spans="1:19" hidden="1" x14ac:dyDescent="0.35">
      <c r="A1275" s="1">
        <v>44009</v>
      </c>
      <c r="B1275" s="4">
        <v>24.4</v>
      </c>
      <c r="C1275">
        <v>21</v>
      </c>
      <c r="D1275">
        <v>29.2</v>
      </c>
      <c r="E1275" s="4">
        <v>0</v>
      </c>
      <c r="F1275" t="str">
        <f t="shared" si="634"/>
        <v>OK</v>
      </c>
      <c r="G1275" t="str">
        <f t="shared" si="635"/>
        <v>OK</v>
      </c>
      <c r="H1275" t="str">
        <f t="shared" si="636"/>
        <v>OK</v>
      </c>
      <c r="I1275" s="4">
        <f t="shared" si="637"/>
        <v>2020</v>
      </c>
    </row>
    <row r="1276" spans="1:19" x14ac:dyDescent="0.35">
      <c r="A1276" s="1">
        <v>44010</v>
      </c>
      <c r="B1276" s="4">
        <v>24.8</v>
      </c>
      <c r="C1276">
        <v>21.4</v>
      </c>
      <c r="D1276">
        <v>29</v>
      </c>
      <c r="E1276" s="4">
        <v>2.2999999999999998</v>
      </c>
      <c r="F1276" t="str">
        <f t="shared" si="634"/>
        <v>OK</v>
      </c>
      <c r="G1276" t="str">
        <f t="shared" si="635"/>
        <v>OK</v>
      </c>
      <c r="H1276" t="str">
        <f t="shared" si="636"/>
        <v>OK</v>
      </c>
      <c r="I1276" s="4">
        <f t="shared" si="637"/>
        <v>2020</v>
      </c>
      <c r="J1276">
        <f>( 377.84*B1276 + 3903.1)/550</f>
        <v>24.133694545454546</v>
      </c>
      <c r="K1276">
        <f xml:space="preserve"> (59.02*E1276 + 1383.4)/365</f>
        <v>4.1620438356164389</v>
      </c>
      <c r="R1276" s="4">
        <f>J1276-B1276</f>
        <v>-0.66630545454545498</v>
      </c>
      <c r="S1276" s="4">
        <f>K1276-E1276</f>
        <v>1.862043835616439</v>
      </c>
    </row>
    <row r="1277" spans="1:19" hidden="1" x14ac:dyDescent="0.35">
      <c r="A1277" s="1">
        <v>44011</v>
      </c>
      <c r="B1277" s="4">
        <v>23.6</v>
      </c>
      <c r="C1277">
        <v>21.2</v>
      </c>
      <c r="D1277">
        <v>30</v>
      </c>
      <c r="E1277" s="4">
        <v>0</v>
      </c>
      <c r="F1277" t="str">
        <f t="shared" si="634"/>
        <v>OK</v>
      </c>
      <c r="G1277" t="str">
        <f t="shared" si="635"/>
        <v>OK</v>
      </c>
      <c r="H1277" t="str">
        <f t="shared" si="636"/>
        <v>OK</v>
      </c>
      <c r="I1277" s="4">
        <f t="shared" si="637"/>
        <v>2020</v>
      </c>
    </row>
    <row r="1278" spans="1:19" x14ac:dyDescent="0.35">
      <c r="A1278" s="1">
        <v>44012</v>
      </c>
      <c r="B1278" s="4">
        <v>24.6</v>
      </c>
      <c r="C1278">
        <v>20.2</v>
      </c>
      <c r="D1278">
        <v>29.8</v>
      </c>
      <c r="E1278" s="4">
        <v>1.3</v>
      </c>
      <c r="F1278" t="str">
        <f t="shared" si="634"/>
        <v>OK</v>
      </c>
      <c r="G1278" t="str">
        <f t="shared" si="635"/>
        <v>OK</v>
      </c>
      <c r="H1278" t="str">
        <f t="shared" si="636"/>
        <v>OK</v>
      </c>
      <c r="I1278" s="4">
        <f t="shared" si="637"/>
        <v>2020</v>
      </c>
      <c r="J1278">
        <f>( 377.84*B1278 + 3903.1)/550</f>
        <v>23.996298181818183</v>
      </c>
      <c r="K1278">
        <f xml:space="preserve"> (59.02*E1278 + 1383.4)/365</f>
        <v>4.0003452054794524</v>
      </c>
      <c r="R1278" s="4">
        <f>J1278-B1278</f>
        <v>-0.60370181818181834</v>
      </c>
      <c r="S1278" s="4">
        <f>K1278-E1278</f>
        <v>2.7003452054794526</v>
      </c>
    </row>
    <row r="1279" spans="1:19" hidden="1" x14ac:dyDescent="0.35">
      <c r="A1279" s="1">
        <v>44013</v>
      </c>
      <c r="B1279" s="4">
        <v>24.7</v>
      </c>
      <c r="C1279">
        <v>21.2</v>
      </c>
      <c r="D1279">
        <v>29.4</v>
      </c>
      <c r="E1279" s="4">
        <v>0</v>
      </c>
      <c r="F1279" t="str">
        <f t="shared" si="634"/>
        <v>OK</v>
      </c>
      <c r="G1279" t="str">
        <f t="shared" si="635"/>
        <v>OK</v>
      </c>
      <c r="H1279" t="str">
        <f t="shared" si="636"/>
        <v>OK</v>
      </c>
      <c r="I1279" s="4">
        <f t="shared" si="637"/>
        <v>2020</v>
      </c>
    </row>
    <row r="1280" spans="1:19" hidden="1" x14ac:dyDescent="0.35">
      <c r="A1280" s="1">
        <v>44014</v>
      </c>
      <c r="B1280">
        <v>22.4</v>
      </c>
      <c r="C1280">
        <v>20.3</v>
      </c>
      <c r="D1280">
        <v>28.4</v>
      </c>
      <c r="E1280"/>
      <c r="I1280"/>
    </row>
    <row r="1281" spans="1:19" x14ac:dyDescent="0.35">
      <c r="A1281" s="1">
        <v>44015</v>
      </c>
      <c r="B1281" s="4">
        <v>22.6</v>
      </c>
      <c r="C1281">
        <v>19.7</v>
      </c>
      <c r="D1281">
        <v>26.5</v>
      </c>
      <c r="E1281" s="4">
        <v>7.1</v>
      </c>
      <c r="F1281" t="str">
        <f t="shared" ref="F1281:F1300" si="646">IF(OR(B1281 &lt; $N$30, B1281 &gt; $N$67), "Outlier", "OK")</f>
        <v>OK</v>
      </c>
      <c r="G1281" t="str">
        <f t="shared" ref="G1281:G1300" si="647">IF(OR(C1281 &lt; $O$30, C1281 &gt; $O$67), "Outlier", "OK")</f>
        <v>OK</v>
      </c>
      <c r="H1281" t="str">
        <f t="shared" ref="H1281:H1300" si="648">IF(OR(D1281 &lt; $P$30, D1281 &gt; $P$67), "Outlier", "OK")</f>
        <v>OK</v>
      </c>
      <c r="I1281" s="4">
        <f t="shared" ref="I1281:I1300" si="649">YEAR(A1281)</f>
        <v>2020</v>
      </c>
      <c r="J1281">
        <f t="shared" ref="J1281:J1282" si="650">( 377.84*B1281 + 3903.1)/550</f>
        <v>22.622334545454546</v>
      </c>
      <c r="K1281">
        <f t="shared" ref="K1281:K1282" si="651" xml:space="preserve"> (59.02*E1281 + 1383.4)/365</f>
        <v>4.9381972602739728</v>
      </c>
      <c r="R1281" s="4">
        <f t="shared" ref="R1281:R1282" si="652">J1281-B1281</f>
        <v>2.2334545454544497E-2</v>
      </c>
      <c r="S1281" s="4">
        <f t="shared" ref="S1281:S1282" si="653">K1281-E1281</f>
        <v>-2.1618027397260269</v>
      </c>
    </row>
    <row r="1282" spans="1:19" x14ac:dyDescent="0.35">
      <c r="A1282" s="1">
        <v>44016</v>
      </c>
      <c r="B1282" s="4">
        <v>22.8</v>
      </c>
      <c r="C1282">
        <v>20</v>
      </c>
      <c r="D1282">
        <v>28.4</v>
      </c>
      <c r="E1282" s="4">
        <v>7.1</v>
      </c>
      <c r="F1282" t="str">
        <f t="shared" si="646"/>
        <v>OK</v>
      </c>
      <c r="G1282" t="str">
        <f t="shared" si="647"/>
        <v>OK</v>
      </c>
      <c r="H1282" t="str">
        <f t="shared" si="648"/>
        <v>OK</v>
      </c>
      <c r="I1282" s="4">
        <f t="shared" si="649"/>
        <v>2020</v>
      </c>
      <c r="J1282">
        <f t="shared" si="650"/>
        <v>22.759730909090912</v>
      </c>
      <c r="K1282">
        <f t="shared" si="651"/>
        <v>4.9381972602739728</v>
      </c>
      <c r="R1282" s="4">
        <f t="shared" si="652"/>
        <v>-4.026909090908859E-2</v>
      </c>
      <c r="S1282" s="4">
        <f t="shared" si="653"/>
        <v>-2.1618027397260269</v>
      </c>
    </row>
    <row r="1283" spans="1:19" hidden="1" x14ac:dyDescent="0.35">
      <c r="A1283" s="1">
        <v>44017</v>
      </c>
      <c r="B1283" s="4">
        <v>23.3</v>
      </c>
      <c r="C1283">
        <v>21</v>
      </c>
      <c r="D1283">
        <v>27.2</v>
      </c>
      <c r="E1283" s="4">
        <v>0</v>
      </c>
      <c r="F1283" t="str">
        <f t="shared" si="646"/>
        <v>OK</v>
      </c>
      <c r="G1283" t="str">
        <f t="shared" si="647"/>
        <v>OK</v>
      </c>
      <c r="H1283" t="str">
        <f t="shared" si="648"/>
        <v>OK</v>
      </c>
      <c r="I1283" s="4">
        <f t="shared" si="649"/>
        <v>2020</v>
      </c>
    </row>
    <row r="1284" spans="1:19" x14ac:dyDescent="0.35">
      <c r="A1284" s="1">
        <v>44018</v>
      </c>
      <c r="B1284" s="4">
        <v>23.1</v>
      </c>
      <c r="C1284">
        <v>20.6</v>
      </c>
      <c r="D1284">
        <v>27.6</v>
      </c>
      <c r="E1284" s="4">
        <v>0.5</v>
      </c>
      <c r="F1284" t="str">
        <f t="shared" si="646"/>
        <v>OK</v>
      </c>
      <c r="G1284" t="str">
        <f t="shared" si="647"/>
        <v>OK</v>
      </c>
      <c r="H1284" t="str">
        <f t="shared" si="648"/>
        <v>OK</v>
      </c>
      <c r="I1284" s="4">
        <f t="shared" si="649"/>
        <v>2020</v>
      </c>
      <c r="J1284">
        <f>( 377.84*B1284 + 3903.1)/550</f>
        <v>22.965825454545453</v>
      </c>
      <c r="K1284">
        <f xml:space="preserve"> (59.02*E1284 + 1383.4)/365</f>
        <v>3.8709863013698631</v>
      </c>
      <c r="R1284" s="4">
        <f>J1284-B1284</f>
        <v>-0.13417454545454888</v>
      </c>
      <c r="S1284" s="4">
        <f>K1284-E1284</f>
        <v>3.3709863013698631</v>
      </c>
    </row>
    <row r="1285" spans="1:19" hidden="1" x14ac:dyDescent="0.35">
      <c r="A1285" s="1">
        <v>44019</v>
      </c>
      <c r="B1285" s="4">
        <v>23.4</v>
      </c>
      <c r="C1285">
        <v>20.8</v>
      </c>
      <c r="D1285">
        <v>30</v>
      </c>
      <c r="E1285" s="4">
        <v>0</v>
      </c>
      <c r="F1285" t="str">
        <f t="shared" si="646"/>
        <v>OK</v>
      </c>
      <c r="G1285" t="str">
        <f t="shared" si="647"/>
        <v>OK</v>
      </c>
      <c r="H1285" t="str">
        <f t="shared" si="648"/>
        <v>OK</v>
      </c>
      <c r="I1285" s="4">
        <f t="shared" si="649"/>
        <v>2020</v>
      </c>
    </row>
    <row r="1286" spans="1:19" x14ac:dyDescent="0.35">
      <c r="A1286" s="1">
        <v>44020</v>
      </c>
      <c r="B1286" s="4">
        <v>22.9</v>
      </c>
      <c r="C1286">
        <v>20.6</v>
      </c>
      <c r="D1286">
        <v>28.6</v>
      </c>
      <c r="E1286" s="4">
        <v>7.4</v>
      </c>
      <c r="F1286" t="str">
        <f t="shared" si="646"/>
        <v>OK</v>
      </c>
      <c r="G1286" t="str">
        <f t="shared" si="647"/>
        <v>OK</v>
      </c>
      <c r="H1286" t="str">
        <f t="shared" si="648"/>
        <v>OK</v>
      </c>
      <c r="I1286" s="4">
        <f t="shared" si="649"/>
        <v>2020</v>
      </c>
      <c r="J1286">
        <f t="shared" ref="J1286:J1290" si="654">( 377.84*B1286 + 3903.1)/550</f>
        <v>22.82842909090909</v>
      </c>
      <c r="K1286">
        <f t="shared" ref="K1286:K1290" si="655" xml:space="preserve"> (59.02*E1286 + 1383.4)/365</f>
        <v>4.9867068493150688</v>
      </c>
      <c r="R1286" s="4">
        <f t="shared" ref="R1286:R1290" si="656">J1286-B1286</f>
        <v>-7.1570909090908685E-2</v>
      </c>
      <c r="S1286" s="4">
        <f t="shared" ref="S1286:S1290" si="657">K1286-E1286</f>
        <v>-2.4132931506849316</v>
      </c>
    </row>
    <row r="1287" spans="1:19" x14ac:dyDescent="0.35">
      <c r="A1287" s="1">
        <v>44021</v>
      </c>
      <c r="B1287" s="4">
        <v>23.7</v>
      </c>
      <c r="C1287">
        <v>20.2</v>
      </c>
      <c r="D1287">
        <v>29.4</v>
      </c>
      <c r="E1287" s="4">
        <v>24.4</v>
      </c>
      <c r="F1287" t="str">
        <f t="shared" si="646"/>
        <v>OK</v>
      </c>
      <c r="G1287" t="str">
        <f t="shared" si="647"/>
        <v>OK</v>
      </c>
      <c r="H1287" t="str">
        <f t="shared" si="648"/>
        <v>OK</v>
      </c>
      <c r="I1287" s="4">
        <f t="shared" si="649"/>
        <v>2020</v>
      </c>
      <c r="J1287">
        <f t="shared" si="654"/>
        <v>23.378014545454544</v>
      </c>
      <c r="K1287">
        <f t="shared" si="655"/>
        <v>7.7355835616438364</v>
      </c>
      <c r="R1287" s="4">
        <f t="shared" si="656"/>
        <v>-0.32198545454545524</v>
      </c>
      <c r="S1287" s="4">
        <f t="shared" si="657"/>
        <v>-16.664416438356163</v>
      </c>
    </row>
    <row r="1288" spans="1:19" x14ac:dyDescent="0.35">
      <c r="A1288" s="1">
        <v>44022</v>
      </c>
      <c r="B1288" s="4">
        <v>23.1</v>
      </c>
      <c r="C1288">
        <v>20.6</v>
      </c>
      <c r="D1288">
        <v>28.8</v>
      </c>
      <c r="E1288" s="4">
        <v>29.2</v>
      </c>
      <c r="F1288" t="str">
        <f t="shared" si="646"/>
        <v>OK</v>
      </c>
      <c r="G1288" t="str">
        <f t="shared" si="647"/>
        <v>OK</v>
      </c>
      <c r="H1288" t="str">
        <f t="shared" si="648"/>
        <v>OK</v>
      </c>
      <c r="I1288" s="4">
        <f t="shared" si="649"/>
        <v>2020</v>
      </c>
      <c r="J1288">
        <f t="shared" si="654"/>
        <v>22.965825454545453</v>
      </c>
      <c r="K1288">
        <f t="shared" si="655"/>
        <v>8.5117369863013703</v>
      </c>
      <c r="R1288" s="4">
        <f t="shared" si="656"/>
        <v>-0.13417454545454888</v>
      </c>
      <c r="S1288" s="4">
        <f t="shared" si="657"/>
        <v>-20.688263013698631</v>
      </c>
    </row>
    <row r="1289" spans="1:19" x14ac:dyDescent="0.35">
      <c r="A1289" s="1">
        <v>44023</v>
      </c>
      <c r="B1289" s="4">
        <v>24.6</v>
      </c>
      <c r="C1289">
        <v>21</v>
      </c>
      <c r="D1289">
        <v>28.8</v>
      </c>
      <c r="E1289" s="4">
        <v>0.5</v>
      </c>
      <c r="F1289" t="str">
        <f t="shared" si="646"/>
        <v>OK</v>
      </c>
      <c r="G1289" t="str">
        <f t="shared" si="647"/>
        <v>OK</v>
      </c>
      <c r="H1289" t="str">
        <f t="shared" si="648"/>
        <v>OK</v>
      </c>
      <c r="I1289" s="4">
        <f t="shared" si="649"/>
        <v>2020</v>
      </c>
      <c r="J1289">
        <f t="shared" si="654"/>
        <v>23.996298181818183</v>
      </c>
      <c r="K1289">
        <f t="shared" si="655"/>
        <v>3.8709863013698631</v>
      </c>
      <c r="R1289" s="4">
        <f t="shared" si="656"/>
        <v>-0.60370181818181834</v>
      </c>
      <c r="S1289" s="4">
        <f t="shared" si="657"/>
        <v>3.3709863013698631</v>
      </c>
    </row>
    <row r="1290" spans="1:19" x14ac:dyDescent="0.35">
      <c r="A1290" s="1">
        <v>44024</v>
      </c>
      <c r="B1290" s="4">
        <v>25.1</v>
      </c>
      <c r="C1290">
        <v>21</v>
      </c>
      <c r="D1290">
        <v>29.4</v>
      </c>
      <c r="E1290" s="4">
        <v>0.3</v>
      </c>
      <c r="F1290" t="str">
        <f t="shared" si="646"/>
        <v>OK</v>
      </c>
      <c r="G1290" t="str">
        <f t="shared" si="647"/>
        <v>OK</v>
      </c>
      <c r="H1290" t="str">
        <f t="shared" si="648"/>
        <v>OK</v>
      </c>
      <c r="I1290" s="4">
        <f t="shared" si="649"/>
        <v>2020</v>
      </c>
      <c r="J1290">
        <f t="shared" si="654"/>
        <v>24.33978909090909</v>
      </c>
      <c r="K1290">
        <f t="shared" si="655"/>
        <v>3.8386465753424659</v>
      </c>
      <c r="R1290" s="4">
        <f t="shared" si="656"/>
        <v>-0.76021090909091171</v>
      </c>
      <c r="S1290" s="4">
        <f t="shared" si="657"/>
        <v>3.5386465753424661</v>
      </c>
    </row>
    <row r="1291" spans="1:19" hidden="1" x14ac:dyDescent="0.35">
      <c r="A1291" s="1">
        <v>44025</v>
      </c>
      <c r="B1291" s="4">
        <v>24.3</v>
      </c>
      <c r="C1291">
        <v>21.5</v>
      </c>
      <c r="D1291">
        <v>29.3</v>
      </c>
      <c r="E1291" s="4">
        <v>0</v>
      </c>
      <c r="F1291" t="str">
        <f t="shared" si="646"/>
        <v>OK</v>
      </c>
      <c r="G1291" t="str">
        <f t="shared" si="647"/>
        <v>OK</v>
      </c>
      <c r="H1291" t="str">
        <f t="shared" si="648"/>
        <v>OK</v>
      </c>
      <c r="I1291" s="4">
        <f t="shared" si="649"/>
        <v>2020</v>
      </c>
    </row>
    <row r="1292" spans="1:19" hidden="1" x14ac:dyDescent="0.35">
      <c r="A1292" s="1">
        <v>44026</v>
      </c>
      <c r="B1292" s="4">
        <v>23.8</v>
      </c>
      <c r="C1292">
        <v>21.4</v>
      </c>
      <c r="D1292">
        <v>29.4</v>
      </c>
      <c r="E1292" s="4">
        <v>0</v>
      </c>
      <c r="F1292" t="str">
        <f t="shared" si="646"/>
        <v>OK</v>
      </c>
      <c r="G1292" t="str">
        <f t="shared" si="647"/>
        <v>OK</v>
      </c>
      <c r="H1292" t="str">
        <f t="shared" si="648"/>
        <v>OK</v>
      </c>
      <c r="I1292" s="4">
        <f t="shared" si="649"/>
        <v>2020</v>
      </c>
    </row>
    <row r="1293" spans="1:19" hidden="1" x14ac:dyDescent="0.35">
      <c r="A1293" s="1">
        <v>44027</v>
      </c>
      <c r="B1293" s="4">
        <v>22.4</v>
      </c>
      <c r="C1293">
        <v>21.8</v>
      </c>
      <c r="D1293">
        <v>26.2</v>
      </c>
      <c r="E1293" s="4">
        <v>0</v>
      </c>
      <c r="F1293" t="str">
        <f t="shared" si="646"/>
        <v>OK</v>
      </c>
      <c r="G1293" t="str">
        <f t="shared" si="647"/>
        <v>OK</v>
      </c>
      <c r="H1293" t="str">
        <f t="shared" si="648"/>
        <v>OK</v>
      </c>
      <c r="I1293" s="4">
        <f t="shared" si="649"/>
        <v>2020</v>
      </c>
    </row>
    <row r="1294" spans="1:19" x14ac:dyDescent="0.35">
      <c r="A1294" s="1">
        <v>44028</v>
      </c>
      <c r="B1294" s="4">
        <v>21.8</v>
      </c>
      <c r="C1294">
        <v>20.6</v>
      </c>
      <c r="D1294">
        <v>26</v>
      </c>
      <c r="E1294" s="4">
        <v>6.6</v>
      </c>
      <c r="F1294" t="str">
        <f t="shared" si="646"/>
        <v>OK</v>
      </c>
      <c r="G1294" t="str">
        <f t="shared" si="647"/>
        <v>OK</v>
      </c>
      <c r="H1294" t="str">
        <f t="shared" si="648"/>
        <v>OK</v>
      </c>
      <c r="I1294" s="4">
        <f t="shared" si="649"/>
        <v>2020</v>
      </c>
      <c r="J1294">
        <f t="shared" ref="J1294:J1295" si="658">( 377.84*B1294 + 3903.1)/550</f>
        <v>22.072749090909092</v>
      </c>
      <c r="K1294">
        <f t="shared" ref="K1294:K1295" si="659" xml:space="preserve"> (59.02*E1294 + 1383.4)/365</f>
        <v>4.8573479452054791</v>
      </c>
      <c r="R1294" s="4">
        <f t="shared" ref="R1294:R1295" si="660">J1294-B1294</f>
        <v>0.27274909090909105</v>
      </c>
      <c r="S1294" s="4">
        <f t="shared" ref="S1294:S1295" si="661">K1294-E1294</f>
        <v>-1.7426520547945206</v>
      </c>
    </row>
    <row r="1295" spans="1:19" x14ac:dyDescent="0.35">
      <c r="A1295" s="1">
        <v>44029</v>
      </c>
      <c r="B1295" s="4">
        <v>22.2</v>
      </c>
      <c r="C1295">
        <v>20.399999999999999</v>
      </c>
      <c r="D1295">
        <v>25.2</v>
      </c>
      <c r="E1295" s="4">
        <v>10.9</v>
      </c>
      <c r="F1295" t="str">
        <f t="shared" si="646"/>
        <v>OK</v>
      </c>
      <c r="G1295" t="str">
        <f t="shared" si="647"/>
        <v>OK</v>
      </c>
      <c r="H1295" t="str">
        <f t="shared" si="648"/>
        <v>OK</v>
      </c>
      <c r="I1295" s="4">
        <f t="shared" si="649"/>
        <v>2020</v>
      </c>
      <c r="J1295">
        <f t="shared" si="658"/>
        <v>22.347541818181817</v>
      </c>
      <c r="K1295">
        <f t="shared" si="659"/>
        <v>5.5526520547945211</v>
      </c>
      <c r="R1295" s="4">
        <f t="shared" si="660"/>
        <v>0.14754181818181777</v>
      </c>
      <c r="S1295" s="4">
        <f t="shared" si="661"/>
        <v>-5.3473479452054793</v>
      </c>
    </row>
    <row r="1296" spans="1:19" hidden="1" x14ac:dyDescent="0.35">
      <c r="A1296" s="1">
        <v>44030</v>
      </c>
      <c r="B1296" s="4">
        <v>23.4</v>
      </c>
      <c r="C1296">
        <v>20.9</v>
      </c>
      <c r="D1296">
        <v>27.8</v>
      </c>
      <c r="E1296" s="4">
        <v>0</v>
      </c>
      <c r="F1296" t="str">
        <f t="shared" si="646"/>
        <v>OK</v>
      </c>
      <c r="G1296" t="str">
        <f t="shared" si="647"/>
        <v>OK</v>
      </c>
      <c r="H1296" t="str">
        <f t="shared" si="648"/>
        <v>OK</v>
      </c>
      <c r="I1296" s="4">
        <f t="shared" si="649"/>
        <v>2020</v>
      </c>
    </row>
    <row r="1297" spans="1:19" x14ac:dyDescent="0.35">
      <c r="A1297" s="1">
        <v>44031</v>
      </c>
      <c r="B1297" s="4">
        <v>24.4</v>
      </c>
      <c r="C1297">
        <v>21.4</v>
      </c>
      <c r="D1297">
        <v>29.8</v>
      </c>
      <c r="E1297" s="4">
        <v>0.8</v>
      </c>
      <c r="F1297" t="str">
        <f t="shared" si="646"/>
        <v>OK</v>
      </c>
      <c r="G1297" t="str">
        <f t="shared" si="647"/>
        <v>OK</v>
      </c>
      <c r="H1297" t="str">
        <f t="shared" si="648"/>
        <v>OK</v>
      </c>
      <c r="I1297" s="4">
        <f t="shared" si="649"/>
        <v>2020</v>
      </c>
      <c r="J1297">
        <f t="shared" ref="J1297:J1299" si="662">( 377.84*B1297 + 3903.1)/550</f>
        <v>23.858901818181817</v>
      </c>
      <c r="K1297">
        <f t="shared" ref="K1297:K1299" si="663" xml:space="preserve"> (59.02*E1297 + 1383.4)/365</f>
        <v>3.9194958904109587</v>
      </c>
      <c r="R1297" s="4">
        <f t="shared" ref="R1297:R1299" si="664">J1297-B1297</f>
        <v>-0.5410981818181817</v>
      </c>
      <c r="S1297" s="4">
        <f t="shared" ref="S1297:S1299" si="665">K1297-E1297</f>
        <v>3.1194958904109589</v>
      </c>
    </row>
    <row r="1298" spans="1:19" x14ac:dyDescent="0.35">
      <c r="A1298" s="1">
        <v>44032</v>
      </c>
      <c r="B1298" s="4">
        <v>23.4</v>
      </c>
      <c r="C1298">
        <v>21.8</v>
      </c>
      <c r="D1298">
        <v>29.6</v>
      </c>
      <c r="E1298" s="4">
        <v>11.2</v>
      </c>
      <c r="F1298" t="str">
        <f t="shared" si="646"/>
        <v>OK</v>
      </c>
      <c r="G1298" t="str">
        <f t="shared" si="647"/>
        <v>OK</v>
      </c>
      <c r="H1298" t="str">
        <f t="shared" si="648"/>
        <v>OK</v>
      </c>
      <c r="I1298" s="4">
        <f t="shared" si="649"/>
        <v>2020</v>
      </c>
      <c r="J1298">
        <f t="shared" si="662"/>
        <v>23.171919999999997</v>
      </c>
      <c r="K1298">
        <f t="shared" si="663"/>
        <v>5.6011616438356162</v>
      </c>
      <c r="R1298" s="4">
        <f t="shared" si="664"/>
        <v>-0.22808000000000206</v>
      </c>
      <c r="S1298" s="4">
        <f t="shared" si="665"/>
        <v>-5.5988383561643831</v>
      </c>
    </row>
    <row r="1299" spans="1:19" x14ac:dyDescent="0.35">
      <c r="A1299" s="1">
        <v>44033</v>
      </c>
      <c r="B1299" s="4">
        <v>24.5</v>
      </c>
      <c r="C1299">
        <v>19</v>
      </c>
      <c r="D1299">
        <v>29.6</v>
      </c>
      <c r="E1299" s="4">
        <v>24.1</v>
      </c>
      <c r="F1299" t="str">
        <f t="shared" si="646"/>
        <v>OK</v>
      </c>
      <c r="G1299" t="str">
        <f t="shared" si="647"/>
        <v>OK</v>
      </c>
      <c r="H1299" t="str">
        <f t="shared" si="648"/>
        <v>OK</v>
      </c>
      <c r="I1299" s="4">
        <f t="shared" si="649"/>
        <v>2020</v>
      </c>
      <c r="J1299">
        <f t="shared" si="662"/>
        <v>23.927600000000002</v>
      </c>
      <c r="K1299">
        <f t="shared" si="663"/>
        <v>7.6870739726027404</v>
      </c>
      <c r="R1299" s="4">
        <f t="shared" si="664"/>
        <v>-0.57239999999999824</v>
      </c>
      <c r="S1299" s="4">
        <f t="shared" si="665"/>
        <v>-16.412926027397262</v>
      </c>
    </row>
    <row r="1300" spans="1:19" hidden="1" x14ac:dyDescent="0.35">
      <c r="A1300" s="1">
        <v>44034</v>
      </c>
      <c r="B1300" s="4">
        <v>25.8</v>
      </c>
      <c r="C1300">
        <v>22</v>
      </c>
      <c r="D1300">
        <v>30.4</v>
      </c>
      <c r="E1300" s="4">
        <v>0</v>
      </c>
      <c r="F1300" t="str">
        <f t="shared" si="646"/>
        <v>OK</v>
      </c>
      <c r="G1300" t="str">
        <f t="shared" si="647"/>
        <v>OK</v>
      </c>
      <c r="H1300" t="str">
        <f t="shared" si="648"/>
        <v>OK</v>
      </c>
      <c r="I1300" s="4">
        <f t="shared" si="649"/>
        <v>2020</v>
      </c>
    </row>
    <row r="1301" spans="1:19" hidden="1" x14ac:dyDescent="0.35">
      <c r="A1301" s="1">
        <v>44035</v>
      </c>
      <c r="B1301">
        <v>25.1</v>
      </c>
      <c r="C1301">
        <v>20.8</v>
      </c>
      <c r="D1301">
        <v>31</v>
      </c>
      <c r="E1301"/>
      <c r="I1301"/>
    </row>
    <row r="1302" spans="1:19" x14ac:dyDescent="0.35">
      <c r="A1302" s="1">
        <v>44036</v>
      </c>
      <c r="B1302" s="4">
        <v>23.8</v>
      </c>
      <c r="C1302">
        <v>21.5</v>
      </c>
      <c r="D1302">
        <v>30.8</v>
      </c>
      <c r="E1302" s="4">
        <v>4.3</v>
      </c>
      <c r="F1302" t="str">
        <f t="shared" ref="F1302:F1324" si="666">IF(OR(B1302 &lt; $N$30, B1302 &gt; $N$67), "Outlier", "OK")</f>
        <v>OK</v>
      </c>
      <c r="G1302" t="str">
        <f t="shared" ref="G1302:G1324" si="667">IF(OR(C1302 &lt; $O$30, C1302 &gt; $O$67), "Outlier", "OK")</f>
        <v>OK</v>
      </c>
      <c r="H1302" t="str">
        <f t="shared" ref="H1302:H1324" si="668">IF(OR(D1302 &lt; $P$30, D1302 &gt; $P$67), "Outlier", "OK")</f>
        <v>OK</v>
      </c>
      <c r="I1302" s="4">
        <f t="shared" ref="I1302:I1324" si="669">YEAR(A1302)</f>
        <v>2020</v>
      </c>
      <c r="J1302">
        <f>( 377.84*B1302 + 3903.1)/550</f>
        <v>23.446712727272729</v>
      </c>
      <c r="K1302">
        <f xml:space="preserve"> (59.02*E1302 + 1383.4)/365</f>
        <v>4.485441095890411</v>
      </c>
      <c r="R1302" s="4">
        <f>J1302-B1302</f>
        <v>-0.35328727272727178</v>
      </c>
      <c r="S1302" s="4">
        <f>K1302-E1302</f>
        <v>0.18544109589041113</v>
      </c>
    </row>
    <row r="1303" spans="1:19" hidden="1" x14ac:dyDescent="0.35">
      <c r="A1303" s="1">
        <v>44037</v>
      </c>
      <c r="B1303" s="4">
        <v>23.7</v>
      </c>
      <c r="C1303">
        <v>20.5</v>
      </c>
      <c r="D1303">
        <v>29.8</v>
      </c>
      <c r="E1303" s="4">
        <v>0</v>
      </c>
      <c r="F1303" t="str">
        <f t="shared" si="666"/>
        <v>OK</v>
      </c>
      <c r="G1303" t="str">
        <f t="shared" si="667"/>
        <v>OK</v>
      </c>
      <c r="H1303" t="str">
        <f t="shared" si="668"/>
        <v>OK</v>
      </c>
      <c r="I1303" s="4">
        <f t="shared" si="669"/>
        <v>2020</v>
      </c>
    </row>
    <row r="1304" spans="1:19" x14ac:dyDescent="0.35">
      <c r="A1304" s="1">
        <v>44038</v>
      </c>
      <c r="B1304" s="4">
        <v>23.6</v>
      </c>
      <c r="C1304">
        <v>20.399999999999999</v>
      </c>
      <c r="D1304">
        <v>29.4</v>
      </c>
      <c r="E1304" s="4">
        <v>4.0999999999999996</v>
      </c>
      <c r="F1304" t="str">
        <f t="shared" si="666"/>
        <v>OK</v>
      </c>
      <c r="G1304" t="str">
        <f t="shared" si="667"/>
        <v>OK</v>
      </c>
      <c r="H1304" t="str">
        <f t="shared" si="668"/>
        <v>OK</v>
      </c>
      <c r="I1304" s="4">
        <f t="shared" si="669"/>
        <v>2020</v>
      </c>
      <c r="J1304">
        <f>( 377.84*B1304 + 3903.1)/550</f>
        <v>23.309316363636363</v>
      </c>
      <c r="K1304">
        <f xml:space="preserve"> (59.02*E1304 + 1383.4)/365</f>
        <v>4.4531013698630142</v>
      </c>
      <c r="R1304" s="4">
        <f>J1304-B1304</f>
        <v>-0.2906836363636387</v>
      </c>
      <c r="S1304" s="4">
        <f>K1304-E1304</f>
        <v>0.35310136986301455</v>
      </c>
    </row>
    <row r="1305" spans="1:19" hidden="1" x14ac:dyDescent="0.35">
      <c r="A1305" s="1">
        <v>44039</v>
      </c>
      <c r="B1305" s="4">
        <v>24.1</v>
      </c>
      <c r="C1305">
        <v>20.399999999999999</v>
      </c>
      <c r="D1305">
        <v>28.8</v>
      </c>
      <c r="E1305" s="4">
        <v>0</v>
      </c>
      <c r="F1305" t="str">
        <f t="shared" si="666"/>
        <v>OK</v>
      </c>
      <c r="G1305" t="str">
        <f t="shared" si="667"/>
        <v>OK</v>
      </c>
      <c r="H1305" t="str">
        <f t="shared" si="668"/>
        <v>OK</v>
      </c>
      <c r="I1305" s="4">
        <f t="shared" si="669"/>
        <v>2020</v>
      </c>
    </row>
    <row r="1306" spans="1:19" x14ac:dyDescent="0.35">
      <c r="A1306" s="1">
        <v>44040</v>
      </c>
      <c r="B1306" s="4">
        <v>24.7</v>
      </c>
      <c r="C1306">
        <v>20.6</v>
      </c>
      <c r="D1306">
        <v>29</v>
      </c>
      <c r="E1306" s="4">
        <v>2.2999999999999998</v>
      </c>
      <c r="F1306" t="str">
        <f t="shared" si="666"/>
        <v>OK</v>
      </c>
      <c r="G1306" t="str">
        <f t="shared" si="667"/>
        <v>OK</v>
      </c>
      <c r="H1306" t="str">
        <f t="shared" si="668"/>
        <v>OK</v>
      </c>
      <c r="I1306" s="4">
        <f t="shared" si="669"/>
        <v>2020</v>
      </c>
      <c r="J1306">
        <f t="shared" ref="J1306:J1316" si="670">( 377.84*B1306 + 3903.1)/550</f>
        <v>24.064996363636364</v>
      </c>
      <c r="K1306">
        <f t="shared" ref="K1306:K1316" si="671" xml:space="preserve"> (59.02*E1306 + 1383.4)/365</f>
        <v>4.1620438356164389</v>
      </c>
      <c r="R1306" s="4">
        <f t="shared" ref="R1306:R1316" si="672">J1306-B1306</f>
        <v>-0.63500363636363488</v>
      </c>
      <c r="S1306" s="4">
        <f t="shared" ref="S1306:S1316" si="673">K1306-E1306</f>
        <v>1.862043835616439</v>
      </c>
    </row>
    <row r="1307" spans="1:19" x14ac:dyDescent="0.35">
      <c r="A1307" s="1">
        <v>44041</v>
      </c>
      <c r="B1307" s="4">
        <v>22.9</v>
      </c>
      <c r="C1307">
        <v>21.2</v>
      </c>
      <c r="D1307">
        <v>29.5</v>
      </c>
      <c r="E1307" s="4">
        <v>7.9</v>
      </c>
      <c r="F1307" t="str">
        <f t="shared" si="666"/>
        <v>OK</v>
      </c>
      <c r="G1307" t="str">
        <f t="shared" si="667"/>
        <v>OK</v>
      </c>
      <c r="H1307" t="str">
        <f t="shared" si="668"/>
        <v>OK</v>
      </c>
      <c r="I1307" s="4">
        <f t="shared" si="669"/>
        <v>2020</v>
      </c>
      <c r="J1307">
        <f t="shared" si="670"/>
        <v>22.82842909090909</v>
      </c>
      <c r="K1307">
        <f t="shared" si="671"/>
        <v>5.0675561643835616</v>
      </c>
      <c r="R1307" s="4">
        <f t="shared" si="672"/>
        <v>-7.1570909090908685E-2</v>
      </c>
      <c r="S1307" s="4">
        <f t="shared" si="673"/>
        <v>-2.8324438356164388</v>
      </c>
    </row>
    <row r="1308" spans="1:19" x14ac:dyDescent="0.35">
      <c r="A1308" s="1">
        <v>44042</v>
      </c>
      <c r="B1308" s="4">
        <v>23.5</v>
      </c>
      <c r="C1308">
        <v>20.2</v>
      </c>
      <c r="D1308">
        <v>28.8</v>
      </c>
      <c r="E1308" s="4">
        <v>1.3</v>
      </c>
      <c r="F1308" t="str">
        <f t="shared" si="666"/>
        <v>OK</v>
      </c>
      <c r="G1308" t="str">
        <f t="shared" si="667"/>
        <v>OK</v>
      </c>
      <c r="H1308" t="str">
        <f t="shared" si="668"/>
        <v>OK</v>
      </c>
      <c r="I1308" s="4">
        <f t="shared" si="669"/>
        <v>2020</v>
      </c>
      <c r="J1308">
        <f t="shared" si="670"/>
        <v>23.240618181818181</v>
      </c>
      <c r="K1308">
        <f t="shared" si="671"/>
        <v>4.0003452054794524</v>
      </c>
      <c r="R1308" s="4">
        <f t="shared" si="672"/>
        <v>-0.2593818181818186</v>
      </c>
      <c r="S1308" s="4">
        <f t="shared" si="673"/>
        <v>2.7003452054794526</v>
      </c>
    </row>
    <row r="1309" spans="1:19" x14ac:dyDescent="0.35">
      <c r="A1309" s="1">
        <v>44043</v>
      </c>
      <c r="B1309" s="4">
        <v>23.9</v>
      </c>
      <c r="C1309">
        <v>21.4</v>
      </c>
      <c r="D1309">
        <v>28.6</v>
      </c>
      <c r="E1309" s="4">
        <v>4.0999999999999996</v>
      </c>
      <c r="F1309" t="str">
        <f t="shared" si="666"/>
        <v>OK</v>
      </c>
      <c r="G1309" t="str">
        <f t="shared" si="667"/>
        <v>OK</v>
      </c>
      <c r="H1309" t="str">
        <f t="shared" si="668"/>
        <v>OK</v>
      </c>
      <c r="I1309" s="4">
        <f t="shared" si="669"/>
        <v>2020</v>
      </c>
      <c r="J1309">
        <f t="shared" si="670"/>
        <v>23.515410909090907</v>
      </c>
      <c r="K1309">
        <f t="shared" si="671"/>
        <v>4.4531013698630142</v>
      </c>
      <c r="R1309" s="4">
        <f t="shared" si="672"/>
        <v>-0.38458909090909188</v>
      </c>
      <c r="S1309" s="4">
        <f t="shared" si="673"/>
        <v>0.35310136986301455</v>
      </c>
    </row>
    <row r="1310" spans="1:19" x14ac:dyDescent="0.35">
      <c r="A1310" s="1">
        <v>44044</v>
      </c>
      <c r="B1310" s="4">
        <v>23</v>
      </c>
      <c r="C1310">
        <v>20.399999999999999</v>
      </c>
      <c r="D1310">
        <v>29.6</v>
      </c>
      <c r="E1310" s="4">
        <v>2</v>
      </c>
      <c r="F1310" t="str">
        <f t="shared" si="666"/>
        <v>OK</v>
      </c>
      <c r="G1310" t="str">
        <f t="shared" si="667"/>
        <v>OK</v>
      </c>
      <c r="H1310" t="str">
        <f t="shared" si="668"/>
        <v>OK</v>
      </c>
      <c r="I1310" s="4">
        <f t="shared" si="669"/>
        <v>2020</v>
      </c>
      <c r="J1310">
        <f t="shared" si="670"/>
        <v>22.897127272727271</v>
      </c>
      <c r="K1310">
        <f t="shared" si="671"/>
        <v>4.1135342465753428</v>
      </c>
      <c r="R1310" s="4">
        <f t="shared" si="672"/>
        <v>-0.10287272727272878</v>
      </c>
      <c r="S1310" s="4">
        <f t="shared" si="673"/>
        <v>2.1135342465753428</v>
      </c>
    </row>
    <row r="1311" spans="1:19" x14ac:dyDescent="0.35">
      <c r="A1311" s="1">
        <v>44045</v>
      </c>
      <c r="B1311" s="4">
        <v>22.8</v>
      </c>
      <c r="C1311">
        <v>19.600000000000001</v>
      </c>
      <c r="D1311">
        <v>28</v>
      </c>
      <c r="E1311" s="4">
        <v>3.3</v>
      </c>
      <c r="F1311" t="str">
        <f t="shared" si="666"/>
        <v>OK</v>
      </c>
      <c r="G1311" t="str">
        <f t="shared" si="667"/>
        <v>OK</v>
      </c>
      <c r="H1311" t="str">
        <f t="shared" si="668"/>
        <v>OK</v>
      </c>
      <c r="I1311" s="4">
        <f t="shared" si="669"/>
        <v>2020</v>
      </c>
      <c r="J1311">
        <f t="shared" si="670"/>
        <v>22.759730909090912</v>
      </c>
      <c r="K1311">
        <f t="shared" si="671"/>
        <v>4.3237424657534254</v>
      </c>
      <c r="R1311" s="4">
        <f t="shared" si="672"/>
        <v>-4.026909090908859E-2</v>
      </c>
      <c r="S1311" s="4">
        <f t="shared" si="673"/>
        <v>1.0237424657534255</v>
      </c>
    </row>
    <row r="1312" spans="1:19" x14ac:dyDescent="0.35">
      <c r="A1312" s="1">
        <v>44046</v>
      </c>
      <c r="B1312" s="4">
        <v>22.9</v>
      </c>
      <c r="C1312">
        <v>20.399999999999999</v>
      </c>
      <c r="D1312">
        <v>27.8</v>
      </c>
      <c r="E1312" s="4">
        <v>2.5</v>
      </c>
      <c r="F1312" t="str">
        <f t="shared" si="666"/>
        <v>OK</v>
      </c>
      <c r="G1312" t="str">
        <f t="shared" si="667"/>
        <v>OK</v>
      </c>
      <c r="H1312" t="str">
        <f t="shared" si="668"/>
        <v>OK</v>
      </c>
      <c r="I1312" s="4">
        <f t="shared" si="669"/>
        <v>2020</v>
      </c>
      <c r="J1312">
        <f t="shared" si="670"/>
        <v>22.82842909090909</v>
      </c>
      <c r="K1312">
        <f t="shared" si="671"/>
        <v>4.1943835616438356</v>
      </c>
      <c r="R1312" s="4">
        <f t="shared" si="672"/>
        <v>-7.1570909090908685E-2</v>
      </c>
      <c r="S1312" s="4">
        <f t="shared" si="673"/>
        <v>1.6943835616438356</v>
      </c>
    </row>
    <row r="1313" spans="1:19" x14ac:dyDescent="0.35">
      <c r="A1313" s="1">
        <v>44047</v>
      </c>
      <c r="B1313" s="4">
        <v>21.9</v>
      </c>
      <c r="C1313">
        <v>19.8</v>
      </c>
      <c r="D1313">
        <v>26</v>
      </c>
      <c r="E1313" s="4">
        <v>1.5</v>
      </c>
      <c r="F1313" t="str">
        <f t="shared" si="666"/>
        <v>OK</v>
      </c>
      <c r="G1313" t="str">
        <f t="shared" si="667"/>
        <v>OK</v>
      </c>
      <c r="H1313" t="str">
        <f t="shared" si="668"/>
        <v>OK</v>
      </c>
      <c r="I1313" s="4">
        <f t="shared" si="669"/>
        <v>2020</v>
      </c>
      <c r="J1313">
        <f t="shared" si="670"/>
        <v>22.14144727272727</v>
      </c>
      <c r="K1313">
        <f t="shared" si="671"/>
        <v>4.0326849315068491</v>
      </c>
      <c r="R1313" s="4">
        <f t="shared" si="672"/>
        <v>0.24144727272727096</v>
      </c>
      <c r="S1313" s="4">
        <f t="shared" si="673"/>
        <v>2.5326849315068491</v>
      </c>
    </row>
    <row r="1314" spans="1:19" x14ac:dyDescent="0.35">
      <c r="A1314" s="1">
        <v>44048</v>
      </c>
      <c r="B1314" s="4">
        <v>22.1</v>
      </c>
      <c r="C1314">
        <v>19.8</v>
      </c>
      <c r="D1314">
        <v>25.8</v>
      </c>
      <c r="E1314" s="4">
        <v>1.8</v>
      </c>
      <c r="F1314" t="str">
        <f t="shared" si="666"/>
        <v>OK</v>
      </c>
      <c r="G1314" t="str">
        <f t="shared" si="667"/>
        <v>OK</v>
      </c>
      <c r="H1314" t="str">
        <f t="shared" si="668"/>
        <v>OK</v>
      </c>
      <c r="I1314" s="4">
        <f t="shared" si="669"/>
        <v>2020</v>
      </c>
      <c r="J1314">
        <f t="shared" si="670"/>
        <v>22.278843636363636</v>
      </c>
      <c r="K1314">
        <f t="shared" si="671"/>
        <v>4.0811945205479461</v>
      </c>
      <c r="R1314" s="4">
        <f t="shared" si="672"/>
        <v>0.17884363636363432</v>
      </c>
      <c r="S1314" s="4">
        <f t="shared" si="673"/>
        <v>2.2811945205479462</v>
      </c>
    </row>
    <row r="1315" spans="1:19" x14ac:dyDescent="0.35">
      <c r="A1315" s="1">
        <v>44049</v>
      </c>
      <c r="B1315" s="4">
        <v>23.4</v>
      </c>
      <c r="C1315">
        <v>20.8</v>
      </c>
      <c r="D1315">
        <v>29.8</v>
      </c>
      <c r="E1315" s="4">
        <v>2.8</v>
      </c>
      <c r="F1315" t="str">
        <f t="shared" si="666"/>
        <v>OK</v>
      </c>
      <c r="G1315" t="str">
        <f t="shared" si="667"/>
        <v>OK</v>
      </c>
      <c r="H1315" t="str">
        <f t="shared" si="668"/>
        <v>OK</v>
      </c>
      <c r="I1315" s="4">
        <f t="shared" si="669"/>
        <v>2020</v>
      </c>
      <c r="J1315">
        <f t="shared" si="670"/>
        <v>23.171919999999997</v>
      </c>
      <c r="K1315">
        <f t="shared" si="671"/>
        <v>4.2428931506849317</v>
      </c>
      <c r="R1315" s="4">
        <f t="shared" si="672"/>
        <v>-0.22808000000000206</v>
      </c>
      <c r="S1315" s="4">
        <f t="shared" si="673"/>
        <v>1.4428931506849318</v>
      </c>
    </row>
    <row r="1316" spans="1:19" x14ac:dyDescent="0.35">
      <c r="A1316" s="1">
        <v>44050</v>
      </c>
      <c r="B1316" s="4">
        <v>23.4</v>
      </c>
      <c r="C1316">
        <v>21.4</v>
      </c>
      <c r="D1316">
        <v>27.8</v>
      </c>
      <c r="E1316" s="4">
        <v>1.3</v>
      </c>
      <c r="F1316" t="str">
        <f t="shared" si="666"/>
        <v>OK</v>
      </c>
      <c r="G1316" t="str">
        <f t="shared" si="667"/>
        <v>OK</v>
      </c>
      <c r="H1316" t="str">
        <f t="shared" si="668"/>
        <v>OK</v>
      </c>
      <c r="I1316" s="4">
        <f t="shared" si="669"/>
        <v>2020</v>
      </c>
      <c r="J1316">
        <f t="shared" si="670"/>
        <v>23.171919999999997</v>
      </c>
      <c r="K1316">
        <f t="shared" si="671"/>
        <v>4.0003452054794524</v>
      </c>
      <c r="R1316" s="4">
        <f t="shared" si="672"/>
        <v>-0.22808000000000206</v>
      </c>
      <c r="S1316" s="4">
        <f t="shared" si="673"/>
        <v>2.7003452054794526</v>
      </c>
    </row>
    <row r="1317" spans="1:19" hidden="1" x14ac:dyDescent="0.35">
      <c r="A1317" s="1">
        <v>44051</v>
      </c>
      <c r="B1317" s="4">
        <v>22.4</v>
      </c>
      <c r="C1317">
        <v>20.3</v>
      </c>
      <c r="D1317">
        <v>27.2</v>
      </c>
      <c r="E1317" s="4">
        <v>0</v>
      </c>
      <c r="F1317" t="str">
        <f t="shared" si="666"/>
        <v>OK</v>
      </c>
      <c r="G1317" t="str">
        <f t="shared" si="667"/>
        <v>OK</v>
      </c>
      <c r="H1317" t="str">
        <f t="shared" si="668"/>
        <v>OK</v>
      </c>
      <c r="I1317" s="4">
        <f t="shared" si="669"/>
        <v>2020</v>
      </c>
    </row>
    <row r="1318" spans="1:19" x14ac:dyDescent="0.35">
      <c r="A1318" s="1">
        <v>44052</v>
      </c>
      <c r="B1318" s="4">
        <v>21.8</v>
      </c>
      <c r="C1318">
        <v>20.2</v>
      </c>
      <c r="D1318">
        <v>27.4</v>
      </c>
      <c r="E1318" s="4">
        <v>2.2999999999999998</v>
      </c>
      <c r="F1318" t="str">
        <f t="shared" si="666"/>
        <v>OK</v>
      </c>
      <c r="G1318" t="str">
        <f t="shared" si="667"/>
        <v>OK</v>
      </c>
      <c r="H1318" t="str">
        <f t="shared" si="668"/>
        <v>OK</v>
      </c>
      <c r="I1318" s="4">
        <f t="shared" si="669"/>
        <v>2020</v>
      </c>
      <c r="J1318">
        <f t="shared" ref="J1318:J1319" si="674">( 377.84*B1318 + 3903.1)/550</f>
        <v>22.072749090909092</v>
      </c>
      <c r="K1318">
        <f t="shared" ref="K1318:K1319" si="675" xml:space="preserve"> (59.02*E1318 + 1383.4)/365</f>
        <v>4.1620438356164389</v>
      </c>
      <c r="R1318" s="4">
        <f t="shared" ref="R1318:R1319" si="676">J1318-B1318</f>
        <v>0.27274909090909105</v>
      </c>
      <c r="S1318" s="4">
        <f t="shared" ref="S1318:S1319" si="677">K1318-E1318</f>
        <v>1.862043835616439</v>
      </c>
    </row>
    <row r="1319" spans="1:19" x14ac:dyDescent="0.35">
      <c r="A1319" s="1">
        <v>44053</v>
      </c>
      <c r="B1319" s="4">
        <v>21.9</v>
      </c>
      <c r="C1319">
        <v>19.5</v>
      </c>
      <c r="D1319">
        <v>26</v>
      </c>
      <c r="E1319" s="4">
        <v>12.2</v>
      </c>
      <c r="F1319" t="str">
        <f t="shared" si="666"/>
        <v>OK</v>
      </c>
      <c r="G1319" t="str">
        <f t="shared" si="667"/>
        <v>OK</v>
      </c>
      <c r="H1319" t="str">
        <f t="shared" si="668"/>
        <v>OK</v>
      </c>
      <c r="I1319" s="4">
        <f t="shared" si="669"/>
        <v>2020</v>
      </c>
      <c r="J1319">
        <f t="shared" si="674"/>
        <v>22.14144727272727</v>
      </c>
      <c r="K1319">
        <f t="shared" si="675"/>
        <v>5.7628602739726027</v>
      </c>
      <c r="R1319" s="4">
        <f t="shared" si="676"/>
        <v>0.24144727272727096</v>
      </c>
      <c r="S1319" s="4">
        <f t="shared" si="677"/>
        <v>-6.4371397260273966</v>
      </c>
    </row>
    <row r="1320" spans="1:19" hidden="1" x14ac:dyDescent="0.35">
      <c r="A1320" s="1">
        <v>44054</v>
      </c>
      <c r="B1320" s="4">
        <v>22.8</v>
      </c>
      <c r="C1320">
        <v>20.6</v>
      </c>
      <c r="D1320">
        <v>27.8</v>
      </c>
      <c r="E1320" s="4">
        <v>0</v>
      </c>
      <c r="F1320" t="str">
        <f t="shared" si="666"/>
        <v>OK</v>
      </c>
      <c r="G1320" t="str">
        <f t="shared" si="667"/>
        <v>OK</v>
      </c>
      <c r="H1320" t="str">
        <f t="shared" si="668"/>
        <v>OK</v>
      </c>
      <c r="I1320" s="4">
        <f t="shared" si="669"/>
        <v>2020</v>
      </c>
    </row>
    <row r="1321" spans="1:19" x14ac:dyDescent="0.35">
      <c r="A1321" s="1">
        <v>44055</v>
      </c>
      <c r="B1321" s="4">
        <v>23.4</v>
      </c>
      <c r="C1321">
        <v>20.5</v>
      </c>
      <c r="D1321">
        <v>28</v>
      </c>
      <c r="E1321" s="4">
        <v>5.0999999999999996</v>
      </c>
      <c r="F1321" t="str">
        <f t="shared" si="666"/>
        <v>OK</v>
      </c>
      <c r="G1321" t="str">
        <f t="shared" si="667"/>
        <v>OK</v>
      </c>
      <c r="H1321" t="str">
        <f t="shared" si="668"/>
        <v>OK</v>
      </c>
      <c r="I1321" s="4">
        <f t="shared" si="669"/>
        <v>2020</v>
      </c>
      <c r="J1321">
        <f>( 377.84*B1321 + 3903.1)/550</f>
        <v>23.171919999999997</v>
      </c>
      <c r="K1321">
        <f xml:space="preserve"> (59.02*E1321 + 1383.4)/365</f>
        <v>4.6147999999999998</v>
      </c>
      <c r="R1321" s="4">
        <f>J1321-B1321</f>
        <v>-0.22808000000000206</v>
      </c>
      <c r="S1321" s="4">
        <f>K1321-E1321</f>
        <v>-0.48519999999999985</v>
      </c>
    </row>
    <row r="1322" spans="1:19" hidden="1" x14ac:dyDescent="0.35">
      <c r="A1322" s="1">
        <v>44056</v>
      </c>
      <c r="B1322" s="4">
        <v>23.7</v>
      </c>
      <c r="C1322">
        <v>20.6</v>
      </c>
      <c r="D1322">
        <v>27.9</v>
      </c>
      <c r="E1322" s="4">
        <v>0</v>
      </c>
      <c r="F1322" t="str">
        <f t="shared" si="666"/>
        <v>OK</v>
      </c>
      <c r="G1322" t="str">
        <f t="shared" si="667"/>
        <v>OK</v>
      </c>
      <c r="H1322" t="str">
        <f t="shared" si="668"/>
        <v>OK</v>
      </c>
      <c r="I1322" s="4">
        <f t="shared" si="669"/>
        <v>2020</v>
      </c>
    </row>
    <row r="1323" spans="1:19" hidden="1" x14ac:dyDescent="0.35">
      <c r="A1323" s="1">
        <v>44057</v>
      </c>
      <c r="B1323" s="4">
        <v>22.7</v>
      </c>
      <c r="C1323">
        <v>20.2</v>
      </c>
      <c r="D1323">
        <v>28</v>
      </c>
      <c r="E1323" s="4">
        <v>0</v>
      </c>
      <c r="F1323" t="str">
        <f t="shared" si="666"/>
        <v>OK</v>
      </c>
      <c r="G1323" t="str">
        <f t="shared" si="667"/>
        <v>OK</v>
      </c>
      <c r="H1323" t="str">
        <f t="shared" si="668"/>
        <v>OK</v>
      </c>
      <c r="I1323" s="4">
        <f t="shared" si="669"/>
        <v>2020</v>
      </c>
    </row>
    <row r="1324" spans="1:19" hidden="1" x14ac:dyDescent="0.35">
      <c r="A1324" s="1">
        <v>44058</v>
      </c>
      <c r="B1324" s="4">
        <v>22.4</v>
      </c>
      <c r="C1324">
        <v>20.399999999999999</v>
      </c>
      <c r="D1324">
        <v>25.6</v>
      </c>
      <c r="E1324" s="4">
        <v>0</v>
      </c>
      <c r="F1324" t="str">
        <f t="shared" si="666"/>
        <v>OK</v>
      </c>
      <c r="G1324" t="str">
        <f t="shared" si="667"/>
        <v>OK</v>
      </c>
      <c r="H1324" t="str">
        <f t="shared" si="668"/>
        <v>OK</v>
      </c>
      <c r="I1324" s="4">
        <f t="shared" si="669"/>
        <v>2020</v>
      </c>
    </row>
    <row r="1325" spans="1:19" hidden="1" x14ac:dyDescent="0.35">
      <c r="A1325" s="1">
        <v>44059</v>
      </c>
      <c r="B1325">
        <v>21.6</v>
      </c>
      <c r="C1325">
        <v>20</v>
      </c>
      <c r="D1325">
        <v>25.6</v>
      </c>
      <c r="E1325"/>
      <c r="I1325"/>
    </row>
    <row r="1326" spans="1:19" x14ac:dyDescent="0.35">
      <c r="A1326" s="1">
        <v>44060</v>
      </c>
      <c r="B1326" s="4">
        <v>22.2</v>
      </c>
      <c r="C1326">
        <v>20.100000000000001</v>
      </c>
      <c r="D1326">
        <v>26.8</v>
      </c>
      <c r="E1326" s="4">
        <v>0.3</v>
      </c>
      <c r="F1326" t="str">
        <f t="shared" ref="F1326:F1328" si="678">IF(OR(B1326 &lt; $N$30, B1326 &gt; $N$67), "Outlier", "OK")</f>
        <v>OK</v>
      </c>
      <c r="G1326" t="str">
        <f t="shared" ref="G1326:G1328" si="679">IF(OR(C1326 &lt; $O$30, C1326 &gt; $O$67), "Outlier", "OK")</f>
        <v>OK</v>
      </c>
      <c r="H1326" t="str">
        <f t="shared" ref="H1326:H1328" si="680">IF(OR(D1326 &lt; $P$30, D1326 &gt; $P$67), "Outlier", "OK")</f>
        <v>OK</v>
      </c>
      <c r="I1326" s="4">
        <f t="shared" ref="I1326:I1328" si="681">YEAR(A1326)</f>
        <v>2020</v>
      </c>
      <c r="J1326">
        <f t="shared" ref="J1326:J1327" si="682">( 377.84*B1326 + 3903.1)/550</f>
        <v>22.347541818181817</v>
      </c>
      <c r="K1326">
        <f t="shared" ref="K1326:K1327" si="683" xml:space="preserve"> (59.02*E1326 + 1383.4)/365</f>
        <v>3.8386465753424659</v>
      </c>
      <c r="R1326" s="4">
        <f t="shared" ref="R1326:R1327" si="684">J1326-B1326</f>
        <v>0.14754181818181777</v>
      </c>
      <c r="S1326" s="4">
        <f t="shared" ref="S1326:S1327" si="685">K1326-E1326</f>
        <v>3.5386465753424661</v>
      </c>
    </row>
    <row r="1327" spans="1:19" x14ac:dyDescent="0.35">
      <c r="A1327" s="1">
        <v>44061</v>
      </c>
      <c r="B1327" s="4">
        <v>23</v>
      </c>
      <c r="C1327">
        <v>20.6</v>
      </c>
      <c r="D1327">
        <v>26.2</v>
      </c>
      <c r="E1327" s="4">
        <v>1</v>
      </c>
      <c r="F1327" t="str">
        <f t="shared" si="678"/>
        <v>OK</v>
      </c>
      <c r="G1327" t="str">
        <f t="shared" si="679"/>
        <v>OK</v>
      </c>
      <c r="H1327" t="str">
        <f t="shared" si="680"/>
        <v>OK</v>
      </c>
      <c r="I1327" s="4">
        <f t="shared" si="681"/>
        <v>2020</v>
      </c>
      <c r="J1327">
        <f t="shared" si="682"/>
        <v>22.897127272727271</v>
      </c>
      <c r="K1327">
        <f t="shared" si="683"/>
        <v>3.9518356164383563</v>
      </c>
      <c r="R1327" s="4">
        <f t="shared" si="684"/>
        <v>-0.10287272727272878</v>
      </c>
      <c r="S1327" s="4">
        <f t="shared" si="685"/>
        <v>2.9518356164383563</v>
      </c>
    </row>
    <row r="1328" spans="1:19" hidden="1" x14ac:dyDescent="0.35">
      <c r="A1328" s="1">
        <v>44062</v>
      </c>
      <c r="B1328" s="4">
        <v>23.1</v>
      </c>
      <c r="C1328">
        <v>20.399999999999999</v>
      </c>
      <c r="D1328">
        <v>26.4</v>
      </c>
      <c r="E1328" s="4">
        <v>0</v>
      </c>
      <c r="F1328" t="str">
        <f t="shared" si="678"/>
        <v>OK</v>
      </c>
      <c r="G1328" t="str">
        <f t="shared" si="679"/>
        <v>OK</v>
      </c>
      <c r="H1328" t="str">
        <f t="shared" si="680"/>
        <v>OK</v>
      </c>
      <c r="I1328" s="4">
        <f t="shared" si="681"/>
        <v>2020</v>
      </c>
    </row>
    <row r="1329" spans="1:19" hidden="1" x14ac:dyDescent="0.35">
      <c r="A1329" s="1">
        <v>44063</v>
      </c>
      <c r="B1329">
        <v>22.8</v>
      </c>
      <c r="C1329">
        <v>20.6</v>
      </c>
      <c r="D1329">
        <v>26.8</v>
      </c>
      <c r="E1329"/>
      <c r="I1329"/>
    </row>
    <row r="1330" spans="1:19" hidden="1" x14ac:dyDescent="0.35">
      <c r="A1330" s="1">
        <v>44064</v>
      </c>
      <c r="B1330">
        <v>24.1</v>
      </c>
      <c r="C1330">
        <v>19.8</v>
      </c>
      <c r="D1330">
        <v>28.8</v>
      </c>
      <c r="E1330"/>
      <c r="I1330"/>
    </row>
    <row r="1331" spans="1:19" hidden="1" x14ac:dyDescent="0.35">
      <c r="A1331" s="1">
        <v>44065</v>
      </c>
      <c r="B1331">
        <v>24.1</v>
      </c>
      <c r="C1331">
        <v>20.6</v>
      </c>
      <c r="D1331">
        <v>28</v>
      </c>
      <c r="E1331"/>
      <c r="I1331"/>
    </row>
    <row r="1332" spans="1:19" hidden="1" x14ac:dyDescent="0.35">
      <c r="A1332" s="1">
        <v>44066</v>
      </c>
      <c r="B1332">
        <v>24.1</v>
      </c>
      <c r="C1332">
        <v>21</v>
      </c>
      <c r="D1332">
        <v>29.2</v>
      </c>
      <c r="E1332"/>
      <c r="I1332"/>
    </row>
    <row r="1333" spans="1:19" x14ac:dyDescent="0.35">
      <c r="A1333" s="1">
        <v>44067</v>
      </c>
      <c r="B1333" s="4">
        <v>24.1</v>
      </c>
      <c r="C1333">
        <v>20.9</v>
      </c>
      <c r="D1333">
        <v>27.8</v>
      </c>
      <c r="E1333" s="4">
        <v>2</v>
      </c>
      <c r="F1333" t="str">
        <f t="shared" ref="F1333:F1335" si="686">IF(OR(B1333 &lt; $N$30, B1333 &gt; $N$67), "Outlier", "OK")</f>
        <v>OK</v>
      </c>
      <c r="G1333" t="str">
        <f t="shared" ref="G1333:G1335" si="687">IF(OR(C1333 &lt; $O$30, C1333 &gt; $O$67), "Outlier", "OK")</f>
        <v>OK</v>
      </c>
      <c r="H1333" t="str">
        <f t="shared" ref="H1333:H1335" si="688">IF(OR(D1333 &lt; $P$30, D1333 &gt; $P$67), "Outlier", "OK")</f>
        <v>OK</v>
      </c>
      <c r="I1333" s="4">
        <f t="shared" ref="I1333:I1335" si="689">YEAR(A1333)</f>
        <v>2020</v>
      </c>
      <c r="J1333">
        <f>( 377.84*B1333 + 3903.1)/550</f>
        <v>23.652807272727273</v>
      </c>
      <c r="K1333">
        <f xml:space="preserve"> (59.02*E1333 + 1383.4)/365</f>
        <v>4.1135342465753428</v>
      </c>
      <c r="R1333" s="4">
        <f>J1333-B1333</f>
        <v>-0.44719272727272852</v>
      </c>
      <c r="S1333" s="4">
        <f>K1333-E1333</f>
        <v>2.1135342465753428</v>
      </c>
    </row>
    <row r="1334" spans="1:19" hidden="1" x14ac:dyDescent="0.35">
      <c r="A1334" s="1">
        <v>44068</v>
      </c>
      <c r="B1334" s="4">
        <v>25</v>
      </c>
      <c r="C1334">
        <v>20.5</v>
      </c>
      <c r="D1334">
        <v>29.8</v>
      </c>
      <c r="E1334" s="4">
        <v>0</v>
      </c>
      <c r="F1334" t="str">
        <f t="shared" si="686"/>
        <v>OK</v>
      </c>
      <c r="G1334" t="str">
        <f t="shared" si="687"/>
        <v>OK</v>
      </c>
      <c r="H1334" t="str">
        <f t="shared" si="688"/>
        <v>OK</v>
      </c>
      <c r="I1334" s="4">
        <f t="shared" si="689"/>
        <v>2020</v>
      </c>
    </row>
    <row r="1335" spans="1:19" hidden="1" x14ac:dyDescent="0.35">
      <c r="A1335" s="1">
        <v>44069</v>
      </c>
      <c r="B1335" s="4">
        <v>25.6</v>
      </c>
      <c r="C1335">
        <v>22</v>
      </c>
      <c r="D1335">
        <v>30.2</v>
      </c>
      <c r="E1335" s="4">
        <v>0</v>
      </c>
      <c r="F1335" t="str">
        <f t="shared" si="686"/>
        <v>OK</v>
      </c>
      <c r="G1335" t="str">
        <f t="shared" si="687"/>
        <v>OK</v>
      </c>
      <c r="H1335" t="str">
        <f t="shared" si="688"/>
        <v>OK</v>
      </c>
      <c r="I1335" s="4">
        <f t="shared" si="689"/>
        <v>2020</v>
      </c>
    </row>
    <row r="1336" spans="1:19" hidden="1" x14ac:dyDescent="0.35">
      <c r="A1336" s="1">
        <v>44070</v>
      </c>
      <c r="B1336">
        <v>24.2</v>
      </c>
      <c r="C1336">
        <v>21.2</v>
      </c>
      <c r="D1336">
        <v>30</v>
      </c>
      <c r="E1336"/>
      <c r="I1336"/>
    </row>
    <row r="1337" spans="1:19" hidden="1" x14ac:dyDescent="0.35">
      <c r="A1337" s="1">
        <v>44071</v>
      </c>
      <c r="B1337" s="4">
        <v>25.3</v>
      </c>
      <c r="C1337">
        <v>20.399999999999999</v>
      </c>
      <c r="D1337">
        <v>30.8</v>
      </c>
      <c r="E1337" s="4">
        <v>0</v>
      </c>
      <c r="F1337" t="str">
        <f>IF(OR(B1337 &lt; $N$30, B1337 &gt; $N$67), "Outlier", "OK")</f>
        <v>OK</v>
      </c>
      <c r="G1337" t="str">
        <f>IF(OR(C1337 &lt; $O$30, C1337 &gt; $O$67), "Outlier", "OK")</f>
        <v>OK</v>
      </c>
      <c r="H1337" t="str">
        <f>IF(OR(D1337 &lt; $P$30, D1337 &gt; $P$67), "Outlier", "OK")</f>
        <v>OK</v>
      </c>
      <c r="I1337" s="4">
        <f>YEAR(A1337)</f>
        <v>2020</v>
      </c>
    </row>
    <row r="1338" spans="1:19" hidden="1" x14ac:dyDescent="0.35">
      <c r="A1338" s="1">
        <v>44072</v>
      </c>
      <c r="B1338">
        <v>25.7</v>
      </c>
      <c r="C1338">
        <v>20.8</v>
      </c>
      <c r="D1338">
        <v>30.8</v>
      </c>
      <c r="E1338"/>
      <c r="I1338"/>
    </row>
    <row r="1339" spans="1:19" hidden="1" x14ac:dyDescent="0.35">
      <c r="A1339" s="1">
        <v>44073</v>
      </c>
      <c r="B1339">
        <v>25.6</v>
      </c>
      <c r="C1339">
        <v>21.6</v>
      </c>
      <c r="D1339">
        <v>31</v>
      </c>
      <c r="E1339"/>
      <c r="I1339"/>
    </row>
    <row r="1340" spans="1:19" x14ac:dyDescent="0.35">
      <c r="A1340" s="1">
        <v>44074</v>
      </c>
      <c r="B1340" s="4">
        <v>24.4</v>
      </c>
      <c r="C1340">
        <v>19.399999999999999</v>
      </c>
      <c r="D1340">
        <v>31.7</v>
      </c>
      <c r="E1340" s="4">
        <v>23.1</v>
      </c>
      <c r="F1340" t="str">
        <f t="shared" ref="F1340:F1363" si="690">IF(OR(B1340 &lt; $N$30, B1340 &gt; $N$67), "Outlier", "OK")</f>
        <v>OK</v>
      </c>
      <c r="G1340" t="str">
        <f t="shared" ref="G1340:G1363" si="691">IF(OR(C1340 &lt; $O$30, C1340 &gt; $O$67), "Outlier", "OK")</f>
        <v>OK</v>
      </c>
      <c r="H1340" t="str">
        <f t="shared" ref="H1340:H1363" si="692">IF(OR(D1340 &lt; $P$30, D1340 &gt; $P$67), "Outlier", "OK")</f>
        <v>OK</v>
      </c>
      <c r="I1340" s="4">
        <f t="shared" ref="I1340:I1363" si="693">YEAR(A1340)</f>
        <v>2020</v>
      </c>
      <c r="J1340">
        <f t="shared" ref="J1340:J1344" si="694">( 377.84*B1340 + 3903.1)/550</f>
        <v>23.858901818181817</v>
      </c>
      <c r="K1340">
        <f t="shared" ref="K1340:K1344" si="695" xml:space="preserve"> (59.02*E1340 + 1383.4)/365</f>
        <v>7.5253753424657539</v>
      </c>
      <c r="R1340" s="4">
        <f t="shared" ref="R1340:R1344" si="696">J1340-B1340</f>
        <v>-0.5410981818181817</v>
      </c>
      <c r="S1340" s="4">
        <f t="shared" ref="S1340:S1344" si="697">K1340-E1340</f>
        <v>-15.574624657534248</v>
      </c>
    </row>
    <row r="1341" spans="1:19" x14ac:dyDescent="0.35">
      <c r="A1341" s="1">
        <v>44075</v>
      </c>
      <c r="B1341" s="4">
        <v>24</v>
      </c>
      <c r="C1341">
        <v>20</v>
      </c>
      <c r="D1341">
        <v>29.8</v>
      </c>
      <c r="E1341" s="4">
        <v>18.8</v>
      </c>
      <c r="F1341" t="str">
        <f t="shared" si="690"/>
        <v>OK</v>
      </c>
      <c r="G1341" t="str">
        <f t="shared" si="691"/>
        <v>OK</v>
      </c>
      <c r="H1341" t="str">
        <f t="shared" si="692"/>
        <v>OK</v>
      </c>
      <c r="I1341" s="4">
        <f t="shared" si="693"/>
        <v>2020</v>
      </c>
      <c r="J1341">
        <f t="shared" si="694"/>
        <v>23.584109090909092</v>
      </c>
      <c r="K1341">
        <f t="shared" si="695"/>
        <v>6.8300712328767128</v>
      </c>
      <c r="R1341" s="4">
        <f t="shared" si="696"/>
        <v>-0.41589090909090842</v>
      </c>
      <c r="S1341" s="4">
        <f t="shared" si="697"/>
        <v>-11.969928767123289</v>
      </c>
    </row>
    <row r="1342" spans="1:19" x14ac:dyDescent="0.35">
      <c r="A1342" s="1">
        <v>44076</v>
      </c>
      <c r="B1342" s="4">
        <v>22.9</v>
      </c>
      <c r="C1342">
        <v>20.6</v>
      </c>
      <c r="D1342">
        <v>28.4</v>
      </c>
      <c r="E1342" s="4">
        <v>2</v>
      </c>
      <c r="F1342" t="str">
        <f t="shared" si="690"/>
        <v>OK</v>
      </c>
      <c r="G1342" t="str">
        <f t="shared" si="691"/>
        <v>OK</v>
      </c>
      <c r="H1342" t="str">
        <f t="shared" si="692"/>
        <v>OK</v>
      </c>
      <c r="I1342" s="4">
        <f t="shared" si="693"/>
        <v>2020</v>
      </c>
      <c r="J1342">
        <f t="shared" si="694"/>
        <v>22.82842909090909</v>
      </c>
      <c r="K1342">
        <f t="shared" si="695"/>
        <v>4.1135342465753428</v>
      </c>
      <c r="R1342" s="4">
        <f t="shared" si="696"/>
        <v>-7.1570909090908685E-2</v>
      </c>
      <c r="S1342" s="4">
        <f t="shared" si="697"/>
        <v>2.1135342465753428</v>
      </c>
    </row>
    <row r="1343" spans="1:19" x14ac:dyDescent="0.35">
      <c r="A1343" s="1">
        <v>44077</v>
      </c>
      <c r="B1343" s="4">
        <v>23.8</v>
      </c>
      <c r="C1343">
        <v>20.5</v>
      </c>
      <c r="D1343">
        <v>27.8</v>
      </c>
      <c r="E1343" s="4">
        <v>29.7</v>
      </c>
      <c r="F1343" t="str">
        <f t="shared" si="690"/>
        <v>OK</v>
      </c>
      <c r="G1343" t="str">
        <f t="shared" si="691"/>
        <v>OK</v>
      </c>
      <c r="H1343" t="str">
        <f t="shared" si="692"/>
        <v>OK</v>
      </c>
      <c r="I1343" s="4">
        <f t="shared" si="693"/>
        <v>2020</v>
      </c>
      <c r="J1343">
        <f t="shared" si="694"/>
        <v>23.446712727272729</v>
      </c>
      <c r="K1343">
        <f t="shared" si="695"/>
        <v>8.5925863013698631</v>
      </c>
      <c r="R1343" s="4">
        <f t="shared" si="696"/>
        <v>-0.35328727272727178</v>
      </c>
      <c r="S1343" s="4">
        <f t="shared" si="697"/>
        <v>-21.107413698630136</v>
      </c>
    </row>
    <row r="1344" spans="1:19" x14ac:dyDescent="0.35">
      <c r="A1344" s="1">
        <v>44078</v>
      </c>
      <c r="B1344" s="4">
        <v>24.9</v>
      </c>
      <c r="C1344">
        <v>21</v>
      </c>
      <c r="D1344">
        <v>29.2</v>
      </c>
      <c r="E1344" s="4">
        <v>9.6999999999999993</v>
      </c>
      <c r="F1344" t="str">
        <f t="shared" si="690"/>
        <v>OK</v>
      </c>
      <c r="G1344" t="str">
        <f t="shared" si="691"/>
        <v>OK</v>
      </c>
      <c r="H1344" t="str">
        <f t="shared" si="692"/>
        <v>OK</v>
      </c>
      <c r="I1344" s="4">
        <f t="shared" si="693"/>
        <v>2020</v>
      </c>
      <c r="J1344">
        <f t="shared" si="694"/>
        <v>24.202392727272724</v>
      </c>
      <c r="K1344">
        <f t="shared" si="695"/>
        <v>5.3586136986301378</v>
      </c>
      <c r="R1344" s="4">
        <f t="shared" si="696"/>
        <v>-0.69760727272727507</v>
      </c>
      <c r="S1344" s="4">
        <f t="shared" si="697"/>
        <v>-4.3413863013698615</v>
      </c>
    </row>
    <row r="1345" spans="1:19" hidden="1" x14ac:dyDescent="0.35">
      <c r="A1345" s="1">
        <v>44079</v>
      </c>
      <c r="B1345" s="4">
        <v>24.8</v>
      </c>
      <c r="C1345">
        <v>22.3</v>
      </c>
      <c r="D1345">
        <v>29.2</v>
      </c>
      <c r="E1345" s="4">
        <v>0</v>
      </c>
      <c r="F1345" t="str">
        <f t="shared" si="690"/>
        <v>OK</v>
      </c>
      <c r="G1345" t="str">
        <f t="shared" si="691"/>
        <v>OK</v>
      </c>
      <c r="H1345" t="str">
        <f t="shared" si="692"/>
        <v>OK</v>
      </c>
      <c r="I1345" s="4">
        <f t="shared" si="693"/>
        <v>2020</v>
      </c>
    </row>
    <row r="1346" spans="1:19" hidden="1" x14ac:dyDescent="0.35">
      <c r="A1346" s="1">
        <v>44080</v>
      </c>
      <c r="B1346" s="4">
        <v>25.5</v>
      </c>
      <c r="C1346">
        <v>22.2</v>
      </c>
      <c r="D1346">
        <v>29.6</v>
      </c>
      <c r="E1346" s="4">
        <v>0</v>
      </c>
      <c r="F1346" t="str">
        <f t="shared" si="690"/>
        <v>OK</v>
      </c>
      <c r="G1346" t="str">
        <f t="shared" si="691"/>
        <v>OK</v>
      </c>
      <c r="H1346" t="str">
        <f t="shared" si="692"/>
        <v>OK</v>
      </c>
      <c r="I1346" s="4">
        <f t="shared" si="693"/>
        <v>2020</v>
      </c>
    </row>
    <row r="1347" spans="1:19" hidden="1" x14ac:dyDescent="0.35">
      <c r="A1347" s="1">
        <v>44081</v>
      </c>
      <c r="B1347" s="4">
        <v>24.4</v>
      </c>
      <c r="C1347">
        <v>20.5</v>
      </c>
      <c r="D1347">
        <v>30.5</v>
      </c>
      <c r="E1347" s="4">
        <v>0</v>
      </c>
      <c r="F1347" t="str">
        <f t="shared" si="690"/>
        <v>OK</v>
      </c>
      <c r="G1347" t="str">
        <f t="shared" si="691"/>
        <v>OK</v>
      </c>
      <c r="H1347" t="str">
        <f t="shared" si="692"/>
        <v>OK</v>
      </c>
      <c r="I1347" s="4">
        <f t="shared" si="693"/>
        <v>2020</v>
      </c>
    </row>
    <row r="1348" spans="1:19" x14ac:dyDescent="0.35">
      <c r="A1348" s="1">
        <v>44082</v>
      </c>
      <c r="B1348" s="4">
        <v>24.4</v>
      </c>
      <c r="C1348">
        <v>21.2</v>
      </c>
      <c r="D1348">
        <v>29.8</v>
      </c>
      <c r="E1348" s="4">
        <v>2</v>
      </c>
      <c r="F1348" t="str">
        <f t="shared" si="690"/>
        <v>OK</v>
      </c>
      <c r="G1348" t="str">
        <f t="shared" si="691"/>
        <v>OK</v>
      </c>
      <c r="H1348" t="str">
        <f t="shared" si="692"/>
        <v>OK</v>
      </c>
      <c r="I1348" s="4">
        <f t="shared" si="693"/>
        <v>2020</v>
      </c>
      <c r="J1348">
        <f t="shared" ref="J1348:J1350" si="698">( 377.84*B1348 + 3903.1)/550</f>
        <v>23.858901818181817</v>
      </c>
      <c r="K1348">
        <f t="shared" ref="K1348:K1350" si="699" xml:space="preserve"> (59.02*E1348 + 1383.4)/365</f>
        <v>4.1135342465753428</v>
      </c>
      <c r="R1348" s="4">
        <f t="shared" ref="R1348:R1350" si="700">J1348-B1348</f>
        <v>-0.5410981818181817</v>
      </c>
      <c r="S1348" s="4">
        <f t="shared" ref="S1348:S1350" si="701">K1348-E1348</f>
        <v>2.1135342465753428</v>
      </c>
    </row>
    <row r="1349" spans="1:19" x14ac:dyDescent="0.35">
      <c r="A1349" s="1">
        <v>44083</v>
      </c>
      <c r="B1349" s="4">
        <v>23.9</v>
      </c>
      <c r="C1349">
        <v>19.399999999999999</v>
      </c>
      <c r="D1349">
        <v>30.2</v>
      </c>
      <c r="E1349" s="4">
        <v>61</v>
      </c>
      <c r="F1349" t="str">
        <f t="shared" si="690"/>
        <v>OK</v>
      </c>
      <c r="G1349" t="str">
        <f t="shared" si="691"/>
        <v>OK</v>
      </c>
      <c r="H1349" t="str">
        <f t="shared" si="692"/>
        <v>OK</v>
      </c>
      <c r="I1349" s="4">
        <f t="shared" si="693"/>
        <v>2020</v>
      </c>
      <c r="J1349">
        <f t="shared" si="698"/>
        <v>23.515410909090907</v>
      </c>
      <c r="K1349">
        <f t="shared" si="699"/>
        <v>13.653753424657536</v>
      </c>
      <c r="R1349" s="4">
        <f t="shared" si="700"/>
        <v>-0.38458909090909188</v>
      </c>
      <c r="S1349" s="4">
        <f t="shared" si="701"/>
        <v>-47.346246575342462</v>
      </c>
    </row>
    <row r="1350" spans="1:19" x14ac:dyDescent="0.35">
      <c r="A1350" s="1">
        <v>44084</v>
      </c>
      <c r="B1350" s="4">
        <v>22.7</v>
      </c>
      <c r="C1350">
        <v>19.2</v>
      </c>
      <c r="D1350">
        <v>30.6</v>
      </c>
      <c r="E1350" s="4">
        <v>65</v>
      </c>
      <c r="F1350" t="str">
        <f t="shared" si="690"/>
        <v>OK</v>
      </c>
      <c r="G1350" t="str">
        <f t="shared" si="691"/>
        <v>OK</v>
      </c>
      <c r="H1350" t="str">
        <f t="shared" si="692"/>
        <v>OK</v>
      </c>
      <c r="I1350" s="4">
        <f t="shared" si="693"/>
        <v>2020</v>
      </c>
      <c r="J1350">
        <f t="shared" si="698"/>
        <v>22.691032727272727</v>
      </c>
      <c r="K1350">
        <f t="shared" si="699"/>
        <v>14.300547945205482</v>
      </c>
      <c r="R1350" s="4">
        <f t="shared" si="700"/>
        <v>-8.9672727272720465E-3</v>
      </c>
      <c r="S1350" s="4">
        <f t="shared" si="701"/>
        <v>-50.69945205479452</v>
      </c>
    </row>
    <row r="1351" spans="1:19" hidden="1" x14ac:dyDescent="0.35">
      <c r="A1351" s="1">
        <v>44085</v>
      </c>
      <c r="B1351" s="4">
        <v>22.1</v>
      </c>
      <c r="C1351">
        <v>19.899999999999999</v>
      </c>
      <c r="D1351">
        <v>27.6</v>
      </c>
      <c r="E1351" s="4">
        <v>0</v>
      </c>
      <c r="F1351" t="str">
        <f t="shared" si="690"/>
        <v>OK</v>
      </c>
      <c r="G1351" t="str">
        <f t="shared" si="691"/>
        <v>OK</v>
      </c>
      <c r="H1351" t="str">
        <f t="shared" si="692"/>
        <v>OK</v>
      </c>
      <c r="I1351" s="4">
        <f t="shared" si="693"/>
        <v>2020</v>
      </c>
    </row>
    <row r="1352" spans="1:19" x14ac:dyDescent="0.35">
      <c r="A1352" s="1">
        <v>44086</v>
      </c>
      <c r="B1352" s="4">
        <v>21.5</v>
      </c>
      <c r="C1352">
        <v>18.7</v>
      </c>
      <c r="D1352">
        <v>25.8</v>
      </c>
      <c r="E1352" s="4">
        <v>1.3</v>
      </c>
      <c r="F1352" t="str">
        <f t="shared" si="690"/>
        <v>OK</v>
      </c>
      <c r="G1352" t="str">
        <f t="shared" si="691"/>
        <v>OK</v>
      </c>
      <c r="H1352" t="str">
        <f t="shared" si="692"/>
        <v>OK</v>
      </c>
      <c r="I1352" s="4">
        <f t="shared" si="693"/>
        <v>2020</v>
      </c>
      <c r="J1352">
        <f t="shared" ref="J1352:J1354" si="702">( 377.84*B1352 + 3903.1)/550</f>
        <v>21.866654545454544</v>
      </c>
      <c r="K1352">
        <f t="shared" ref="K1352:K1354" si="703" xml:space="preserve"> (59.02*E1352 + 1383.4)/365</f>
        <v>4.0003452054794524</v>
      </c>
      <c r="R1352" s="4">
        <f t="shared" ref="R1352:R1354" si="704">J1352-B1352</f>
        <v>0.36665454545454423</v>
      </c>
      <c r="S1352" s="4">
        <f t="shared" ref="S1352:S1354" si="705">K1352-E1352</f>
        <v>2.7003452054794526</v>
      </c>
    </row>
    <row r="1353" spans="1:19" x14ac:dyDescent="0.35">
      <c r="A1353" s="1">
        <v>44087</v>
      </c>
      <c r="B1353" s="4">
        <v>21.6</v>
      </c>
      <c r="C1353">
        <v>19.7</v>
      </c>
      <c r="D1353">
        <v>25.5</v>
      </c>
      <c r="E1353" s="4">
        <v>17.5</v>
      </c>
      <c r="F1353" t="str">
        <f t="shared" si="690"/>
        <v>OK</v>
      </c>
      <c r="G1353" t="str">
        <f t="shared" si="691"/>
        <v>OK</v>
      </c>
      <c r="H1353" t="str">
        <f t="shared" si="692"/>
        <v>OK</v>
      </c>
      <c r="I1353" s="4">
        <f t="shared" si="693"/>
        <v>2020</v>
      </c>
      <c r="J1353">
        <f t="shared" si="702"/>
        <v>21.935352727272726</v>
      </c>
      <c r="K1353">
        <f t="shared" si="703"/>
        <v>6.6198630136986303</v>
      </c>
      <c r="R1353" s="4">
        <f t="shared" si="704"/>
        <v>0.33535272727272414</v>
      </c>
      <c r="S1353" s="4">
        <f t="shared" si="705"/>
        <v>-10.88013698630137</v>
      </c>
    </row>
    <row r="1354" spans="1:19" x14ac:dyDescent="0.35">
      <c r="A1354" s="1">
        <v>44088</v>
      </c>
      <c r="B1354" s="4">
        <v>22.5</v>
      </c>
      <c r="C1354">
        <v>20.399999999999999</v>
      </c>
      <c r="D1354">
        <v>26.4</v>
      </c>
      <c r="E1354" s="4">
        <v>1</v>
      </c>
      <c r="F1354" t="str">
        <f t="shared" si="690"/>
        <v>OK</v>
      </c>
      <c r="G1354" t="str">
        <f t="shared" si="691"/>
        <v>OK</v>
      </c>
      <c r="H1354" t="str">
        <f t="shared" si="692"/>
        <v>OK</v>
      </c>
      <c r="I1354" s="4">
        <f t="shared" si="693"/>
        <v>2020</v>
      </c>
      <c r="J1354">
        <f t="shared" si="702"/>
        <v>22.553636363636365</v>
      </c>
      <c r="K1354">
        <f t="shared" si="703"/>
        <v>3.9518356164383563</v>
      </c>
      <c r="R1354" s="4">
        <f t="shared" si="704"/>
        <v>5.3636363636364592E-2</v>
      </c>
      <c r="S1354" s="4">
        <f t="shared" si="705"/>
        <v>2.9518356164383563</v>
      </c>
    </row>
    <row r="1355" spans="1:19" hidden="1" x14ac:dyDescent="0.35">
      <c r="A1355" s="1">
        <v>44089</v>
      </c>
      <c r="B1355" s="4">
        <v>22.8</v>
      </c>
      <c r="C1355">
        <v>20.2</v>
      </c>
      <c r="D1355">
        <v>26.5</v>
      </c>
      <c r="E1355" s="4">
        <v>0</v>
      </c>
      <c r="F1355" t="str">
        <f t="shared" si="690"/>
        <v>OK</v>
      </c>
      <c r="G1355" t="str">
        <f t="shared" si="691"/>
        <v>OK</v>
      </c>
      <c r="H1355" t="str">
        <f t="shared" si="692"/>
        <v>OK</v>
      </c>
      <c r="I1355" s="4">
        <f t="shared" si="693"/>
        <v>2020</v>
      </c>
    </row>
    <row r="1356" spans="1:19" x14ac:dyDescent="0.35">
      <c r="A1356" s="1">
        <v>44090</v>
      </c>
      <c r="B1356" s="4">
        <v>23.3</v>
      </c>
      <c r="C1356">
        <v>20.2</v>
      </c>
      <c r="D1356">
        <v>26.2</v>
      </c>
      <c r="E1356" s="4">
        <v>0.3</v>
      </c>
      <c r="F1356" t="str">
        <f t="shared" si="690"/>
        <v>OK</v>
      </c>
      <c r="G1356" t="str">
        <f t="shared" si="691"/>
        <v>OK</v>
      </c>
      <c r="H1356" t="str">
        <f t="shared" si="692"/>
        <v>OK</v>
      </c>
      <c r="I1356" s="4">
        <f t="shared" si="693"/>
        <v>2020</v>
      </c>
      <c r="J1356">
        <f>( 377.84*B1356 + 3903.1)/550</f>
        <v>23.103221818181819</v>
      </c>
      <c r="K1356">
        <f xml:space="preserve"> (59.02*E1356 + 1383.4)/365</f>
        <v>3.8386465753424659</v>
      </c>
      <c r="R1356" s="4">
        <f>J1356-B1356</f>
        <v>-0.19677818181818196</v>
      </c>
      <c r="S1356" s="4">
        <f>K1356-E1356</f>
        <v>3.5386465753424661</v>
      </c>
    </row>
    <row r="1357" spans="1:19" hidden="1" x14ac:dyDescent="0.35">
      <c r="A1357" s="1">
        <v>44091</v>
      </c>
      <c r="B1357" s="4">
        <v>23.8</v>
      </c>
      <c r="C1357">
        <v>21</v>
      </c>
      <c r="D1357">
        <v>27</v>
      </c>
      <c r="E1357" s="4">
        <v>0</v>
      </c>
      <c r="F1357" t="str">
        <f t="shared" si="690"/>
        <v>OK</v>
      </c>
      <c r="G1357" t="str">
        <f t="shared" si="691"/>
        <v>OK</v>
      </c>
      <c r="H1357" t="str">
        <f t="shared" si="692"/>
        <v>OK</v>
      </c>
      <c r="I1357" s="4">
        <f t="shared" si="693"/>
        <v>2020</v>
      </c>
    </row>
    <row r="1358" spans="1:19" x14ac:dyDescent="0.35">
      <c r="A1358" s="1">
        <v>44092</v>
      </c>
      <c r="B1358" s="4">
        <v>24</v>
      </c>
      <c r="C1358">
        <v>19.8</v>
      </c>
      <c r="D1358">
        <v>28.2</v>
      </c>
      <c r="E1358" s="4">
        <v>0.3</v>
      </c>
      <c r="F1358" t="str">
        <f t="shared" si="690"/>
        <v>OK</v>
      </c>
      <c r="G1358" t="str">
        <f t="shared" si="691"/>
        <v>OK</v>
      </c>
      <c r="H1358" t="str">
        <f t="shared" si="692"/>
        <v>OK</v>
      </c>
      <c r="I1358" s="4">
        <f t="shared" si="693"/>
        <v>2020</v>
      </c>
      <c r="J1358">
        <f>( 377.84*B1358 + 3903.1)/550</f>
        <v>23.584109090909092</v>
      </c>
      <c r="K1358">
        <f xml:space="preserve"> (59.02*E1358 + 1383.4)/365</f>
        <v>3.8386465753424659</v>
      </c>
      <c r="R1358" s="4">
        <f>J1358-B1358</f>
        <v>-0.41589090909090842</v>
      </c>
      <c r="S1358" s="4">
        <f>K1358-E1358</f>
        <v>3.5386465753424661</v>
      </c>
    </row>
    <row r="1359" spans="1:19" hidden="1" x14ac:dyDescent="0.35">
      <c r="A1359" s="1">
        <v>44093</v>
      </c>
      <c r="B1359" s="4">
        <v>22.1</v>
      </c>
      <c r="C1359">
        <v>19.3</v>
      </c>
      <c r="D1359">
        <v>28.4</v>
      </c>
      <c r="E1359" s="4">
        <v>0</v>
      </c>
      <c r="F1359" t="str">
        <f t="shared" si="690"/>
        <v>OK</v>
      </c>
      <c r="G1359" t="str">
        <f t="shared" si="691"/>
        <v>OK</v>
      </c>
      <c r="H1359" t="str">
        <f t="shared" si="692"/>
        <v>OK</v>
      </c>
      <c r="I1359" s="4">
        <f t="shared" si="693"/>
        <v>2020</v>
      </c>
    </row>
    <row r="1360" spans="1:19" x14ac:dyDescent="0.35">
      <c r="A1360" s="1">
        <v>44094</v>
      </c>
      <c r="B1360" s="4">
        <v>20.399999999999999</v>
      </c>
      <c r="C1360">
        <v>18.600000000000001</v>
      </c>
      <c r="D1360">
        <v>25.8</v>
      </c>
      <c r="E1360" s="4">
        <v>20.8</v>
      </c>
      <c r="F1360" t="str">
        <f t="shared" si="690"/>
        <v>OK</v>
      </c>
      <c r="G1360" t="str">
        <f t="shared" si="691"/>
        <v>OK</v>
      </c>
      <c r="H1360" t="str">
        <f t="shared" si="692"/>
        <v>OK</v>
      </c>
      <c r="I1360" s="4">
        <f t="shared" si="693"/>
        <v>2020</v>
      </c>
      <c r="J1360">
        <f t="shared" ref="J1360:J1361" si="706">( 377.84*B1360 + 3903.1)/550</f>
        <v>21.110974545454543</v>
      </c>
      <c r="K1360">
        <f t="shared" ref="K1360:K1361" si="707" xml:space="preserve"> (59.02*E1360 + 1383.4)/365</f>
        <v>7.1534684931506867</v>
      </c>
      <c r="R1360" s="4">
        <f t="shared" ref="R1360:R1361" si="708">J1360-B1360</f>
        <v>0.71097454545454397</v>
      </c>
      <c r="S1360" s="4">
        <f t="shared" ref="S1360:S1361" si="709">K1360-E1360</f>
        <v>-13.646531506849314</v>
      </c>
    </row>
    <row r="1361" spans="1:19" x14ac:dyDescent="0.35">
      <c r="A1361" s="1">
        <v>44095</v>
      </c>
      <c r="B1361" s="4">
        <v>22.1</v>
      </c>
      <c r="C1361">
        <v>19</v>
      </c>
      <c r="D1361">
        <v>27.8</v>
      </c>
      <c r="E1361" s="4">
        <v>11.4</v>
      </c>
      <c r="F1361" t="str">
        <f t="shared" si="690"/>
        <v>OK</v>
      </c>
      <c r="G1361" t="str">
        <f t="shared" si="691"/>
        <v>OK</v>
      </c>
      <c r="H1361" t="str">
        <f t="shared" si="692"/>
        <v>OK</v>
      </c>
      <c r="I1361" s="4">
        <f t="shared" si="693"/>
        <v>2020</v>
      </c>
      <c r="J1361">
        <f t="shared" si="706"/>
        <v>22.278843636363636</v>
      </c>
      <c r="K1361">
        <f t="shared" si="707"/>
        <v>5.6335013698630139</v>
      </c>
      <c r="R1361" s="4">
        <f t="shared" si="708"/>
        <v>0.17884363636363432</v>
      </c>
      <c r="S1361" s="4">
        <f t="shared" si="709"/>
        <v>-5.7664986301369865</v>
      </c>
    </row>
    <row r="1362" spans="1:19" hidden="1" x14ac:dyDescent="0.35">
      <c r="A1362" s="1">
        <v>44096</v>
      </c>
      <c r="B1362" s="4">
        <v>21.7</v>
      </c>
      <c r="C1362">
        <v>18.600000000000001</v>
      </c>
      <c r="D1362">
        <v>26.6</v>
      </c>
      <c r="E1362" s="4">
        <v>0</v>
      </c>
      <c r="F1362" t="str">
        <f t="shared" si="690"/>
        <v>OK</v>
      </c>
      <c r="G1362" t="str">
        <f t="shared" si="691"/>
        <v>OK</v>
      </c>
      <c r="H1362" t="str">
        <f t="shared" si="692"/>
        <v>OK</v>
      </c>
      <c r="I1362" s="4">
        <f t="shared" si="693"/>
        <v>2020</v>
      </c>
    </row>
    <row r="1363" spans="1:19" hidden="1" x14ac:dyDescent="0.35">
      <c r="A1363" s="1">
        <v>44097</v>
      </c>
      <c r="B1363" s="4">
        <v>22.8</v>
      </c>
      <c r="C1363">
        <v>18.600000000000001</v>
      </c>
      <c r="D1363">
        <v>27.8</v>
      </c>
      <c r="E1363" s="4">
        <v>0</v>
      </c>
      <c r="F1363" t="str">
        <f t="shared" si="690"/>
        <v>OK</v>
      </c>
      <c r="G1363" t="str">
        <f t="shared" si="691"/>
        <v>OK</v>
      </c>
      <c r="H1363" t="str">
        <f t="shared" si="692"/>
        <v>OK</v>
      </c>
      <c r="I1363" s="4">
        <f t="shared" si="693"/>
        <v>2020</v>
      </c>
    </row>
    <row r="1364" spans="1:19" hidden="1" x14ac:dyDescent="0.35">
      <c r="A1364" s="1">
        <v>44098</v>
      </c>
      <c r="B1364">
        <v>23.7</v>
      </c>
      <c r="C1364">
        <v>20</v>
      </c>
      <c r="D1364">
        <v>27.6</v>
      </c>
      <c r="E1364"/>
      <c r="I1364"/>
    </row>
    <row r="1365" spans="1:19" x14ac:dyDescent="0.35">
      <c r="A1365" s="1">
        <v>44099</v>
      </c>
      <c r="B1365" s="4">
        <v>24.3</v>
      </c>
      <c r="C1365">
        <v>20.9</v>
      </c>
      <c r="D1365">
        <v>29.8</v>
      </c>
      <c r="E1365" s="4">
        <v>0.3</v>
      </c>
      <c r="F1365" t="str">
        <f t="shared" ref="F1365:F1376" si="710">IF(OR(B1365 &lt; $N$30, B1365 &gt; $N$67), "Outlier", "OK")</f>
        <v>OK</v>
      </c>
      <c r="G1365" t="str">
        <f t="shared" ref="G1365:G1376" si="711">IF(OR(C1365 &lt; $O$30, C1365 &gt; $O$67), "Outlier", "OK")</f>
        <v>OK</v>
      </c>
      <c r="H1365" t="str">
        <f t="shared" ref="H1365:H1376" si="712">IF(OR(D1365 &lt; $P$30, D1365 &gt; $P$67), "Outlier", "OK")</f>
        <v>OK</v>
      </c>
      <c r="I1365" s="4">
        <f t="shared" ref="I1365:I1376" si="713">YEAR(A1365)</f>
        <v>2020</v>
      </c>
      <c r="J1365">
        <f t="shared" ref="J1365:J1366" si="714">( 377.84*B1365 + 3903.1)/550</f>
        <v>23.790203636363636</v>
      </c>
      <c r="K1365">
        <f t="shared" ref="K1365:K1366" si="715" xml:space="preserve"> (59.02*E1365 + 1383.4)/365</f>
        <v>3.8386465753424659</v>
      </c>
      <c r="R1365" s="4">
        <f t="shared" ref="R1365:R1366" si="716">J1365-B1365</f>
        <v>-0.50979636363636516</v>
      </c>
      <c r="S1365" s="4">
        <f t="shared" ref="S1365:S1366" si="717">K1365-E1365</f>
        <v>3.5386465753424661</v>
      </c>
    </row>
    <row r="1366" spans="1:19" x14ac:dyDescent="0.35">
      <c r="A1366" s="1">
        <v>44100</v>
      </c>
      <c r="B1366" s="4">
        <v>22.8</v>
      </c>
      <c r="C1366">
        <v>20.6</v>
      </c>
      <c r="D1366">
        <v>29.6</v>
      </c>
      <c r="E1366" s="4">
        <v>3</v>
      </c>
      <c r="F1366" t="str">
        <f t="shared" si="710"/>
        <v>OK</v>
      </c>
      <c r="G1366" t="str">
        <f t="shared" si="711"/>
        <v>OK</v>
      </c>
      <c r="H1366" t="str">
        <f t="shared" si="712"/>
        <v>OK</v>
      </c>
      <c r="I1366" s="4">
        <f t="shared" si="713"/>
        <v>2020</v>
      </c>
      <c r="J1366">
        <f t="shared" si="714"/>
        <v>22.759730909090912</v>
      </c>
      <c r="K1366">
        <f t="shared" si="715"/>
        <v>4.2752328767123284</v>
      </c>
      <c r="R1366" s="4">
        <f t="shared" si="716"/>
        <v>-4.026909090908859E-2</v>
      </c>
      <c r="S1366" s="4">
        <f t="shared" si="717"/>
        <v>1.2752328767123284</v>
      </c>
    </row>
    <row r="1367" spans="1:19" hidden="1" x14ac:dyDescent="0.35">
      <c r="A1367" s="1">
        <v>44101</v>
      </c>
      <c r="B1367" s="4">
        <v>23.3</v>
      </c>
      <c r="C1367">
        <v>20.5</v>
      </c>
      <c r="D1367">
        <v>27.8</v>
      </c>
      <c r="E1367" s="4">
        <v>0</v>
      </c>
      <c r="F1367" t="str">
        <f t="shared" si="710"/>
        <v>OK</v>
      </c>
      <c r="G1367" t="str">
        <f t="shared" si="711"/>
        <v>OK</v>
      </c>
      <c r="H1367" t="str">
        <f t="shared" si="712"/>
        <v>OK</v>
      </c>
      <c r="I1367" s="4">
        <f t="shared" si="713"/>
        <v>2020</v>
      </c>
    </row>
    <row r="1368" spans="1:19" hidden="1" x14ac:dyDescent="0.35">
      <c r="A1368" s="1">
        <v>44102</v>
      </c>
      <c r="B1368" s="4">
        <v>24.1</v>
      </c>
      <c r="C1368">
        <v>20.6</v>
      </c>
      <c r="D1368">
        <v>27</v>
      </c>
      <c r="E1368" s="4">
        <v>0</v>
      </c>
      <c r="F1368" t="str">
        <f t="shared" si="710"/>
        <v>OK</v>
      </c>
      <c r="G1368" t="str">
        <f t="shared" si="711"/>
        <v>OK</v>
      </c>
      <c r="H1368" t="str">
        <f t="shared" si="712"/>
        <v>OK</v>
      </c>
      <c r="I1368" s="4">
        <f t="shared" si="713"/>
        <v>2020</v>
      </c>
    </row>
    <row r="1369" spans="1:19" hidden="1" x14ac:dyDescent="0.35">
      <c r="A1369" s="1">
        <v>44103</v>
      </c>
      <c r="B1369" s="4">
        <v>22.4</v>
      </c>
      <c r="C1369">
        <v>19.8</v>
      </c>
      <c r="D1369">
        <v>28.1</v>
      </c>
      <c r="E1369" s="4">
        <v>0</v>
      </c>
      <c r="F1369" t="str">
        <f t="shared" si="710"/>
        <v>OK</v>
      </c>
      <c r="G1369" t="str">
        <f t="shared" si="711"/>
        <v>OK</v>
      </c>
      <c r="H1369" t="str">
        <f t="shared" si="712"/>
        <v>OK</v>
      </c>
      <c r="I1369" s="4">
        <f t="shared" si="713"/>
        <v>2020</v>
      </c>
    </row>
    <row r="1370" spans="1:19" x14ac:dyDescent="0.35">
      <c r="A1370" s="1">
        <v>44104</v>
      </c>
      <c r="B1370" s="4">
        <v>22.3</v>
      </c>
      <c r="C1370">
        <v>19</v>
      </c>
      <c r="D1370">
        <v>27.8</v>
      </c>
      <c r="E1370" s="4">
        <v>54.4</v>
      </c>
      <c r="F1370" t="str">
        <f t="shared" si="710"/>
        <v>OK</v>
      </c>
      <c r="G1370" t="str">
        <f t="shared" si="711"/>
        <v>OK</v>
      </c>
      <c r="H1370" t="str">
        <f t="shared" si="712"/>
        <v>OK</v>
      </c>
      <c r="I1370" s="4">
        <f t="shared" si="713"/>
        <v>2020</v>
      </c>
      <c r="J1370">
        <f>( 377.84*B1370 + 3903.1)/550</f>
        <v>22.416240000000002</v>
      </c>
      <c r="K1370">
        <f xml:space="preserve"> (59.02*E1370 + 1383.4)/365</f>
        <v>12.586542465753423</v>
      </c>
      <c r="R1370" s="4">
        <f>J1370-B1370</f>
        <v>0.11624000000000123</v>
      </c>
      <c r="S1370" s="4">
        <f>K1370-E1370</f>
        <v>-41.813457534246574</v>
      </c>
    </row>
    <row r="1371" spans="1:19" hidden="1" x14ac:dyDescent="0.35">
      <c r="A1371" s="1">
        <v>44105</v>
      </c>
      <c r="B1371" s="4">
        <v>23.5</v>
      </c>
      <c r="C1371">
        <v>19.5</v>
      </c>
      <c r="D1371">
        <v>27.1</v>
      </c>
      <c r="E1371" s="4">
        <v>0</v>
      </c>
      <c r="F1371" t="str">
        <f t="shared" si="710"/>
        <v>OK</v>
      </c>
      <c r="G1371" t="str">
        <f t="shared" si="711"/>
        <v>OK</v>
      </c>
      <c r="H1371" t="str">
        <f t="shared" si="712"/>
        <v>OK</v>
      </c>
      <c r="I1371" s="4">
        <f t="shared" si="713"/>
        <v>2020</v>
      </c>
    </row>
    <row r="1372" spans="1:19" hidden="1" x14ac:dyDescent="0.35">
      <c r="A1372" s="1">
        <v>44106</v>
      </c>
      <c r="B1372" s="4">
        <v>24.7</v>
      </c>
      <c r="C1372">
        <v>21</v>
      </c>
      <c r="D1372">
        <v>28.5</v>
      </c>
      <c r="E1372" s="4">
        <v>0</v>
      </c>
      <c r="F1372" t="str">
        <f t="shared" si="710"/>
        <v>OK</v>
      </c>
      <c r="G1372" t="str">
        <f t="shared" si="711"/>
        <v>OK</v>
      </c>
      <c r="H1372" t="str">
        <f t="shared" si="712"/>
        <v>OK</v>
      </c>
      <c r="I1372" s="4">
        <f t="shared" si="713"/>
        <v>2020</v>
      </c>
    </row>
    <row r="1373" spans="1:19" x14ac:dyDescent="0.35">
      <c r="A1373" s="1">
        <v>44107</v>
      </c>
      <c r="B1373" s="4">
        <v>23.5</v>
      </c>
      <c r="C1373">
        <v>19.600000000000001</v>
      </c>
      <c r="D1373">
        <v>29.6</v>
      </c>
      <c r="E1373" s="4">
        <v>0.5</v>
      </c>
      <c r="F1373" t="str">
        <f t="shared" si="710"/>
        <v>OK</v>
      </c>
      <c r="G1373" t="str">
        <f t="shared" si="711"/>
        <v>OK</v>
      </c>
      <c r="H1373" t="str">
        <f t="shared" si="712"/>
        <v>OK</v>
      </c>
      <c r="I1373" s="4">
        <f t="shared" si="713"/>
        <v>2020</v>
      </c>
      <c r="J1373">
        <f>( 377.84*B1373 + 3903.1)/550</f>
        <v>23.240618181818181</v>
      </c>
      <c r="K1373">
        <f xml:space="preserve"> (59.02*E1373 + 1383.4)/365</f>
        <v>3.8709863013698631</v>
      </c>
      <c r="R1373" s="4">
        <f>J1373-B1373</f>
        <v>-0.2593818181818186</v>
      </c>
      <c r="S1373" s="4">
        <f>K1373-E1373</f>
        <v>3.3709863013698631</v>
      </c>
    </row>
    <row r="1374" spans="1:19" hidden="1" x14ac:dyDescent="0.35">
      <c r="A1374" s="1">
        <v>44108</v>
      </c>
      <c r="B1374" s="4">
        <v>22.5</v>
      </c>
      <c r="C1374">
        <v>20</v>
      </c>
      <c r="D1374">
        <v>28.4</v>
      </c>
      <c r="E1374" s="4">
        <v>0</v>
      </c>
      <c r="F1374" t="str">
        <f t="shared" si="710"/>
        <v>OK</v>
      </c>
      <c r="G1374" t="str">
        <f t="shared" si="711"/>
        <v>OK</v>
      </c>
      <c r="H1374" t="str">
        <f t="shared" si="712"/>
        <v>OK</v>
      </c>
      <c r="I1374" s="4">
        <f t="shared" si="713"/>
        <v>2020</v>
      </c>
    </row>
    <row r="1375" spans="1:19" x14ac:dyDescent="0.35">
      <c r="A1375" s="1">
        <v>44109</v>
      </c>
      <c r="B1375" s="4">
        <v>23.6</v>
      </c>
      <c r="C1375">
        <v>19</v>
      </c>
      <c r="D1375">
        <v>28.8</v>
      </c>
      <c r="E1375" s="4">
        <v>0.3</v>
      </c>
      <c r="F1375" t="str">
        <f t="shared" si="710"/>
        <v>OK</v>
      </c>
      <c r="G1375" t="str">
        <f t="shared" si="711"/>
        <v>OK</v>
      </c>
      <c r="H1375" t="str">
        <f t="shared" si="712"/>
        <v>OK</v>
      </c>
      <c r="I1375" s="4">
        <f t="shared" si="713"/>
        <v>2020</v>
      </c>
      <c r="J1375">
        <f>( 377.84*B1375 + 3903.1)/550</f>
        <v>23.309316363636363</v>
      </c>
      <c r="K1375">
        <f xml:space="preserve"> (59.02*E1375 + 1383.4)/365</f>
        <v>3.8386465753424659</v>
      </c>
      <c r="R1375" s="4">
        <f>J1375-B1375</f>
        <v>-0.2906836363636387</v>
      </c>
      <c r="S1375" s="4">
        <f>K1375-E1375</f>
        <v>3.5386465753424661</v>
      </c>
    </row>
    <row r="1376" spans="1:19" hidden="1" x14ac:dyDescent="0.35">
      <c r="A1376" s="1">
        <v>44110</v>
      </c>
      <c r="B1376" s="4">
        <v>25.1</v>
      </c>
      <c r="C1376">
        <v>20.2</v>
      </c>
      <c r="D1376">
        <v>30.8</v>
      </c>
      <c r="E1376" s="4">
        <v>0</v>
      </c>
      <c r="F1376" t="str">
        <f t="shared" si="710"/>
        <v>OK</v>
      </c>
      <c r="G1376" t="str">
        <f t="shared" si="711"/>
        <v>OK</v>
      </c>
      <c r="H1376" t="str">
        <f t="shared" si="712"/>
        <v>OK</v>
      </c>
      <c r="I1376" s="4">
        <f t="shared" si="713"/>
        <v>2020</v>
      </c>
    </row>
    <row r="1377" spans="1:19" hidden="1" x14ac:dyDescent="0.35">
      <c r="A1377" s="1">
        <v>44111</v>
      </c>
      <c r="B1377">
        <v>25</v>
      </c>
      <c r="C1377">
        <v>21.9</v>
      </c>
      <c r="D1377">
        <v>31.3</v>
      </c>
      <c r="E1377"/>
      <c r="I1377"/>
    </row>
    <row r="1378" spans="1:19" hidden="1" x14ac:dyDescent="0.35">
      <c r="A1378" s="1">
        <v>44112</v>
      </c>
      <c r="B1378">
        <v>25.7</v>
      </c>
      <c r="C1378">
        <v>19.8</v>
      </c>
      <c r="D1378">
        <v>30.4</v>
      </c>
      <c r="E1378"/>
      <c r="I1378"/>
    </row>
    <row r="1379" spans="1:19" hidden="1" x14ac:dyDescent="0.35">
      <c r="A1379" s="1">
        <v>44113</v>
      </c>
      <c r="B1379" s="4">
        <v>23.7</v>
      </c>
      <c r="C1379">
        <v>20.399999999999999</v>
      </c>
      <c r="D1379">
        <v>31.2</v>
      </c>
      <c r="E1379" s="4">
        <v>0</v>
      </c>
      <c r="F1379" t="str">
        <f t="shared" ref="F1379:F1386" si="718">IF(OR(B1379 &lt; $N$30, B1379 &gt; $N$67), "Outlier", "OK")</f>
        <v>OK</v>
      </c>
      <c r="G1379" t="str">
        <f t="shared" ref="G1379:G1386" si="719">IF(OR(C1379 &lt; $O$30, C1379 &gt; $O$67), "Outlier", "OK")</f>
        <v>OK</v>
      </c>
      <c r="H1379" t="str">
        <f t="shared" ref="H1379:H1386" si="720">IF(OR(D1379 &lt; $P$30, D1379 &gt; $P$67), "Outlier", "OK")</f>
        <v>OK</v>
      </c>
      <c r="I1379" s="4">
        <f t="shared" ref="I1379:I1386" si="721">YEAR(A1379)</f>
        <v>2020</v>
      </c>
    </row>
    <row r="1380" spans="1:19" x14ac:dyDescent="0.35">
      <c r="A1380" s="1">
        <v>44114</v>
      </c>
      <c r="B1380" s="4">
        <v>23.1</v>
      </c>
      <c r="C1380">
        <v>18.600000000000001</v>
      </c>
      <c r="D1380">
        <v>30</v>
      </c>
      <c r="E1380" s="4">
        <v>23.6</v>
      </c>
      <c r="F1380" t="str">
        <f t="shared" si="718"/>
        <v>OK</v>
      </c>
      <c r="G1380" t="str">
        <f t="shared" si="719"/>
        <v>OK</v>
      </c>
      <c r="H1380" t="str">
        <f t="shared" si="720"/>
        <v>OK</v>
      </c>
      <c r="I1380" s="4">
        <f t="shared" si="721"/>
        <v>2020</v>
      </c>
      <c r="J1380">
        <f t="shared" ref="J1380:J1384" si="722">( 377.84*B1380 + 3903.1)/550</f>
        <v>22.965825454545453</v>
      </c>
      <c r="K1380">
        <f t="shared" ref="K1380:K1384" si="723" xml:space="preserve"> (59.02*E1380 + 1383.4)/365</f>
        <v>7.6062246575342467</v>
      </c>
      <c r="R1380" s="4">
        <f t="shared" ref="R1380:R1384" si="724">J1380-B1380</f>
        <v>-0.13417454545454888</v>
      </c>
      <c r="S1380" s="4">
        <f t="shared" ref="S1380:S1384" si="725">K1380-E1380</f>
        <v>-15.993775342465755</v>
      </c>
    </row>
    <row r="1381" spans="1:19" x14ac:dyDescent="0.35">
      <c r="A1381" s="1">
        <v>44115</v>
      </c>
      <c r="B1381" s="4">
        <v>21.7</v>
      </c>
      <c r="C1381">
        <v>19.2</v>
      </c>
      <c r="D1381">
        <v>28.2</v>
      </c>
      <c r="E1381" s="4">
        <v>51.1</v>
      </c>
      <c r="F1381" t="str">
        <f t="shared" si="718"/>
        <v>OK</v>
      </c>
      <c r="G1381" t="str">
        <f t="shared" si="719"/>
        <v>OK</v>
      </c>
      <c r="H1381" t="str">
        <f t="shared" si="720"/>
        <v>OK</v>
      </c>
      <c r="I1381" s="4">
        <f t="shared" si="721"/>
        <v>2020</v>
      </c>
      <c r="J1381">
        <f t="shared" si="722"/>
        <v>22.004050909090907</v>
      </c>
      <c r="K1381">
        <f t="shared" si="723"/>
        <v>12.05293698630137</v>
      </c>
      <c r="R1381" s="4">
        <f t="shared" si="724"/>
        <v>0.3040509090909076</v>
      </c>
      <c r="S1381" s="4">
        <f t="shared" si="725"/>
        <v>-39.047063013698633</v>
      </c>
    </row>
    <row r="1382" spans="1:19" x14ac:dyDescent="0.35">
      <c r="A1382" s="1">
        <v>44116</v>
      </c>
      <c r="B1382" s="4">
        <v>21.8</v>
      </c>
      <c r="C1382">
        <v>20</v>
      </c>
      <c r="D1382">
        <v>25.6</v>
      </c>
      <c r="E1382" s="4">
        <v>3</v>
      </c>
      <c r="F1382" t="str">
        <f t="shared" si="718"/>
        <v>OK</v>
      </c>
      <c r="G1382" t="str">
        <f t="shared" si="719"/>
        <v>OK</v>
      </c>
      <c r="H1382" t="str">
        <f t="shared" si="720"/>
        <v>OK</v>
      </c>
      <c r="I1382" s="4">
        <f t="shared" si="721"/>
        <v>2020</v>
      </c>
      <c r="J1382">
        <f t="shared" si="722"/>
        <v>22.072749090909092</v>
      </c>
      <c r="K1382">
        <f t="shared" si="723"/>
        <v>4.2752328767123284</v>
      </c>
      <c r="R1382" s="4">
        <f t="shared" si="724"/>
        <v>0.27274909090909105</v>
      </c>
      <c r="S1382" s="4">
        <f t="shared" si="725"/>
        <v>1.2752328767123284</v>
      </c>
    </row>
    <row r="1383" spans="1:19" x14ac:dyDescent="0.35">
      <c r="A1383" s="1">
        <v>44117</v>
      </c>
      <c r="B1383" s="4">
        <v>21.2</v>
      </c>
      <c r="C1383">
        <v>19.8</v>
      </c>
      <c r="D1383">
        <v>25.4</v>
      </c>
      <c r="E1383" s="4">
        <v>5.0999999999999996</v>
      </c>
      <c r="F1383" t="str">
        <f t="shared" si="718"/>
        <v>OK</v>
      </c>
      <c r="G1383" t="str">
        <f t="shared" si="719"/>
        <v>OK</v>
      </c>
      <c r="H1383" t="str">
        <f t="shared" si="720"/>
        <v>OK</v>
      </c>
      <c r="I1383" s="4">
        <f t="shared" si="721"/>
        <v>2020</v>
      </c>
      <c r="J1383">
        <f t="shared" si="722"/>
        <v>21.660559999999997</v>
      </c>
      <c r="K1383">
        <f t="shared" si="723"/>
        <v>4.6147999999999998</v>
      </c>
      <c r="R1383" s="4">
        <f t="shared" si="724"/>
        <v>0.46055999999999742</v>
      </c>
      <c r="S1383" s="4">
        <f t="shared" si="725"/>
        <v>-0.48519999999999985</v>
      </c>
    </row>
    <row r="1384" spans="1:19" x14ac:dyDescent="0.35">
      <c r="A1384" s="1">
        <v>44118</v>
      </c>
      <c r="B1384" s="4">
        <v>21.5</v>
      </c>
      <c r="C1384">
        <v>19.8</v>
      </c>
      <c r="D1384">
        <v>25.8</v>
      </c>
      <c r="E1384" s="4">
        <v>0.5</v>
      </c>
      <c r="F1384" t="str">
        <f t="shared" si="718"/>
        <v>OK</v>
      </c>
      <c r="G1384" t="str">
        <f t="shared" si="719"/>
        <v>OK</v>
      </c>
      <c r="H1384" t="str">
        <f t="shared" si="720"/>
        <v>OK</v>
      </c>
      <c r="I1384" s="4">
        <f t="shared" si="721"/>
        <v>2020</v>
      </c>
      <c r="J1384">
        <f t="shared" si="722"/>
        <v>21.866654545454544</v>
      </c>
      <c r="K1384">
        <f t="shared" si="723"/>
        <v>3.8709863013698631</v>
      </c>
      <c r="R1384" s="4">
        <f t="shared" si="724"/>
        <v>0.36665454545454423</v>
      </c>
      <c r="S1384" s="4">
        <f t="shared" si="725"/>
        <v>3.3709863013698631</v>
      </c>
    </row>
    <row r="1385" spans="1:19" hidden="1" x14ac:dyDescent="0.35">
      <c r="A1385" s="1">
        <v>44119</v>
      </c>
      <c r="B1385" s="4">
        <v>22.5</v>
      </c>
      <c r="C1385">
        <v>19.2</v>
      </c>
      <c r="D1385">
        <v>26.6</v>
      </c>
      <c r="E1385" s="4">
        <v>0</v>
      </c>
      <c r="F1385" t="str">
        <f t="shared" si="718"/>
        <v>OK</v>
      </c>
      <c r="G1385" t="str">
        <f t="shared" si="719"/>
        <v>OK</v>
      </c>
      <c r="H1385" t="str">
        <f t="shared" si="720"/>
        <v>OK</v>
      </c>
      <c r="I1385" s="4">
        <f t="shared" si="721"/>
        <v>2020</v>
      </c>
    </row>
    <row r="1386" spans="1:19" hidden="1" x14ac:dyDescent="0.35">
      <c r="A1386" s="1">
        <v>44120</v>
      </c>
      <c r="B1386" s="4">
        <v>23.4</v>
      </c>
      <c r="C1386">
        <v>17.600000000000001</v>
      </c>
      <c r="D1386">
        <v>28.8</v>
      </c>
      <c r="E1386" s="4">
        <v>0</v>
      </c>
      <c r="F1386" t="str">
        <f t="shared" si="718"/>
        <v>OK</v>
      </c>
      <c r="G1386" t="str">
        <f t="shared" si="719"/>
        <v>OK</v>
      </c>
      <c r="H1386" t="str">
        <f t="shared" si="720"/>
        <v>OK</v>
      </c>
      <c r="I1386" s="4">
        <f t="shared" si="721"/>
        <v>2020</v>
      </c>
    </row>
    <row r="1387" spans="1:19" hidden="1" x14ac:dyDescent="0.35">
      <c r="A1387" s="1">
        <v>44121</v>
      </c>
      <c r="B1387">
        <v>23.6</v>
      </c>
      <c r="C1387">
        <v>20</v>
      </c>
      <c r="D1387">
        <v>28.8</v>
      </c>
      <c r="E1387"/>
      <c r="I1387"/>
    </row>
    <row r="1388" spans="1:19" x14ac:dyDescent="0.35">
      <c r="A1388" s="1">
        <v>44122</v>
      </c>
      <c r="B1388" s="4">
        <v>23.8</v>
      </c>
      <c r="C1388">
        <v>20.8</v>
      </c>
      <c r="D1388">
        <v>28</v>
      </c>
      <c r="E1388" s="4">
        <v>0.3</v>
      </c>
      <c r="F1388" t="str">
        <f t="shared" ref="F1388:F1397" si="726">IF(OR(B1388 &lt; $N$30, B1388 &gt; $N$67), "Outlier", "OK")</f>
        <v>OK</v>
      </c>
      <c r="G1388" t="str">
        <f t="shared" ref="G1388:G1397" si="727">IF(OR(C1388 &lt; $O$30, C1388 &gt; $O$67), "Outlier", "OK")</f>
        <v>OK</v>
      </c>
      <c r="H1388" t="str">
        <f t="shared" ref="H1388:H1397" si="728">IF(OR(D1388 &lt; $P$30, D1388 &gt; $P$67), "Outlier", "OK")</f>
        <v>OK</v>
      </c>
      <c r="I1388" s="4">
        <f t="shared" ref="I1388:I1397" si="729">YEAR(A1388)</f>
        <v>2020</v>
      </c>
      <c r="J1388">
        <f t="shared" ref="J1388:J1394" si="730">( 377.84*B1388 + 3903.1)/550</f>
        <v>23.446712727272729</v>
      </c>
      <c r="K1388">
        <f t="shared" ref="K1388:K1394" si="731" xml:space="preserve"> (59.02*E1388 + 1383.4)/365</f>
        <v>3.8386465753424659</v>
      </c>
      <c r="R1388" s="4">
        <f t="shared" ref="R1388:R1394" si="732">J1388-B1388</f>
        <v>-0.35328727272727178</v>
      </c>
      <c r="S1388" s="4">
        <f t="shared" ref="S1388:S1394" si="733">K1388-E1388</f>
        <v>3.5386465753424661</v>
      </c>
    </row>
    <row r="1389" spans="1:19" x14ac:dyDescent="0.35">
      <c r="A1389" s="1">
        <v>44123</v>
      </c>
      <c r="B1389" s="4">
        <v>23.3</v>
      </c>
      <c r="C1389">
        <v>21</v>
      </c>
      <c r="D1389">
        <v>28</v>
      </c>
      <c r="E1389" s="4">
        <v>1.8</v>
      </c>
      <c r="F1389" t="str">
        <f t="shared" si="726"/>
        <v>OK</v>
      </c>
      <c r="G1389" t="str">
        <f t="shared" si="727"/>
        <v>OK</v>
      </c>
      <c r="H1389" t="str">
        <f t="shared" si="728"/>
        <v>OK</v>
      </c>
      <c r="I1389" s="4">
        <f t="shared" si="729"/>
        <v>2020</v>
      </c>
      <c r="J1389">
        <f t="shared" si="730"/>
        <v>23.103221818181819</v>
      </c>
      <c r="K1389">
        <f t="shared" si="731"/>
        <v>4.0811945205479461</v>
      </c>
      <c r="R1389" s="4">
        <f t="shared" si="732"/>
        <v>-0.19677818181818196</v>
      </c>
      <c r="S1389" s="4">
        <f t="shared" si="733"/>
        <v>2.2811945205479462</v>
      </c>
    </row>
    <row r="1390" spans="1:19" x14ac:dyDescent="0.35">
      <c r="A1390" s="1">
        <v>44124</v>
      </c>
      <c r="B1390" s="4">
        <v>22.9</v>
      </c>
      <c r="C1390">
        <v>20</v>
      </c>
      <c r="D1390">
        <v>26.6</v>
      </c>
      <c r="E1390" s="4">
        <v>3.8</v>
      </c>
      <c r="F1390" t="str">
        <f t="shared" si="726"/>
        <v>OK</v>
      </c>
      <c r="G1390" t="str">
        <f t="shared" si="727"/>
        <v>OK</v>
      </c>
      <c r="H1390" t="str">
        <f t="shared" si="728"/>
        <v>OK</v>
      </c>
      <c r="I1390" s="4">
        <f t="shared" si="729"/>
        <v>2020</v>
      </c>
      <c r="J1390">
        <f t="shared" si="730"/>
        <v>22.82842909090909</v>
      </c>
      <c r="K1390">
        <f t="shared" si="731"/>
        <v>4.4045917808219182</v>
      </c>
      <c r="R1390" s="4">
        <f t="shared" si="732"/>
        <v>-7.1570909090908685E-2</v>
      </c>
      <c r="S1390" s="4">
        <f t="shared" si="733"/>
        <v>0.60459178082191833</v>
      </c>
    </row>
    <row r="1391" spans="1:19" x14ac:dyDescent="0.35">
      <c r="A1391" s="1">
        <v>44125</v>
      </c>
      <c r="B1391" s="4">
        <v>22.7</v>
      </c>
      <c r="C1391">
        <v>20.399999999999999</v>
      </c>
      <c r="D1391">
        <v>26.2</v>
      </c>
      <c r="E1391" s="4">
        <v>67.099999999999994</v>
      </c>
      <c r="F1391" t="str">
        <f t="shared" si="726"/>
        <v>OK</v>
      </c>
      <c r="G1391" t="str">
        <f t="shared" si="727"/>
        <v>OK</v>
      </c>
      <c r="H1391" t="str">
        <f t="shared" si="728"/>
        <v>OK</v>
      </c>
      <c r="I1391" s="4">
        <f t="shared" si="729"/>
        <v>2020</v>
      </c>
      <c r="J1391">
        <f t="shared" si="730"/>
        <v>22.691032727272727</v>
      </c>
      <c r="K1391">
        <f t="shared" si="731"/>
        <v>14.64011506849315</v>
      </c>
      <c r="R1391" s="4">
        <f t="shared" si="732"/>
        <v>-8.9672727272720465E-3</v>
      </c>
      <c r="S1391" s="4">
        <f t="shared" si="733"/>
        <v>-52.459884931506842</v>
      </c>
    </row>
    <row r="1392" spans="1:19" x14ac:dyDescent="0.35">
      <c r="A1392" s="1">
        <v>44126</v>
      </c>
      <c r="B1392" s="4">
        <v>22.2</v>
      </c>
      <c r="C1392">
        <v>19.3</v>
      </c>
      <c r="D1392">
        <v>26.4</v>
      </c>
      <c r="E1392" s="4">
        <v>5.3</v>
      </c>
      <c r="F1392" t="str">
        <f t="shared" si="726"/>
        <v>OK</v>
      </c>
      <c r="G1392" t="str">
        <f t="shared" si="727"/>
        <v>OK</v>
      </c>
      <c r="H1392" t="str">
        <f t="shared" si="728"/>
        <v>OK</v>
      </c>
      <c r="I1392" s="4">
        <f t="shared" si="729"/>
        <v>2020</v>
      </c>
      <c r="J1392">
        <f t="shared" si="730"/>
        <v>22.347541818181817</v>
      </c>
      <c r="K1392">
        <f t="shared" si="731"/>
        <v>4.6471397260273974</v>
      </c>
      <c r="R1392" s="4">
        <f t="shared" si="732"/>
        <v>0.14754181818181777</v>
      </c>
      <c r="S1392" s="4">
        <f t="shared" si="733"/>
        <v>-0.65286027397260238</v>
      </c>
    </row>
    <row r="1393" spans="1:19" x14ac:dyDescent="0.35">
      <c r="A1393" s="1">
        <v>44127</v>
      </c>
      <c r="B1393" s="4">
        <v>21</v>
      </c>
      <c r="C1393">
        <v>17.8</v>
      </c>
      <c r="D1393">
        <v>27.5</v>
      </c>
      <c r="E1393" s="4">
        <v>17.5</v>
      </c>
      <c r="F1393" t="str">
        <f t="shared" si="726"/>
        <v>OK</v>
      </c>
      <c r="G1393" t="str">
        <f t="shared" si="727"/>
        <v>OK</v>
      </c>
      <c r="H1393" t="str">
        <f t="shared" si="728"/>
        <v>OK</v>
      </c>
      <c r="I1393" s="4">
        <f t="shared" si="729"/>
        <v>2020</v>
      </c>
      <c r="J1393">
        <f t="shared" si="730"/>
        <v>21.523163636363638</v>
      </c>
      <c r="K1393">
        <f t="shared" si="731"/>
        <v>6.6198630136986303</v>
      </c>
      <c r="R1393" s="4">
        <f t="shared" si="732"/>
        <v>0.52316363636363761</v>
      </c>
      <c r="S1393" s="4">
        <f t="shared" si="733"/>
        <v>-10.88013698630137</v>
      </c>
    </row>
    <row r="1394" spans="1:19" x14ac:dyDescent="0.35">
      <c r="A1394" s="1">
        <v>44128</v>
      </c>
      <c r="B1394" s="4">
        <v>22</v>
      </c>
      <c r="C1394">
        <v>17</v>
      </c>
      <c r="D1394">
        <v>27</v>
      </c>
      <c r="E1394" s="4">
        <v>17.3</v>
      </c>
      <c r="F1394" t="str">
        <f t="shared" si="726"/>
        <v>OK</v>
      </c>
      <c r="G1394" t="str">
        <f t="shared" si="727"/>
        <v>OK</v>
      </c>
      <c r="H1394" t="str">
        <f t="shared" si="728"/>
        <v>OK</v>
      </c>
      <c r="I1394" s="4">
        <f t="shared" si="729"/>
        <v>2020</v>
      </c>
      <c r="J1394">
        <f t="shared" si="730"/>
        <v>22.210145454545454</v>
      </c>
      <c r="K1394">
        <f t="shared" si="731"/>
        <v>6.5875232876712326</v>
      </c>
      <c r="R1394" s="4">
        <f t="shared" si="732"/>
        <v>0.21014545454545441</v>
      </c>
      <c r="S1394" s="4">
        <f t="shared" si="733"/>
        <v>-10.712476712328769</v>
      </c>
    </row>
    <row r="1395" spans="1:19" hidden="1" x14ac:dyDescent="0.35">
      <c r="A1395" s="1">
        <v>44129</v>
      </c>
      <c r="B1395" s="4">
        <v>23.5</v>
      </c>
      <c r="C1395">
        <v>20.2</v>
      </c>
      <c r="D1395">
        <v>29.8</v>
      </c>
      <c r="E1395" s="4">
        <v>0</v>
      </c>
      <c r="F1395" t="str">
        <f t="shared" si="726"/>
        <v>OK</v>
      </c>
      <c r="G1395" t="str">
        <f t="shared" si="727"/>
        <v>OK</v>
      </c>
      <c r="H1395" t="str">
        <f t="shared" si="728"/>
        <v>OK</v>
      </c>
      <c r="I1395" s="4">
        <f t="shared" si="729"/>
        <v>2020</v>
      </c>
    </row>
    <row r="1396" spans="1:19" x14ac:dyDescent="0.35">
      <c r="A1396" s="1">
        <v>44130</v>
      </c>
      <c r="B1396" s="4">
        <v>23.6</v>
      </c>
      <c r="C1396">
        <v>19.399999999999999</v>
      </c>
      <c r="D1396">
        <v>29.4</v>
      </c>
      <c r="E1396" s="4">
        <v>7.9</v>
      </c>
      <c r="F1396" t="str">
        <f t="shared" si="726"/>
        <v>OK</v>
      </c>
      <c r="G1396" t="str">
        <f t="shared" si="727"/>
        <v>OK</v>
      </c>
      <c r="H1396" t="str">
        <f t="shared" si="728"/>
        <v>OK</v>
      </c>
      <c r="I1396" s="4">
        <f t="shared" si="729"/>
        <v>2020</v>
      </c>
      <c r="J1396">
        <f>( 377.84*B1396 + 3903.1)/550</f>
        <v>23.309316363636363</v>
      </c>
      <c r="K1396">
        <f xml:space="preserve"> (59.02*E1396 + 1383.4)/365</f>
        <v>5.0675561643835616</v>
      </c>
      <c r="R1396" s="4">
        <f>J1396-B1396</f>
        <v>-0.2906836363636387</v>
      </c>
      <c r="S1396" s="4">
        <f>K1396-E1396</f>
        <v>-2.8324438356164388</v>
      </c>
    </row>
    <row r="1397" spans="1:19" hidden="1" x14ac:dyDescent="0.35">
      <c r="A1397" s="1">
        <v>44131</v>
      </c>
      <c r="B1397" s="4">
        <v>23.7</v>
      </c>
      <c r="C1397">
        <v>19</v>
      </c>
      <c r="D1397">
        <v>30</v>
      </c>
      <c r="E1397" s="4">
        <v>0</v>
      </c>
      <c r="F1397" t="str">
        <f t="shared" si="726"/>
        <v>OK</v>
      </c>
      <c r="G1397" t="str">
        <f t="shared" si="727"/>
        <v>OK</v>
      </c>
      <c r="H1397" t="str">
        <f t="shared" si="728"/>
        <v>OK</v>
      </c>
      <c r="I1397" s="4">
        <f t="shared" si="729"/>
        <v>2020</v>
      </c>
    </row>
    <row r="1398" spans="1:19" hidden="1" x14ac:dyDescent="0.35">
      <c r="A1398" s="1">
        <v>44132</v>
      </c>
      <c r="B1398">
        <v>23.3</v>
      </c>
      <c r="C1398">
        <v>19</v>
      </c>
      <c r="D1398">
        <v>29.6</v>
      </c>
      <c r="E1398"/>
      <c r="I1398"/>
    </row>
    <row r="1399" spans="1:19" hidden="1" x14ac:dyDescent="0.35">
      <c r="A1399" s="1">
        <v>44133</v>
      </c>
      <c r="B1399">
        <v>21.9</v>
      </c>
      <c r="C1399">
        <v>18.2</v>
      </c>
      <c r="D1399">
        <v>28.9</v>
      </c>
      <c r="E1399"/>
      <c r="I1399"/>
    </row>
    <row r="1400" spans="1:19" hidden="1" x14ac:dyDescent="0.35">
      <c r="A1400" s="1">
        <v>44134</v>
      </c>
      <c r="B1400" s="4">
        <v>22.9</v>
      </c>
      <c r="C1400">
        <v>17.8</v>
      </c>
      <c r="D1400">
        <v>28.3</v>
      </c>
      <c r="E1400" s="4">
        <v>0</v>
      </c>
      <c r="F1400" t="str">
        <f>IF(OR(B1400 &lt; $N$30, B1400 &gt; $N$67), "Outlier", "OK")</f>
        <v>OK</v>
      </c>
      <c r="G1400" t="str">
        <f>IF(OR(C1400 &lt; $O$30, C1400 &gt; $O$67), "Outlier", "OK")</f>
        <v>OK</v>
      </c>
      <c r="H1400" t="str">
        <f>IF(OR(D1400 &lt; $P$30, D1400 &gt; $P$67), "Outlier", "OK")</f>
        <v>OK</v>
      </c>
      <c r="I1400" s="4">
        <f>YEAR(A1400)</f>
        <v>2020</v>
      </c>
    </row>
    <row r="1401" spans="1:19" hidden="1" x14ac:dyDescent="0.35">
      <c r="A1401" s="1">
        <v>44135</v>
      </c>
      <c r="B1401">
        <v>24.1</v>
      </c>
      <c r="C1401">
        <v>18.5</v>
      </c>
      <c r="D1401">
        <v>28.8</v>
      </c>
      <c r="E1401"/>
      <c r="I1401"/>
    </row>
    <row r="1402" spans="1:19" hidden="1" x14ac:dyDescent="0.35">
      <c r="A1402" s="1">
        <v>44136</v>
      </c>
      <c r="B1402" s="4">
        <v>24.8</v>
      </c>
      <c r="C1402">
        <v>19</v>
      </c>
      <c r="D1402">
        <v>29.1</v>
      </c>
      <c r="E1402" s="4">
        <v>0</v>
      </c>
      <c r="F1402" t="str">
        <f t="shared" ref="F1402:F1404" si="734">IF(OR(B1402 &lt; $N$30, B1402 &gt; $N$67), "Outlier", "OK")</f>
        <v>OK</v>
      </c>
      <c r="G1402" t="str">
        <f t="shared" ref="G1402:G1404" si="735">IF(OR(C1402 &lt; $O$30, C1402 &gt; $O$67), "Outlier", "OK")</f>
        <v>OK</v>
      </c>
      <c r="H1402" t="str">
        <f t="shared" ref="H1402:H1404" si="736">IF(OR(D1402 &lt; $P$30, D1402 &gt; $P$67), "Outlier", "OK")</f>
        <v>OK</v>
      </c>
      <c r="I1402" s="4">
        <f t="shared" ref="I1402:I1404" si="737">YEAR(A1402)</f>
        <v>2020</v>
      </c>
    </row>
    <row r="1403" spans="1:19" x14ac:dyDescent="0.35">
      <c r="A1403" s="1">
        <v>44137</v>
      </c>
      <c r="B1403" s="4">
        <v>24.3</v>
      </c>
      <c r="C1403">
        <v>20.399999999999999</v>
      </c>
      <c r="D1403">
        <v>31.5</v>
      </c>
      <c r="E1403" s="4">
        <v>0.3</v>
      </c>
      <c r="F1403" t="str">
        <f t="shared" si="734"/>
        <v>OK</v>
      </c>
      <c r="G1403" t="str">
        <f t="shared" si="735"/>
        <v>OK</v>
      </c>
      <c r="H1403" t="str">
        <f t="shared" si="736"/>
        <v>OK</v>
      </c>
      <c r="I1403" s="4">
        <f t="shared" si="737"/>
        <v>2020</v>
      </c>
      <c r="J1403">
        <f>( 377.84*B1403 + 3903.1)/550</f>
        <v>23.790203636363636</v>
      </c>
      <c r="K1403">
        <f xml:space="preserve"> (59.02*E1403 + 1383.4)/365</f>
        <v>3.8386465753424659</v>
      </c>
      <c r="R1403" s="4">
        <f>J1403-B1403</f>
        <v>-0.50979636363636516</v>
      </c>
      <c r="S1403" s="4">
        <f>K1403-E1403</f>
        <v>3.5386465753424661</v>
      </c>
    </row>
    <row r="1404" spans="1:19" hidden="1" x14ac:dyDescent="0.35">
      <c r="A1404" s="1">
        <v>44138</v>
      </c>
      <c r="B1404" s="4">
        <v>24.7</v>
      </c>
      <c r="C1404">
        <v>19.8</v>
      </c>
      <c r="D1404">
        <v>29</v>
      </c>
      <c r="E1404" s="4">
        <v>0</v>
      </c>
      <c r="F1404" t="str">
        <f t="shared" si="734"/>
        <v>OK</v>
      </c>
      <c r="G1404" t="str">
        <f t="shared" si="735"/>
        <v>OK</v>
      </c>
      <c r="H1404" t="str">
        <f t="shared" si="736"/>
        <v>OK</v>
      </c>
      <c r="I1404" s="4">
        <f t="shared" si="737"/>
        <v>2020</v>
      </c>
    </row>
    <row r="1405" spans="1:19" hidden="1" x14ac:dyDescent="0.35">
      <c r="A1405" s="1">
        <v>44139</v>
      </c>
      <c r="B1405">
        <v>24.5</v>
      </c>
      <c r="C1405">
        <v>20.5</v>
      </c>
      <c r="D1405">
        <v>29.9</v>
      </c>
      <c r="E1405"/>
      <c r="I1405"/>
    </row>
    <row r="1406" spans="1:19" hidden="1" x14ac:dyDescent="0.35">
      <c r="A1406" s="1">
        <v>44140</v>
      </c>
      <c r="B1406">
        <v>24.3</v>
      </c>
      <c r="C1406">
        <v>21</v>
      </c>
      <c r="D1406">
        <v>29.2</v>
      </c>
      <c r="E1406"/>
      <c r="I1406"/>
    </row>
    <row r="1407" spans="1:19" x14ac:dyDescent="0.35">
      <c r="A1407" s="1">
        <v>44141</v>
      </c>
      <c r="B1407" s="4">
        <v>23.8</v>
      </c>
      <c r="C1407">
        <v>20.8</v>
      </c>
      <c r="D1407">
        <v>30.4</v>
      </c>
      <c r="E1407" s="4">
        <v>22.9</v>
      </c>
      <c r="F1407" t="str">
        <f t="shared" ref="F1407:F1410" si="738">IF(OR(B1407 &lt; $N$30, B1407 &gt; $N$67), "Outlier", "OK")</f>
        <v>OK</v>
      </c>
      <c r="G1407" t="str">
        <f t="shared" ref="G1407:G1410" si="739">IF(OR(C1407 &lt; $O$30, C1407 &gt; $O$67), "Outlier", "OK")</f>
        <v>OK</v>
      </c>
      <c r="H1407" t="str">
        <f t="shared" ref="H1407:H1410" si="740">IF(OR(D1407 &lt; $P$30, D1407 &gt; $P$67), "Outlier", "OK")</f>
        <v>OK</v>
      </c>
      <c r="I1407" s="4">
        <f t="shared" ref="I1407:I1410" si="741">YEAR(A1407)</f>
        <v>2020</v>
      </c>
      <c r="J1407">
        <f>( 377.84*B1407 + 3903.1)/550</f>
        <v>23.446712727272729</v>
      </c>
      <c r="K1407">
        <f xml:space="preserve"> (59.02*E1407 + 1383.4)/365</f>
        <v>7.4930356164383563</v>
      </c>
      <c r="R1407" s="4">
        <f>J1407-B1407</f>
        <v>-0.35328727272727178</v>
      </c>
      <c r="S1407" s="4">
        <f>K1407-E1407</f>
        <v>-15.406964383561643</v>
      </c>
    </row>
    <row r="1408" spans="1:19" hidden="1" x14ac:dyDescent="0.35">
      <c r="A1408" s="1">
        <v>44142</v>
      </c>
      <c r="B1408" s="4">
        <v>23.4</v>
      </c>
      <c r="C1408">
        <v>20.2</v>
      </c>
      <c r="D1408">
        <v>29.2</v>
      </c>
      <c r="E1408" s="4">
        <v>0</v>
      </c>
      <c r="F1408" t="str">
        <f t="shared" si="738"/>
        <v>OK</v>
      </c>
      <c r="G1408" t="str">
        <f t="shared" si="739"/>
        <v>OK</v>
      </c>
      <c r="H1408" t="str">
        <f t="shared" si="740"/>
        <v>OK</v>
      </c>
      <c r="I1408" s="4">
        <f t="shared" si="741"/>
        <v>2020</v>
      </c>
    </row>
    <row r="1409" spans="1:19" x14ac:dyDescent="0.35">
      <c r="A1409" s="1">
        <v>44143</v>
      </c>
      <c r="B1409" s="4">
        <v>23.4</v>
      </c>
      <c r="C1409">
        <v>20.8</v>
      </c>
      <c r="D1409">
        <v>30.2</v>
      </c>
      <c r="E1409" s="4">
        <v>3.3</v>
      </c>
      <c r="F1409" t="str">
        <f t="shared" si="738"/>
        <v>OK</v>
      </c>
      <c r="G1409" t="str">
        <f t="shared" si="739"/>
        <v>OK</v>
      </c>
      <c r="H1409" t="str">
        <f t="shared" si="740"/>
        <v>OK</v>
      </c>
      <c r="I1409" s="4">
        <f t="shared" si="741"/>
        <v>2020</v>
      </c>
      <c r="J1409">
        <f>( 377.84*B1409 + 3903.1)/550</f>
        <v>23.171919999999997</v>
      </c>
      <c r="K1409">
        <f xml:space="preserve"> (59.02*E1409 + 1383.4)/365</f>
        <v>4.3237424657534254</v>
      </c>
      <c r="R1409" s="4">
        <f>J1409-B1409</f>
        <v>-0.22808000000000206</v>
      </c>
      <c r="S1409" s="4">
        <f>K1409-E1409</f>
        <v>1.0237424657534255</v>
      </c>
    </row>
    <row r="1410" spans="1:19" hidden="1" x14ac:dyDescent="0.35">
      <c r="A1410" s="1">
        <v>44144</v>
      </c>
      <c r="B1410" s="4">
        <v>22.7</v>
      </c>
      <c r="C1410">
        <v>19.5</v>
      </c>
      <c r="D1410">
        <v>27.8</v>
      </c>
      <c r="E1410" s="4">
        <v>0</v>
      </c>
      <c r="F1410" t="str">
        <f t="shared" si="738"/>
        <v>OK</v>
      </c>
      <c r="G1410" t="str">
        <f t="shared" si="739"/>
        <v>OK</v>
      </c>
      <c r="H1410" t="str">
        <f t="shared" si="740"/>
        <v>OK</v>
      </c>
      <c r="I1410" s="4">
        <f t="shared" si="741"/>
        <v>2020</v>
      </c>
    </row>
    <row r="1411" spans="1:19" hidden="1" x14ac:dyDescent="0.35">
      <c r="A1411" s="1">
        <v>44145</v>
      </c>
      <c r="B1411">
        <v>21.3</v>
      </c>
      <c r="C1411">
        <v>16</v>
      </c>
      <c r="D1411">
        <v>28.6</v>
      </c>
      <c r="E1411"/>
      <c r="I1411"/>
    </row>
    <row r="1412" spans="1:19" hidden="1" x14ac:dyDescent="0.35">
      <c r="A1412" s="1">
        <v>44146</v>
      </c>
      <c r="B1412">
        <v>22.7</v>
      </c>
      <c r="C1412">
        <v>16.5</v>
      </c>
      <c r="D1412">
        <v>28.7</v>
      </c>
      <c r="E1412"/>
      <c r="I1412"/>
    </row>
    <row r="1413" spans="1:19" hidden="1" x14ac:dyDescent="0.35">
      <c r="A1413" s="1">
        <v>44147</v>
      </c>
      <c r="B1413">
        <v>23.7</v>
      </c>
      <c r="C1413">
        <v>19.2</v>
      </c>
      <c r="D1413">
        <v>28.4</v>
      </c>
      <c r="E1413"/>
      <c r="I1413"/>
    </row>
    <row r="1414" spans="1:19" hidden="1" x14ac:dyDescent="0.35">
      <c r="A1414" s="1">
        <v>44148</v>
      </c>
      <c r="B1414" s="4">
        <v>22.1</v>
      </c>
      <c r="C1414">
        <v>20.399999999999999</v>
      </c>
      <c r="D1414">
        <v>28</v>
      </c>
      <c r="E1414" s="4">
        <v>0</v>
      </c>
      <c r="F1414" t="str">
        <f t="shared" ref="F1414:F1420" si="742">IF(OR(B1414 &lt; $N$30, B1414 &gt; $N$67), "Outlier", "OK")</f>
        <v>OK</v>
      </c>
      <c r="G1414" t="str">
        <f t="shared" ref="G1414:G1420" si="743">IF(OR(C1414 &lt; $O$30, C1414 &gt; $O$67), "Outlier", "OK")</f>
        <v>OK</v>
      </c>
      <c r="H1414" t="str">
        <f t="shared" ref="H1414:H1420" si="744">IF(OR(D1414 &lt; $P$30, D1414 &gt; $P$67), "Outlier", "OK")</f>
        <v>OK</v>
      </c>
      <c r="I1414" s="4">
        <f t="shared" ref="I1414:I1420" si="745">YEAR(A1414)</f>
        <v>2020</v>
      </c>
    </row>
    <row r="1415" spans="1:19" x14ac:dyDescent="0.35">
      <c r="A1415" s="1">
        <v>44149</v>
      </c>
      <c r="B1415" s="4">
        <v>22.8</v>
      </c>
      <c r="C1415">
        <v>20</v>
      </c>
      <c r="D1415">
        <v>27.8</v>
      </c>
      <c r="E1415" s="4">
        <v>8.9</v>
      </c>
      <c r="F1415" t="str">
        <f t="shared" si="742"/>
        <v>OK</v>
      </c>
      <c r="G1415" t="str">
        <f t="shared" si="743"/>
        <v>OK</v>
      </c>
      <c r="H1415" t="str">
        <f t="shared" si="744"/>
        <v>OK</v>
      </c>
      <c r="I1415" s="4">
        <f t="shared" si="745"/>
        <v>2020</v>
      </c>
      <c r="J1415">
        <f>( 377.84*B1415 + 3903.1)/550</f>
        <v>22.759730909090912</v>
      </c>
      <c r="K1415">
        <f xml:space="preserve"> (59.02*E1415 + 1383.4)/365</f>
        <v>5.2292547945205481</v>
      </c>
      <c r="R1415" s="4">
        <f>J1415-B1415</f>
        <v>-4.026909090908859E-2</v>
      </c>
      <c r="S1415" s="4">
        <f>K1415-E1415</f>
        <v>-3.6707452054794523</v>
      </c>
    </row>
    <row r="1416" spans="1:19" hidden="1" x14ac:dyDescent="0.35">
      <c r="A1416" s="1">
        <v>44150</v>
      </c>
      <c r="B1416" s="4">
        <v>21.6</v>
      </c>
      <c r="C1416">
        <v>19.100000000000001</v>
      </c>
      <c r="D1416">
        <v>28.2</v>
      </c>
      <c r="E1416" s="4">
        <v>0</v>
      </c>
      <c r="F1416" t="str">
        <f t="shared" si="742"/>
        <v>OK</v>
      </c>
      <c r="G1416" t="str">
        <f t="shared" si="743"/>
        <v>OK</v>
      </c>
      <c r="H1416" t="str">
        <f t="shared" si="744"/>
        <v>OK</v>
      </c>
      <c r="I1416" s="4">
        <f t="shared" si="745"/>
        <v>2020</v>
      </c>
    </row>
    <row r="1417" spans="1:19" x14ac:dyDescent="0.35">
      <c r="A1417" s="1">
        <v>44151</v>
      </c>
      <c r="B1417" s="4">
        <v>21.6</v>
      </c>
      <c r="C1417">
        <v>19.2</v>
      </c>
      <c r="D1417">
        <v>25.8</v>
      </c>
      <c r="E1417" s="4">
        <v>9.9</v>
      </c>
      <c r="F1417" t="str">
        <f t="shared" si="742"/>
        <v>OK</v>
      </c>
      <c r="G1417" t="str">
        <f t="shared" si="743"/>
        <v>OK</v>
      </c>
      <c r="H1417" t="str">
        <f t="shared" si="744"/>
        <v>OK</v>
      </c>
      <c r="I1417" s="4">
        <f t="shared" si="745"/>
        <v>2020</v>
      </c>
      <c r="J1417">
        <f t="shared" ref="J1417:J1418" si="746">( 377.84*B1417 + 3903.1)/550</f>
        <v>21.935352727272726</v>
      </c>
      <c r="K1417">
        <f t="shared" ref="K1417:K1418" si="747" xml:space="preserve"> (59.02*E1417 + 1383.4)/365</f>
        <v>5.3909534246575346</v>
      </c>
      <c r="R1417" s="4">
        <f t="shared" ref="R1417:R1418" si="748">J1417-B1417</f>
        <v>0.33535272727272414</v>
      </c>
      <c r="S1417" s="4">
        <f t="shared" ref="S1417:S1418" si="749">K1417-E1417</f>
        <v>-4.5090465753424658</v>
      </c>
    </row>
    <row r="1418" spans="1:19" x14ac:dyDescent="0.35">
      <c r="A1418" s="1">
        <v>44152</v>
      </c>
      <c r="B1418" s="4">
        <v>22.2</v>
      </c>
      <c r="C1418">
        <v>19.399999999999999</v>
      </c>
      <c r="D1418">
        <v>25</v>
      </c>
      <c r="E1418" s="4">
        <v>21.1</v>
      </c>
      <c r="F1418" t="str">
        <f t="shared" si="742"/>
        <v>OK</v>
      </c>
      <c r="G1418" t="str">
        <f t="shared" si="743"/>
        <v>OK</v>
      </c>
      <c r="H1418" t="str">
        <f t="shared" si="744"/>
        <v>OK</v>
      </c>
      <c r="I1418" s="4">
        <f t="shared" si="745"/>
        <v>2020</v>
      </c>
      <c r="J1418">
        <f t="shared" si="746"/>
        <v>22.347541818181817</v>
      </c>
      <c r="K1418">
        <f t="shared" si="747"/>
        <v>7.2019780821917818</v>
      </c>
      <c r="R1418" s="4">
        <f t="shared" si="748"/>
        <v>0.14754181818181777</v>
      </c>
      <c r="S1418" s="4">
        <f t="shared" si="749"/>
        <v>-13.898021917808219</v>
      </c>
    </row>
    <row r="1419" spans="1:19" hidden="1" x14ac:dyDescent="0.35">
      <c r="A1419" s="1">
        <v>44153</v>
      </c>
      <c r="B1419" s="4">
        <v>22.8</v>
      </c>
      <c r="C1419">
        <v>19.2</v>
      </c>
      <c r="D1419">
        <v>28.3</v>
      </c>
      <c r="E1419" s="4">
        <v>0</v>
      </c>
      <c r="F1419" t="str">
        <f t="shared" si="742"/>
        <v>OK</v>
      </c>
      <c r="G1419" t="str">
        <f t="shared" si="743"/>
        <v>OK</v>
      </c>
      <c r="H1419" t="str">
        <f t="shared" si="744"/>
        <v>OK</v>
      </c>
      <c r="I1419" s="4">
        <f t="shared" si="745"/>
        <v>2020</v>
      </c>
    </row>
    <row r="1420" spans="1:19" hidden="1" x14ac:dyDescent="0.35">
      <c r="A1420" s="1">
        <v>44154</v>
      </c>
      <c r="B1420" s="4">
        <v>22.9</v>
      </c>
      <c r="C1420">
        <v>20</v>
      </c>
      <c r="D1420">
        <v>28.3</v>
      </c>
      <c r="E1420" s="4">
        <v>0</v>
      </c>
      <c r="F1420" t="str">
        <f t="shared" si="742"/>
        <v>OK</v>
      </c>
      <c r="G1420" t="str">
        <f t="shared" si="743"/>
        <v>OK</v>
      </c>
      <c r="H1420" t="str">
        <f t="shared" si="744"/>
        <v>OK</v>
      </c>
      <c r="I1420" s="4">
        <f t="shared" si="745"/>
        <v>2020</v>
      </c>
    </row>
    <row r="1421" spans="1:19" hidden="1" x14ac:dyDescent="0.35">
      <c r="A1421" s="1">
        <v>44155</v>
      </c>
      <c r="B1421">
        <v>22.2</v>
      </c>
      <c r="C1421">
        <v>17.3</v>
      </c>
      <c r="D1421">
        <v>28.1</v>
      </c>
      <c r="E1421"/>
      <c r="I1421"/>
    </row>
    <row r="1422" spans="1:19" hidden="1" x14ac:dyDescent="0.35">
      <c r="A1422" s="1">
        <v>44156</v>
      </c>
      <c r="B1422">
        <v>21.9</v>
      </c>
      <c r="C1422">
        <v>17</v>
      </c>
      <c r="D1422">
        <v>28.8</v>
      </c>
      <c r="E1422"/>
      <c r="I1422"/>
    </row>
    <row r="1423" spans="1:19" hidden="1" x14ac:dyDescent="0.35">
      <c r="A1423" s="1">
        <v>44157</v>
      </c>
      <c r="B1423">
        <v>21.4</v>
      </c>
      <c r="C1423">
        <v>14.8</v>
      </c>
      <c r="D1423">
        <v>29.6</v>
      </c>
      <c r="E1423"/>
      <c r="I1423"/>
    </row>
    <row r="1424" spans="1:19" hidden="1" x14ac:dyDescent="0.35">
      <c r="A1424" s="1">
        <v>44158</v>
      </c>
      <c r="B1424">
        <v>22.4</v>
      </c>
      <c r="C1424">
        <v>17.399999999999999</v>
      </c>
      <c r="D1424">
        <v>28.2</v>
      </c>
      <c r="E1424"/>
      <c r="I1424"/>
    </row>
    <row r="1425" spans="1:19" hidden="1" x14ac:dyDescent="0.35">
      <c r="A1425" s="1">
        <v>44159</v>
      </c>
      <c r="B1425">
        <v>21.8</v>
      </c>
      <c r="C1425">
        <v>18.7</v>
      </c>
      <c r="D1425">
        <v>27.6</v>
      </c>
      <c r="E1425"/>
      <c r="I1425"/>
    </row>
    <row r="1426" spans="1:19" hidden="1" x14ac:dyDescent="0.35">
      <c r="A1426" s="1">
        <v>44160</v>
      </c>
      <c r="B1426">
        <v>21.1</v>
      </c>
      <c r="C1426">
        <v>18.399999999999999</v>
      </c>
      <c r="D1426">
        <v>26.6</v>
      </c>
      <c r="E1426"/>
      <c r="I1426"/>
    </row>
    <row r="1427" spans="1:19" x14ac:dyDescent="0.35">
      <c r="A1427" s="1">
        <v>44161</v>
      </c>
      <c r="B1427" s="4">
        <v>19.399999999999999</v>
      </c>
      <c r="C1427">
        <v>17.8</v>
      </c>
      <c r="D1427">
        <v>23.8</v>
      </c>
      <c r="E1427" s="4">
        <v>2</v>
      </c>
      <c r="F1427" t="str">
        <f t="shared" ref="F1427:F1431" si="750">IF(OR(B1427 &lt; $N$30, B1427 &gt; $N$67), "Outlier", "OK")</f>
        <v>OK</v>
      </c>
      <c r="G1427" t="str">
        <f t="shared" ref="G1427:G1431" si="751">IF(OR(C1427 &lt; $O$30, C1427 &gt; $O$67), "Outlier", "OK")</f>
        <v>OK</v>
      </c>
      <c r="H1427" t="str">
        <f t="shared" ref="H1427:H1431" si="752">IF(OR(D1427 &lt; $P$30, D1427 &gt; $P$67), "Outlier", "OK")</f>
        <v>OK</v>
      </c>
      <c r="I1427" s="4">
        <f t="shared" ref="I1427:I1431" si="753">YEAR(A1427)</f>
        <v>2020</v>
      </c>
      <c r="J1427">
        <f>( 377.84*B1427 + 3903.1)/550</f>
        <v>20.423992727272722</v>
      </c>
      <c r="K1427">
        <f xml:space="preserve"> (59.02*E1427 + 1383.4)/365</f>
        <v>4.1135342465753428</v>
      </c>
      <c r="R1427" s="4">
        <f>J1427-B1427</f>
        <v>1.0239927272727236</v>
      </c>
      <c r="S1427" s="4">
        <f>K1427-E1427</f>
        <v>2.1135342465753428</v>
      </c>
    </row>
    <row r="1428" spans="1:19" hidden="1" x14ac:dyDescent="0.35">
      <c r="A1428" s="1">
        <v>44162</v>
      </c>
      <c r="B1428">
        <v>19.7</v>
      </c>
      <c r="C1428">
        <v>17.8</v>
      </c>
      <c r="D1428">
        <v>21.8</v>
      </c>
      <c r="E1428">
        <v>13.2</v>
      </c>
      <c r="F1428" t="str">
        <f t="shared" si="750"/>
        <v>OK</v>
      </c>
      <c r="G1428" t="str">
        <f t="shared" si="751"/>
        <v>OK</v>
      </c>
      <c r="H1428" t="str">
        <f t="shared" si="752"/>
        <v>Outlier</v>
      </c>
      <c r="I1428">
        <f t="shared" si="753"/>
        <v>2020</v>
      </c>
    </row>
    <row r="1429" spans="1:19" x14ac:dyDescent="0.35">
      <c r="A1429" s="1">
        <v>44163</v>
      </c>
      <c r="B1429" s="4">
        <v>21.5</v>
      </c>
      <c r="C1429">
        <v>17</v>
      </c>
      <c r="D1429">
        <v>25.9</v>
      </c>
      <c r="E1429" s="4">
        <v>0.3</v>
      </c>
      <c r="F1429" t="str">
        <f t="shared" si="750"/>
        <v>OK</v>
      </c>
      <c r="G1429" t="str">
        <f t="shared" si="751"/>
        <v>OK</v>
      </c>
      <c r="H1429" t="str">
        <f t="shared" si="752"/>
        <v>OK</v>
      </c>
      <c r="I1429" s="4">
        <f t="shared" si="753"/>
        <v>2020</v>
      </c>
      <c r="J1429">
        <f>( 377.84*B1429 + 3903.1)/550</f>
        <v>21.866654545454544</v>
      </c>
      <c r="K1429">
        <f xml:space="preserve"> (59.02*E1429 + 1383.4)/365</f>
        <v>3.8386465753424659</v>
      </c>
      <c r="R1429" s="4">
        <f>J1429-B1429</f>
        <v>0.36665454545454423</v>
      </c>
      <c r="S1429" s="4">
        <f>K1429-E1429</f>
        <v>3.5386465753424661</v>
      </c>
    </row>
    <row r="1430" spans="1:19" hidden="1" x14ac:dyDescent="0.35">
      <c r="A1430" s="1">
        <v>44164</v>
      </c>
      <c r="B1430" s="4">
        <v>21.6</v>
      </c>
      <c r="C1430">
        <v>19</v>
      </c>
      <c r="D1430">
        <v>25.6</v>
      </c>
      <c r="E1430" s="4">
        <v>0</v>
      </c>
      <c r="F1430" t="str">
        <f t="shared" si="750"/>
        <v>OK</v>
      </c>
      <c r="G1430" t="str">
        <f t="shared" si="751"/>
        <v>OK</v>
      </c>
      <c r="H1430" t="str">
        <f t="shared" si="752"/>
        <v>OK</v>
      </c>
      <c r="I1430" s="4">
        <f t="shared" si="753"/>
        <v>2020</v>
      </c>
    </row>
    <row r="1431" spans="1:19" hidden="1" x14ac:dyDescent="0.35">
      <c r="A1431" s="1">
        <v>44165</v>
      </c>
      <c r="B1431" s="4">
        <v>21.9</v>
      </c>
      <c r="C1431">
        <v>18</v>
      </c>
      <c r="D1431">
        <v>26.8</v>
      </c>
      <c r="E1431" s="4">
        <v>0</v>
      </c>
      <c r="F1431" t="str">
        <f t="shared" si="750"/>
        <v>OK</v>
      </c>
      <c r="G1431" t="str">
        <f t="shared" si="751"/>
        <v>OK</v>
      </c>
      <c r="H1431" t="str">
        <f t="shared" si="752"/>
        <v>OK</v>
      </c>
      <c r="I1431" s="4">
        <f t="shared" si="753"/>
        <v>2020</v>
      </c>
    </row>
    <row r="1432" spans="1:19" hidden="1" x14ac:dyDescent="0.35">
      <c r="A1432" s="1">
        <v>44166</v>
      </c>
      <c r="B1432">
        <v>21.1</v>
      </c>
      <c r="C1432">
        <v>17</v>
      </c>
      <c r="D1432">
        <v>27</v>
      </c>
      <c r="E1432"/>
      <c r="I1432"/>
    </row>
    <row r="1433" spans="1:19" hidden="1" x14ac:dyDescent="0.35">
      <c r="A1433" s="1">
        <v>44167</v>
      </c>
      <c r="B1433">
        <v>20.8</v>
      </c>
      <c r="C1433">
        <v>16.7</v>
      </c>
      <c r="D1433">
        <v>26.6</v>
      </c>
      <c r="E1433"/>
      <c r="I1433"/>
    </row>
    <row r="1434" spans="1:19" x14ac:dyDescent="0.35">
      <c r="A1434" s="1">
        <v>44168</v>
      </c>
      <c r="B1434" s="4">
        <v>19.899999999999999</v>
      </c>
      <c r="C1434">
        <v>18</v>
      </c>
      <c r="D1434">
        <v>26.4</v>
      </c>
      <c r="E1434" s="4">
        <v>2.2999999999999998</v>
      </c>
      <c r="F1434" t="str">
        <f t="shared" ref="F1434:F1442" si="754">IF(OR(B1434 &lt; $N$30, B1434 &gt; $N$67), "Outlier", "OK")</f>
        <v>OK</v>
      </c>
      <c r="G1434" t="str">
        <f t="shared" ref="G1434:G1442" si="755">IF(OR(C1434 &lt; $O$30, C1434 &gt; $O$67), "Outlier", "OK")</f>
        <v>OK</v>
      </c>
      <c r="H1434" t="str">
        <f t="shared" ref="H1434:H1442" si="756">IF(OR(D1434 &lt; $P$30, D1434 &gt; $P$67), "Outlier", "OK")</f>
        <v>OK</v>
      </c>
      <c r="I1434" s="4">
        <f t="shared" ref="I1434:I1442" si="757">YEAR(A1434)</f>
        <v>2020</v>
      </c>
      <c r="J1434">
        <f t="shared" ref="J1434:J1440" si="758">( 377.84*B1434 + 3903.1)/550</f>
        <v>20.767483636363632</v>
      </c>
      <c r="K1434">
        <f t="shared" ref="K1434:K1440" si="759" xml:space="preserve"> (59.02*E1434 + 1383.4)/365</f>
        <v>4.1620438356164389</v>
      </c>
      <c r="R1434" s="4">
        <f t="shared" ref="R1434:R1440" si="760">J1434-B1434</f>
        <v>0.86748363636363379</v>
      </c>
      <c r="S1434" s="4">
        <f t="shared" ref="S1434:S1440" si="761">K1434-E1434</f>
        <v>1.862043835616439</v>
      </c>
    </row>
    <row r="1435" spans="1:19" x14ac:dyDescent="0.35">
      <c r="A1435" s="1">
        <v>44169</v>
      </c>
      <c r="B1435" s="4">
        <v>20.8</v>
      </c>
      <c r="C1435">
        <v>19.2</v>
      </c>
      <c r="D1435">
        <v>22.8</v>
      </c>
      <c r="E1435" s="4">
        <v>1.8</v>
      </c>
      <c r="F1435" t="str">
        <f t="shared" si="754"/>
        <v>OK</v>
      </c>
      <c r="G1435" t="str">
        <f t="shared" si="755"/>
        <v>OK</v>
      </c>
      <c r="H1435" t="str">
        <f t="shared" si="756"/>
        <v>OK</v>
      </c>
      <c r="I1435" s="4">
        <f t="shared" si="757"/>
        <v>2020</v>
      </c>
      <c r="J1435">
        <f t="shared" si="758"/>
        <v>21.385767272727275</v>
      </c>
      <c r="K1435">
        <f t="shared" si="759"/>
        <v>4.0811945205479461</v>
      </c>
      <c r="R1435" s="4">
        <f t="shared" si="760"/>
        <v>0.58576727272727425</v>
      </c>
      <c r="S1435" s="4">
        <f t="shared" si="761"/>
        <v>2.2811945205479462</v>
      </c>
    </row>
    <row r="1436" spans="1:19" x14ac:dyDescent="0.35">
      <c r="A1436" s="1">
        <v>44170</v>
      </c>
      <c r="B1436" s="4">
        <v>21</v>
      </c>
      <c r="C1436">
        <v>19.399999999999999</v>
      </c>
      <c r="D1436">
        <v>23.2</v>
      </c>
      <c r="E1436" s="4">
        <v>0.8</v>
      </c>
      <c r="F1436" t="str">
        <f t="shared" si="754"/>
        <v>OK</v>
      </c>
      <c r="G1436" t="str">
        <f t="shared" si="755"/>
        <v>OK</v>
      </c>
      <c r="H1436" t="str">
        <f t="shared" si="756"/>
        <v>OK</v>
      </c>
      <c r="I1436" s="4">
        <f t="shared" si="757"/>
        <v>2020</v>
      </c>
      <c r="J1436">
        <f t="shared" si="758"/>
        <v>21.523163636363638</v>
      </c>
      <c r="K1436">
        <f t="shared" si="759"/>
        <v>3.9194958904109587</v>
      </c>
      <c r="R1436" s="4">
        <f t="shared" si="760"/>
        <v>0.52316363636363761</v>
      </c>
      <c r="S1436" s="4">
        <f t="shared" si="761"/>
        <v>3.1194958904109589</v>
      </c>
    </row>
    <row r="1437" spans="1:19" x14ac:dyDescent="0.35">
      <c r="A1437" s="1">
        <v>44171</v>
      </c>
      <c r="B1437" s="4">
        <v>20.9</v>
      </c>
      <c r="C1437">
        <v>18.5</v>
      </c>
      <c r="D1437">
        <v>24</v>
      </c>
      <c r="E1437" s="4">
        <v>1.3</v>
      </c>
      <c r="F1437" t="str">
        <f t="shared" si="754"/>
        <v>OK</v>
      </c>
      <c r="G1437" t="str">
        <f t="shared" si="755"/>
        <v>OK</v>
      </c>
      <c r="H1437" t="str">
        <f t="shared" si="756"/>
        <v>OK</v>
      </c>
      <c r="I1437" s="4">
        <f t="shared" si="757"/>
        <v>2020</v>
      </c>
      <c r="J1437">
        <f t="shared" si="758"/>
        <v>21.454465454545453</v>
      </c>
      <c r="K1437">
        <f t="shared" si="759"/>
        <v>4.0003452054794524</v>
      </c>
      <c r="R1437" s="4">
        <f t="shared" si="760"/>
        <v>0.55446545454545415</v>
      </c>
      <c r="S1437" s="4">
        <f t="shared" si="761"/>
        <v>2.7003452054794526</v>
      </c>
    </row>
    <row r="1438" spans="1:19" x14ac:dyDescent="0.35">
      <c r="A1438" s="1">
        <v>44172</v>
      </c>
      <c r="B1438" s="4">
        <v>21.7</v>
      </c>
      <c r="C1438">
        <v>19.399999999999999</v>
      </c>
      <c r="D1438">
        <v>24.8</v>
      </c>
      <c r="E1438" s="4">
        <v>7.6</v>
      </c>
      <c r="F1438" t="str">
        <f t="shared" si="754"/>
        <v>OK</v>
      </c>
      <c r="G1438" t="str">
        <f t="shared" si="755"/>
        <v>OK</v>
      </c>
      <c r="H1438" t="str">
        <f t="shared" si="756"/>
        <v>OK</v>
      </c>
      <c r="I1438" s="4">
        <f t="shared" si="757"/>
        <v>2020</v>
      </c>
      <c r="J1438">
        <f t="shared" si="758"/>
        <v>22.004050909090907</v>
      </c>
      <c r="K1438">
        <f t="shared" si="759"/>
        <v>5.0190465753424665</v>
      </c>
      <c r="R1438" s="4">
        <f t="shared" si="760"/>
        <v>0.3040509090909076</v>
      </c>
      <c r="S1438" s="4">
        <f t="shared" si="761"/>
        <v>-2.5809534246575332</v>
      </c>
    </row>
    <row r="1439" spans="1:19" x14ac:dyDescent="0.35">
      <c r="A1439" s="1">
        <v>44173</v>
      </c>
      <c r="B1439" s="4">
        <v>21.3</v>
      </c>
      <c r="C1439">
        <v>19.5</v>
      </c>
      <c r="D1439">
        <v>26.2</v>
      </c>
      <c r="E1439" s="4">
        <v>5.6</v>
      </c>
      <c r="F1439" t="str">
        <f t="shared" si="754"/>
        <v>OK</v>
      </c>
      <c r="G1439" t="str">
        <f t="shared" si="755"/>
        <v>OK</v>
      </c>
      <c r="H1439" t="str">
        <f t="shared" si="756"/>
        <v>OK</v>
      </c>
      <c r="I1439" s="4">
        <f t="shared" si="757"/>
        <v>2020</v>
      </c>
      <c r="J1439">
        <f t="shared" si="758"/>
        <v>21.729258181818182</v>
      </c>
      <c r="K1439">
        <f t="shared" si="759"/>
        <v>4.6956493150684935</v>
      </c>
      <c r="R1439" s="4">
        <f t="shared" si="760"/>
        <v>0.42925818181818087</v>
      </c>
      <c r="S1439" s="4">
        <f t="shared" si="761"/>
        <v>-0.90435068493150617</v>
      </c>
    </row>
    <row r="1440" spans="1:19" x14ac:dyDescent="0.35">
      <c r="A1440" s="1">
        <v>44174</v>
      </c>
      <c r="B1440" s="4">
        <v>21.7</v>
      </c>
      <c r="C1440">
        <v>19.399999999999999</v>
      </c>
      <c r="D1440">
        <v>25</v>
      </c>
      <c r="E1440" s="4">
        <v>0.8</v>
      </c>
      <c r="F1440" t="str">
        <f t="shared" si="754"/>
        <v>OK</v>
      </c>
      <c r="G1440" t="str">
        <f t="shared" si="755"/>
        <v>OK</v>
      </c>
      <c r="H1440" t="str">
        <f t="shared" si="756"/>
        <v>OK</v>
      </c>
      <c r="I1440" s="4">
        <f t="shared" si="757"/>
        <v>2020</v>
      </c>
      <c r="J1440">
        <f t="shared" si="758"/>
        <v>22.004050909090907</v>
      </c>
      <c r="K1440">
        <f t="shared" si="759"/>
        <v>3.9194958904109587</v>
      </c>
      <c r="R1440" s="4">
        <f t="shared" si="760"/>
        <v>0.3040509090909076</v>
      </c>
      <c r="S1440" s="4">
        <f t="shared" si="761"/>
        <v>3.1194958904109589</v>
      </c>
    </row>
    <row r="1441" spans="1:19" hidden="1" x14ac:dyDescent="0.35">
      <c r="A1441" s="1">
        <v>44175</v>
      </c>
      <c r="B1441" s="4">
        <v>21.3</v>
      </c>
      <c r="C1441">
        <v>16.399999999999999</v>
      </c>
      <c r="D1441">
        <v>26.8</v>
      </c>
      <c r="E1441" s="4">
        <v>0</v>
      </c>
      <c r="F1441" t="str">
        <f t="shared" si="754"/>
        <v>OK</v>
      </c>
      <c r="G1441" t="str">
        <f t="shared" si="755"/>
        <v>OK</v>
      </c>
      <c r="H1441" t="str">
        <f t="shared" si="756"/>
        <v>OK</v>
      </c>
      <c r="I1441" s="4">
        <f t="shared" si="757"/>
        <v>2020</v>
      </c>
    </row>
    <row r="1442" spans="1:19" hidden="1" x14ac:dyDescent="0.35">
      <c r="A1442" s="1">
        <v>44176</v>
      </c>
      <c r="B1442" s="4">
        <v>21.2</v>
      </c>
      <c r="C1442">
        <v>16.600000000000001</v>
      </c>
      <c r="D1442">
        <v>28.4</v>
      </c>
      <c r="E1442" s="4">
        <v>0</v>
      </c>
      <c r="F1442" t="str">
        <f t="shared" si="754"/>
        <v>OK</v>
      </c>
      <c r="G1442" t="str">
        <f t="shared" si="755"/>
        <v>OK</v>
      </c>
      <c r="H1442" t="str">
        <f t="shared" si="756"/>
        <v>OK</v>
      </c>
      <c r="I1442" s="4">
        <f t="shared" si="757"/>
        <v>2020</v>
      </c>
    </row>
    <row r="1443" spans="1:19" hidden="1" x14ac:dyDescent="0.35">
      <c r="A1443" s="1">
        <v>44177</v>
      </c>
      <c r="B1443">
        <v>20.399999999999999</v>
      </c>
      <c r="C1443">
        <v>15.4</v>
      </c>
      <c r="D1443">
        <v>29.3</v>
      </c>
      <c r="E1443"/>
      <c r="I1443"/>
    </row>
    <row r="1444" spans="1:19" hidden="1" x14ac:dyDescent="0.35">
      <c r="A1444" s="1">
        <v>44178</v>
      </c>
      <c r="B1444">
        <v>21.2</v>
      </c>
      <c r="C1444">
        <v>17</v>
      </c>
      <c r="D1444">
        <v>28</v>
      </c>
      <c r="E1444"/>
      <c r="I1444"/>
    </row>
    <row r="1445" spans="1:19" hidden="1" x14ac:dyDescent="0.35">
      <c r="A1445" s="1">
        <v>44179</v>
      </c>
      <c r="B1445">
        <v>20.8</v>
      </c>
      <c r="C1445">
        <v>17.2</v>
      </c>
      <c r="D1445">
        <v>27.5</v>
      </c>
      <c r="E1445"/>
      <c r="I1445"/>
    </row>
    <row r="1446" spans="1:19" hidden="1" x14ac:dyDescent="0.35">
      <c r="A1446" s="1">
        <v>44180</v>
      </c>
      <c r="B1446">
        <v>21.3</v>
      </c>
      <c r="C1446">
        <v>16.399999999999999</v>
      </c>
      <c r="D1446">
        <v>27.8</v>
      </c>
      <c r="E1446"/>
      <c r="I1446"/>
    </row>
    <row r="1447" spans="1:19" hidden="1" x14ac:dyDescent="0.35">
      <c r="A1447" s="1">
        <v>44181</v>
      </c>
      <c r="B1447">
        <v>21.8</v>
      </c>
      <c r="C1447">
        <v>18</v>
      </c>
      <c r="D1447">
        <v>27</v>
      </c>
      <c r="E1447"/>
      <c r="I1447"/>
    </row>
    <row r="1448" spans="1:19" x14ac:dyDescent="0.35">
      <c r="A1448" s="1">
        <v>44182</v>
      </c>
      <c r="B1448" s="4">
        <v>21.7</v>
      </c>
      <c r="C1448">
        <v>19.5</v>
      </c>
      <c r="D1448">
        <v>26.8</v>
      </c>
      <c r="E1448" s="4">
        <v>0.3</v>
      </c>
      <c r="F1448" t="str">
        <f>IF(OR(B1448 &lt; $N$30, B1448 &gt; $N$67), "Outlier", "OK")</f>
        <v>OK</v>
      </c>
      <c r="G1448" t="str">
        <f>IF(OR(C1448 &lt; $O$30, C1448 &gt; $O$67), "Outlier", "OK")</f>
        <v>OK</v>
      </c>
      <c r="H1448" t="str">
        <f>IF(OR(D1448 &lt; $P$30, D1448 &gt; $P$67), "Outlier", "OK")</f>
        <v>OK</v>
      </c>
      <c r="I1448" s="4">
        <f>YEAR(A1448)</f>
        <v>2020</v>
      </c>
      <c r="J1448">
        <f>( 377.84*B1448 + 3903.1)/550</f>
        <v>22.004050909090907</v>
      </c>
      <c r="K1448">
        <f xml:space="preserve"> (59.02*E1448 + 1383.4)/365</f>
        <v>3.8386465753424659</v>
      </c>
      <c r="R1448" s="4">
        <f>J1448-B1448</f>
        <v>0.3040509090909076</v>
      </c>
      <c r="S1448" s="4">
        <f>K1448-E1448</f>
        <v>3.5386465753424661</v>
      </c>
    </row>
    <row r="1449" spans="1:19" hidden="1" x14ac:dyDescent="0.35">
      <c r="A1449" s="1">
        <v>44183</v>
      </c>
      <c r="B1449">
        <v>22.1</v>
      </c>
      <c r="C1449">
        <v>18.399999999999999</v>
      </c>
      <c r="D1449">
        <v>26.6</v>
      </c>
      <c r="E1449">
        <v>0</v>
      </c>
      <c r="F1449" t="str">
        <f t="shared" ref="F1449" si="762">IF(OR(B1428 &lt; $N$30, B1428 &gt; $N$67), "Outlier", "OK")</f>
        <v>OK</v>
      </c>
      <c r="G1449" t="str">
        <f t="shared" ref="G1449" si="763">IF(OR(C1428 &lt; $O$30, C1428 &gt; $O$67), "Outlier", "OK")</f>
        <v>OK</v>
      </c>
      <c r="H1449" t="str">
        <f t="shared" ref="H1449" si="764">IF(OR(D1428 &lt; $P$30, D1428 &gt; $P$67), "Outlier", "OK")</f>
        <v>Outlier</v>
      </c>
      <c r="I1449"/>
    </row>
    <row r="1450" spans="1:19" hidden="1" x14ac:dyDescent="0.35">
      <c r="A1450" s="1">
        <v>44184</v>
      </c>
      <c r="B1450">
        <v>20.399999999999999</v>
      </c>
      <c r="C1450">
        <v>17.2</v>
      </c>
      <c r="D1450">
        <v>28</v>
      </c>
      <c r="E1450"/>
      <c r="I1450"/>
    </row>
    <row r="1451" spans="1:19" hidden="1" x14ac:dyDescent="0.35">
      <c r="A1451" s="1">
        <v>44185</v>
      </c>
      <c r="B1451">
        <v>20.3</v>
      </c>
      <c r="C1451">
        <v>17</v>
      </c>
      <c r="D1451">
        <v>25.6</v>
      </c>
      <c r="E1451"/>
      <c r="I1451"/>
    </row>
    <row r="1452" spans="1:19" hidden="1" x14ac:dyDescent="0.35">
      <c r="A1452" s="1">
        <v>44186</v>
      </c>
      <c r="B1452">
        <v>19.7</v>
      </c>
      <c r="C1452">
        <v>14.5</v>
      </c>
      <c r="D1452">
        <v>25.7</v>
      </c>
      <c r="E1452"/>
      <c r="I1452"/>
    </row>
    <row r="1453" spans="1:19" hidden="1" x14ac:dyDescent="0.35">
      <c r="A1453" s="1">
        <v>44187</v>
      </c>
      <c r="B1453">
        <v>20.6</v>
      </c>
      <c r="C1453">
        <v>14.4</v>
      </c>
      <c r="D1453">
        <v>25.1</v>
      </c>
      <c r="E1453"/>
      <c r="I1453"/>
    </row>
    <row r="1454" spans="1:19" hidden="1" x14ac:dyDescent="0.35">
      <c r="A1454" s="1">
        <v>44188</v>
      </c>
      <c r="B1454">
        <v>21.2</v>
      </c>
      <c r="C1454">
        <v>16.600000000000001</v>
      </c>
      <c r="D1454">
        <v>28.8</v>
      </c>
      <c r="E1454"/>
      <c r="I1454"/>
    </row>
    <row r="1455" spans="1:19" hidden="1" x14ac:dyDescent="0.35">
      <c r="A1455" s="1">
        <v>44189</v>
      </c>
      <c r="B1455">
        <v>21.7</v>
      </c>
      <c r="C1455">
        <v>17.399999999999999</v>
      </c>
      <c r="D1455">
        <v>27.5</v>
      </c>
      <c r="E1455"/>
      <c r="I1455"/>
    </row>
    <row r="1456" spans="1:19" hidden="1" x14ac:dyDescent="0.35">
      <c r="A1456" s="1">
        <v>44190</v>
      </c>
      <c r="B1456">
        <v>21.2</v>
      </c>
      <c r="C1456">
        <v>17.399999999999999</v>
      </c>
      <c r="D1456">
        <v>28.2</v>
      </c>
      <c r="E1456"/>
      <c r="I1456"/>
    </row>
    <row r="1457" spans="1:19" hidden="1" x14ac:dyDescent="0.35">
      <c r="A1457" s="1">
        <v>44191</v>
      </c>
      <c r="B1457">
        <v>21.2</v>
      </c>
      <c r="C1457">
        <v>16</v>
      </c>
      <c r="D1457">
        <v>29</v>
      </c>
      <c r="E1457"/>
      <c r="I1457"/>
    </row>
    <row r="1458" spans="1:19" hidden="1" x14ac:dyDescent="0.35">
      <c r="A1458" s="1">
        <v>44192</v>
      </c>
      <c r="B1458">
        <v>21.4</v>
      </c>
      <c r="C1458">
        <v>15.2</v>
      </c>
      <c r="D1458">
        <v>28.4</v>
      </c>
      <c r="E1458"/>
      <c r="I1458"/>
    </row>
    <row r="1459" spans="1:19" hidden="1" x14ac:dyDescent="0.35">
      <c r="A1459" s="1">
        <v>44193</v>
      </c>
      <c r="B1459">
        <v>21.2</v>
      </c>
      <c r="C1459">
        <v>16.399999999999999</v>
      </c>
      <c r="D1459">
        <v>29.8</v>
      </c>
      <c r="E1459"/>
      <c r="I1459"/>
    </row>
    <row r="1460" spans="1:19" hidden="1" x14ac:dyDescent="0.35">
      <c r="A1460" s="1">
        <v>44194</v>
      </c>
      <c r="B1460">
        <v>22.5</v>
      </c>
      <c r="C1460">
        <v>16.399999999999999</v>
      </c>
      <c r="D1460">
        <v>29.8</v>
      </c>
      <c r="E1460"/>
      <c r="I1460"/>
    </row>
    <row r="1461" spans="1:19" hidden="1" x14ac:dyDescent="0.35">
      <c r="A1461" s="1">
        <v>44195</v>
      </c>
      <c r="B1461">
        <v>22.8</v>
      </c>
      <c r="C1461">
        <v>18.399999999999999</v>
      </c>
      <c r="D1461">
        <v>29</v>
      </c>
      <c r="E1461"/>
      <c r="I1461"/>
    </row>
    <row r="1462" spans="1:19" hidden="1" x14ac:dyDescent="0.35">
      <c r="A1462" s="1">
        <v>44196</v>
      </c>
      <c r="B1462" s="4">
        <v>21.1</v>
      </c>
      <c r="C1462">
        <v>18.8</v>
      </c>
      <c r="D1462">
        <v>29.6</v>
      </c>
      <c r="E1462" s="4">
        <v>0</v>
      </c>
      <c r="F1462" t="str">
        <f t="shared" ref="F1462:F1472" si="765">IF(OR(B1462 &lt; $N$30, B1462 &gt; $N$67), "Outlier", "OK")</f>
        <v>OK</v>
      </c>
      <c r="G1462" t="str">
        <f t="shared" ref="G1462:G1472" si="766">IF(OR(C1462 &lt; $O$30, C1462 &gt; $O$67), "Outlier", "OK")</f>
        <v>OK</v>
      </c>
      <c r="H1462" t="str">
        <f t="shared" ref="H1462:H1472" si="767">IF(OR(D1462 &lt; $P$30, D1462 &gt; $P$67), "Outlier", "OK")</f>
        <v>OK</v>
      </c>
      <c r="I1462" s="4">
        <f t="shared" ref="I1462:I1472" si="768">YEAR(A1462)</f>
        <v>2020</v>
      </c>
    </row>
    <row r="1463" spans="1:19" x14ac:dyDescent="0.35">
      <c r="A1463" s="1">
        <v>44197</v>
      </c>
      <c r="B1463" s="4">
        <v>20.6</v>
      </c>
      <c r="C1463">
        <v>16.600000000000001</v>
      </c>
      <c r="D1463">
        <v>25.3</v>
      </c>
      <c r="E1463" s="4">
        <v>0.5</v>
      </c>
      <c r="F1463" t="str">
        <f t="shared" si="765"/>
        <v>OK</v>
      </c>
      <c r="G1463" t="str">
        <f t="shared" si="766"/>
        <v>OK</v>
      </c>
      <c r="H1463" t="str">
        <f t="shared" si="767"/>
        <v>OK</v>
      </c>
      <c r="I1463" s="4">
        <f t="shared" si="768"/>
        <v>2021</v>
      </c>
      <c r="J1463">
        <f t="shared" ref="J1463:J1464" si="769">( 377.84*B1463 + 3903.1)/550</f>
        <v>21.248370909090909</v>
      </c>
      <c r="K1463">
        <f t="shared" ref="K1463:K1464" si="770" xml:space="preserve"> (59.02*E1463 + 1383.4)/365</f>
        <v>3.8709863013698631</v>
      </c>
      <c r="R1463" s="4">
        <f t="shared" ref="R1463:R1464" si="771">J1463-B1463</f>
        <v>0.64837090909090733</v>
      </c>
      <c r="S1463" s="4">
        <f t="shared" ref="S1463:S1464" si="772">K1463-E1463</f>
        <v>3.3709863013698631</v>
      </c>
    </row>
    <row r="1464" spans="1:19" x14ac:dyDescent="0.35">
      <c r="A1464" s="1">
        <v>44198</v>
      </c>
      <c r="B1464" s="4">
        <v>20.9</v>
      </c>
      <c r="C1464">
        <v>16.600000000000001</v>
      </c>
      <c r="D1464">
        <v>26</v>
      </c>
      <c r="E1464" s="4">
        <v>0.4</v>
      </c>
      <c r="F1464" t="str">
        <f t="shared" si="765"/>
        <v>OK</v>
      </c>
      <c r="G1464" t="str">
        <f t="shared" si="766"/>
        <v>OK</v>
      </c>
      <c r="H1464" t="str">
        <f t="shared" si="767"/>
        <v>OK</v>
      </c>
      <c r="I1464" s="4">
        <f t="shared" si="768"/>
        <v>2021</v>
      </c>
      <c r="J1464">
        <f t="shared" si="769"/>
        <v>21.454465454545453</v>
      </c>
      <c r="K1464">
        <f t="shared" si="770"/>
        <v>3.8548164383561643</v>
      </c>
      <c r="R1464" s="4">
        <f t="shared" si="771"/>
        <v>0.55446545454545415</v>
      </c>
      <c r="S1464" s="4">
        <f t="shared" si="772"/>
        <v>3.4548164383561644</v>
      </c>
    </row>
    <row r="1465" spans="1:19" hidden="1" x14ac:dyDescent="0.35">
      <c r="A1465" s="1">
        <v>44199</v>
      </c>
      <c r="B1465" s="4">
        <v>21.9</v>
      </c>
      <c r="C1465">
        <v>18.8</v>
      </c>
      <c r="D1465">
        <v>26</v>
      </c>
      <c r="E1465" s="4">
        <v>0</v>
      </c>
      <c r="F1465" t="str">
        <f t="shared" si="765"/>
        <v>OK</v>
      </c>
      <c r="G1465" t="str">
        <f t="shared" si="766"/>
        <v>OK</v>
      </c>
      <c r="H1465" t="str">
        <f t="shared" si="767"/>
        <v>OK</v>
      </c>
      <c r="I1465" s="4">
        <f t="shared" si="768"/>
        <v>2021</v>
      </c>
    </row>
    <row r="1466" spans="1:19" hidden="1" x14ac:dyDescent="0.35">
      <c r="A1466" s="1">
        <v>44200</v>
      </c>
      <c r="B1466" s="4">
        <v>20.8</v>
      </c>
      <c r="C1466">
        <v>18.600000000000001</v>
      </c>
      <c r="D1466">
        <v>27.6</v>
      </c>
      <c r="E1466" s="4">
        <v>0</v>
      </c>
      <c r="F1466" t="str">
        <f t="shared" si="765"/>
        <v>OK</v>
      </c>
      <c r="G1466" t="str">
        <f t="shared" si="766"/>
        <v>OK</v>
      </c>
      <c r="H1466" t="str">
        <f t="shared" si="767"/>
        <v>OK</v>
      </c>
      <c r="I1466" s="4">
        <f t="shared" si="768"/>
        <v>2021</v>
      </c>
    </row>
    <row r="1467" spans="1:19" hidden="1" x14ac:dyDescent="0.35">
      <c r="A1467" s="1">
        <v>44201</v>
      </c>
      <c r="B1467" s="4">
        <v>21.9</v>
      </c>
      <c r="C1467">
        <v>18.7</v>
      </c>
      <c r="D1467">
        <v>26.2</v>
      </c>
      <c r="E1467" s="4">
        <v>0</v>
      </c>
      <c r="F1467" t="str">
        <f t="shared" si="765"/>
        <v>OK</v>
      </c>
      <c r="G1467" t="str">
        <f t="shared" si="766"/>
        <v>OK</v>
      </c>
      <c r="H1467" t="str">
        <f t="shared" si="767"/>
        <v>OK</v>
      </c>
      <c r="I1467" s="4">
        <f t="shared" si="768"/>
        <v>2021</v>
      </c>
    </row>
    <row r="1468" spans="1:19" x14ac:dyDescent="0.35">
      <c r="A1468" s="1">
        <v>44202</v>
      </c>
      <c r="B1468" s="4">
        <v>21.2</v>
      </c>
      <c r="C1468">
        <v>20</v>
      </c>
      <c r="D1468">
        <v>27.3</v>
      </c>
      <c r="E1468" s="4">
        <v>7.5</v>
      </c>
      <c r="F1468" t="str">
        <f t="shared" si="765"/>
        <v>OK</v>
      </c>
      <c r="G1468" t="str">
        <f t="shared" si="766"/>
        <v>OK</v>
      </c>
      <c r="H1468" t="str">
        <f t="shared" si="767"/>
        <v>OK</v>
      </c>
      <c r="I1468" s="4">
        <f t="shared" si="768"/>
        <v>2021</v>
      </c>
      <c r="J1468">
        <f t="shared" ref="J1468:J1470" si="773">( 377.84*B1468 + 3903.1)/550</f>
        <v>21.660559999999997</v>
      </c>
      <c r="K1468">
        <f t="shared" ref="K1468:K1470" si="774" xml:space="preserve"> (59.02*E1468 + 1383.4)/365</f>
        <v>5.0028767123287672</v>
      </c>
      <c r="R1468" s="4">
        <f t="shared" ref="R1468:R1470" si="775">J1468-B1468</f>
        <v>0.46055999999999742</v>
      </c>
      <c r="S1468" s="4">
        <f t="shared" ref="S1468:S1470" si="776">K1468-E1468</f>
        <v>-2.4971232876712328</v>
      </c>
    </row>
    <row r="1469" spans="1:19" x14ac:dyDescent="0.35">
      <c r="A1469" s="1">
        <v>44203</v>
      </c>
      <c r="B1469" s="4">
        <v>21.6</v>
      </c>
      <c r="C1469">
        <v>19.100000000000001</v>
      </c>
      <c r="D1469">
        <v>25.4</v>
      </c>
      <c r="E1469" s="4">
        <v>0.8</v>
      </c>
      <c r="F1469" t="str">
        <f t="shared" si="765"/>
        <v>OK</v>
      </c>
      <c r="G1469" t="str">
        <f t="shared" si="766"/>
        <v>OK</v>
      </c>
      <c r="H1469" t="str">
        <f t="shared" si="767"/>
        <v>OK</v>
      </c>
      <c r="I1469" s="4">
        <f t="shared" si="768"/>
        <v>2021</v>
      </c>
      <c r="J1469">
        <f t="shared" si="773"/>
        <v>21.935352727272726</v>
      </c>
      <c r="K1469">
        <f t="shared" si="774"/>
        <v>3.9194958904109587</v>
      </c>
      <c r="R1469" s="4">
        <f t="shared" si="775"/>
        <v>0.33535272727272414</v>
      </c>
      <c r="S1469" s="4">
        <f t="shared" si="776"/>
        <v>3.1194958904109589</v>
      </c>
    </row>
    <row r="1470" spans="1:19" x14ac:dyDescent="0.35">
      <c r="A1470" s="1">
        <v>44204</v>
      </c>
      <c r="B1470" s="4">
        <v>22.3</v>
      </c>
      <c r="C1470">
        <v>20</v>
      </c>
      <c r="D1470">
        <v>27</v>
      </c>
      <c r="E1470" s="4">
        <v>9</v>
      </c>
      <c r="F1470" t="str">
        <f t="shared" si="765"/>
        <v>OK</v>
      </c>
      <c r="G1470" t="str">
        <f t="shared" si="766"/>
        <v>OK</v>
      </c>
      <c r="H1470" t="str">
        <f t="shared" si="767"/>
        <v>OK</v>
      </c>
      <c r="I1470" s="4">
        <f t="shared" si="768"/>
        <v>2021</v>
      </c>
      <c r="J1470">
        <f t="shared" si="773"/>
        <v>22.416240000000002</v>
      </c>
      <c r="K1470">
        <f t="shared" si="774"/>
        <v>5.2454246575342474</v>
      </c>
      <c r="R1470" s="4">
        <f t="shared" si="775"/>
        <v>0.11624000000000123</v>
      </c>
      <c r="S1470" s="4">
        <f t="shared" si="776"/>
        <v>-3.7545753424657526</v>
      </c>
    </row>
    <row r="1471" spans="1:19" hidden="1" x14ac:dyDescent="0.35">
      <c r="A1471" s="1">
        <v>44205</v>
      </c>
      <c r="B1471" s="4">
        <v>21.4</v>
      </c>
      <c r="C1471">
        <v>18.8</v>
      </c>
      <c r="D1471">
        <v>27</v>
      </c>
      <c r="E1471" s="4">
        <v>0</v>
      </c>
      <c r="F1471" t="str">
        <f t="shared" si="765"/>
        <v>OK</v>
      </c>
      <c r="G1471" t="str">
        <f t="shared" si="766"/>
        <v>OK</v>
      </c>
      <c r="H1471" t="str">
        <f t="shared" si="767"/>
        <v>OK</v>
      </c>
      <c r="I1471" s="4">
        <f t="shared" si="768"/>
        <v>2021</v>
      </c>
    </row>
    <row r="1472" spans="1:19" hidden="1" x14ac:dyDescent="0.35">
      <c r="A1472" s="1">
        <v>44206</v>
      </c>
      <c r="B1472" s="4">
        <v>22.2</v>
      </c>
      <c r="C1472">
        <v>18.600000000000001</v>
      </c>
      <c r="D1472">
        <v>26.2</v>
      </c>
      <c r="E1472" s="4">
        <v>0</v>
      </c>
      <c r="F1472" t="str">
        <f t="shared" si="765"/>
        <v>OK</v>
      </c>
      <c r="G1472" t="str">
        <f t="shared" si="766"/>
        <v>OK</v>
      </c>
      <c r="H1472" t="str">
        <f t="shared" si="767"/>
        <v>OK</v>
      </c>
      <c r="I1472" s="4">
        <f t="shared" si="768"/>
        <v>2021</v>
      </c>
    </row>
    <row r="1473" spans="1:19" hidden="1" x14ac:dyDescent="0.35">
      <c r="A1473" s="1">
        <v>44207</v>
      </c>
      <c r="B1473">
        <v>21.6</v>
      </c>
      <c r="C1473">
        <v>18.2</v>
      </c>
      <c r="D1473">
        <v>26.9</v>
      </c>
      <c r="E1473">
        <v>0</v>
      </c>
      <c r="F1473" t="str">
        <f t="shared" ref="F1473:F1525" si="777">IF(OR(B1452 &lt; $N$30, B1452 &gt; $N$67), "Outlier", "OK")</f>
        <v>OK</v>
      </c>
      <c r="G1473" t="str">
        <f t="shared" ref="G1473:G1525" si="778">IF(OR(C1452 &lt; $O$30, C1452 &gt; $O$67), "Outlier", "OK")</f>
        <v>Outlier</v>
      </c>
      <c r="H1473" t="str">
        <f t="shared" ref="H1473:H1525" si="779">IF(OR(D1452 &lt; $P$30, D1452 &gt; $P$67), "Outlier", "OK")</f>
        <v>OK</v>
      </c>
      <c r="I1473"/>
    </row>
    <row r="1474" spans="1:19" hidden="1" x14ac:dyDescent="0.35">
      <c r="A1474" s="1">
        <v>44208</v>
      </c>
      <c r="B1474">
        <v>20.399999999999999</v>
      </c>
      <c r="C1474">
        <v>18.2</v>
      </c>
      <c r="D1474">
        <v>25.4</v>
      </c>
      <c r="E1474">
        <v>0</v>
      </c>
      <c r="F1474" t="str">
        <f t="shared" si="777"/>
        <v>OK</v>
      </c>
      <c r="G1474" t="str">
        <f t="shared" si="778"/>
        <v>Outlier</v>
      </c>
      <c r="H1474" t="str">
        <f t="shared" si="779"/>
        <v>OK</v>
      </c>
      <c r="I1474"/>
    </row>
    <row r="1475" spans="1:19" hidden="1" x14ac:dyDescent="0.35">
      <c r="A1475" s="1">
        <v>44209</v>
      </c>
      <c r="B1475" s="4">
        <v>21.3</v>
      </c>
      <c r="C1475">
        <v>16.8</v>
      </c>
      <c r="D1475">
        <v>26.3</v>
      </c>
      <c r="E1475" s="4">
        <v>0</v>
      </c>
      <c r="F1475" t="str">
        <f t="shared" ref="F1475:F1523" si="780">IF(OR(B1475 &lt; $N$30, B1475 &gt; $N$67), "Outlier", "OK")</f>
        <v>OK</v>
      </c>
      <c r="G1475" t="str">
        <f t="shared" ref="G1475:G1523" si="781">IF(OR(C1475 &lt; $O$30, C1475 &gt; $O$67), "Outlier", "OK")</f>
        <v>OK</v>
      </c>
      <c r="H1475" t="str">
        <f t="shared" ref="H1475:H1523" si="782">IF(OR(D1475 &lt; $P$30, D1475 &gt; $P$67), "Outlier", "OK")</f>
        <v>OK</v>
      </c>
      <c r="I1475" s="4">
        <f t="shared" ref="I1475:I1523" si="783">YEAR(A1475)</f>
        <v>2021</v>
      </c>
    </row>
    <row r="1476" spans="1:19" x14ac:dyDescent="0.35">
      <c r="A1476" s="1">
        <v>44210</v>
      </c>
      <c r="B1476" s="4">
        <v>20.8</v>
      </c>
      <c r="C1476">
        <v>16.399999999999999</v>
      </c>
      <c r="D1476">
        <v>27.7</v>
      </c>
      <c r="E1476" s="4">
        <v>0.2</v>
      </c>
      <c r="F1476" t="str">
        <f t="shared" si="780"/>
        <v>OK</v>
      </c>
      <c r="G1476" t="str">
        <f t="shared" si="781"/>
        <v>OK</v>
      </c>
      <c r="H1476" t="str">
        <f t="shared" si="782"/>
        <v>OK</v>
      </c>
      <c r="I1476" s="4">
        <f t="shared" si="783"/>
        <v>2021</v>
      </c>
      <c r="J1476">
        <f>( 377.84*B1476 + 3903.1)/550</f>
        <v>21.385767272727275</v>
      </c>
      <c r="K1476">
        <f xml:space="preserve"> (59.02*E1476 + 1383.4)/365</f>
        <v>3.8224767123287675</v>
      </c>
      <c r="R1476" s="4">
        <f>J1476-B1476</f>
        <v>0.58576727272727425</v>
      </c>
      <c r="S1476" s="4">
        <f>K1476-E1476</f>
        <v>3.6224767123287673</v>
      </c>
    </row>
    <row r="1477" spans="1:19" hidden="1" x14ac:dyDescent="0.35">
      <c r="A1477" s="1">
        <v>44211</v>
      </c>
      <c r="B1477" s="4">
        <v>21.8</v>
      </c>
      <c r="C1477">
        <v>17.3</v>
      </c>
      <c r="D1477">
        <v>26.3</v>
      </c>
      <c r="E1477" s="4">
        <v>0</v>
      </c>
      <c r="F1477" t="str">
        <f t="shared" si="780"/>
        <v>OK</v>
      </c>
      <c r="G1477" t="str">
        <f t="shared" si="781"/>
        <v>OK</v>
      </c>
      <c r="H1477" t="str">
        <f t="shared" si="782"/>
        <v>OK</v>
      </c>
      <c r="I1477" s="4">
        <f t="shared" si="783"/>
        <v>2021</v>
      </c>
    </row>
    <row r="1478" spans="1:19" hidden="1" x14ac:dyDescent="0.35">
      <c r="A1478" s="1">
        <v>44212</v>
      </c>
      <c r="B1478" s="4">
        <v>22.2</v>
      </c>
      <c r="C1478">
        <v>18.100000000000001</v>
      </c>
      <c r="D1478">
        <v>27.4</v>
      </c>
      <c r="E1478" s="4">
        <v>0</v>
      </c>
      <c r="F1478" t="str">
        <f t="shared" si="780"/>
        <v>OK</v>
      </c>
      <c r="G1478" t="str">
        <f t="shared" si="781"/>
        <v>OK</v>
      </c>
      <c r="H1478" t="str">
        <f t="shared" si="782"/>
        <v>OK</v>
      </c>
      <c r="I1478" s="4">
        <f t="shared" si="783"/>
        <v>2021</v>
      </c>
    </row>
    <row r="1479" spans="1:19" hidden="1" x14ac:dyDescent="0.35">
      <c r="A1479" s="1">
        <v>44213</v>
      </c>
      <c r="B1479" s="4">
        <v>22.2</v>
      </c>
      <c r="C1479">
        <v>17</v>
      </c>
      <c r="D1479">
        <v>29.2</v>
      </c>
      <c r="E1479" s="4">
        <v>0</v>
      </c>
      <c r="F1479" t="str">
        <f t="shared" si="780"/>
        <v>OK</v>
      </c>
      <c r="G1479" t="str">
        <f t="shared" si="781"/>
        <v>OK</v>
      </c>
      <c r="H1479" t="str">
        <f t="shared" si="782"/>
        <v>OK</v>
      </c>
      <c r="I1479" s="4">
        <f t="shared" si="783"/>
        <v>2021</v>
      </c>
    </row>
    <row r="1480" spans="1:19" hidden="1" x14ac:dyDescent="0.35">
      <c r="A1480" s="1">
        <v>44214</v>
      </c>
      <c r="B1480" s="4">
        <v>21.8</v>
      </c>
      <c r="C1480">
        <v>15.5</v>
      </c>
      <c r="D1480">
        <v>29.6</v>
      </c>
      <c r="E1480" s="4">
        <v>0</v>
      </c>
      <c r="F1480" t="str">
        <f t="shared" si="780"/>
        <v>OK</v>
      </c>
      <c r="G1480" t="str">
        <f t="shared" si="781"/>
        <v>OK</v>
      </c>
      <c r="H1480" t="str">
        <f t="shared" si="782"/>
        <v>OK</v>
      </c>
      <c r="I1480" s="4">
        <f t="shared" si="783"/>
        <v>2021</v>
      </c>
    </row>
    <row r="1481" spans="1:19" hidden="1" x14ac:dyDescent="0.35">
      <c r="A1481" s="1">
        <v>44215</v>
      </c>
      <c r="B1481" s="4">
        <v>21.8</v>
      </c>
      <c r="C1481">
        <v>16.100000000000001</v>
      </c>
      <c r="D1481">
        <v>28.8</v>
      </c>
      <c r="E1481" s="4">
        <v>0</v>
      </c>
      <c r="F1481" t="str">
        <f t="shared" si="780"/>
        <v>OK</v>
      </c>
      <c r="G1481" t="str">
        <f t="shared" si="781"/>
        <v>OK</v>
      </c>
      <c r="H1481" t="str">
        <f t="shared" si="782"/>
        <v>OK</v>
      </c>
      <c r="I1481" s="4">
        <f t="shared" si="783"/>
        <v>2021</v>
      </c>
    </row>
    <row r="1482" spans="1:19" hidden="1" x14ac:dyDescent="0.35">
      <c r="A1482" s="1">
        <v>44216</v>
      </c>
      <c r="B1482" s="4">
        <v>22.7</v>
      </c>
      <c r="C1482">
        <v>16</v>
      </c>
      <c r="D1482">
        <v>28.4</v>
      </c>
      <c r="E1482" s="4">
        <v>0</v>
      </c>
      <c r="F1482" t="str">
        <f t="shared" si="780"/>
        <v>OK</v>
      </c>
      <c r="G1482" t="str">
        <f t="shared" si="781"/>
        <v>OK</v>
      </c>
      <c r="H1482" t="str">
        <f t="shared" si="782"/>
        <v>OK</v>
      </c>
      <c r="I1482" s="4">
        <f t="shared" si="783"/>
        <v>2021</v>
      </c>
    </row>
    <row r="1483" spans="1:19" hidden="1" x14ac:dyDescent="0.35">
      <c r="A1483" s="1">
        <v>44217</v>
      </c>
      <c r="B1483" s="4">
        <v>23.8</v>
      </c>
      <c r="C1483">
        <v>17</v>
      </c>
      <c r="D1483">
        <v>31.1</v>
      </c>
      <c r="E1483" s="4">
        <v>0</v>
      </c>
      <c r="F1483" t="str">
        <f t="shared" si="780"/>
        <v>OK</v>
      </c>
      <c r="G1483" t="str">
        <f t="shared" si="781"/>
        <v>OK</v>
      </c>
      <c r="H1483" t="str">
        <f t="shared" si="782"/>
        <v>OK</v>
      </c>
      <c r="I1483" s="4">
        <f t="shared" si="783"/>
        <v>2021</v>
      </c>
    </row>
    <row r="1484" spans="1:19" x14ac:dyDescent="0.35">
      <c r="A1484" s="1">
        <v>44218</v>
      </c>
      <c r="B1484" s="4">
        <v>23.8</v>
      </c>
      <c r="C1484">
        <v>18.399999999999999</v>
      </c>
      <c r="D1484">
        <v>31.1</v>
      </c>
      <c r="E1484" s="4">
        <v>0.1</v>
      </c>
      <c r="F1484" t="str">
        <f t="shared" si="780"/>
        <v>OK</v>
      </c>
      <c r="G1484" t="str">
        <f t="shared" si="781"/>
        <v>OK</v>
      </c>
      <c r="H1484" t="str">
        <f t="shared" si="782"/>
        <v>OK</v>
      </c>
      <c r="I1484" s="4">
        <f t="shared" si="783"/>
        <v>2021</v>
      </c>
      <c r="J1484">
        <f>( 377.84*B1484 + 3903.1)/550</f>
        <v>23.446712727272729</v>
      </c>
      <c r="K1484">
        <f xml:space="preserve"> (59.02*E1484 + 1383.4)/365</f>
        <v>3.8063068493150687</v>
      </c>
      <c r="R1484" s="4">
        <f>J1484-B1484</f>
        <v>-0.35328727272727178</v>
      </c>
      <c r="S1484" s="4">
        <f>K1484-E1484</f>
        <v>3.7063068493150686</v>
      </c>
    </row>
    <row r="1485" spans="1:19" hidden="1" x14ac:dyDescent="0.35">
      <c r="A1485" s="1">
        <v>44219</v>
      </c>
      <c r="B1485" s="4">
        <v>22.5</v>
      </c>
      <c r="C1485">
        <v>18</v>
      </c>
      <c r="D1485">
        <v>30.3</v>
      </c>
      <c r="E1485" s="4">
        <v>0</v>
      </c>
      <c r="F1485" t="str">
        <f t="shared" si="780"/>
        <v>OK</v>
      </c>
      <c r="G1485" t="str">
        <f t="shared" si="781"/>
        <v>OK</v>
      </c>
      <c r="H1485" t="str">
        <f t="shared" si="782"/>
        <v>OK</v>
      </c>
      <c r="I1485" s="4">
        <f t="shared" si="783"/>
        <v>2021</v>
      </c>
    </row>
    <row r="1486" spans="1:19" hidden="1" x14ac:dyDescent="0.35">
      <c r="A1486" s="1">
        <v>44220</v>
      </c>
      <c r="B1486" s="4">
        <v>21.9</v>
      </c>
      <c r="C1486">
        <v>17</v>
      </c>
      <c r="D1486">
        <v>29.2</v>
      </c>
      <c r="E1486" s="4">
        <v>0</v>
      </c>
      <c r="F1486" t="str">
        <f t="shared" si="780"/>
        <v>OK</v>
      </c>
      <c r="G1486" t="str">
        <f t="shared" si="781"/>
        <v>OK</v>
      </c>
      <c r="H1486" t="str">
        <f t="shared" si="782"/>
        <v>OK</v>
      </c>
      <c r="I1486" s="4">
        <f t="shared" si="783"/>
        <v>2021</v>
      </c>
    </row>
    <row r="1487" spans="1:19" hidden="1" x14ac:dyDescent="0.35">
      <c r="A1487" s="1">
        <v>44221</v>
      </c>
      <c r="B1487" s="4">
        <v>21.6</v>
      </c>
      <c r="C1487">
        <v>16.3</v>
      </c>
      <c r="D1487">
        <v>29.5</v>
      </c>
      <c r="E1487" s="4">
        <v>0</v>
      </c>
      <c r="F1487" t="str">
        <f t="shared" si="780"/>
        <v>OK</v>
      </c>
      <c r="G1487" t="str">
        <f t="shared" si="781"/>
        <v>OK</v>
      </c>
      <c r="H1487" t="str">
        <f t="shared" si="782"/>
        <v>OK</v>
      </c>
      <c r="I1487" s="4">
        <f t="shared" si="783"/>
        <v>2021</v>
      </c>
    </row>
    <row r="1488" spans="1:19" hidden="1" x14ac:dyDescent="0.35">
      <c r="A1488" s="1">
        <v>44222</v>
      </c>
      <c r="B1488" s="4">
        <v>21.9</v>
      </c>
      <c r="C1488">
        <v>15.4</v>
      </c>
      <c r="D1488">
        <v>29.4</v>
      </c>
      <c r="E1488" s="4">
        <v>0</v>
      </c>
      <c r="F1488" t="str">
        <f t="shared" si="780"/>
        <v>OK</v>
      </c>
      <c r="G1488" t="str">
        <f t="shared" si="781"/>
        <v>OK</v>
      </c>
      <c r="H1488" t="str">
        <f t="shared" si="782"/>
        <v>OK</v>
      </c>
      <c r="I1488" s="4">
        <f t="shared" si="783"/>
        <v>2021</v>
      </c>
    </row>
    <row r="1489" spans="1:9" hidden="1" x14ac:dyDescent="0.35">
      <c r="A1489" s="1">
        <v>44223</v>
      </c>
      <c r="B1489" s="4">
        <v>21.7</v>
      </c>
      <c r="C1489">
        <v>15.4</v>
      </c>
      <c r="D1489">
        <v>30.8</v>
      </c>
      <c r="E1489" s="4">
        <v>0</v>
      </c>
      <c r="F1489" t="str">
        <f t="shared" si="780"/>
        <v>OK</v>
      </c>
      <c r="G1489" t="str">
        <f t="shared" si="781"/>
        <v>OK</v>
      </c>
      <c r="H1489" t="str">
        <f t="shared" si="782"/>
        <v>OK</v>
      </c>
      <c r="I1489" s="4">
        <f t="shared" si="783"/>
        <v>2021</v>
      </c>
    </row>
    <row r="1490" spans="1:9" hidden="1" x14ac:dyDescent="0.35">
      <c r="A1490" s="1">
        <v>44224</v>
      </c>
      <c r="B1490" s="4">
        <v>21.6</v>
      </c>
      <c r="C1490">
        <v>16</v>
      </c>
      <c r="D1490">
        <v>30.2</v>
      </c>
      <c r="E1490" s="4">
        <v>0</v>
      </c>
      <c r="F1490" t="str">
        <f t="shared" si="780"/>
        <v>OK</v>
      </c>
      <c r="G1490" t="str">
        <f t="shared" si="781"/>
        <v>OK</v>
      </c>
      <c r="H1490" t="str">
        <f t="shared" si="782"/>
        <v>OK</v>
      </c>
      <c r="I1490" s="4">
        <f t="shared" si="783"/>
        <v>2021</v>
      </c>
    </row>
    <row r="1491" spans="1:9" hidden="1" x14ac:dyDescent="0.35">
      <c r="A1491" s="1">
        <v>44225</v>
      </c>
      <c r="B1491" s="4">
        <v>22.4</v>
      </c>
      <c r="C1491">
        <v>18</v>
      </c>
      <c r="D1491">
        <v>28.4</v>
      </c>
      <c r="E1491" s="4">
        <v>0</v>
      </c>
      <c r="F1491" t="str">
        <f t="shared" si="780"/>
        <v>OK</v>
      </c>
      <c r="G1491" t="str">
        <f t="shared" si="781"/>
        <v>OK</v>
      </c>
      <c r="H1491" t="str">
        <f t="shared" si="782"/>
        <v>OK</v>
      </c>
      <c r="I1491" s="4">
        <f t="shared" si="783"/>
        <v>2021</v>
      </c>
    </row>
    <row r="1492" spans="1:9" hidden="1" x14ac:dyDescent="0.35">
      <c r="A1492" s="1">
        <v>44226</v>
      </c>
      <c r="B1492" s="4">
        <v>22.8</v>
      </c>
      <c r="C1492">
        <v>17.399999999999999</v>
      </c>
      <c r="D1492">
        <v>29.3</v>
      </c>
      <c r="E1492" s="4">
        <v>0</v>
      </c>
      <c r="F1492" t="str">
        <f t="shared" si="780"/>
        <v>OK</v>
      </c>
      <c r="G1492" t="str">
        <f t="shared" si="781"/>
        <v>OK</v>
      </c>
      <c r="H1492" t="str">
        <f t="shared" si="782"/>
        <v>OK</v>
      </c>
      <c r="I1492" s="4">
        <f t="shared" si="783"/>
        <v>2021</v>
      </c>
    </row>
    <row r="1493" spans="1:9" hidden="1" x14ac:dyDescent="0.35">
      <c r="A1493" s="1">
        <v>44227</v>
      </c>
      <c r="B1493" s="4">
        <v>22.7</v>
      </c>
      <c r="C1493">
        <v>17.2</v>
      </c>
      <c r="D1493">
        <v>29.8</v>
      </c>
      <c r="E1493" s="4">
        <v>0</v>
      </c>
      <c r="F1493" t="str">
        <f t="shared" si="780"/>
        <v>OK</v>
      </c>
      <c r="G1493" t="str">
        <f t="shared" si="781"/>
        <v>OK</v>
      </c>
      <c r="H1493" t="str">
        <f t="shared" si="782"/>
        <v>OK</v>
      </c>
      <c r="I1493" s="4">
        <f t="shared" si="783"/>
        <v>2021</v>
      </c>
    </row>
    <row r="1494" spans="1:9" hidden="1" x14ac:dyDescent="0.35">
      <c r="A1494" s="1">
        <v>44228</v>
      </c>
      <c r="B1494" s="4">
        <v>22.8</v>
      </c>
      <c r="C1494">
        <v>16.8</v>
      </c>
      <c r="D1494">
        <v>30.1</v>
      </c>
      <c r="E1494" s="4">
        <v>0</v>
      </c>
      <c r="F1494" t="str">
        <f t="shared" si="780"/>
        <v>OK</v>
      </c>
      <c r="G1494" t="str">
        <f t="shared" si="781"/>
        <v>OK</v>
      </c>
      <c r="H1494" t="str">
        <f t="shared" si="782"/>
        <v>OK</v>
      </c>
      <c r="I1494" s="4">
        <f t="shared" si="783"/>
        <v>2021</v>
      </c>
    </row>
    <row r="1495" spans="1:9" hidden="1" x14ac:dyDescent="0.35">
      <c r="A1495" s="1">
        <v>44229</v>
      </c>
      <c r="B1495" s="4">
        <v>22.1</v>
      </c>
      <c r="C1495">
        <v>16.8</v>
      </c>
      <c r="D1495">
        <v>29.6</v>
      </c>
      <c r="E1495" s="4">
        <v>0</v>
      </c>
      <c r="F1495" t="str">
        <f t="shared" si="780"/>
        <v>OK</v>
      </c>
      <c r="G1495" t="str">
        <f t="shared" si="781"/>
        <v>OK</v>
      </c>
      <c r="H1495" t="str">
        <f t="shared" si="782"/>
        <v>OK</v>
      </c>
      <c r="I1495" s="4">
        <f t="shared" si="783"/>
        <v>2021</v>
      </c>
    </row>
    <row r="1496" spans="1:9" hidden="1" x14ac:dyDescent="0.35">
      <c r="A1496" s="1">
        <v>44230</v>
      </c>
      <c r="B1496" s="4">
        <v>21.8</v>
      </c>
      <c r="C1496">
        <v>17.899999999999999</v>
      </c>
      <c r="D1496">
        <v>28.6</v>
      </c>
      <c r="E1496" s="4">
        <v>0</v>
      </c>
      <c r="F1496" t="str">
        <f t="shared" si="780"/>
        <v>OK</v>
      </c>
      <c r="G1496" t="str">
        <f t="shared" si="781"/>
        <v>OK</v>
      </c>
      <c r="H1496" t="str">
        <f t="shared" si="782"/>
        <v>OK</v>
      </c>
      <c r="I1496" s="4">
        <f t="shared" si="783"/>
        <v>2021</v>
      </c>
    </row>
    <row r="1497" spans="1:9" hidden="1" x14ac:dyDescent="0.35">
      <c r="A1497" s="1">
        <v>44231</v>
      </c>
      <c r="B1497" s="4">
        <v>22.1</v>
      </c>
      <c r="C1497">
        <v>16.100000000000001</v>
      </c>
      <c r="D1497">
        <v>28.5</v>
      </c>
      <c r="E1497" s="4">
        <v>0</v>
      </c>
      <c r="F1497" t="str">
        <f t="shared" si="780"/>
        <v>OK</v>
      </c>
      <c r="G1497" t="str">
        <f t="shared" si="781"/>
        <v>OK</v>
      </c>
      <c r="H1497" t="str">
        <f t="shared" si="782"/>
        <v>OK</v>
      </c>
      <c r="I1497" s="4">
        <f t="shared" si="783"/>
        <v>2021</v>
      </c>
    </row>
    <row r="1498" spans="1:9" hidden="1" x14ac:dyDescent="0.35">
      <c r="A1498" s="1">
        <v>44232</v>
      </c>
      <c r="B1498" s="4">
        <v>22.2</v>
      </c>
      <c r="C1498">
        <v>15.4</v>
      </c>
      <c r="D1498">
        <v>29.4</v>
      </c>
      <c r="E1498" s="4">
        <v>0</v>
      </c>
      <c r="F1498" t="str">
        <f t="shared" si="780"/>
        <v>OK</v>
      </c>
      <c r="G1498" t="str">
        <f t="shared" si="781"/>
        <v>OK</v>
      </c>
      <c r="H1498" t="str">
        <f t="shared" si="782"/>
        <v>OK</v>
      </c>
      <c r="I1498" s="4">
        <f t="shared" si="783"/>
        <v>2021</v>
      </c>
    </row>
    <row r="1499" spans="1:9" hidden="1" x14ac:dyDescent="0.35">
      <c r="A1499" s="1">
        <v>44233</v>
      </c>
      <c r="B1499" s="4">
        <v>22.4</v>
      </c>
      <c r="C1499">
        <v>15.6</v>
      </c>
      <c r="D1499">
        <v>30.4</v>
      </c>
      <c r="E1499" s="4">
        <v>0</v>
      </c>
      <c r="F1499" t="str">
        <f t="shared" si="780"/>
        <v>OK</v>
      </c>
      <c r="G1499" t="str">
        <f t="shared" si="781"/>
        <v>OK</v>
      </c>
      <c r="H1499" t="str">
        <f t="shared" si="782"/>
        <v>OK</v>
      </c>
      <c r="I1499" s="4">
        <f t="shared" si="783"/>
        <v>2021</v>
      </c>
    </row>
    <row r="1500" spans="1:9" hidden="1" x14ac:dyDescent="0.35">
      <c r="A1500" s="1">
        <v>44234</v>
      </c>
      <c r="B1500" s="4">
        <v>22.3</v>
      </c>
      <c r="C1500">
        <v>15</v>
      </c>
      <c r="D1500">
        <v>30.4</v>
      </c>
      <c r="E1500" s="4">
        <v>0</v>
      </c>
      <c r="F1500" t="str">
        <f t="shared" si="780"/>
        <v>OK</v>
      </c>
      <c r="G1500" t="str">
        <f t="shared" si="781"/>
        <v>OK</v>
      </c>
      <c r="H1500" t="str">
        <f t="shared" si="782"/>
        <v>OK</v>
      </c>
      <c r="I1500" s="4">
        <f t="shared" si="783"/>
        <v>2021</v>
      </c>
    </row>
    <row r="1501" spans="1:9" hidden="1" x14ac:dyDescent="0.35">
      <c r="A1501" s="1">
        <v>44235</v>
      </c>
      <c r="B1501" s="4">
        <v>22.1</v>
      </c>
      <c r="C1501">
        <v>16.100000000000001</v>
      </c>
      <c r="D1501">
        <v>30.1</v>
      </c>
      <c r="E1501" s="4">
        <v>0</v>
      </c>
      <c r="F1501" t="str">
        <f t="shared" si="780"/>
        <v>OK</v>
      </c>
      <c r="G1501" t="str">
        <f t="shared" si="781"/>
        <v>OK</v>
      </c>
      <c r="H1501" t="str">
        <f t="shared" si="782"/>
        <v>OK</v>
      </c>
      <c r="I1501" s="4">
        <f t="shared" si="783"/>
        <v>2021</v>
      </c>
    </row>
    <row r="1502" spans="1:9" hidden="1" x14ac:dyDescent="0.35">
      <c r="A1502" s="1">
        <v>44236</v>
      </c>
      <c r="B1502" s="4">
        <v>20.6</v>
      </c>
      <c r="C1502">
        <v>14.9</v>
      </c>
      <c r="D1502">
        <v>29.8</v>
      </c>
      <c r="E1502" s="4">
        <v>0</v>
      </c>
      <c r="F1502" t="str">
        <f t="shared" si="780"/>
        <v>OK</v>
      </c>
      <c r="G1502" t="str">
        <f t="shared" si="781"/>
        <v>OK</v>
      </c>
      <c r="H1502" t="str">
        <f t="shared" si="782"/>
        <v>OK</v>
      </c>
      <c r="I1502" s="4">
        <f t="shared" si="783"/>
        <v>2021</v>
      </c>
    </row>
    <row r="1503" spans="1:9" hidden="1" x14ac:dyDescent="0.35">
      <c r="A1503" s="1">
        <v>44237</v>
      </c>
      <c r="B1503">
        <v>21.7</v>
      </c>
      <c r="C1503">
        <v>14.4</v>
      </c>
      <c r="D1503">
        <v>28.6</v>
      </c>
      <c r="E1503">
        <v>0</v>
      </c>
      <c r="F1503" t="str">
        <f t="shared" si="780"/>
        <v>OK</v>
      </c>
      <c r="G1503" t="str">
        <f t="shared" si="781"/>
        <v>Outlier</v>
      </c>
      <c r="H1503" t="str">
        <f t="shared" si="782"/>
        <v>OK</v>
      </c>
      <c r="I1503">
        <f t="shared" si="783"/>
        <v>2021</v>
      </c>
    </row>
    <row r="1504" spans="1:9" hidden="1" x14ac:dyDescent="0.35">
      <c r="A1504" s="1">
        <v>44238</v>
      </c>
      <c r="B1504">
        <v>20.3</v>
      </c>
      <c r="C1504">
        <v>13.5</v>
      </c>
      <c r="D1504">
        <v>28.1</v>
      </c>
      <c r="E1504">
        <v>0</v>
      </c>
      <c r="F1504" t="str">
        <f t="shared" si="780"/>
        <v>OK</v>
      </c>
      <c r="G1504" t="str">
        <f t="shared" si="781"/>
        <v>Outlier</v>
      </c>
      <c r="H1504" t="str">
        <f t="shared" si="782"/>
        <v>OK</v>
      </c>
      <c r="I1504">
        <f t="shared" si="783"/>
        <v>2021</v>
      </c>
    </row>
    <row r="1505" spans="1:19" hidden="1" x14ac:dyDescent="0.35">
      <c r="A1505" s="1">
        <v>44239</v>
      </c>
      <c r="B1505">
        <v>20.7</v>
      </c>
      <c r="C1505">
        <v>12.2</v>
      </c>
      <c r="D1505">
        <v>28.9</v>
      </c>
      <c r="E1505">
        <v>0</v>
      </c>
      <c r="F1505" t="str">
        <f t="shared" si="780"/>
        <v>OK</v>
      </c>
      <c r="G1505" t="str">
        <f t="shared" si="781"/>
        <v>Outlier</v>
      </c>
      <c r="H1505" t="str">
        <f t="shared" si="782"/>
        <v>OK</v>
      </c>
      <c r="I1505">
        <f t="shared" si="783"/>
        <v>2021</v>
      </c>
    </row>
    <row r="1506" spans="1:19" hidden="1" x14ac:dyDescent="0.35">
      <c r="A1506" s="1">
        <v>44240</v>
      </c>
      <c r="B1506">
        <v>20.6</v>
      </c>
      <c r="C1506">
        <v>13</v>
      </c>
      <c r="D1506">
        <v>29.8</v>
      </c>
      <c r="E1506">
        <v>0</v>
      </c>
      <c r="F1506" t="str">
        <f t="shared" si="780"/>
        <v>OK</v>
      </c>
      <c r="G1506" t="str">
        <f t="shared" si="781"/>
        <v>Outlier</v>
      </c>
      <c r="H1506" t="str">
        <f t="shared" si="782"/>
        <v>OK</v>
      </c>
      <c r="I1506">
        <f t="shared" si="783"/>
        <v>2021</v>
      </c>
    </row>
    <row r="1507" spans="1:19" hidden="1" x14ac:dyDescent="0.35">
      <c r="A1507" s="1">
        <v>44241</v>
      </c>
      <c r="B1507" s="4">
        <v>23</v>
      </c>
      <c r="C1507">
        <v>16.2</v>
      </c>
      <c r="D1507">
        <v>31</v>
      </c>
      <c r="E1507" s="4">
        <v>0</v>
      </c>
      <c r="F1507" t="str">
        <f t="shared" si="780"/>
        <v>OK</v>
      </c>
      <c r="G1507" t="str">
        <f t="shared" si="781"/>
        <v>OK</v>
      </c>
      <c r="H1507" t="str">
        <f t="shared" si="782"/>
        <v>OK</v>
      </c>
      <c r="I1507" s="4">
        <f t="shared" si="783"/>
        <v>2021</v>
      </c>
    </row>
    <row r="1508" spans="1:19" hidden="1" x14ac:dyDescent="0.35">
      <c r="A1508" s="1">
        <v>44242</v>
      </c>
      <c r="B1508" s="4">
        <v>24</v>
      </c>
      <c r="C1508">
        <v>17.899999999999999</v>
      </c>
      <c r="D1508">
        <v>31.5</v>
      </c>
      <c r="E1508" s="4">
        <v>0</v>
      </c>
      <c r="F1508" t="str">
        <f t="shared" si="780"/>
        <v>OK</v>
      </c>
      <c r="G1508" t="str">
        <f t="shared" si="781"/>
        <v>OK</v>
      </c>
      <c r="H1508" t="str">
        <f t="shared" si="782"/>
        <v>OK</v>
      </c>
      <c r="I1508" s="4">
        <f t="shared" si="783"/>
        <v>2021</v>
      </c>
    </row>
    <row r="1509" spans="1:19" hidden="1" x14ac:dyDescent="0.35">
      <c r="A1509" s="1">
        <v>44243</v>
      </c>
      <c r="B1509" s="4">
        <v>23.9</v>
      </c>
      <c r="C1509">
        <v>18.399999999999999</v>
      </c>
      <c r="D1509">
        <v>32</v>
      </c>
      <c r="E1509" s="4">
        <v>0</v>
      </c>
      <c r="F1509" t="str">
        <f t="shared" si="780"/>
        <v>OK</v>
      </c>
      <c r="G1509" t="str">
        <f t="shared" si="781"/>
        <v>OK</v>
      </c>
      <c r="H1509" t="str">
        <f t="shared" si="782"/>
        <v>OK</v>
      </c>
      <c r="I1509" s="4">
        <f t="shared" si="783"/>
        <v>2021</v>
      </c>
    </row>
    <row r="1510" spans="1:19" hidden="1" x14ac:dyDescent="0.35">
      <c r="A1510" s="1">
        <v>44244</v>
      </c>
      <c r="B1510" s="4">
        <v>23.8</v>
      </c>
      <c r="C1510">
        <v>18.399999999999999</v>
      </c>
      <c r="D1510">
        <v>31.4</v>
      </c>
      <c r="E1510" s="4">
        <v>0</v>
      </c>
      <c r="F1510" t="str">
        <f t="shared" si="780"/>
        <v>OK</v>
      </c>
      <c r="G1510" t="str">
        <f t="shared" si="781"/>
        <v>OK</v>
      </c>
      <c r="H1510" t="str">
        <f t="shared" si="782"/>
        <v>OK</v>
      </c>
      <c r="I1510" s="4">
        <f t="shared" si="783"/>
        <v>2021</v>
      </c>
    </row>
    <row r="1511" spans="1:19" x14ac:dyDescent="0.35">
      <c r="A1511" s="1">
        <v>44245</v>
      </c>
      <c r="B1511" s="4">
        <v>22.8</v>
      </c>
      <c r="C1511">
        <v>18</v>
      </c>
      <c r="D1511">
        <v>31.2</v>
      </c>
      <c r="E1511" s="4">
        <v>0.1</v>
      </c>
      <c r="F1511" t="str">
        <f t="shared" si="780"/>
        <v>OK</v>
      </c>
      <c r="G1511" t="str">
        <f t="shared" si="781"/>
        <v>OK</v>
      </c>
      <c r="H1511" t="str">
        <f t="shared" si="782"/>
        <v>OK</v>
      </c>
      <c r="I1511" s="4">
        <f t="shared" si="783"/>
        <v>2021</v>
      </c>
      <c r="J1511">
        <f t="shared" ref="J1511:J1515" si="784">( 377.84*B1511 + 3903.1)/550</f>
        <v>22.759730909090912</v>
      </c>
      <c r="K1511">
        <f t="shared" ref="K1511:K1515" si="785" xml:space="preserve"> (59.02*E1511 + 1383.4)/365</f>
        <v>3.8063068493150687</v>
      </c>
      <c r="R1511" s="4">
        <f t="shared" ref="R1511:R1515" si="786">J1511-B1511</f>
        <v>-4.026909090908859E-2</v>
      </c>
      <c r="S1511" s="4">
        <f t="shared" ref="S1511:S1515" si="787">K1511-E1511</f>
        <v>3.7063068493150686</v>
      </c>
    </row>
    <row r="1512" spans="1:19" x14ac:dyDescent="0.35">
      <c r="A1512" s="1">
        <v>44246</v>
      </c>
      <c r="B1512" s="4">
        <v>22.8</v>
      </c>
      <c r="C1512">
        <v>18.2</v>
      </c>
      <c r="D1512">
        <v>29.3</v>
      </c>
      <c r="E1512" s="4">
        <v>1.7</v>
      </c>
      <c r="F1512" t="str">
        <f t="shared" si="780"/>
        <v>OK</v>
      </c>
      <c r="G1512" t="str">
        <f t="shared" si="781"/>
        <v>OK</v>
      </c>
      <c r="H1512" t="str">
        <f t="shared" si="782"/>
        <v>OK</v>
      </c>
      <c r="I1512" s="4">
        <f t="shared" si="783"/>
        <v>2021</v>
      </c>
      <c r="J1512">
        <f t="shared" si="784"/>
        <v>22.759730909090912</v>
      </c>
      <c r="K1512">
        <f t="shared" si="785"/>
        <v>4.0650246575342468</v>
      </c>
      <c r="R1512" s="4">
        <f t="shared" si="786"/>
        <v>-4.026909090908859E-2</v>
      </c>
      <c r="S1512" s="4">
        <f t="shared" si="787"/>
        <v>2.3650246575342466</v>
      </c>
    </row>
    <row r="1513" spans="1:19" x14ac:dyDescent="0.35">
      <c r="A1513" s="1">
        <v>44247</v>
      </c>
      <c r="B1513" s="4">
        <v>19.8</v>
      </c>
      <c r="C1513">
        <v>16.8</v>
      </c>
      <c r="D1513">
        <v>24.5</v>
      </c>
      <c r="E1513" s="4">
        <v>4.2</v>
      </c>
      <c r="F1513" t="str">
        <f t="shared" si="780"/>
        <v>OK</v>
      </c>
      <c r="G1513" t="str">
        <f t="shared" si="781"/>
        <v>OK</v>
      </c>
      <c r="H1513" t="str">
        <f t="shared" si="782"/>
        <v>OK</v>
      </c>
      <c r="I1513" s="4">
        <f t="shared" si="783"/>
        <v>2021</v>
      </c>
      <c r="J1513">
        <f t="shared" si="784"/>
        <v>20.698785454545455</v>
      </c>
      <c r="K1513">
        <f t="shared" si="785"/>
        <v>4.4692712328767126</v>
      </c>
      <c r="R1513" s="4">
        <f t="shared" si="786"/>
        <v>0.89878545454545389</v>
      </c>
      <c r="S1513" s="4">
        <f t="shared" si="787"/>
        <v>0.2692712328767124</v>
      </c>
    </row>
    <row r="1514" spans="1:19" x14ac:dyDescent="0.35">
      <c r="A1514" s="1">
        <v>44248</v>
      </c>
      <c r="B1514" s="4">
        <v>20.6</v>
      </c>
      <c r="C1514">
        <v>17.100000000000001</v>
      </c>
      <c r="D1514">
        <v>24.2</v>
      </c>
      <c r="E1514" s="4">
        <v>4.7</v>
      </c>
      <c r="F1514" t="str">
        <f t="shared" si="780"/>
        <v>OK</v>
      </c>
      <c r="G1514" t="str">
        <f t="shared" si="781"/>
        <v>OK</v>
      </c>
      <c r="H1514" t="str">
        <f t="shared" si="782"/>
        <v>OK</v>
      </c>
      <c r="I1514" s="4">
        <f t="shared" si="783"/>
        <v>2021</v>
      </c>
      <c r="J1514">
        <f t="shared" si="784"/>
        <v>21.248370909090909</v>
      </c>
      <c r="K1514">
        <f t="shared" si="785"/>
        <v>4.5501205479452054</v>
      </c>
      <c r="R1514" s="4">
        <f t="shared" si="786"/>
        <v>0.64837090909090733</v>
      </c>
      <c r="S1514" s="4">
        <f t="shared" si="787"/>
        <v>-0.1498794520547948</v>
      </c>
    </row>
    <row r="1515" spans="1:19" x14ac:dyDescent="0.35">
      <c r="A1515" s="1">
        <v>44249</v>
      </c>
      <c r="B1515" s="4">
        <v>22.8</v>
      </c>
      <c r="C1515">
        <v>18.100000000000001</v>
      </c>
      <c r="D1515">
        <v>28</v>
      </c>
      <c r="E1515" s="4">
        <v>0.4</v>
      </c>
      <c r="F1515" t="str">
        <f t="shared" si="780"/>
        <v>OK</v>
      </c>
      <c r="G1515" t="str">
        <f t="shared" si="781"/>
        <v>OK</v>
      </c>
      <c r="H1515" t="str">
        <f t="shared" si="782"/>
        <v>OK</v>
      </c>
      <c r="I1515" s="4">
        <f t="shared" si="783"/>
        <v>2021</v>
      </c>
      <c r="J1515">
        <f t="shared" si="784"/>
        <v>22.759730909090912</v>
      </c>
      <c r="K1515">
        <f t="shared" si="785"/>
        <v>3.8548164383561643</v>
      </c>
      <c r="R1515" s="4">
        <f t="shared" si="786"/>
        <v>-4.026909090908859E-2</v>
      </c>
      <c r="S1515" s="4">
        <f t="shared" si="787"/>
        <v>3.4548164383561644</v>
      </c>
    </row>
    <row r="1516" spans="1:19" hidden="1" x14ac:dyDescent="0.35">
      <c r="A1516" s="1">
        <v>44250</v>
      </c>
      <c r="B1516" s="4">
        <v>24.5</v>
      </c>
      <c r="C1516">
        <v>18.2</v>
      </c>
      <c r="D1516">
        <v>30.4</v>
      </c>
      <c r="E1516" s="4">
        <v>0</v>
      </c>
      <c r="F1516" t="str">
        <f t="shared" si="780"/>
        <v>OK</v>
      </c>
      <c r="G1516" t="str">
        <f t="shared" si="781"/>
        <v>OK</v>
      </c>
      <c r="H1516" t="str">
        <f t="shared" si="782"/>
        <v>OK</v>
      </c>
      <c r="I1516" s="4">
        <f t="shared" si="783"/>
        <v>2021</v>
      </c>
    </row>
    <row r="1517" spans="1:19" hidden="1" x14ac:dyDescent="0.35">
      <c r="A1517" s="1">
        <v>44251</v>
      </c>
      <c r="B1517" s="4">
        <v>24.4</v>
      </c>
      <c r="C1517">
        <v>18</v>
      </c>
      <c r="D1517">
        <v>31.1</v>
      </c>
      <c r="E1517" s="4">
        <v>0</v>
      </c>
      <c r="F1517" t="str">
        <f t="shared" si="780"/>
        <v>OK</v>
      </c>
      <c r="G1517" t="str">
        <f t="shared" si="781"/>
        <v>OK</v>
      </c>
      <c r="H1517" t="str">
        <f t="shared" si="782"/>
        <v>OK</v>
      </c>
      <c r="I1517" s="4">
        <f t="shared" si="783"/>
        <v>2021</v>
      </c>
    </row>
    <row r="1518" spans="1:19" hidden="1" x14ac:dyDescent="0.35">
      <c r="A1518" s="1">
        <v>44252</v>
      </c>
      <c r="B1518" s="4">
        <v>25.3</v>
      </c>
      <c r="C1518">
        <v>17.399999999999999</v>
      </c>
      <c r="D1518">
        <v>32</v>
      </c>
      <c r="E1518" s="4">
        <v>0</v>
      </c>
      <c r="F1518" t="str">
        <f t="shared" si="780"/>
        <v>OK</v>
      </c>
      <c r="G1518" t="str">
        <f t="shared" si="781"/>
        <v>OK</v>
      </c>
      <c r="H1518" t="str">
        <f t="shared" si="782"/>
        <v>OK</v>
      </c>
      <c r="I1518" s="4">
        <f t="shared" si="783"/>
        <v>2021</v>
      </c>
    </row>
    <row r="1519" spans="1:19" hidden="1" x14ac:dyDescent="0.35">
      <c r="A1519" s="1">
        <v>44253</v>
      </c>
      <c r="B1519" s="4">
        <v>25.8</v>
      </c>
      <c r="C1519">
        <v>18.399999999999999</v>
      </c>
      <c r="D1519">
        <v>33</v>
      </c>
      <c r="E1519" s="4">
        <v>0</v>
      </c>
      <c r="F1519" t="str">
        <f t="shared" si="780"/>
        <v>OK</v>
      </c>
      <c r="G1519" t="str">
        <f t="shared" si="781"/>
        <v>OK</v>
      </c>
      <c r="H1519" t="str">
        <f t="shared" si="782"/>
        <v>OK</v>
      </c>
      <c r="I1519" s="4">
        <f t="shared" si="783"/>
        <v>2021</v>
      </c>
    </row>
    <row r="1520" spans="1:19" hidden="1" x14ac:dyDescent="0.35">
      <c r="A1520" s="1">
        <v>44254</v>
      </c>
      <c r="B1520" s="4">
        <v>26.2</v>
      </c>
      <c r="C1520">
        <v>19</v>
      </c>
      <c r="D1520">
        <v>34.1</v>
      </c>
      <c r="E1520" s="4">
        <v>0</v>
      </c>
      <c r="F1520" t="str">
        <f t="shared" si="780"/>
        <v>OK</v>
      </c>
      <c r="G1520" t="str">
        <f t="shared" si="781"/>
        <v>OK</v>
      </c>
      <c r="H1520" t="str">
        <f t="shared" si="782"/>
        <v>OK</v>
      </c>
      <c r="I1520" s="4">
        <f t="shared" si="783"/>
        <v>2021</v>
      </c>
    </row>
    <row r="1521" spans="1:9" hidden="1" x14ac:dyDescent="0.35">
      <c r="A1521" s="1">
        <v>44255</v>
      </c>
      <c r="B1521" s="4">
        <v>26</v>
      </c>
      <c r="C1521">
        <v>20</v>
      </c>
      <c r="D1521">
        <v>33.799999999999997</v>
      </c>
      <c r="E1521" s="4">
        <v>0</v>
      </c>
      <c r="F1521" t="str">
        <f t="shared" si="780"/>
        <v>OK</v>
      </c>
      <c r="G1521" t="str">
        <f t="shared" si="781"/>
        <v>OK</v>
      </c>
      <c r="H1521" t="str">
        <f t="shared" si="782"/>
        <v>OK</v>
      </c>
      <c r="I1521" s="4">
        <f t="shared" si="783"/>
        <v>2021</v>
      </c>
    </row>
    <row r="1522" spans="1:9" hidden="1" x14ac:dyDescent="0.35">
      <c r="A1522" s="1">
        <v>44256</v>
      </c>
      <c r="B1522" s="4">
        <v>25.4</v>
      </c>
      <c r="C1522">
        <v>17.399999999999999</v>
      </c>
      <c r="D1522">
        <v>33.799999999999997</v>
      </c>
      <c r="E1522" s="4">
        <v>0</v>
      </c>
      <c r="F1522" t="str">
        <f t="shared" si="780"/>
        <v>OK</v>
      </c>
      <c r="G1522" t="str">
        <f t="shared" si="781"/>
        <v>OK</v>
      </c>
      <c r="H1522" t="str">
        <f t="shared" si="782"/>
        <v>OK</v>
      </c>
      <c r="I1522" s="4">
        <f t="shared" si="783"/>
        <v>2021</v>
      </c>
    </row>
    <row r="1523" spans="1:9" hidden="1" x14ac:dyDescent="0.35">
      <c r="A1523" s="1">
        <v>44257</v>
      </c>
      <c r="B1523" s="4">
        <v>25.3</v>
      </c>
      <c r="C1523">
        <v>18.399999999999999</v>
      </c>
      <c r="D1523">
        <v>33.6</v>
      </c>
      <c r="E1523" s="4">
        <v>0</v>
      </c>
      <c r="F1523" t="str">
        <f t="shared" si="780"/>
        <v>OK</v>
      </c>
      <c r="G1523" t="str">
        <f t="shared" si="781"/>
        <v>OK</v>
      </c>
      <c r="H1523" t="str">
        <f t="shared" si="782"/>
        <v>OK</v>
      </c>
      <c r="I1523" s="4">
        <f t="shared" si="783"/>
        <v>2021</v>
      </c>
    </row>
    <row r="1524" spans="1:9" hidden="1" x14ac:dyDescent="0.35">
      <c r="A1524" s="1">
        <v>44258</v>
      </c>
      <c r="B1524">
        <v>25</v>
      </c>
      <c r="C1524">
        <v>18.2</v>
      </c>
      <c r="D1524">
        <v>32.5</v>
      </c>
      <c r="E1524">
        <v>0</v>
      </c>
      <c r="F1524" t="str">
        <f t="shared" si="777"/>
        <v>OK</v>
      </c>
      <c r="G1524" t="str">
        <f t="shared" si="778"/>
        <v>Outlier</v>
      </c>
      <c r="H1524" t="str">
        <f t="shared" si="779"/>
        <v>OK</v>
      </c>
      <c r="I1524"/>
    </row>
    <row r="1525" spans="1:9" hidden="1" x14ac:dyDescent="0.35">
      <c r="A1525" s="1">
        <v>44259</v>
      </c>
      <c r="B1525">
        <v>24.6</v>
      </c>
      <c r="C1525">
        <v>16.5</v>
      </c>
      <c r="D1525">
        <v>32.299999999999997</v>
      </c>
      <c r="E1525">
        <v>0</v>
      </c>
      <c r="F1525" t="str">
        <f t="shared" si="777"/>
        <v>OK</v>
      </c>
      <c r="G1525" t="str">
        <f t="shared" si="778"/>
        <v>Outlier</v>
      </c>
      <c r="H1525" t="str">
        <f t="shared" si="779"/>
        <v>OK</v>
      </c>
      <c r="I1525"/>
    </row>
    <row r="1526" spans="1:9" hidden="1" x14ac:dyDescent="0.35">
      <c r="A1526" s="1">
        <v>44260</v>
      </c>
      <c r="B1526">
        <v>24.9</v>
      </c>
      <c r="C1526">
        <v>16.7</v>
      </c>
      <c r="D1526">
        <v>32</v>
      </c>
      <c r="E1526">
        <v>0</v>
      </c>
      <c r="F1526" t="str">
        <f t="shared" ref="F1526:F1527" si="788">IF(OR(B1505 &lt; $N$30, B1505 &gt; $N$67), "Outlier", "OK")</f>
        <v>OK</v>
      </c>
      <c r="G1526" t="str">
        <f t="shared" ref="G1526:G1527" si="789">IF(OR(C1505 &lt; $O$30, C1505 &gt; $O$67), "Outlier", "OK")</f>
        <v>Outlier</v>
      </c>
      <c r="H1526" t="str">
        <f t="shared" ref="H1526:H1527" si="790">IF(OR(D1505 &lt; $P$30, D1505 &gt; $P$67), "Outlier", "OK")</f>
        <v>OK</v>
      </c>
      <c r="I1526"/>
    </row>
    <row r="1527" spans="1:9" hidden="1" x14ac:dyDescent="0.35">
      <c r="A1527" s="1">
        <v>44261</v>
      </c>
      <c r="B1527">
        <v>26.7</v>
      </c>
      <c r="C1527">
        <v>18.399999999999999</v>
      </c>
      <c r="D1527">
        <v>34.4</v>
      </c>
      <c r="E1527">
        <v>0</v>
      </c>
      <c r="F1527" t="str">
        <f t="shared" si="788"/>
        <v>OK</v>
      </c>
      <c r="G1527" t="str">
        <f t="shared" si="789"/>
        <v>Outlier</v>
      </c>
      <c r="H1527" t="str">
        <f t="shared" si="790"/>
        <v>OK</v>
      </c>
      <c r="I1527"/>
    </row>
    <row r="1528" spans="1:9" hidden="1" x14ac:dyDescent="0.35">
      <c r="A1528" s="1">
        <v>44262</v>
      </c>
      <c r="B1528" s="4">
        <v>26.5</v>
      </c>
      <c r="C1528">
        <v>17.5</v>
      </c>
      <c r="D1528">
        <v>35.9</v>
      </c>
      <c r="E1528" s="4">
        <v>0</v>
      </c>
      <c r="F1528" t="str">
        <f t="shared" ref="F1528:F1591" si="791">IF(OR(B1528 &lt; $N$30, B1528 &gt; $N$67), "Outlier", "OK")</f>
        <v>OK</v>
      </c>
      <c r="G1528" t="str">
        <f t="shared" ref="G1528:G1591" si="792">IF(OR(C1528 &lt; $O$30, C1528 &gt; $O$67), "Outlier", "OK")</f>
        <v>OK</v>
      </c>
      <c r="H1528" t="str">
        <f t="shared" ref="H1528:H1591" si="793">IF(OR(D1528 &lt; $P$30, D1528 &gt; $P$67), "Outlier", "OK")</f>
        <v>OK</v>
      </c>
      <c r="I1528" s="4">
        <f t="shared" ref="I1528:I1591" si="794">YEAR(A1528)</f>
        <v>2021</v>
      </c>
    </row>
    <row r="1529" spans="1:9" hidden="1" x14ac:dyDescent="0.35">
      <c r="A1529" s="1">
        <v>44263</v>
      </c>
      <c r="B1529" s="4">
        <v>26</v>
      </c>
      <c r="C1529">
        <v>19</v>
      </c>
      <c r="D1529">
        <v>33.799999999999997</v>
      </c>
      <c r="E1529" s="4">
        <v>0</v>
      </c>
      <c r="F1529" t="str">
        <f t="shared" si="791"/>
        <v>OK</v>
      </c>
      <c r="G1529" t="str">
        <f t="shared" si="792"/>
        <v>OK</v>
      </c>
      <c r="H1529" t="str">
        <f t="shared" si="793"/>
        <v>OK</v>
      </c>
      <c r="I1529" s="4">
        <f t="shared" si="794"/>
        <v>2021</v>
      </c>
    </row>
    <row r="1530" spans="1:9" hidden="1" x14ac:dyDescent="0.35">
      <c r="A1530" s="1">
        <v>44264</v>
      </c>
      <c r="B1530" s="4">
        <v>25.6</v>
      </c>
      <c r="C1530">
        <v>18.7</v>
      </c>
      <c r="D1530">
        <v>33.5</v>
      </c>
      <c r="E1530" s="4">
        <v>0</v>
      </c>
      <c r="F1530" t="str">
        <f t="shared" si="791"/>
        <v>OK</v>
      </c>
      <c r="G1530" t="str">
        <f t="shared" si="792"/>
        <v>OK</v>
      </c>
      <c r="H1530" t="str">
        <f t="shared" si="793"/>
        <v>OK</v>
      </c>
      <c r="I1530" s="4">
        <f t="shared" si="794"/>
        <v>2021</v>
      </c>
    </row>
    <row r="1531" spans="1:9" hidden="1" x14ac:dyDescent="0.35">
      <c r="A1531" s="1">
        <v>44265</v>
      </c>
      <c r="B1531" s="4">
        <v>27</v>
      </c>
      <c r="C1531">
        <v>19.5</v>
      </c>
      <c r="D1531">
        <v>33.6</v>
      </c>
      <c r="E1531" s="4">
        <v>0</v>
      </c>
      <c r="F1531" t="str">
        <f t="shared" si="791"/>
        <v>OK</v>
      </c>
      <c r="G1531" t="str">
        <f t="shared" si="792"/>
        <v>OK</v>
      </c>
      <c r="H1531" t="str">
        <f t="shared" si="793"/>
        <v>OK</v>
      </c>
      <c r="I1531" s="4">
        <f t="shared" si="794"/>
        <v>2021</v>
      </c>
    </row>
    <row r="1532" spans="1:9" hidden="1" x14ac:dyDescent="0.35">
      <c r="A1532" s="1">
        <v>44266</v>
      </c>
      <c r="B1532" s="4">
        <v>25</v>
      </c>
      <c r="C1532">
        <v>18.8</v>
      </c>
      <c r="D1532">
        <v>32</v>
      </c>
      <c r="E1532" s="4">
        <v>0</v>
      </c>
      <c r="F1532" t="str">
        <f t="shared" si="791"/>
        <v>OK</v>
      </c>
      <c r="G1532" t="str">
        <f t="shared" si="792"/>
        <v>OK</v>
      </c>
      <c r="H1532" t="str">
        <f t="shared" si="793"/>
        <v>OK</v>
      </c>
      <c r="I1532" s="4">
        <f t="shared" si="794"/>
        <v>2021</v>
      </c>
    </row>
    <row r="1533" spans="1:9" hidden="1" x14ac:dyDescent="0.35">
      <c r="A1533" s="1">
        <v>44267</v>
      </c>
      <c r="B1533" s="4">
        <v>24.6</v>
      </c>
      <c r="C1533">
        <v>17.3</v>
      </c>
      <c r="D1533">
        <v>32.200000000000003</v>
      </c>
      <c r="E1533" s="4">
        <v>0</v>
      </c>
      <c r="F1533" t="str">
        <f t="shared" si="791"/>
        <v>OK</v>
      </c>
      <c r="G1533" t="str">
        <f t="shared" si="792"/>
        <v>OK</v>
      </c>
      <c r="H1533" t="str">
        <f t="shared" si="793"/>
        <v>OK</v>
      </c>
      <c r="I1533" s="4">
        <f t="shared" si="794"/>
        <v>2021</v>
      </c>
    </row>
    <row r="1534" spans="1:9" hidden="1" x14ac:dyDescent="0.35">
      <c r="A1534" s="1">
        <v>44268</v>
      </c>
      <c r="B1534" s="4">
        <v>24.1</v>
      </c>
      <c r="C1534">
        <v>15.3</v>
      </c>
      <c r="D1534">
        <v>31</v>
      </c>
      <c r="E1534" s="4">
        <v>0</v>
      </c>
      <c r="F1534" t="str">
        <f t="shared" si="791"/>
        <v>OK</v>
      </c>
      <c r="G1534" t="str">
        <f t="shared" si="792"/>
        <v>OK</v>
      </c>
      <c r="H1534" t="str">
        <f t="shared" si="793"/>
        <v>OK</v>
      </c>
      <c r="I1534" s="4">
        <f t="shared" si="794"/>
        <v>2021</v>
      </c>
    </row>
    <row r="1535" spans="1:9" hidden="1" x14ac:dyDescent="0.35">
      <c r="A1535" s="1">
        <v>44269</v>
      </c>
      <c r="B1535" s="4">
        <v>24.7</v>
      </c>
      <c r="C1535">
        <v>15.6</v>
      </c>
      <c r="D1535">
        <v>32.4</v>
      </c>
      <c r="E1535" s="4">
        <v>0</v>
      </c>
      <c r="F1535" t="str">
        <f t="shared" si="791"/>
        <v>OK</v>
      </c>
      <c r="G1535" t="str">
        <f t="shared" si="792"/>
        <v>OK</v>
      </c>
      <c r="H1535" t="str">
        <f t="shared" si="793"/>
        <v>OK</v>
      </c>
      <c r="I1535" s="4">
        <f t="shared" si="794"/>
        <v>2021</v>
      </c>
    </row>
    <row r="1536" spans="1:9" hidden="1" x14ac:dyDescent="0.35">
      <c r="A1536" s="1">
        <v>44270</v>
      </c>
      <c r="B1536" s="4">
        <v>25.1</v>
      </c>
      <c r="C1536">
        <v>16.2</v>
      </c>
      <c r="D1536">
        <v>32.4</v>
      </c>
      <c r="E1536" s="4">
        <v>0</v>
      </c>
      <c r="F1536" t="str">
        <f t="shared" si="791"/>
        <v>OK</v>
      </c>
      <c r="G1536" t="str">
        <f t="shared" si="792"/>
        <v>OK</v>
      </c>
      <c r="H1536" t="str">
        <f t="shared" si="793"/>
        <v>OK</v>
      </c>
      <c r="I1536" s="4">
        <f t="shared" si="794"/>
        <v>2021</v>
      </c>
    </row>
    <row r="1537" spans="1:9" hidden="1" x14ac:dyDescent="0.35">
      <c r="A1537" s="1">
        <v>44271</v>
      </c>
      <c r="B1537" s="4">
        <v>25.9</v>
      </c>
      <c r="C1537">
        <v>17.899999999999999</v>
      </c>
      <c r="D1537">
        <v>32.799999999999997</v>
      </c>
      <c r="E1537" s="4">
        <v>0</v>
      </c>
      <c r="F1537" t="str">
        <f t="shared" si="791"/>
        <v>OK</v>
      </c>
      <c r="G1537" t="str">
        <f t="shared" si="792"/>
        <v>OK</v>
      </c>
      <c r="H1537" t="str">
        <f t="shared" si="793"/>
        <v>OK</v>
      </c>
      <c r="I1537" s="4">
        <f t="shared" si="794"/>
        <v>2021</v>
      </c>
    </row>
    <row r="1538" spans="1:9" hidden="1" x14ac:dyDescent="0.35">
      <c r="A1538" s="1">
        <v>44272</v>
      </c>
      <c r="B1538" s="4">
        <v>25.5</v>
      </c>
      <c r="C1538">
        <v>16.399999999999999</v>
      </c>
      <c r="D1538">
        <v>32.4</v>
      </c>
      <c r="E1538" s="4">
        <v>0</v>
      </c>
      <c r="F1538" t="str">
        <f t="shared" si="791"/>
        <v>OK</v>
      </c>
      <c r="G1538" t="str">
        <f t="shared" si="792"/>
        <v>OK</v>
      </c>
      <c r="H1538" t="str">
        <f t="shared" si="793"/>
        <v>OK</v>
      </c>
      <c r="I1538" s="4">
        <f t="shared" si="794"/>
        <v>2021</v>
      </c>
    </row>
    <row r="1539" spans="1:9" hidden="1" x14ac:dyDescent="0.35">
      <c r="A1539" s="1">
        <v>44273</v>
      </c>
      <c r="B1539" s="4">
        <v>25.5</v>
      </c>
      <c r="C1539">
        <v>17</v>
      </c>
      <c r="D1539">
        <v>32.799999999999997</v>
      </c>
      <c r="E1539" s="4">
        <v>0</v>
      </c>
      <c r="F1539" t="str">
        <f t="shared" si="791"/>
        <v>OK</v>
      </c>
      <c r="G1539" t="str">
        <f t="shared" si="792"/>
        <v>OK</v>
      </c>
      <c r="H1539" t="str">
        <f t="shared" si="793"/>
        <v>OK</v>
      </c>
      <c r="I1539" s="4">
        <f t="shared" si="794"/>
        <v>2021</v>
      </c>
    </row>
    <row r="1540" spans="1:9" hidden="1" x14ac:dyDescent="0.35">
      <c r="A1540" s="1">
        <v>44274</v>
      </c>
      <c r="B1540" s="4">
        <v>25.3</v>
      </c>
      <c r="C1540">
        <v>17.8</v>
      </c>
      <c r="D1540">
        <v>32.799999999999997</v>
      </c>
      <c r="E1540" s="4">
        <v>0</v>
      </c>
      <c r="F1540" t="str">
        <f t="shared" si="791"/>
        <v>OK</v>
      </c>
      <c r="G1540" t="str">
        <f t="shared" si="792"/>
        <v>OK</v>
      </c>
      <c r="H1540" t="str">
        <f t="shared" si="793"/>
        <v>OK</v>
      </c>
      <c r="I1540" s="4">
        <f t="shared" si="794"/>
        <v>2021</v>
      </c>
    </row>
    <row r="1541" spans="1:9" hidden="1" x14ac:dyDescent="0.35">
      <c r="A1541" s="1">
        <v>44275</v>
      </c>
      <c r="B1541" s="4">
        <v>25.3</v>
      </c>
      <c r="C1541">
        <v>16.899999999999999</v>
      </c>
      <c r="D1541">
        <v>32.200000000000003</v>
      </c>
      <c r="E1541" s="4">
        <v>0</v>
      </c>
      <c r="F1541" t="str">
        <f t="shared" si="791"/>
        <v>OK</v>
      </c>
      <c r="G1541" t="str">
        <f t="shared" si="792"/>
        <v>OK</v>
      </c>
      <c r="H1541" t="str">
        <f t="shared" si="793"/>
        <v>OK</v>
      </c>
      <c r="I1541" s="4">
        <f t="shared" si="794"/>
        <v>2021</v>
      </c>
    </row>
    <row r="1542" spans="1:9" hidden="1" x14ac:dyDescent="0.35">
      <c r="A1542" s="1">
        <v>44276</v>
      </c>
      <c r="B1542" s="4">
        <v>25.9</v>
      </c>
      <c r="C1542">
        <v>18.399999999999999</v>
      </c>
      <c r="D1542">
        <v>33</v>
      </c>
      <c r="E1542" s="4">
        <v>0</v>
      </c>
      <c r="F1542" t="str">
        <f t="shared" si="791"/>
        <v>OK</v>
      </c>
      <c r="G1542" t="str">
        <f t="shared" si="792"/>
        <v>OK</v>
      </c>
      <c r="H1542" t="str">
        <f t="shared" si="793"/>
        <v>OK</v>
      </c>
      <c r="I1542" s="4">
        <f t="shared" si="794"/>
        <v>2021</v>
      </c>
    </row>
    <row r="1543" spans="1:9" hidden="1" x14ac:dyDescent="0.35">
      <c r="A1543" s="1">
        <v>44277</v>
      </c>
      <c r="B1543" s="4">
        <v>26.2</v>
      </c>
      <c r="C1543">
        <v>17.5</v>
      </c>
      <c r="D1543">
        <v>33.799999999999997</v>
      </c>
      <c r="E1543" s="4">
        <v>0</v>
      </c>
      <c r="F1543" t="str">
        <f t="shared" si="791"/>
        <v>OK</v>
      </c>
      <c r="G1543" t="str">
        <f t="shared" si="792"/>
        <v>OK</v>
      </c>
      <c r="H1543" t="str">
        <f t="shared" si="793"/>
        <v>OK</v>
      </c>
      <c r="I1543" s="4">
        <f t="shared" si="794"/>
        <v>2021</v>
      </c>
    </row>
    <row r="1544" spans="1:9" hidden="1" x14ac:dyDescent="0.35">
      <c r="A1544" s="1">
        <v>44278</v>
      </c>
      <c r="B1544" s="4">
        <v>26.6</v>
      </c>
      <c r="C1544">
        <v>18.2</v>
      </c>
      <c r="D1544">
        <v>34.200000000000003</v>
      </c>
      <c r="E1544" s="4">
        <v>0</v>
      </c>
      <c r="F1544" t="str">
        <f t="shared" si="791"/>
        <v>OK</v>
      </c>
      <c r="G1544" t="str">
        <f t="shared" si="792"/>
        <v>OK</v>
      </c>
      <c r="H1544" t="str">
        <f t="shared" si="793"/>
        <v>OK</v>
      </c>
      <c r="I1544" s="4">
        <f t="shared" si="794"/>
        <v>2021</v>
      </c>
    </row>
    <row r="1545" spans="1:9" hidden="1" x14ac:dyDescent="0.35">
      <c r="A1545" s="1">
        <v>44279</v>
      </c>
      <c r="B1545" s="4">
        <v>26.7</v>
      </c>
      <c r="C1545">
        <v>18.3</v>
      </c>
      <c r="D1545">
        <v>33.799999999999997</v>
      </c>
      <c r="E1545" s="4">
        <v>0</v>
      </c>
      <c r="F1545" t="str">
        <f t="shared" si="791"/>
        <v>OK</v>
      </c>
      <c r="G1545" t="str">
        <f t="shared" si="792"/>
        <v>OK</v>
      </c>
      <c r="H1545" t="str">
        <f t="shared" si="793"/>
        <v>OK</v>
      </c>
      <c r="I1545" s="4">
        <f t="shared" si="794"/>
        <v>2021</v>
      </c>
    </row>
    <row r="1546" spans="1:9" hidden="1" x14ac:dyDescent="0.35">
      <c r="A1546" s="1">
        <v>44280</v>
      </c>
      <c r="B1546" s="4">
        <v>27.2</v>
      </c>
      <c r="C1546">
        <v>18.7</v>
      </c>
      <c r="D1546">
        <v>33.6</v>
      </c>
      <c r="E1546" s="4">
        <v>0</v>
      </c>
      <c r="F1546" t="str">
        <f t="shared" si="791"/>
        <v>OK</v>
      </c>
      <c r="G1546" t="str">
        <f t="shared" si="792"/>
        <v>OK</v>
      </c>
      <c r="H1546" t="str">
        <f t="shared" si="793"/>
        <v>OK</v>
      </c>
      <c r="I1546" s="4">
        <f t="shared" si="794"/>
        <v>2021</v>
      </c>
    </row>
    <row r="1547" spans="1:9" hidden="1" x14ac:dyDescent="0.35">
      <c r="A1547" s="1">
        <v>44281</v>
      </c>
      <c r="B1547" s="4">
        <v>27.2</v>
      </c>
      <c r="C1547">
        <v>19.3</v>
      </c>
      <c r="D1547">
        <v>35</v>
      </c>
      <c r="E1547" s="4">
        <v>0</v>
      </c>
      <c r="F1547" t="str">
        <f t="shared" si="791"/>
        <v>OK</v>
      </c>
      <c r="G1547" t="str">
        <f t="shared" si="792"/>
        <v>OK</v>
      </c>
      <c r="H1547" t="str">
        <f t="shared" si="793"/>
        <v>OK</v>
      </c>
      <c r="I1547" s="4">
        <f t="shared" si="794"/>
        <v>2021</v>
      </c>
    </row>
    <row r="1548" spans="1:9" hidden="1" x14ac:dyDescent="0.35">
      <c r="A1548" s="1">
        <v>44282</v>
      </c>
      <c r="B1548" s="4">
        <v>27.2</v>
      </c>
      <c r="C1548">
        <v>19.100000000000001</v>
      </c>
      <c r="D1548">
        <v>34.4</v>
      </c>
      <c r="E1548" s="4">
        <v>0</v>
      </c>
      <c r="F1548" t="str">
        <f t="shared" si="791"/>
        <v>OK</v>
      </c>
      <c r="G1548" t="str">
        <f t="shared" si="792"/>
        <v>OK</v>
      </c>
      <c r="H1548" t="str">
        <f t="shared" si="793"/>
        <v>OK</v>
      </c>
      <c r="I1548" s="4">
        <f t="shared" si="794"/>
        <v>2021</v>
      </c>
    </row>
    <row r="1549" spans="1:9" hidden="1" x14ac:dyDescent="0.35">
      <c r="A1549" s="1">
        <v>44283</v>
      </c>
      <c r="B1549" s="4">
        <v>27.2</v>
      </c>
      <c r="C1549">
        <v>19.8</v>
      </c>
      <c r="D1549">
        <v>34.1</v>
      </c>
      <c r="E1549" s="4">
        <v>0</v>
      </c>
      <c r="F1549" t="str">
        <f t="shared" si="791"/>
        <v>OK</v>
      </c>
      <c r="G1549" t="str">
        <f t="shared" si="792"/>
        <v>OK</v>
      </c>
      <c r="H1549" t="str">
        <f t="shared" si="793"/>
        <v>OK</v>
      </c>
      <c r="I1549" s="4">
        <f t="shared" si="794"/>
        <v>2021</v>
      </c>
    </row>
    <row r="1550" spans="1:9" hidden="1" x14ac:dyDescent="0.35">
      <c r="A1550" s="1">
        <v>44284</v>
      </c>
      <c r="B1550" s="4">
        <v>27.5</v>
      </c>
      <c r="C1550">
        <v>20</v>
      </c>
      <c r="D1550">
        <v>34.5</v>
      </c>
      <c r="E1550" s="4">
        <v>0</v>
      </c>
      <c r="F1550" t="str">
        <f t="shared" si="791"/>
        <v>OK</v>
      </c>
      <c r="G1550" t="str">
        <f t="shared" si="792"/>
        <v>OK</v>
      </c>
      <c r="H1550" t="str">
        <f t="shared" si="793"/>
        <v>OK</v>
      </c>
      <c r="I1550" s="4">
        <f t="shared" si="794"/>
        <v>2021</v>
      </c>
    </row>
    <row r="1551" spans="1:9" hidden="1" x14ac:dyDescent="0.35">
      <c r="A1551" s="1">
        <v>44285</v>
      </c>
      <c r="B1551" s="4">
        <v>27.7</v>
      </c>
      <c r="C1551">
        <v>21.4</v>
      </c>
      <c r="D1551">
        <v>34.1</v>
      </c>
      <c r="E1551" s="4">
        <v>0</v>
      </c>
      <c r="F1551" t="str">
        <f t="shared" si="791"/>
        <v>OK</v>
      </c>
      <c r="G1551" t="str">
        <f t="shared" si="792"/>
        <v>OK</v>
      </c>
      <c r="H1551" t="str">
        <f t="shared" si="793"/>
        <v>OK</v>
      </c>
      <c r="I1551" s="4">
        <f t="shared" si="794"/>
        <v>2021</v>
      </c>
    </row>
    <row r="1552" spans="1:9" hidden="1" x14ac:dyDescent="0.35">
      <c r="A1552" s="1">
        <v>44286</v>
      </c>
      <c r="B1552" s="4">
        <v>28.8</v>
      </c>
      <c r="C1552">
        <v>21.2</v>
      </c>
      <c r="D1552">
        <v>35.6</v>
      </c>
      <c r="E1552" s="4">
        <v>0</v>
      </c>
      <c r="F1552" t="str">
        <f t="shared" si="791"/>
        <v>OK</v>
      </c>
      <c r="G1552" t="str">
        <f t="shared" si="792"/>
        <v>OK</v>
      </c>
      <c r="H1552" t="str">
        <f t="shared" si="793"/>
        <v>OK</v>
      </c>
      <c r="I1552" s="4">
        <f t="shared" si="794"/>
        <v>2021</v>
      </c>
    </row>
    <row r="1553" spans="1:19" hidden="1" x14ac:dyDescent="0.35">
      <c r="A1553" s="1">
        <v>44287</v>
      </c>
      <c r="B1553" s="4">
        <v>28.1</v>
      </c>
      <c r="C1553">
        <v>21</v>
      </c>
      <c r="D1553">
        <v>35.6</v>
      </c>
      <c r="E1553" s="4">
        <v>0</v>
      </c>
      <c r="F1553" t="str">
        <f t="shared" si="791"/>
        <v>OK</v>
      </c>
      <c r="G1553" t="str">
        <f t="shared" si="792"/>
        <v>OK</v>
      </c>
      <c r="H1553" t="str">
        <f t="shared" si="793"/>
        <v>OK</v>
      </c>
      <c r="I1553" s="4">
        <f t="shared" si="794"/>
        <v>2021</v>
      </c>
    </row>
    <row r="1554" spans="1:19" hidden="1" x14ac:dyDescent="0.35">
      <c r="A1554" s="1">
        <v>44288</v>
      </c>
      <c r="B1554" s="4">
        <v>27.7</v>
      </c>
      <c r="C1554">
        <v>19.3</v>
      </c>
      <c r="D1554">
        <v>35.6</v>
      </c>
      <c r="E1554" s="4">
        <v>0</v>
      </c>
      <c r="F1554" t="str">
        <f t="shared" si="791"/>
        <v>OK</v>
      </c>
      <c r="G1554" t="str">
        <f t="shared" si="792"/>
        <v>OK</v>
      </c>
      <c r="H1554" t="str">
        <f t="shared" si="793"/>
        <v>OK</v>
      </c>
      <c r="I1554" s="4">
        <f t="shared" si="794"/>
        <v>2021</v>
      </c>
    </row>
    <row r="1555" spans="1:19" hidden="1" x14ac:dyDescent="0.35">
      <c r="A1555" s="1">
        <v>44289</v>
      </c>
      <c r="B1555" s="4">
        <v>27.7</v>
      </c>
      <c r="C1555">
        <v>20.6</v>
      </c>
      <c r="D1555">
        <v>34.4</v>
      </c>
      <c r="E1555" s="4">
        <v>0</v>
      </c>
      <c r="F1555" t="str">
        <f t="shared" si="791"/>
        <v>OK</v>
      </c>
      <c r="G1555" t="str">
        <f t="shared" si="792"/>
        <v>OK</v>
      </c>
      <c r="H1555" t="str">
        <f t="shared" si="793"/>
        <v>OK</v>
      </c>
      <c r="I1555" s="4">
        <f t="shared" si="794"/>
        <v>2021</v>
      </c>
    </row>
    <row r="1556" spans="1:19" hidden="1" x14ac:dyDescent="0.35">
      <c r="A1556" s="1">
        <v>44290</v>
      </c>
      <c r="B1556" s="4">
        <v>29.1</v>
      </c>
      <c r="C1556">
        <v>23</v>
      </c>
      <c r="D1556">
        <v>35.200000000000003</v>
      </c>
      <c r="E1556" s="4">
        <v>0</v>
      </c>
      <c r="F1556" t="str">
        <f t="shared" si="791"/>
        <v>OK</v>
      </c>
      <c r="G1556" t="str">
        <f t="shared" si="792"/>
        <v>OK</v>
      </c>
      <c r="H1556" t="str">
        <f t="shared" si="793"/>
        <v>OK</v>
      </c>
      <c r="I1556" s="4">
        <f t="shared" si="794"/>
        <v>2021</v>
      </c>
    </row>
    <row r="1557" spans="1:19" hidden="1" x14ac:dyDescent="0.35">
      <c r="A1557" s="1">
        <v>44291</v>
      </c>
      <c r="B1557" s="4">
        <v>27.7</v>
      </c>
      <c r="C1557">
        <v>21.4</v>
      </c>
      <c r="D1557">
        <v>33.299999999999997</v>
      </c>
      <c r="E1557" s="4">
        <v>0</v>
      </c>
      <c r="F1557" t="str">
        <f t="shared" si="791"/>
        <v>OK</v>
      </c>
      <c r="G1557" t="str">
        <f t="shared" si="792"/>
        <v>OK</v>
      </c>
      <c r="H1557" t="str">
        <f t="shared" si="793"/>
        <v>OK</v>
      </c>
      <c r="I1557" s="4">
        <f t="shared" si="794"/>
        <v>2021</v>
      </c>
    </row>
    <row r="1558" spans="1:19" hidden="1" x14ac:dyDescent="0.35">
      <c r="A1558" s="1">
        <v>44292</v>
      </c>
      <c r="B1558" s="4">
        <v>27.3</v>
      </c>
      <c r="C1558">
        <v>20.2</v>
      </c>
      <c r="D1558">
        <v>34.4</v>
      </c>
      <c r="E1558" s="4">
        <v>0</v>
      </c>
      <c r="F1558" t="str">
        <f t="shared" si="791"/>
        <v>OK</v>
      </c>
      <c r="G1558" t="str">
        <f t="shared" si="792"/>
        <v>OK</v>
      </c>
      <c r="H1558" t="str">
        <f t="shared" si="793"/>
        <v>OK</v>
      </c>
      <c r="I1558" s="4">
        <f t="shared" si="794"/>
        <v>2021</v>
      </c>
    </row>
    <row r="1559" spans="1:19" hidden="1" x14ac:dyDescent="0.35">
      <c r="A1559" s="1">
        <v>44293</v>
      </c>
      <c r="B1559" s="4">
        <v>27.6</v>
      </c>
      <c r="C1559">
        <v>19.399999999999999</v>
      </c>
      <c r="D1559">
        <v>35</v>
      </c>
      <c r="E1559" s="4">
        <v>0</v>
      </c>
      <c r="F1559" t="str">
        <f t="shared" si="791"/>
        <v>OK</v>
      </c>
      <c r="G1559" t="str">
        <f t="shared" si="792"/>
        <v>OK</v>
      </c>
      <c r="H1559" t="str">
        <f t="shared" si="793"/>
        <v>OK</v>
      </c>
      <c r="I1559" s="4">
        <f t="shared" si="794"/>
        <v>2021</v>
      </c>
    </row>
    <row r="1560" spans="1:19" hidden="1" x14ac:dyDescent="0.35">
      <c r="A1560" s="1">
        <v>44294</v>
      </c>
      <c r="B1560" s="4">
        <v>27.3</v>
      </c>
      <c r="C1560">
        <v>20.100000000000001</v>
      </c>
      <c r="D1560">
        <v>34.200000000000003</v>
      </c>
      <c r="E1560" s="4">
        <v>0</v>
      </c>
      <c r="F1560" t="str">
        <f t="shared" si="791"/>
        <v>OK</v>
      </c>
      <c r="G1560" t="str">
        <f t="shared" si="792"/>
        <v>OK</v>
      </c>
      <c r="H1560" t="str">
        <f t="shared" si="793"/>
        <v>OK</v>
      </c>
      <c r="I1560" s="4">
        <f t="shared" si="794"/>
        <v>2021</v>
      </c>
    </row>
    <row r="1561" spans="1:19" hidden="1" x14ac:dyDescent="0.35">
      <c r="A1561" s="1">
        <v>44295</v>
      </c>
      <c r="B1561" s="4">
        <v>27.1</v>
      </c>
      <c r="C1561">
        <v>19.5</v>
      </c>
      <c r="D1561">
        <v>34</v>
      </c>
      <c r="E1561" s="4">
        <v>0</v>
      </c>
      <c r="F1561" t="str">
        <f t="shared" si="791"/>
        <v>OK</v>
      </c>
      <c r="G1561" t="str">
        <f t="shared" si="792"/>
        <v>OK</v>
      </c>
      <c r="H1561" t="str">
        <f t="shared" si="793"/>
        <v>OK</v>
      </c>
      <c r="I1561" s="4">
        <f t="shared" si="794"/>
        <v>2021</v>
      </c>
    </row>
    <row r="1562" spans="1:19" hidden="1" x14ac:dyDescent="0.35">
      <c r="A1562" s="1">
        <v>44296</v>
      </c>
      <c r="B1562" s="4">
        <v>26.5</v>
      </c>
      <c r="C1562">
        <v>19.3</v>
      </c>
      <c r="D1562">
        <v>33.299999999999997</v>
      </c>
      <c r="E1562" s="4">
        <v>0</v>
      </c>
      <c r="F1562" t="str">
        <f t="shared" si="791"/>
        <v>OK</v>
      </c>
      <c r="G1562" t="str">
        <f t="shared" si="792"/>
        <v>OK</v>
      </c>
      <c r="H1562" t="str">
        <f t="shared" si="793"/>
        <v>OK</v>
      </c>
      <c r="I1562" s="4">
        <f t="shared" si="794"/>
        <v>2021</v>
      </c>
    </row>
    <row r="1563" spans="1:19" hidden="1" x14ac:dyDescent="0.35">
      <c r="A1563" s="1">
        <v>44297</v>
      </c>
      <c r="B1563" s="4">
        <v>26.5</v>
      </c>
      <c r="C1563">
        <v>19.399999999999999</v>
      </c>
      <c r="D1563">
        <v>33.200000000000003</v>
      </c>
      <c r="E1563" s="4">
        <v>0</v>
      </c>
      <c r="F1563" t="str">
        <f t="shared" si="791"/>
        <v>OK</v>
      </c>
      <c r="G1563" t="str">
        <f t="shared" si="792"/>
        <v>OK</v>
      </c>
      <c r="H1563" t="str">
        <f t="shared" si="793"/>
        <v>OK</v>
      </c>
      <c r="I1563" s="4">
        <f t="shared" si="794"/>
        <v>2021</v>
      </c>
    </row>
    <row r="1564" spans="1:19" hidden="1" x14ac:dyDescent="0.35">
      <c r="A1564" s="1">
        <v>44298</v>
      </c>
      <c r="B1564" s="4">
        <v>26.6</v>
      </c>
      <c r="C1564">
        <v>20.7</v>
      </c>
      <c r="D1564">
        <v>33.5</v>
      </c>
      <c r="E1564" s="4">
        <v>0</v>
      </c>
      <c r="F1564" t="str">
        <f t="shared" si="791"/>
        <v>OK</v>
      </c>
      <c r="G1564" t="str">
        <f t="shared" si="792"/>
        <v>OK</v>
      </c>
      <c r="H1564" t="str">
        <f t="shared" si="793"/>
        <v>OK</v>
      </c>
      <c r="I1564" s="4">
        <f t="shared" si="794"/>
        <v>2021</v>
      </c>
    </row>
    <row r="1565" spans="1:19" hidden="1" x14ac:dyDescent="0.35">
      <c r="A1565" s="1">
        <v>44299</v>
      </c>
      <c r="B1565" s="4">
        <v>26.6</v>
      </c>
      <c r="C1565">
        <v>20.8</v>
      </c>
      <c r="D1565">
        <v>32.9</v>
      </c>
      <c r="E1565" s="4">
        <v>0</v>
      </c>
      <c r="F1565" t="str">
        <f t="shared" si="791"/>
        <v>OK</v>
      </c>
      <c r="G1565" t="str">
        <f t="shared" si="792"/>
        <v>OK</v>
      </c>
      <c r="H1565" t="str">
        <f t="shared" si="793"/>
        <v>OK</v>
      </c>
      <c r="I1565" s="4">
        <f t="shared" si="794"/>
        <v>2021</v>
      </c>
    </row>
    <row r="1566" spans="1:19" x14ac:dyDescent="0.35">
      <c r="A1566" s="1">
        <v>44300</v>
      </c>
      <c r="B1566" s="4">
        <v>25.1</v>
      </c>
      <c r="C1566">
        <v>21.8</v>
      </c>
      <c r="D1566">
        <v>31.8</v>
      </c>
      <c r="E1566" s="4">
        <v>8.1</v>
      </c>
      <c r="F1566" t="str">
        <f t="shared" si="791"/>
        <v>OK</v>
      </c>
      <c r="G1566" t="str">
        <f t="shared" si="792"/>
        <v>OK</v>
      </c>
      <c r="H1566" t="str">
        <f t="shared" si="793"/>
        <v>OK</v>
      </c>
      <c r="I1566" s="4">
        <f t="shared" si="794"/>
        <v>2021</v>
      </c>
      <c r="J1566">
        <f t="shared" ref="J1566:J1568" si="795">( 377.84*B1566 + 3903.1)/550</f>
        <v>24.33978909090909</v>
      </c>
      <c r="K1566">
        <f t="shared" ref="K1566:K1568" si="796" xml:space="preserve"> (59.02*E1566 + 1383.4)/365</f>
        <v>5.0998958904109593</v>
      </c>
      <c r="R1566" s="4">
        <f t="shared" ref="R1566:R1568" si="797">J1566-B1566</f>
        <v>-0.76021090909091171</v>
      </c>
      <c r="S1566" s="4">
        <f t="shared" ref="S1566:S1568" si="798">K1566-E1566</f>
        <v>-3.0001041095890404</v>
      </c>
    </row>
    <row r="1567" spans="1:19" x14ac:dyDescent="0.35">
      <c r="A1567" s="1">
        <v>44301</v>
      </c>
      <c r="B1567" s="4">
        <v>25.3</v>
      </c>
      <c r="C1567">
        <v>19.8</v>
      </c>
      <c r="D1567">
        <v>33.200000000000003</v>
      </c>
      <c r="E1567" s="4">
        <v>1.8</v>
      </c>
      <c r="F1567" t="str">
        <f t="shared" si="791"/>
        <v>OK</v>
      </c>
      <c r="G1567" t="str">
        <f t="shared" si="792"/>
        <v>OK</v>
      </c>
      <c r="H1567" t="str">
        <f t="shared" si="793"/>
        <v>OK</v>
      </c>
      <c r="I1567" s="4">
        <f t="shared" si="794"/>
        <v>2021</v>
      </c>
      <c r="J1567">
        <f t="shared" si="795"/>
        <v>24.477185454545452</v>
      </c>
      <c r="K1567">
        <f t="shared" si="796"/>
        <v>4.0811945205479461</v>
      </c>
      <c r="R1567" s="4">
        <f t="shared" si="797"/>
        <v>-0.82281454545454835</v>
      </c>
      <c r="S1567" s="4">
        <f t="shared" si="798"/>
        <v>2.2811945205479462</v>
      </c>
    </row>
    <row r="1568" spans="1:19" x14ac:dyDescent="0.35">
      <c r="A1568" s="1">
        <v>44302</v>
      </c>
      <c r="B1568" s="4">
        <v>27.2</v>
      </c>
      <c r="C1568">
        <v>20.8</v>
      </c>
      <c r="D1568">
        <v>32.6</v>
      </c>
      <c r="E1568" s="4">
        <v>0.3</v>
      </c>
      <c r="F1568" t="str">
        <f t="shared" si="791"/>
        <v>OK</v>
      </c>
      <c r="G1568" t="str">
        <f t="shared" si="792"/>
        <v>OK</v>
      </c>
      <c r="H1568" t="str">
        <f t="shared" si="793"/>
        <v>OK</v>
      </c>
      <c r="I1568" s="4">
        <f t="shared" si="794"/>
        <v>2021</v>
      </c>
      <c r="J1568">
        <f t="shared" si="795"/>
        <v>25.782450909090908</v>
      </c>
      <c r="K1568">
        <f t="shared" si="796"/>
        <v>3.8386465753424659</v>
      </c>
      <c r="R1568" s="4">
        <f t="shared" si="797"/>
        <v>-1.4175490909090911</v>
      </c>
      <c r="S1568" s="4">
        <f t="shared" si="798"/>
        <v>3.5386465753424661</v>
      </c>
    </row>
    <row r="1569" spans="1:19" hidden="1" x14ac:dyDescent="0.35">
      <c r="A1569" s="1">
        <v>44303</v>
      </c>
      <c r="B1569" s="4">
        <v>27.7</v>
      </c>
      <c r="C1569">
        <v>22.4</v>
      </c>
      <c r="D1569">
        <v>33.4</v>
      </c>
      <c r="E1569" s="4">
        <v>0</v>
      </c>
      <c r="F1569" t="str">
        <f t="shared" si="791"/>
        <v>OK</v>
      </c>
      <c r="G1569" t="str">
        <f t="shared" si="792"/>
        <v>OK</v>
      </c>
      <c r="H1569" t="str">
        <f t="shared" si="793"/>
        <v>OK</v>
      </c>
      <c r="I1569" s="4">
        <f t="shared" si="794"/>
        <v>2021</v>
      </c>
    </row>
    <row r="1570" spans="1:19" x14ac:dyDescent="0.35">
      <c r="A1570" s="1">
        <v>44304</v>
      </c>
      <c r="B1570" s="4">
        <v>26.8</v>
      </c>
      <c r="C1570">
        <v>20.9</v>
      </c>
      <c r="D1570">
        <v>33</v>
      </c>
      <c r="E1570" s="4">
        <v>0.1</v>
      </c>
      <c r="F1570" t="str">
        <f t="shared" si="791"/>
        <v>OK</v>
      </c>
      <c r="G1570" t="str">
        <f t="shared" si="792"/>
        <v>OK</v>
      </c>
      <c r="H1570" t="str">
        <f t="shared" si="793"/>
        <v>OK</v>
      </c>
      <c r="I1570" s="4">
        <f t="shared" si="794"/>
        <v>2021</v>
      </c>
      <c r="J1570">
        <f t="shared" ref="J1570:J1572" si="799">( 377.84*B1570 + 3903.1)/550</f>
        <v>25.507658181818179</v>
      </c>
      <c r="K1570">
        <f t="shared" ref="K1570:K1572" si="800" xml:space="preserve"> (59.02*E1570 + 1383.4)/365</f>
        <v>3.8063068493150687</v>
      </c>
      <c r="R1570" s="4">
        <f t="shared" ref="R1570:R1572" si="801">J1570-B1570</f>
        <v>-1.2923418181818214</v>
      </c>
      <c r="S1570" s="4">
        <f t="shared" ref="S1570:S1572" si="802">K1570-E1570</f>
        <v>3.7063068493150686</v>
      </c>
    </row>
    <row r="1571" spans="1:19" x14ac:dyDescent="0.35">
      <c r="A1571" s="1">
        <v>44305</v>
      </c>
      <c r="B1571" s="4">
        <v>27.1</v>
      </c>
      <c r="C1571">
        <v>20.6</v>
      </c>
      <c r="D1571">
        <v>34</v>
      </c>
      <c r="E1571" s="4">
        <v>0.1</v>
      </c>
      <c r="F1571" t="str">
        <f t="shared" si="791"/>
        <v>OK</v>
      </c>
      <c r="G1571" t="str">
        <f t="shared" si="792"/>
        <v>OK</v>
      </c>
      <c r="H1571" t="str">
        <f t="shared" si="793"/>
        <v>OK</v>
      </c>
      <c r="I1571" s="4">
        <f t="shared" si="794"/>
        <v>2021</v>
      </c>
      <c r="J1571">
        <f t="shared" si="799"/>
        <v>25.713752727272727</v>
      </c>
      <c r="K1571">
        <f t="shared" si="800"/>
        <v>3.8063068493150687</v>
      </c>
      <c r="R1571" s="4">
        <f t="shared" si="801"/>
        <v>-1.3862472727272745</v>
      </c>
      <c r="S1571" s="4">
        <f t="shared" si="802"/>
        <v>3.7063068493150686</v>
      </c>
    </row>
    <row r="1572" spans="1:19" x14ac:dyDescent="0.35">
      <c r="A1572" s="1">
        <v>44306</v>
      </c>
      <c r="B1572" s="4">
        <v>26</v>
      </c>
      <c r="C1572">
        <v>21.8</v>
      </c>
      <c r="D1572">
        <v>34</v>
      </c>
      <c r="E1572" s="4">
        <v>2.1</v>
      </c>
      <c r="F1572" t="str">
        <f t="shared" si="791"/>
        <v>OK</v>
      </c>
      <c r="G1572" t="str">
        <f t="shared" si="792"/>
        <v>OK</v>
      </c>
      <c r="H1572" t="str">
        <f t="shared" si="793"/>
        <v>OK</v>
      </c>
      <c r="I1572" s="4">
        <f t="shared" si="794"/>
        <v>2021</v>
      </c>
      <c r="J1572">
        <f t="shared" si="799"/>
        <v>24.958072727272729</v>
      </c>
      <c r="K1572">
        <f t="shared" si="800"/>
        <v>4.1297041095890412</v>
      </c>
      <c r="R1572" s="4">
        <f t="shared" si="801"/>
        <v>-1.0419272727272713</v>
      </c>
      <c r="S1572" s="4">
        <f t="shared" si="802"/>
        <v>2.0297041095890411</v>
      </c>
    </row>
    <row r="1573" spans="1:19" hidden="1" x14ac:dyDescent="0.35">
      <c r="A1573" s="1">
        <v>44307</v>
      </c>
      <c r="B1573" s="4">
        <v>26.6</v>
      </c>
      <c r="C1573">
        <v>20.8</v>
      </c>
      <c r="D1573">
        <v>34.4</v>
      </c>
      <c r="E1573" s="4">
        <v>0</v>
      </c>
      <c r="F1573" t="str">
        <f t="shared" si="791"/>
        <v>OK</v>
      </c>
      <c r="G1573" t="str">
        <f t="shared" si="792"/>
        <v>OK</v>
      </c>
      <c r="H1573" t="str">
        <f t="shared" si="793"/>
        <v>OK</v>
      </c>
      <c r="I1573" s="4">
        <f t="shared" si="794"/>
        <v>2021</v>
      </c>
    </row>
    <row r="1574" spans="1:19" x14ac:dyDescent="0.35">
      <c r="A1574" s="1">
        <v>44308</v>
      </c>
      <c r="B1574" s="4">
        <v>24.3</v>
      </c>
      <c r="C1574">
        <v>20.5</v>
      </c>
      <c r="D1574">
        <v>34.6</v>
      </c>
      <c r="E1574" s="4">
        <v>28.7</v>
      </c>
      <c r="F1574" t="str">
        <f t="shared" si="791"/>
        <v>OK</v>
      </c>
      <c r="G1574" t="str">
        <f t="shared" si="792"/>
        <v>OK</v>
      </c>
      <c r="H1574" t="str">
        <f t="shared" si="793"/>
        <v>OK</v>
      </c>
      <c r="I1574" s="4">
        <f t="shared" si="794"/>
        <v>2021</v>
      </c>
      <c r="J1574">
        <f t="shared" ref="J1574:J1576" si="803">( 377.84*B1574 + 3903.1)/550</f>
        <v>23.790203636363636</v>
      </c>
      <c r="K1574">
        <f t="shared" ref="K1574:K1576" si="804" xml:space="preserve"> (59.02*E1574 + 1383.4)/365</f>
        <v>8.4308876712328775</v>
      </c>
      <c r="R1574" s="4">
        <f t="shared" ref="R1574:R1576" si="805">J1574-B1574</f>
        <v>-0.50979636363636516</v>
      </c>
      <c r="S1574" s="4">
        <f t="shared" ref="S1574:S1576" si="806">K1574-E1574</f>
        <v>-20.269112328767122</v>
      </c>
    </row>
    <row r="1575" spans="1:19" x14ac:dyDescent="0.35">
      <c r="A1575" s="1">
        <v>44309</v>
      </c>
      <c r="B1575" s="4">
        <v>24.4</v>
      </c>
      <c r="C1575">
        <v>20.7</v>
      </c>
      <c r="D1575">
        <v>32.200000000000003</v>
      </c>
      <c r="E1575" s="4">
        <v>21.3</v>
      </c>
      <c r="F1575" t="str">
        <f t="shared" si="791"/>
        <v>OK</v>
      </c>
      <c r="G1575" t="str">
        <f t="shared" si="792"/>
        <v>OK</v>
      </c>
      <c r="H1575" t="str">
        <f t="shared" si="793"/>
        <v>OK</v>
      </c>
      <c r="I1575" s="4">
        <f t="shared" si="794"/>
        <v>2021</v>
      </c>
      <c r="J1575">
        <f t="shared" si="803"/>
        <v>23.858901818181817</v>
      </c>
      <c r="K1575">
        <f t="shared" si="804"/>
        <v>7.2343178082191786</v>
      </c>
      <c r="R1575" s="4">
        <f t="shared" si="805"/>
        <v>-0.5410981818181817</v>
      </c>
      <c r="S1575" s="4">
        <f t="shared" si="806"/>
        <v>-14.065682191780823</v>
      </c>
    </row>
    <row r="1576" spans="1:19" x14ac:dyDescent="0.35">
      <c r="A1576" s="1">
        <v>44310</v>
      </c>
      <c r="B1576" s="4">
        <v>24.6</v>
      </c>
      <c r="C1576">
        <v>20</v>
      </c>
      <c r="D1576">
        <v>31.7</v>
      </c>
      <c r="E1576" s="4">
        <v>65.8</v>
      </c>
      <c r="F1576" t="str">
        <f t="shared" si="791"/>
        <v>OK</v>
      </c>
      <c r="G1576" t="str">
        <f t="shared" si="792"/>
        <v>OK</v>
      </c>
      <c r="H1576" t="str">
        <f t="shared" si="793"/>
        <v>OK</v>
      </c>
      <c r="I1576" s="4">
        <f t="shared" si="794"/>
        <v>2021</v>
      </c>
      <c r="J1576">
        <f t="shared" si="803"/>
        <v>23.996298181818183</v>
      </c>
      <c r="K1576">
        <f t="shared" si="804"/>
        <v>14.429906849315069</v>
      </c>
      <c r="R1576" s="4">
        <f t="shared" si="805"/>
        <v>-0.60370181818181834</v>
      </c>
      <c r="S1576" s="4">
        <f t="shared" si="806"/>
        <v>-51.37009315068493</v>
      </c>
    </row>
    <row r="1577" spans="1:19" hidden="1" x14ac:dyDescent="0.35">
      <c r="A1577" s="1">
        <v>44311</v>
      </c>
      <c r="B1577" s="4">
        <v>26.5</v>
      </c>
      <c r="C1577">
        <v>21.8</v>
      </c>
      <c r="D1577">
        <v>31.9</v>
      </c>
      <c r="E1577" s="4">
        <v>0</v>
      </c>
      <c r="F1577" t="str">
        <f t="shared" si="791"/>
        <v>OK</v>
      </c>
      <c r="G1577" t="str">
        <f t="shared" si="792"/>
        <v>OK</v>
      </c>
      <c r="H1577" t="str">
        <f t="shared" si="793"/>
        <v>OK</v>
      </c>
      <c r="I1577" s="4">
        <f t="shared" si="794"/>
        <v>2021</v>
      </c>
    </row>
    <row r="1578" spans="1:19" hidden="1" x14ac:dyDescent="0.35">
      <c r="A1578" s="1">
        <v>44312</v>
      </c>
      <c r="B1578" s="4">
        <v>26.5</v>
      </c>
      <c r="C1578">
        <v>21.2</v>
      </c>
      <c r="D1578">
        <v>33</v>
      </c>
      <c r="E1578" s="4">
        <v>0</v>
      </c>
      <c r="F1578" t="str">
        <f t="shared" si="791"/>
        <v>OK</v>
      </c>
      <c r="G1578" t="str">
        <f t="shared" si="792"/>
        <v>OK</v>
      </c>
      <c r="H1578" t="str">
        <f t="shared" si="793"/>
        <v>OK</v>
      </c>
      <c r="I1578" s="4">
        <f t="shared" si="794"/>
        <v>2021</v>
      </c>
    </row>
    <row r="1579" spans="1:19" hidden="1" x14ac:dyDescent="0.35">
      <c r="A1579" s="1">
        <v>44313</v>
      </c>
      <c r="B1579" s="4">
        <v>26.6</v>
      </c>
      <c r="C1579">
        <v>20.9</v>
      </c>
      <c r="D1579">
        <v>32.5</v>
      </c>
      <c r="E1579" s="4">
        <v>0</v>
      </c>
      <c r="F1579" t="str">
        <f t="shared" si="791"/>
        <v>OK</v>
      </c>
      <c r="G1579" t="str">
        <f t="shared" si="792"/>
        <v>OK</v>
      </c>
      <c r="H1579" t="str">
        <f t="shared" si="793"/>
        <v>OK</v>
      </c>
      <c r="I1579" s="4">
        <f t="shared" si="794"/>
        <v>2021</v>
      </c>
    </row>
    <row r="1580" spans="1:19" x14ac:dyDescent="0.35">
      <c r="A1580" s="1">
        <v>44314</v>
      </c>
      <c r="B1580" s="4">
        <v>27</v>
      </c>
      <c r="C1580">
        <v>20.9</v>
      </c>
      <c r="D1580">
        <v>33.4</v>
      </c>
      <c r="E1580" s="4">
        <v>0.1</v>
      </c>
      <c r="F1580" t="str">
        <f t="shared" si="791"/>
        <v>OK</v>
      </c>
      <c r="G1580" t="str">
        <f t="shared" si="792"/>
        <v>OK</v>
      </c>
      <c r="H1580" t="str">
        <f t="shared" si="793"/>
        <v>OK</v>
      </c>
      <c r="I1580" s="4">
        <f t="shared" si="794"/>
        <v>2021</v>
      </c>
      <c r="J1580">
        <f t="shared" ref="J1580:J1581" si="807">( 377.84*B1580 + 3903.1)/550</f>
        <v>25.645054545454542</v>
      </c>
      <c r="K1580">
        <f t="shared" ref="K1580:K1581" si="808" xml:space="preserve"> (59.02*E1580 + 1383.4)/365</f>
        <v>3.8063068493150687</v>
      </c>
      <c r="R1580" s="4">
        <f t="shared" ref="R1580:R1581" si="809">J1580-B1580</f>
        <v>-1.354945454545458</v>
      </c>
      <c r="S1580" s="4">
        <f t="shared" ref="S1580:S1581" si="810">K1580-E1580</f>
        <v>3.7063068493150686</v>
      </c>
    </row>
    <row r="1581" spans="1:19" x14ac:dyDescent="0.35">
      <c r="A1581" s="1">
        <v>44315</v>
      </c>
      <c r="B1581" s="4">
        <v>26.5</v>
      </c>
      <c r="C1581">
        <v>22.2</v>
      </c>
      <c r="D1581">
        <v>31.8</v>
      </c>
      <c r="E1581" s="4">
        <v>0.7</v>
      </c>
      <c r="F1581" t="str">
        <f t="shared" si="791"/>
        <v>OK</v>
      </c>
      <c r="G1581" t="str">
        <f t="shared" si="792"/>
        <v>OK</v>
      </c>
      <c r="H1581" t="str">
        <f t="shared" si="793"/>
        <v>OK</v>
      </c>
      <c r="I1581" s="4">
        <f t="shared" si="794"/>
        <v>2021</v>
      </c>
      <c r="J1581">
        <f t="shared" si="807"/>
        <v>25.301563636363639</v>
      </c>
      <c r="K1581">
        <f t="shared" si="808"/>
        <v>3.9033260273972608</v>
      </c>
      <c r="R1581" s="4">
        <f t="shared" si="809"/>
        <v>-1.1984363636363611</v>
      </c>
      <c r="S1581" s="4">
        <f t="shared" si="810"/>
        <v>3.203326027397261</v>
      </c>
    </row>
    <row r="1582" spans="1:19" hidden="1" x14ac:dyDescent="0.35">
      <c r="A1582" s="1">
        <v>44316</v>
      </c>
      <c r="B1582" s="4">
        <v>26.4</v>
      </c>
      <c r="C1582">
        <v>20.7</v>
      </c>
      <c r="D1582">
        <v>33.1</v>
      </c>
      <c r="E1582" s="4">
        <v>0</v>
      </c>
      <c r="F1582" t="str">
        <f t="shared" si="791"/>
        <v>OK</v>
      </c>
      <c r="G1582" t="str">
        <f t="shared" si="792"/>
        <v>OK</v>
      </c>
      <c r="H1582" t="str">
        <f t="shared" si="793"/>
        <v>OK</v>
      </c>
      <c r="I1582" s="4">
        <f t="shared" si="794"/>
        <v>2021</v>
      </c>
    </row>
    <row r="1583" spans="1:19" hidden="1" x14ac:dyDescent="0.35">
      <c r="A1583" s="1">
        <v>44317</v>
      </c>
      <c r="B1583" s="4">
        <v>27.1</v>
      </c>
      <c r="C1583">
        <v>22.5</v>
      </c>
      <c r="D1583">
        <v>33.4</v>
      </c>
      <c r="E1583" s="4">
        <v>0</v>
      </c>
      <c r="F1583" t="str">
        <f t="shared" si="791"/>
        <v>OK</v>
      </c>
      <c r="G1583" t="str">
        <f t="shared" si="792"/>
        <v>OK</v>
      </c>
      <c r="H1583" t="str">
        <f t="shared" si="793"/>
        <v>OK</v>
      </c>
      <c r="I1583" s="4">
        <f t="shared" si="794"/>
        <v>2021</v>
      </c>
    </row>
    <row r="1584" spans="1:19" hidden="1" x14ac:dyDescent="0.35">
      <c r="A1584" s="1">
        <v>44318</v>
      </c>
      <c r="B1584" s="4">
        <v>26.7</v>
      </c>
      <c r="C1584">
        <v>21.5</v>
      </c>
      <c r="D1584">
        <v>32.4</v>
      </c>
      <c r="E1584" s="4">
        <v>0</v>
      </c>
      <c r="F1584" t="str">
        <f t="shared" si="791"/>
        <v>OK</v>
      </c>
      <c r="G1584" t="str">
        <f t="shared" si="792"/>
        <v>OK</v>
      </c>
      <c r="H1584" t="str">
        <f t="shared" si="793"/>
        <v>OK</v>
      </c>
      <c r="I1584" s="4">
        <f t="shared" si="794"/>
        <v>2021</v>
      </c>
    </row>
    <row r="1585" spans="1:19" x14ac:dyDescent="0.35">
      <c r="A1585" s="1">
        <v>44319</v>
      </c>
      <c r="B1585" s="4">
        <v>26.4</v>
      </c>
      <c r="C1585">
        <v>21.9</v>
      </c>
      <c r="D1585">
        <v>32</v>
      </c>
      <c r="E1585" s="4">
        <v>0.3</v>
      </c>
      <c r="F1585" t="str">
        <f t="shared" si="791"/>
        <v>OK</v>
      </c>
      <c r="G1585" t="str">
        <f t="shared" si="792"/>
        <v>OK</v>
      </c>
      <c r="H1585" t="str">
        <f t="shared" si="793"/>
        <v>OK</v>
      </c>
      <c r="I1585" s="4">
        <f t="shared" si="794"/>
        <v>2021</v>
      </c>
      <c r="J1585">
        <f t="shared" ref="J1585:J1586" si="811">( 377.84*B1585 + 3903.1)/550</f>
        <v>25.232865454545454</v>
      </c>
      <c r="K1585">
        <f t="shared" ref="K1585:K1586" si="812" xml:space="preserve"> (59.02*E1585 + 1383.4)/365</f>
        <v>3.8386465753424659</v>
      </c>
      <c r="R1585" s="4">
        <f t="shared" ref="R1585:R1586" si="813">J1585-B1585</f>
        <v>-1.1671345454545445</v>
      </c>
      <c r="S1585" s="4">
        <f t="shared" ref="S1585:S1586" si="814">K1585-E1585</f>
        <v>3.5386465753424661</v>
      </c>
    </row>
    <row r="1586" spans="1:19" x14ac:dyDescent="0.35">
      <c r="A1586" s="1">
        <v>44320</v>
      </c>
      <c r="B1586" s="4">
        <v>25.1</v>
      </c>
      <c r="C1586">
        <v>21.1</v>
      </c>
      <c r="D1586">
        <v>30.4</v>
      </c>
      <c r="E1586" s="4">
        <v>8.9</v>
      </c>
      <c r="F1586" t="str">
        <f t="shared" si="791"/>
        <v>OK</v>
      </c>
      <c r="G1586" t="str">
        <f t="shared" si="792"/>
        <v>OK</v>
      </c>
      <c r="H1586" t="str">
        <f t="shared" si="793"/>
        <v>OK</v>
      </c>
      <c r="I1586" s="4">
        <f t="shared" si="794"/>
        <v>2021</v>
      </c>
      <c r="J1586">
        <f t="shared" si="811"/>
        <v>24.33978909090909</v>
      </c>
      <c r="K1586">
        <f t="shared" si="812"/>
        <v>5.2292547945205481</v>
      </c>
      <c r="R1586" s="4">
        <f t="shared" si="813"/>
        <v>-0.76021090909091171</v>
      </c>
      <c r="S1586" s="4">
        <f t="shared" si="814"/>
        <v>-3.6707452054794523</v>
      </c>
    </row>
    <row r="1587" spans="1:19" hidden="1" x14ac:dyDescent="0.35">
      <c r="A1587" s="1">
        <v>44321</v>
      </c>
      <c r="B1587" s="4">
        <v>26.9</v>
      </c>
      <c r="C1587">
        <v>20.6</v>
      </c>
      <c r="D1587">
        <v>33.299999999999997</v>
      </c>
      <c r="E1587" s="4">
        <v>0</v>
      </c>
      <c r="F1587" t="str">
        <f t="shared" si="791"/>
        <v>OK</v>
      </c>
      <c r="G1587" t="str">
        <f t="shared" si="792"/>
        <v>OK</v>
      </c>
      <c r="H1587" t="str">
        <f t="shared" si="793"/>
        <v>OK</v>
      </c>
      <c r="I1587" s="4">
        <f t="shared" si="794"/>
        <v>2021</v>
      </c>
    </row>
    <row r="1588" spans="1:19" hidden="1" x14ac:dyDescent="0.35">
      <c r="A1588" s="1">
        <v>44322</v>
      </c>
      <c r="B1588" s="4">
        <v>27</v>
      </c>
      <c r="C1588">
        <v>21.7</v>
      </c>
      <c r="D1588">
        <v>32.4</v>
      </c>
      <c r="E1588" s="4">
        <v>0</v>
      </c>
      <c r="F1588" t="str">
        <f t="shared" si="791"/>
        <v>OK</v>
      </c>
      <c r="G1588" t="str">
        <f t="shared" si="792"/>
        <v>OK</v>
      </c>
      <c r="H1588" t="str">
        <f t="shared" si="793"/>
        <v>OK</v>
      </c>
      <c r="I1588" s="4">
        <f t="shared" si="794"/>
        <v>2021</v>
      </c>
    </row>
    <row r="1589" spans="1:19" x14ac:dyDescent="0.35">
      <c r="A1589" s="1">
        <v>44323</v>
      </c>
      <c r="B1589" s="4">
        <v>26.5</v>
      </c>
      <c r="C1589">
        <v>22.2</v>
      </c>
      <c r="D1589">
        <v>32</v>
      </c>
      <c r="E1589" s="4">
        <v>0.7</v>
      </c>
      <c r="F1589" t="str">
        <f t="shared" si="791"/>
        <v>OK</v>
      </c>
      <c r="G1589" t="str">
        <f t="shared" si="792"/>
        <v>OK</v>
      </c>
      <c r="H1589" t="str">
        <f t="shared" si="793"/>
        <v>OK</v>
      </c>
      <c r="I1589" s="4">
        <f t="shared" si="794"/>
        <v>2021</v>
      </c>
      <c r="J1589">
        <f t="shared" ref="J1589:J1593" si="815">( 377.84*B1589 + 3903.1)/550</f>
        <v>25.301563636363639</v>
      </c>
      <c r="K1589">
        <f t="shared" ref="K1589:K1593" si="816" xml:space="preserve"> (59.02*E1589 + 1383.4)/365</f>
        <v>3.9033260273972608</v>
      </c>
      <c r="R1589" s="4">
        <f t="shared" ref="R1589:R1593" si="817">J1589-B1589</f>
        <v>-1.1984363636363611</v>
      </c>
      <c r="S1589" s="4">
        <f t="shared" ref="S1589:S1593" si="818">K1589-E1589</f>
        <v>3.203326027397261</v>
      </c>
    </row>
    <row r="1590" spans="1:19" x14ac:dyDescent="0.35">
      <c r="A1590" s="1">
        <v>44324</v>
      </c>
      <c r="B1590" s="4">
        <v>26.8</v>
      </c>
      <c r="C1590">
        <v>21.5</v>
      </c>
      <c r="D1590">
        <v>33.6</v>
      </c>
      <c r="E1590" s="4">
        <v>0.2</v>
      </c>
      <c r="F1590" t="str">
        <f t="shared" si="791"/>
        <v>OK</v>
      </c>
      <c r="G1590" t="str">
        <f t="shared" si="792"/>
        <v>OK</v>
      </c>
      <c r="H1590" t="str">
        <f t="shared" si="793"/>
        <v>OK</v>
      </c>
      <c r="I1590" s="4">
        <f t="shared" si="794"/>
        <v>2021</v>
      </c>
      <c r="J1590">
        <f t="shared" si="815"/>
        <v>25.507658181818179</v>
      </c>
      <c r="K1590">
        <f t="shared" si="816"/>
        <v>3.8224767123287675</v>
      </c>
      <c r="R1590" s="4">
        <f t="shared" si="817"/>
        <v>-1.2923418181818214</v>
      </c>
      <c r="S1590" s="4">
        <f t="shared" si="818"/>
        <v>3.6224767123287673</v>
      </c>
    </row>
    <row r="1591" spans="1:19" x14ac:dyDescent="0.35">
      <c r="A1591" s="1">
        <v>44325</v>
      </c>
      <c r="B1591" s="4">
        <v>27.2</v>
      </c>
      <c r="C1591">
        <v>21.3</v>
      </c>
      <c r="D1591">
        <v>33.4</v>
      </c>
      <c r="E1591" s="4">
        <v>0.3</v>
      </c>
      <c r="F1591" t="str">
        <f t="shared" si="791"/>
        <v>OK</v>
      </c>
      <c r="G1591" t="str">
        <f t="shared" si="792"/>
        <v>OK</v>
      </c>
      <c r="H1591" t="str">
        <f t="shared" si="793"/>
        <v>OK</v>
      </c>
      <c r="I1591" s="4">
        <f t="shared" si="794"/>
        <v>2021</v>
      </c>
      <c r="J1591">
        <f t="shared" si="815"/>
        <v>25.782450909090908</v>
      </c>
      <c r="K1591">
        <f t="shared" si="816"/>
        <v>3.8386465753424659</v>
      </c>
      <c r="R1591" s="4">
        <f t="shared" si="817"/>
        <v>-1.4175490909090911</v>
      </c>
      <c r="S1591" s="4">
        <f t="shared" si="818"/>
        <v>3.5386465753424661</v>
      </c>
    </row>
    <row r="1592" spans="1:19" x14ac:dyDescent="0.35">
      <c r="A1592" s="1">
        <v>44326</v>
      </c>
      <c r="B1592" s="4">
        <v>26.7</v>
      </c>
      <c r="C1592">
        <v>22.1</v>
      </c>
      <c r="D1592">
        <v>32.799999999999997</v>
      </c>
      <c r="E1592" s="4">
        <v>1</v>
      </c>
      <c r="F1592" t="str">
        <f t="shared" ref="F1592:F1655" si="819">IF(OR(B1592 &lt; $N$30, B1592 &gt; $N$67), "Outlier", "OK")</f>
        <v>OK</v>
      </c>
      <c r="G1592" t="str">
        <f t="shared" ref="G1592:G1655" si="820">IF(OR(C1592 &lt; $O$30, C1592 &gt; $O$67), "Outlier", "OK")</f>
        <v>OK</v>
      </c>
      <c r="H1592" t="str">
        <f t="shared" ref="H1592:H1655" si="821">IF(OR(D1592 &lt; $P$30, D1592 &gt; $P$67), "Outlier", "OK")</f>
        <v>OK</v>
      </c>
      <c r="I1592" s="4">
        <f t="shared" ref="I1592:I1655" si="822">YEAR(A1592)</f>
        <v>2021</v>
      </c>
      <c r="J1592">
        <f t="shared" si="815"/>
        <v>25.438959999999998</v>
      </c>
      <c r="K1592">
        <f t="shared" si="816"/>
        <v>3.9518356164383563</v>
      </c>
      <c r="R1592" s="4">
        <f t="shared" si="817"/>
        <v>-1.2610400000000013</v>
      </c>
      <c r="S1592" s="4">
        <f t="shared" si="818"/>
        <v>2.9518356164383563</v>
      </c>
    </row>
    <row r="1593" spans="1:19" x14ac:dyDescent="0.35">
      <c r="A1593" s="1">
        <v>44327</v>
      </c>
      <c r="B1593" s="4">
        <v>26.1</v>
      </c>
      <c r="C1593">
        <v>21.5</v>
      </c>
      <c r="D1593">
        <v>33.200000000000003</v>
      </c>
      <c r="E1593" s="4">
        <v>5.6</v>
      </c>
      <c r="F1593" t="str">
        <f t="shared" si="819"/>
        <v>OK</v>
      </c>
      <c r="G1593" t="str">
        <f t="shared" si="820"/>
        <v>OK</v>
      </c>
      <c r="H1593" t="str">
        <f t="shared" si="821"/>
        <v>OK</v>
      </c>
      <c r="I1593" s="4">
        <f t="shared" si="822"/>
        <v>2021</v>
      </c>
      <c r="J1593">
        <f t="shared" si="815"/>
        <v>25.02677090909091</v>
      </c>
      <c r="K1593">
        <f t="shared" si="816"/>
        <v>4.6956493150684935</v>
      </c>
      <c r="R1593" s="4">
        <f t="shared" si="817"/>
        <v>-1.0732290909090914</v>
      </c>
      <c r="S1593" s="4">
        <f t="shared" si="818"/>
        <v>-0.90435068493150617</v>
      </c>
    </row>
    <row r="1594" spans="1:19" hidden="1" x14ac:dyDescent="0.35">
      <c r="A1594" s="1">
        <v>44328</v>
      </c>
      <c r="B1594" s="4">
        <v>25.5</v>
      </c>
      <c r="C1594">
        <v>21.4</v>
      </c>
      <c r="D1594">
        <v>33.9</v>
      </c>
      <c r="E1594" s="4">
        <v>0</v>
      </c>
      <c r="F1594" t="str">
        <f t="shared" si="819"/>
        <v>OK</v>
      </c>
      <c r="G1594" t="str">
        <f t="shared" si="820"/>
        <v>OK</v>
      </c>
      <c r="H1594" t="str">
        <f t="shared" si="821"/>
        <v>OK</v>
      </c>
      <c r="I1594" s="4">
        <f t="shared" si="822"/>
        <v>2021</v>
      </c>
    </row>
    <row r="1595" spans="1:19" x14ac:dyDescent="0.35">
      <c r="A1595" s="1">
        <v>44329</v>
      </c>
      <c r="B1595" s="4">
        <v>25.4</v>
      </c>
      <c r="C1595">
        <v>20.7</v>
      </c>
      <c r="D1595">
        <v>31.9</v>
      </c>
      <c r="E1595" s="4">
        <v>35.1</v>
      </c>
      <c r="F1595" t="str">
        <f t="shared" si="819"/>
        <v>OK</v>
      </c>
      <c r="G1595" t="str">
        <f t="shared" si="820"/>
        <v>OK</v>
      </c>
      <c r="H1595" t="str">
        <f t="shared" si="821"/>
        <v>OK</v>
      </c>
      <c r="I1595" s="4">
        <f t="shared" si="822"/>
        <v>2021</v>
      </c>
      <c r="J1595">
        <f t="shared" ref="J1595:J1596" si="823">( 377.84*B1595 + 3903.1)/550</f>
        <v>24.545883636363634</v>
      </c>
      <c r="K1595">
        <f t="shared" ref="K1595:K1596" si="824" xml:space="preserve"> (59.02*E1595 + 1383.4)/365</f>
        <v>9.46575890410959</v>
      </c>
      <c r="R1595" s="4">
        <f t="shared" ref="R1595:R1596" si="825">J1595-B1595</f>
        <v>-0.85411636363636489</v>
      </c>
      <c r="S1595" s="4">
        <f t="shared" ref="S1595:S1596" si="826">K1595-E1595</f>
        <v>-25.63424109589041</v>
      </c>
    </row>
    <row r="1596" spans="1:19" x14ac:dyDescent="0.35">
      <c r="A1596" s="1">
        <v>44330</v>
      </c>
      <c r="B1596" s="4">
        <v>26.7</v>
      </c>
      <c r="C1596">
        <v>21.4</v>
      </c>
      <c r="D1596">
        <v>31.9</v>
      </c>
      <c r="E1596" s="4">
        <v>26.2</v>
      </c>
      <c r="F1596" t="str">
        <f t="shared" si="819"/>
        <v>OK</v>
      </c>
      <c r="G1596" t="str">
        <f t="shared" si="820"/>
        <v>OK</v>
      </c>
      <c r="H1596" t="str">
        <f t="shared" si="821"/>
        <v>OK</v>
      </c>
      <c r="I1596" s="4">
        <f t="shared" si="822"/>
        <v>2021</v>
      </c>
      <c r="J1596">
        <f t="shared" si="823"/>
        <v>25.438959999999998</v>
      </c>
      <c r="K1596">
        <f t="shared" si="824"/>
        <v>8.0266410958904117</v>
      </c>
      <c r="R1596" s="4">
        <f t="shared" si="825"/>
        <v>-1.2610400000000013</v>
      </c>
      <c r="S1596" s="4">
        <f t="shared" si="826"/>
        <v>-18.173358904109588</v>
      </c>
    </row>
    <row r="1597" spans="1:19" hidden="1" x14ac:dyDescent="0.35">
      <c r="A1597" s="1">
        <v>44331</v>
      </c>
      <c r="B1597" s="4">
        <v>23.8</v>
      </c>
      <c r="C1597">
        <v>22.2</v>
      </c>
      <c r="D1597">
        <v>32.6</v>
      </c>
      <c r="E1597" s="4">
        <v>0</v>
      </c>
      <c r="F1597" t="str">
        <f t="shared" si="819"/>
        <v>OK</v>
      </c>
      <c r="G1597" t="str">
        <f t="shared" si="820"/>
        <v>OK</v>
      </c>
      <c r="H1597" t="str">
        <f t="shared" si="821"/>
        <v>OK</v>
      </c>
      <c r="I1597" s="4">
        <f t="shared" si="822"/>
        <v>2021</v>
      </c>
    </row>
    <row r="1598" spans="1:19" hidden="1" x14ac:dyDescent="0.35">
      <c r="A1598" s="1">
        <v>44332</v>
      </c>
      <c r="B1598" s="4">
        <v>24</v>
      </c>
      <c r="C1598">
        <v>21.4</v>
      </c>
      <c r="D1598">
        <v>28</v>
      </c>
      <c r="E1598" s="4">
        <v>0</v>
      </c>
      <c r="F1598" t="str">
        <f t="shared" si="819"/>
        <v>OK</v>
      </c>
      <c r="G1598" t="str">
        <f t="shared" si="820"/>
        <v>OK</v>
      </c>
      <c r="H1598" t="str">
        <f t="shared" si="821"/>
        <v>OK</v>
      </c>
      <c r="I1598" s="4">
        <f t="shared" si="822"/>
        <v>2021</v>
      </c>
    </row>
    <row r="1599" spans="1:19" hidden="1" x14ac:dyDescent="0.35">
      <c r="A1599" s="1">
        <v>44333</v>
      </c>
      <c r="B1599" s="4">
        <v>25.7</v>
      </c>
      <c r="C1599">
        <v>21</v>
      </c>
      <c r="D1599">
        <v>31.6</v>
      </c>
      <c r="E1599" s="4">
        <v>0</v>
      </c>
      <c r="F1599" t="str">
        <f t="shared" si="819"/>
        <v>OK</v>
      </c>
      <c r="G1599" t="str">
        <f t="shared" si="820"/>
        <v>OK</v>
      </c>
      <c r="H1599" t="str">
        <f t="shared" si="821"/>
        <v>OK</v>
      </c>
      <c r="I1599" s="4">
        <f t="shared" si="822"/>
        <v>2021</v>
      </c>
    </row>
    <row r="1600" spans="1:19" hidden="1" x14ac:dyDescent="0.35">
      <c r="A1600" s="1">
        <v>44334</v>
      </c>
      <c r="B1600" s="4">
        <v>25.7</v>
      </c>
      <c r="C1600">
        <v>21.6</v>
      </c>
      <c r="D1600">
        <v>32.6</v>
      </c>
      <c r="E1600" s="4">
        <v>0</v>
      </c>
      <c r="F1600" t="str">
        <f t="shared" si="819"/>
        <v>OK</v>
      </c>
      <c r="G1600" t="str">
        <f t="shared" si="820"/>
        <v>OK</v>
      </c>
      <c r="H1600" t="str">
        <f t="shared" si="821"/>
        <v>OK</v>
      </c>
      <c r="I1600" s="4">
        <f t="shared" si="822"/>
        <v>2021</v>
      </c>
    </row>
    <row r="1601" spans="1:19" x14ac:dyDescent="0.35">
      <c r="A1601" s="1">
        <v>44335</v>
      </c>
      <c r="B1601" s="4">
        <v>25.1</v>
      </c>
      <c r="C1601">
        <v>20.2</v>
      </c>
      <c r="D1601">
        <v>32.6</v>
      </c>
      <c r="E1601" s="4">
        <v>4</v>
      </c>
      <c r="F1601" t="str">
        <f t="shared" si="819"/>
        <v>OK</v>
      </c>
      <c r="G1601" t="str">
        <f t="shared" si="820"/>
        <v>OK</v>
      </c>
      <c r="H1601" t="str">
        <f t="shared" si="821"/>
        <v>OK</v>
      </c>
      <c r="I1601" s="4">
        <f t="shared" si="822"/>
        <v>2021</v>
      </c>
      <c r="J1601">
        <f t="shared" ref="J1601:J1605" si="827">( 377.84*B1601 + 3903.1)/550</f>
        <v>24.33978909090909</v>
      </c>
      <c r="K1601">
        <f t="shared" ref="K1601:K1605" si="828" xml:space="preserve"> (59.02*E1601 + 1383.4)/365</f>
        <v>4.4369315068493149</v>
      </c>
      <c r="R1601" s="4">
        <f t="shared" ref="R1601:R1605" si="829">J1601-B1601</f>
        <v>-0.76021090909091171</v>
      </c>
      <c r="S1601" s="4">
        <f t="shared" ref="S1601:S1605" si="830">K1601-E1601</f>
        <v>0.43693150684931492</v>
      </c>
    </row>
    <row r="1602" spans="1:19" x14ac:dyDescent="0.35">
      <c r="A1602" s="1">
        <v>44336</v>
      </c>
      <c r="B1602" s="4">
        <v>24.2</v>
      </c>
      <c r="C1602">
        <v>21.1</v>
      </c>
      <c r="D1602">
        <v>29.6</v>
      </c>
      <c r="E1602" s="4">
        <v>2.7</v>
      </c>
      <c r="F1602" t="str">
        <f t="shared" si="819"/>
        <v>OK</v>
      </c>
      <c r="G1602" t="str">
        <f t="shared" si="820"/>
        <v>OK</v>
      </c>
      <c r="H1602" t="str">
        <f t="shared" si="821"/>
        <v>OK</v>
      </c>
      <c r="I1602" s="4">
        <f t="shared" si="822"/>
        <v>2021</v>
      </c>
      <c r="J1602">
        <f t="shared" si="827"/>
        <v>23.721505454545454</v>
      </c>
      <c r="K1602">
        <f t="shared" si="828"/>
        <v>4.2267232876712333</v>
      </c>
      <c r="R1602" s="4">
        <f t="shared" si="829"/>
        <v>-0.47849454545454506</v>
      </c>
      <c r="S1602" s="4">
        <f t="shared" si="830"/>
        <v>1.5267232876712331</v>
      </c>
    </row>
    <row r="1603" spans="1:19" x14ac:dyDescent="0.35">
      <c r="A1603" s="1">
        <v>44337</v>
      </c>
      <c r="B1603" s="4">
        <v>23.3</v>
      </c>
      <c r="C1603">
        <v>20.9</v>
      </c>
      <c r="D1603">
        <v>30.8</v>
      </c>
      <c r="E1603" s="4">
        <v>2.8</v>
      </c>
      <c r="F1603" t="str">
        <f t="shared" si="819"/>
        <v>OK</v>
      </c>
      <c r="G1603" t="str">
        <f t="shared" si="820"/>
        <v>OK</v>
      </c>
      <c r="H1603" t="str">
        <f t="shared" si="821"/>
        <v>OK</v>
      </c>
      <c r="I1603" s="4">
        <f t="shared" si="822"/>
        <v>2021</v>
      </c>
      <c r="J1603">
        <f t="shared" si="827"/>
        <v>23.103221818181819</v>
      </c>
      <c r="K1603">
        <f t="shared" si="828"/>
        <v>4.2428931506849317</v>
      </c>
      <c r="R1603" s="4">
        <f t="shared" si="829"/>
        <v>-0.19677818181818196</v>
      </c>
      <c r="S1603" s="4">
        <f t="shared" si="830"/>
        <v>1.4428931506849318</v>
      </c>
    </row>
    <row r="1604" spans="1:19" x14ac:dyDescent="0.35">
      <c r="A1604" s="1">
        <v>44338</v>
      </c>
      <c r="B1604" s="4">
        <v>23.8</v>
      </c>
      <c r="C1604">
        <v>21</v>
      </c>
      <c r="D1604">
        <v>28.8</v>
      </c>
      <c r="E1604" s="4">
        <v>25.4</v>
      </c>
      <c r="F1604" t="str">
        <f t="shared" si="819"/>
        <v>OK</v>
      </c>
      <c r="G1604" t="str">
        <f t="shared" si="820"/>
        <v>OK</v>
      </c>
      <c r="H1604" t="str">
        <f t="shared" si="821"/>
        <v>OK</v>
      </c>
      <c r="I1604" s="4">
        <f t="shared" si="822"/>
        <v>2021</v>
      </c>
      <c r="J1604">
        <f t="shared" si="827"/>
        <v>23.446712727272729</v>
      </c>
      <c r="K1604">
        <f t="shared" si="828"/>
        <v>7.8972821917808211</v>
      </c>
      <c r="R1604" s="4">
        <f t="shared" si="829"/>
        <v>-0.35328727272727178</v>
      </c>
      <c r="S1604" s="4">
        <f t="shared" si="830"/>
        <v>-17.502717808219177</v>
      </c>
    </row>
    <row r="1605" spans="1:19" x14ac:dyDescent="0.35">
      <c r="A1605" s="1">
        <v>44339</v>
      </c>
      <c r="B1605" s="4">
        <v>25.8</v>
      </c>
      <c r="C1605">
        <v>20.8</v>
      </c>
      <c r="D1605">
        <v>29.4</v>
      </c>
      <c r="E1605" s="4">
        <v>7.4</v>
      </c>
      <c r="F1605" t="str">
        <f t="shared" si="819"/>
        <v>OK</v>
      </c>
      <c r="G1605" t="str">
        <f t="shared" si="820"/>
        <v>OK</v>
      </c>
      <c r="H1605" t="str">
        <f t="shared" si="821"/>
        <v>OK</v>
      </c>
      <c r="I1605" s="4">
        <f t="shared" si="822"/>
        <v>2021</v>
      </c>
      <c r="J1605">
        <f t="shared" si="827"/>
        <v>24.820676363636363</v>
      </c>
      <c r="K1605">
        <f t="shared" si="828"/>
        <v>4.9867068493150688</v>
      </c>
      <c r="R1605" s="4">
        <f t="shared" si="829"/>
        <v>-0.97932363636363817</v>
      </c>
      <c r="S1605" s="4">
        <f t="shared" si="830"/>
        <v>-2.4132931506849316</v>
      </c>
    </row>
    <row r="1606" spans="1:19" hidden="1" x14ac:dyDescent="0.35">
      <c r="A1606" s="1">
        <v>44340</v>
      </c>
      <c r="B1606" s="4">
        <v>26.1</v>
      </c>
      <c r="C1606">
        <v>22</v>
      </c>
      <c r="D1606">
        <v>31</v>
      </c>
      <c r="E1606" s="4">
        <v>0</v>
      </c>
      <c r="F1606" t="str">
        <f t="shared" si="819"/>
        <v>OK</v>
      </c>
      <c r="G1606" t="str">
        <f t="shared" si="820"/>
        <v>OK</v>
      </c>
      <c r="H1606" t="str">
        <f t="shared" si="821"/>
        <v>OK</v>
      </c>
      <c r="I1606" s="4">
        <f t="shared" si="822"/>
        <v>2021</v>
      </c>
    </row>
    <row r="1607" spans="1:19" x14ac:dyDescent="0.35">
      <c r="A1607" s="1">
        <v>44341</v>
      </c>
      <c r="B1607" s="4">
        <v>24.3</v>
      </c>
      <c r="C1607">
        <v>20.2</v>
      </c>
      <c r="D1607">
        <v>31.7</v>
      </c>
      <c r="E1607" s="4">
        <v>0.3</v>
      </c>
      <c r="F1607" t="str">
        <f t="shared" si="819"/>
        <v>OK</v>
      </c>
      <c r="G1607" t="str">
        <f t="shared" si="820"/>
        <v>OK</v>
      </c>
      <c r="H1607" t="str">
        <f t="shared" si="821"/>
        <v>OK</v>
      </c>
      <c r="I1607" s="4">
        <f t="shared" si="822"/>
        <v>2021</v>
      </c>
      <c r="J1607">
        <f t="shared" ref="J1607:J1608" si="831">( 377.84*B1607 + 3903.1)/550</f>
        <v>23.790203636363636</v>
      </c>
      <c r="K1607">
        <f t="shared" ref="K1607:K1608" si="832" xml:space="preserve"> (59.02*E1607 + 1383.4)/365</f>
        <v>3.8386465753424659</v>
      </c>
      <c r="R1607" s="4">
        <f t="shared" ref="R1607:R1608" si="833">J1607-B1607</f>
        <v>-0.50979636363636516</v>
      </c>
      <c r="S1607" s="4">
        <f t="shared" ref="S1607:S1608" si="834">K1607-E1607</f>
        <v>3.5386465753424661</v>
      </c>
    </row>
    <row r="1608" spans="1:19" x14ac:dyDescent="0.35">
      <c r="A1608" s="1">
        <v>44342</v>
      </c>
      <c r="B1608" s="4">
        <v>24.9</v>
      </c>
      <c r="C1608">
        <v>20.399999999999999</v>
      </c>
      <c r="D1608">
        <v>30.2</v>
      </c>
      <c r="E1608" s="4">
        <v>31</v>
      </c>
      <c r="F1608" t="str">
        <f t="shared" si="819"/>
        <v>OK</v>
      </c>
      <c r="G1608" t="str">
        <f t="shared" si="820"/>
        <v>OK</v>
      </c>
      <c r="H1608" t="str">
        <f t="shared" si="821"/>
        <v>OK</v>
      </c>
      <c r="I1608" s="4">
        <f t="shared" si="822"/>
        <v>2021</v>
      </c>
      <c r="J1608">
        <f t="shared" si="831"/>
        <v>24.202392727272724</v>
      </c>
      <c r="K1608">
        <f t="shared" si="832"/>
        <v>8.8027945205479465</v>
      </c>
      <c r="R1608" s="4">
        <f t="shared" si="833"/>
        <v>-0.69760727272727507</v>
      </c>
      <c r="S1608" s="4">
        <f t="shared" si="834"/>
        <v>-22.197205479452052</v>
      </c>
    </row>
    <row r="1609" spans="1:19" hidden="1" x14ac:dyDescent="0.35">
      <c r="A1609" s="1">
        <v>44343</v>
      </c>
      <c r="B1609" s="4">
        <v>25.3</v>
      </c>
      <c r="C1609">
        <v>21.2</v>
      </c>
      <c r="D1609">
        <v>30.1</v>
      </c>
      <c r="E1609" s="4">
        <v>0</v>
      </c>
      <c r="F1609" t="str">
        <f t="shared" si="819"/>
        <v>OK</v>
      </c>
      <c r="G1609" t="str">
        <f t="shared" si="820"/>
        <v>OK</v>
      </c>
      <c r="H1609" t="str">
        <f t="shared" si="821"/>
        <v>OK</v>
      </c>
      <c r="I1609" s="4">
        <f t="shared" si="822"/>
        <v>2021</v>
      </c>
    </row>
    <row r="1610" spans="1:19" hidden="1" x14ac:dyDescent="0.35">
      <c r="A1610" s="1">
        <v>44344</v>
      </c>
      <c r="B1610" s="4">
        <v>24.7</v>
      </c>
      <c r="C1610">
        <v>18.8</v>
      </c>
      <c r="D1610">
        <v>30.3</v>
      </c>
      <c r="E1610" s="4">
        <v>0</v>
      </c>
      <c r="F1610" t="str">
        <f t="shared" si="819"/>
        <v>OK</v>
      </c>
      <c r="G1610" t="str">
        <f t="shared" si="820"/>
        <v>OK</v>
      </c>
      <c r="H1610" t="str">
        <f t="shared" si="821"/>
        <v>OK</v>
      </c>
      <c r="I1610" s="4">
        <f t="shared" si="822"/>
        <v>2021</v>
      </c>
    </row>
    <row r="1611" spans="1:19" x14ac:dyDescent="0.35">
      <c r="A1611" s="1">
        <v>44345</v>
      </c>
      <c r="B1611" s="4">
        <v>24.8</v>
      </c>
      <c r="C1611">
        <v>19.399999999999999</v>
      </c>
      <c r="D1611">
        <v>30.8</v>
      </c>
      <c r="E1611" s="4">
        <v>0.5</v>
      </c>
      <c r="F1611" t="str">
        <f t="shared" si="819"/>
        <v>OK</v>
      </c>
      <c r="G1611" t="str">
        <f t="shared" si="820"/>
        <v>OK</v>
      </c>
      <c r="H1611" t="str">
        <f t="shared" si="821"/>
        <v>OK</v>
      </c>
      <c r="I1611" s="4">
        <f t="shared" si="822"/>
        <v>2021</v>
      </c>
      <c r="J1611">
        <f t="shared" ref="J1611:J1620" si="835">( 377.84*B1611 + 3903.1)/550</f>
        <v>24.133694545454546</v>
      </c>
      <c r="K1611">
        <f t="shared" ref="K1611:K1620" si="836" xml:space="preserve"> (59.02*E1611 + 1383.4)/365</f>
        <v>3.8709863013698631</v>
      </c>
      <c r="R1611" s="4">
        <f t="shared" ref="R1611:R1620" si="837">J1611-B1611</f>
        <v>-0.66630545454545498</v>
      </c>
      <c r="S1611" s="4">
        <f t="shared" ref="S1611:S1620" si="838">K1611-E1611</f>
        <v>3.3709863013698631</v>
      </c>
    </row>
    <row r="1612" spans="1:19" x14ac:dyDescent="0.35">
      <c r="A1612" s="1">
        <v>44346</v>
      </c>
      <c r="B1612" s="4">
        <v>25.2</v>
      </c>
      <c r="C1612">
        <v>20.100000000000001</v>
      </c>
      <c r="D1612">
        <v>31.3</v>
      </c>
      <c r="E1612" s="4">
        <v>0.1</v>
      </c>
      <c r="F1612" t="str">
        <f t="shared" si="819"/>
        <v>OK</v>
      </c>
      <c r="G1612" t="str">
        <f t="shared" si="820"/>
        <v>OK</v>
      </c>
      <c r="H1612" t="str">
        <f t="shared" si="821"/>
        <v>OK</v>
      </c>
      <c r="I1612" s="4">
        <f t="shared" si="822"/>
        <v>2021</v>
      </c>
      <c r="J1612">
        <f t="shared" si="835"/>
        <v>24.408487272727271</v>
      </c>
      <c r="K1612">
        <f t="shared" si="836"/>
        <v>3.8063068493150687</v>
      </c>
      <c r="R1612" s="4">
        <f t="shared" si="837"/>
        <v>-0.79151272727272826</v>
      </c>
      <c r="S1612" s="4">
        <f t="shared" si="838"/>
        <v>3.7063068493150686</v>
      </c>
    </row>
    <row r="1613" spans="1:19" x14ac:dyDescent="0.35">
      <c r="A1613" s="1">
        <v>44347</v>
      </c>
      <c r="B1613" s="4">
        <v>25.3</v>
      </c>
      <c r="C1613">
        <v>20.3</v>
      </c>
      <c r="D1613">
        <v>31.6</v>
      </c>
      <c r="E1613" s="4">
        <v>2.2999999999999998</v>
      </c>
      <c r="F1613" t="str">
        <f t="shared" si="819"/>
        <v>OK</v>
      </c>
      <c r="G1613" t="str">
        <f t="shared" si="820"/>
        <v>OK</v>
      </c>
      <c r="H1613" t="str">
        <f t="shared" si="821"/>
        <v>OK</v>
      </c>
      <c r="I1613" s="4">
        <f t="shared" si="822"/>
        <v>2021</v>
      </c>
      <c r="J1613">
        <f t="shared" si="835"/>
        <v>24.477185454545452</v>
      </c>
      <c r="K1613">
        <f t="shared" si="836"/>
        <v>4.1620438356164389</v>
      </c>
      <c r="R1613" s="4">
        <f t="shared" si="837"/>
        <v>-0.82281454545454835</v>
      </c>
      <c r="S1613" s="4">
        <f t="shared" si="838"/>
        <v>1.862043835616439</v>
      </c>
    </row>
    <row r="1614" spans="1:19" x14ac:dyDescent="0.35">
      <c r="A1614" s="1">
        <v>44348</v>
      </c>
      <c r="B1614" s="4">
        <v>25.5</v>
      </c>
      <c r="C1614">
        <v>20.8</v>
      </c>
      <c r="D1614">
        <v>31.6</v>
      </c>
      <c r="E1614" s="4">
        <v>5.6</v>
      </c>
      <c r="F1614" t="str">
        <f t="shared" si="819"/>
        <v>OK</v>
      </c>
      <c r="G1614" t="str">
        <f t="shared" si="820"/>
        <v>OK</v>
      </c>
      <c r="H1614" t="str">
        <f t="shared" si="821"/>
        <v>OK</v>
      </c>
      <c r="I1614" s="4">
        <f t="shared" si="822"/>
        <v>2021</v>
      </c>
      <c r="J1614">
        <f t="shared" si="835"/>
        <v>24.614581818181819</v>
      </c>
      <c r="K1614">
        <f t="shared" si="836"/>
        <v>4.6956493150684935</v>
      </c>
      <c r="R1614" s="4">
        <f t="shared" si="837"/>
        <v>-0.88541818181818144</v>
      </c>
      <c r="S1614" s="4">
        <f t="shared" si="838"/>
        <v>-0.90435068493150617</v>
      </c>
    </row>
    <row r="1615" spans="1:19" x14ac:dyDescent="0.35">
      <c r="A1615" s="1">
        <v>44349</v>
      </c>
      <c r="B1615" s="4">
        <v>25.9</v>
      </c>
      <c r="C1615">
        <v>22.2</v>
      </c>
      <c r="D1615">
        <v>33.700000000000003</v>
      </c>
      <c r="E1615" s="4">
        <v>1</v>
      </c>
      <c r="F1615" t="str">
        <f t="shared" si="819"/>
        <v>OK</v>
      </c>
      <c r="G1615" t="str">
        <f t="shared" si="820"/>
        <v>OK</v>
      </c>
      <c r="H1615" t="str">
        <f t="shared" si="821"/>
        <v>OK</v>
      </c>
      <c r="I1615" s="4">
        <f t="shared" si="822"/>
        <v>2021</v>
      </c>
      <c r="J1615">
        <f t="shared" si="835"/>
        <v>24.889374545454544</v>
      </c>
      <c r="K1615">
        <f t="shared" si="836"/>
        <v>3.9518356164383563</v>
      </c>
      <c r="R1615" s="4">
        <f t="shared" si="837"/>
        <v>-1.0106254545454547</v>
      </c>
      <c r="S1615" s="4">
        <f t="shared" si="838"/>
        <v>2.9518356164383563</v>
      </c>
    </row>
    <row r="1616" spans="1:19" x14ac:dyDescent="0.35">
      <c r="A1616" s="1">
        <v>44350</v>
      </c>
      <c r="B1616" s="4">
        <v>24.6</v>
      </c>
      <c r="C1616">
        <v>21.9</v>
      </c>
      <c r="D1616">
        <v>33.700000000000003</v>
      </c>
      <c r="E1616" s="4">
        <v>0.5</v>
      </c>
      <c r="F1616" t="str">
        <f t="shared" si="819"/>
        <v>OK</v>
      </c>
      <c r="G1616" t="str">
        <f t="shared" si="820"/>
        <v>OK</v>
      </c>
      <c r="H1616" t="str">
        <f t="shared" si="821"/>
        <v>OK</v>
      </c>
      <c r="I1616" s="4">
        <f t="shared" si="822"/>
        <v>2021</v>
      </c>
      <c r="J1616">
        <f t="shared" si="835"/>
        <v>23.996298181818183</v>
      </c>
      <c r="K1616">
        <f t="shared" si="836"/>
        <v>3.8709863013698631</v>
      </c>
      <c r="R1616" s="4">
        <f t="shared" si="837"/>
        <v>-0.60370181818181834</v>
      </c>
      <c r="S1616" s="4">
        <f t="shared" si="838"/>
        <v>3.3709863013698631</v>
      </c>
    </row>
    <row r="1617" spans="1:19" x14ac:dyDescent="0.35">
      <c r="A1617" s="1">
        <v>44351</v>
      </c>
      <c r="B1617" s="4">
        <v>23.8</v>
      </c>
      <c r="C1617">
        <v>21.1</v>
      </c>
      <c r="D1617">
        <v>31</v>
      </c>
      <c r="E1617" s="4">
        <v>52.3</v>
      </c>
      <c r="F1617" t="str">
        <f t="shared" si="819"/>
        <v>OK</v>
      </c>
      <c r="G1617" t="str">
        <f t="shared" si="820"/>
        <v>OK</v>
      </c>
      <c r="H1617" t="str">
        <f t="shared" si="821"/>
        <v>OK</v>
      </c>
      <c r="I1617" s="4">
        <f t="shared" si="822"/>
        <v>2021</v>
      </c>
      <c r="J1617">
        <f t="shared" si="835"/>
        <v>23.446712727272729</v>
      </c>
      <c r="K1617">
        <f t="shared" si="836"/>
        <v>12.246975342465754</v>
      </c>
      <c r="R1617" s="4">
        <f t="shared" si="837"/>
        <v>-0.35328727272727178</v>
      </c>
      <c r="S1617" s="4">
        <f t="shared" si="838"/>
        <v>-40.053024657534245</v>
      </c>
    </row>
    <row r="1618" spans="1:19" x14ac:dyDescent="0.35">
      <c r="A1618" s="1">
        <v>44352</v>
      </c>
      <c r="B1618" s="4">
        <v>23.6</v>
      </c>
      <c r="C1618">
        <v>21.2</v>
      </c>
      <c r="D1618">
        <v>31.5</v>
      </c>
      <c r="E1618" s="4">
        <v>12.7</v>
      </c>
      <c r="F1618" t="str">
        <f t="shared" si="819"/>
        <v>OK</v>
      </c>
      <c r="G1618" t="str">
        <f t="shared" si="820"/>
        <v>OK</v>
      </c>
      <c r="H1618" t="str">
        <f t="shared" si="821"/>
        <v>OK</v>
      </c>
      <c r="I1618" s="4">
        <f t="shared" si="822"/>
        <v>2021</v>
      </c>
      <c r="J1618">
        <f t="shared" si="835"/>
        <v>23.309316363636363</v>
      </c>
      <c r="K1618">
        <f t="shared" si="836"/>
        <v>5.8437095890410964</v>
      </c>
      <c r="R1618" s="4">
        <f t="shared" si="837"/>
        <v>-0.2906836363636387</v>
      </c>
      <c r="S1618" s="4">
        <f t="shared" si="838"/>
        <v>-6.8562904109589029</v>
      </c>
    </row>
    <row r="1619" spans="1:19" x14ac:dyDescent="0.35">
      <c r="A1619" s="1">
        <v>44353</v>
      </c>
      <c r="B1619" s="4">
        <v>24.8</v>
      </c>
      <c r="C1619">
        <v>20.7</v>
      </c>
      <c r="D1619">
        <v>29.2</v>
      </c>
      <c r="E1619" s="4">
        <v>4.5999999999999996</v>
      </c>
      <c r="F1619" t="str">
        <f t="shared" si="819"/>
        <v>OK</v>
      </c>
      <c r="G1619" t="str">
        <f t="shared" si="820"/>
        <v>OK</v>
      </c>
      <c r="H1619" t="str">
        <f t="shared" si="821"/>
        <v>OK</v>
      </c>
      <c r="I1619" s="4">
        <f t="shared" si="822"/>
        <v>2021</v>
      </c>
      <c r="J1619">
        <f t="shared" si="835"/>
        <v>24.133694545454546</v>
      </c>
      <c r="K1619">
        <f t="shared" si="836"/>
        <v>4.533950684931507</v>
      </c>
      <c r="R1619" s="4">
        <f t="shared" si="837"/>
        <v>-0.66630545454545498</v>
      </c>
      <c r="S1619" s="4">
        <f t="shared" si="838"/>
        <v>-6.6049315068492653E-2</v>
      </c>
    </row>
    <row r="1620" spans="1:19" x14ac:dyDescent="0.35">
      <c r="A1620" s="1">
        <v>44354</v>
      </c>
      <c r="B1620" s="4">
        <v>25.4</v>
      </c>
      <c r="C1620">
        <v>22.1</v>
      </c>
      <c r="D1620">
        <v>29.7</v>
      </c>
      <c r="E1620" s="4">
        <v>0.5</v>
      </c>
      <c r="F1620" t="str">
        <f t="shared" si="819"/>
        <v>OK</v>
      </c>
      <c r="G1620" t="str">
        <f t="shared" si="820"/>
        <v>OK</v>
      </c>
      <c r="H1620" t="str">
        <f t="shared" si="821"/>
        <v>OK</v>
      </c>
      <c r="I1620" s="4">
        <f t="shared" si="822"/>
        <v>2021</v>
      </c>
      <c r="J1620">
        <f t="shared" si="835"/>
        <v>24.545883636363634</v>
      </c>
      <c r="K1620">
        <f t="shared" si="836"/>
        <v>3.8709863013698631</v>
      </c>
      <c r="R1620" s="4">
        <f t="shared" si="837"/>
        <v>-0.85411636363636489</v>
      </c>
      <c r="S1620" s="4">
        <f t="shared" si="838"/>
        <v>3.3709863013698631</v>
      </c>
    </row>
    <row r="1621" spans="1:19" hidden="1" x14ac:dyDescent="0.35">
      <c r="A1621" s="1">
        <v>44355</v>
      </c>
      <c r="B1621" s="4">
        <v>25.6</v>
      </c>
      <c r="C1621">
        <v>19.7</v>
      </c>
      <c r="D1621">
        <v>31</v>
      </c>
      <c r="E1621" s="4">
        <v>0</v>
      </c>
      <c r="F1621" t="str">
        <f t="shared" si="819"/>
        <v>OK</v>
      </c>
      <c r="G1621" t="str">
        <f t="shared" si="820"/>
        <v>OK</v>
      </c>
      <c r="H1621" t="str">
        <f t="shared" si="821"/>
        <v>OK</v>
      </c>
      <c r="I1621" s="4">
        <f t="shared" si="822"/>
        <v>2021</v>
      </c>
    </row>
    <row r="1622" spans="1:19" x14ac:dyDescent="0.35">
      <c r="A1622" s="1">
        <v>44356</v>
      </c>
      <c r="B1622" s="4">
        <v>23.4</v>
      </c>
      <c r="C1622">
        <v>19.2</v>
      </c>
      <c r="D1622">
        <v>29.2</v>
      </c>
      <c r="E1622" s="4">
        <v>4.5999999999999996</v>
      </c>
      <c r="F1622" t="str">
        <f t="shared" si="819"/>
        <v>OK</v>
      </c>
      <c r="G1622" t="str">
        <f t="shared" si="820"/>
        <v>OK</v>
      </c>
      <c r="H1622" t="str">
        <f t="shared" si="821"/>
        <v>OK</v>
      </c>
      <c r="I1622" s="4">
        <f t="shared" si="822"/>
        <v>2021</v>
      </c>
      <c r="J1622">
        <f t="shared" ref="J1622:J1623" si="839">( 377.84*B1622 + 3903.1)/550</f>
        <v>23.171919999999997</v>
      </c>
      <c r="K1622">
        <f t="shared" ref="K1622:K1623" si="840" xml:space="preserve"> (59.02*E1622 + 1383.4)/365</f>
        <v>4.533950684931507</v>
      </c>
      <c r="R1622" s="4">
        <f t="shared" ref="R1622:R1623" si="841">J1622-B1622</f>
        <v>-0.22808000000000206</v>
      </c>
      <c r="S1622" s="4">
        <f t="shared" ref="S1622:S1623" si="842">K1622-E1622</f>
        <v>-6.6049315068492653E-2</v>
      </c>
    </row>
    <row r="1623" spans="1:19" x14ac:dyDescent="0.35">
      <c r="A1623" s="1">
        <v>44357</v>
      </c>
      <c r="B1623" s="4">
        <v>23.6</v>
      </c>
      <c r="C1623">
        <v>19.8</v>
      </c>
      <c r="D1623">
        <v>28.5</v>
      </c>
      <c r="E1623" s="4">
        <v>2.2999999999999998</v>
      </c>
      <c r="F1623" t="str">
        <f t="shared" si="819"/>
        <v>OK</v>
      </c>
      <c r="G1623" t="str">
        <f t="shared" si="820"/>
        <v>OK</v>
      </c>
      <c r="H1623" t="str">
        <f t="shared" si="821"/>
        <v>OK</v>
      </c>
      <c r="I1623" s="4">
        <f t="shared" si="822"/>
        <v>2021</v>
      </c>
      <c r="J1623">
        <f t="shared" si="839"/>
        <v>23.309316363636363</v>
      </c>
      <c r="K1623">
        <f t="shared" si="840"/>
        <v>4.1620438356164389</v>
      </c>
      <c r="R1623" s="4">
        <f t="shared" si="841"/>
        <v>-0.2906836363636387</v>
      </c>
      <c r="S1623" s="4">
        <f t="shared" si="842"/>
        <v>1.862043835616439</v>
      </c>
    </row>
    <row r="1624" spans="1:19" hidden="1" x14ac:dyDescent="0.35">
      <c r="A1624" s="1">
        <v>44358</v>
      </c>
      <c r="B1624" s="4">
        <v>24.2</v>
      </c>
      <c r="C1624">
        <v>20.399999999999999</v>
      </c>
      <c r="D1624">
        <v>29</v>
      </c>
      <c r="E1624" s="4">
        <v>0</v>
      </c>
      <c r="F1624" t="str">
        <f t="shared" si="819"/>
        <v>OK</v>
      </c>
      <c r="G1624" t="str">
        <f t="shared" si="820"/>
        <v>OK</v>
      </c>
      <c r="H1624" t="str">
        <f t="shared" si="821"/>
        <v>OK</v>
      </c>
      <c r="I1624" s="4">
        <f t="shared" si="822"/>
        <v>2021</v>
      </c>
    </row>
    <row r="1625" spans="1:19" x14ac:dyDescent="0.35">
      <c r="A1625" s="1">
        <v>44359</v>
      </c>
      <c r="B1625" s="4">
        <v>23.2</v>
      </c>
      <c r="C1625">
        <v>20.399999999999999</v>
      </c>
      <c r="D1625">
        <v>27</v>
      </c>
      <c r="E1625" s="4">
        <v>2.8</v>
      </c>
      <c r="F1625" t="str">
        <f t="shared" si="819"/>
        <v>OK</v>
      </c>
      <c r="G1625" t="str">
        <f t="shared" si="820"/>
        <v>OK</v>
      </c>
      <c r="H1625" t="str">
        <f t="shared" si="821"/>
        <v>OK</v>
      </c>
      <c r="I1625" s="4">
        <f t="shared" si="822"/>
        <v>2021</v>
      </c>
      <c r="J1625">
        <f t="shared" ref="J1625:J1626" si="843">( 377.84*B1625 + 3903.1)/550</f>
        <v>23.034523636363634</v>
      </c>
      <c r="K1625">
        <f t="shared" ref="K1625:K1626" si="844" xml:space="preserve"> (59.02*E1625 + 1383.4)/365</f>
        <v>4.2428931506849317</v>
      </c>
      <c r="R1625" s="4">
        <f t="shared" ref="R1625:R1626" si="845">J1625-B1625</f>
        <v>-0.16547636363636542</v>
      </c>
      <c r="S1625" s="4">
        <f t="shared" ref="S1625:S1626" si="846">K1625-E1625</f>
        <v>1.4428931506849318</v>
      </c>
    </row>
    <row r="1626" spans="1:19" x14ac:dyDescent="0.35">
      <c r="A1626" s="1">
        <v>44360</v>
      </c>
      <c r="B1626" s="4">
        <v>22.6</v>
      </c>
      <c r="C1626">
        <v>20.2</v>
      </c>
      <c r="D1626">
        <v>25.2</v>
      </c>
      <c r="E1626" s="4">
        <v>3.6</v>
      </c>
      <c r="F1626" t="str">
        <f t="shared" si="819"/>
        <v>OK</v>
      </c>
      <c r="G1626" t="str">
        <f t="shared" si="820"/>
        <v>OK</v>
      </c>
      <c r="H1626" t="str">
        <f t="shared" si="821"/>
        <v>OK</v>
      </c>
      <c r="I1626" s="4">
        <f t="shared" si="822"/>
        <v>2021</v>
      </c>
      <c r="J1626">
        <f t="shared" si="843"/>
        <v>22.622334545454546</v>
      </c>
      <c r="K1626">
        <f t="shared" si="844"/>
        <v>4.3722520547945205</v>
      </c>
      <c r="R1626" s="4">
        <f t="shared" si="845"/>
        <v>2.2334545454544497E-2</v>
      </c>
      <c r="S1626" s="4">
        <f t="shared" si="846"/>
        <v>0.77225205479452042</v>
      </c>
    </row>
    <row r="1627" spans="1:19" hidden="1" x14ac:dyDescent="0.35">
      <c r="A1627" s="1">
        <v>44361</v>
      </c>
      <c r="B1627" s="4">
        <v>22.3</v>
      </c>
      <c r="C1627">
        <v>20.100000000000001</v>
      </c>
      <c r="D1627">
        <v>27.6</v>
      </c>
      <c r="E1627" s="4">
        <v>0</v>
      </c>
      <c r="F1627" t="str">
        <f t="shared" si="819"/>
        <v>OK</v>
      </c>
      <c r="G1627" t="str">
        <f t="shared" si="820"/>
        <v>OK</v>
      </c>
      <c r="H1627" t="str">
        <f t="shared" si="821"/>
        <v>OK</v>
      </c>
      <c r="I1627" s="4">
        <f t="shared" si="822"/>
        <v>2021</v>
      </c>
    </row>
    <row r="1628" spans="1:19" x14ac:dyDescent="0.35">
      <c r="A1628" s="1">
        <v>44362</v>
      </c>
      <c r="B1628" s="4">
        <v>22.7</v>
      </c>
      <c r="C1628">
        <v>20.2</v>
      </c>
      <c r="D1628">
        <v>26.5</v>
      </c>
      <c r="E1628" s="4">
        <v>4.3</v>
      </c>
      <c r="F1628" t="str">
        <f t="shared" si="819"/>
        <v>OK</v>
      </c>
      <c r="G1628" t="str">
        <f t="shared" si="820"/>
        <v>OK</v>
      </c>
      <c r="H1628" t="str">
        <f t="shared" si="821"/>
        <v>OK</v>
      </c>
      <c r="I1628" s="4">
        <f t="shared" si="822"/>
        <v>2021</v>
      </c>
      <c r="J1628">
        <f t="shared" ref="J1628:J1631" si="847">( 377.84*B1628 + 3903.1)/550</f>
        <v>22.691032727272727</v>
      </c>
      <c r="K1628">
        <f t="shared" ref="K1628:K1631" si="848" xml:space="preserve"> (59.02*E1628 + 1383.4)/365</f>
        <v>4.485441095890411</v>
      </c>
      <c r="R1628" s="4">
        <f t="shared" ref="R1628:R1631" si="849">J1628-B1628</f>
        <v>-8.9672727272720465E-3</v>
      </c>
      <c r="S1628" s="4">
        <f t="shared" ref="S1628:S1631" si="850">K1628-E1628</f>
        <v>0.18544109589041113</v>
      </c>
    </row>
    <row r="1629" spans="1:19" x14ac:dyDescent="0.35">
      <c r="A1629" s="1">
        <v>44363</v>
      </c>
      <c r="B1629" s="4">
        <v>22.7</v>
      </c>
      <c r="C1629">
        <v>20.8</v>
      </c>
      <c r="D1629">
        <v>26.7</v>
      </c>
      <c r="E1629" s="4">
        <v>0.5</v>
      </c>
      <c r="F1629" t="str">
        <f t="shared" si="819"/>
        <v>OK</v>
      </c>
      <c r="G1629" t="str">
        <f t="shared" si="820"/>
        <v>OK</v>
      </c>
      <c r="H1629" t="str">
        <f t="shared" si="821"/>
        <v>OK</v>
      </c>
      <c r="I1629" s="4">
        <f t="shared" si="822"/>
        <v>2021</v>
      </c>
      <c r="J1629">
        <f t="shared" si="847"/>
        <v>22.691032727272727</v>
      </c>
      <c r="K1629">
        <f t="shared" si="848"/>
        <v>3.8709863013698631</v>
      </c>
      <c r="R1629" s="4">
        <f t="shared" si="849"/>
        <v>-8.9672727272720465E-3</v>
      </c>
      <c r="S1629" s="4">
        <f t="shared" si="850"/>
        <v>3.3709863013698631</v>
      </c>
    </row>
    <row r="1630" spans="1:19" x14ac:dyDescent="0.35">
      <c r="A1630" s="1">
        <v>44364</v>
      </c>
      <c r="B1630" s="4">
        <v>23.4</v>
      </c>
      <c r="C1630">
        <v>20.8</v>
      </c>
      <c r="D1630">
        <v>28</v>
      </c>
      <c r="E1630" s="4">
        <v>5.0999999999999996</v>
      </c>
      <c r="F1630" t="str">
        <f t="shared" si="819"/>
        <v>OK</v>
      </c>
      <c r="G1630" t="str">
        <f t="shared" si="820"/>
        <v>OK</v>
      </c>
      <c r="H1630" t="str">
        <f t="shared" si="821"/>
        <v>OK</v>
      </c>
      <c r="I1630" s="4">
        <f t="shared" si="822"/>
        <v>2021</v>
      </c>
      <c r="J1630">
        <f t="shared" si="847"/>
        <v>23.171919999999997</v>
      </c>
      <c r="K1630">
        <f t="shared" si="848"/>
        <v>4.6147999999999998</v>
      </c>
      <c r="R1630" s="4">
        <f t="shared" si="849"/>
        <v>-0.22808000000000206</v>
      </c>
      <c r="S1630" s="4">
        <f t="shared" si="850"/>
        <v>-0.48519999999999985</v>
      </c>
    </row>
    <row r="1631" spans="1:19" x14ac:dyDescent="0.35">
      <c r="A1631" s="1">
        <v>44365</v>
      </c>
      <c r="B1631" s="4">
        <v>23.4</v>
      </c>
      <c r="C1631">
        <v>20.399999999999999</v>
      </c>
      <c r="D1631">
        <v>28.4</v>
      </c>
      <c r="E1631" s="4">
        <v>1.3</v>
      </c>
      <c r="F1631" t="str">
        <f t="shared" si="819"/>
        <v>OK</v>
      </c>
      <c r="G1631" t="str">
        <f t="shared" si="820"/>
        <v>OK</v>
      </c>
      <c r="H1631" t="str">
        <f t="shared" si="821"/>
        <v>OK</v>
      </c>
      <c r="I1631" s="4">
        <f t="shared" si="822"/>
        <v>2021</v>
      </c>
      <c r="J1631">
        <f t="shared" si="847"/>
        <v>23.171919999999997</v>
      </c>
      <c r="K1631">
        <f t="shared" si="848"/>
        <v>4.0003452054794524</v>
      </c>
      <c r="R1631" s="4">
        <f t="shared" si="849"/>
        <v>-0.22808000000000206</v>
      </c>
      <c r="S1631" s="4">
        <f t="shared" si="850"/>
        <v>2.7003452054794526</v>
      </c>
    </row>
    <row r="1632" spans="1:19" hidden="1" x14ac:dyDescent="0.35">
      <c r="A1632" s="1">
        <v>44366</v>
      </c>
      <c r="B1632" s="4">
        <v>23.4</v>
      </c>
      <c r="C1632">
        <v>20.8</v>
      </c>
      <c r="D1632">
        <v>28</v>
      </c>
      <c r="E1632" s="4">
        <v>0</v>
      </c>
      <c r="F1632" t="str">
        <f t="shared" si="819"/>
        <v>OK</v>
      </c>
      <c r="G1632" t="str">
        <f t="shared" si="820"/>
        <v>OK</v>
      </c>
      <c r="H1632" t="str">
        <f t="shared" si="821"/>
        <v>OK</v>
      </c>
      <c r="I1632" s="4">
        <f t="shared" si="822"/>
        <v>2021</v>
      </c>
    </row>
    <row r="1633" spans="1:19" hidden="1" x14ac:dyDescent="0.35">
      <c r="A1633" s="1">
        <v>44367</v>
      </c>
      <c r="B1633" s="4">
        <v>24.3</v>
      </c>
      <c r="C1633">
        <v>20.5</v>
      </c>
      <c r="D1633">
        <v>28.8</v>
      </c>
      <c r="E1633" s="4">
        <v>0</v>
      </c>
      <c r="F1633" t="str">
        <f t="shared" si="819"/>
        <v>OK</v>
      </c>
      <c r="G1633" t="str">
        <f t="shared" si="820"/>
        <v>OK</v>
      </c>
      <c r="H1633" t="str">
        <f t="shared" si="821"/>
        <v>OK</v>
      </c>
      <c r="I1633" s="4">
        <f t="shared" si="822"/>
        <v>2021</v>
      </c>
    </row>
    <row r="1634" spans="1:19" x14ac:dyDescent="0.35">
      <c r="A1634" s="1">
        <v>44368</v>
      </c>
      <c r="B1634" s="4">
        <v>23.9</v>
      </c>
      <c r="C1634">
        <v>19.3</v>
      </c>
      <c r="D1634">
        <v>29.1</v>
      </c>
      <c r="E1634" s="4">
        <v>0.6</v>
      </c>
      <c r="F1634" t="str">
        <f t="shared" si="819"/>
        <v>OK</v>
      </c>
      <c r="G1634" t="str">
        <f t="shared" si="820"/>
        <v>OK</v>
      </c>
      <c r="H1634" t="str">
        <f t="shared" si="821"/>
        <v>OK</v>
      </c>
      <c r="I1634" s="4">
        <f t="shared" si="822"/>
        <v>2021</v>
      </c>
      <c r="J1634">
        <f t="shared" ref="J1634:J1635" si="851">( 377.84*B1634 + 3903.1)/550</f>
        <v>23.515410909090907</v>
      </c>
      <c r="K1634">
        <f t="shared" ref="K1634:K1635" si="852" xml:space="preserve"> (59.02*E1634 + 1383.4)/365</f>
        <v>3.8871561643835619</v>
      </c>
      <c r="R1634" s="4">
        <f t="shared" ref="R1634:R1635" si="853">J1634-B1634</f>
        <v>-0.38458909090909188</v>
      </c>
      <c r="S1634" s="4">
        <f t="shared" ref="S1634:S1635" si="854">K1634-E1634</f>
        <v>3.2871561643835618</v>
      </c>
    </row>
    <row r="1635" spans="1:19" x14ac:dyDescent="0.35">
      <c r="A1635" s="1">
        <v>44369</v>
      </c>
      <c r="B1635" s="4">
        <v>24.1</v>
      </c>
      <c r="C1635">
        <v>19.3</v>
      </c>
      <c r="D1635">
        <v>28.9</v>
      </c>
      <c r="E1635" s="4">
        <v>0.4</v>
      </c>
      <c r="F1635" t="str">
        <f t="shared" si="819"/>
        <v>OK</v>
      </c>
      <c r="G1635" t="str">
        <f t="shared" si="820"/>
        <v>OK</v>
      </c>
      <c r="H1635" t="str">
        <f t="shared" si="821"/>
        <v>OK</v>
      </c>
      <c r="I1635" s="4">
        <f t="shared" si="822"/>
        <v>2021</v>
      </c>
      <c r="J1635">
        <f t="shared" si="851"/>
        <v>23.652807272727273</v>
      </c>
      <c r="K1635">
        <f t="shared" si="852"/>
        <v>3.8548164383561643</v>
      </c>
      <c r="R1635" s="4">
        <f t="shared" si="853"/>
        <v>-0.44719272727272852</v>
      </c>
      <c r="S1635" s="4">
        <f t="shared" si="854"/>
        <v>3.4548164383561644</v>
      </c>
    </row>
    <row r="1636" spans="1:19" hidden="1" x14ac:dyDescent="0.35">
      <c r="A1636" s="1">
        <v>44370</v>
      </c>
      <c r="B1636" s="4">
        <v>24.9</v>
      </c>
      <c r="C1636">
        <v>19.899999999999999</v>
      </c>
      <c r="D1636">
        <v>29.9</v>
      </c>
      <c r="E1636" s="4">
        <v>0</v>
      </c>
      <c r="F1636" t="str">
        <f t="shared" si="819"/>
        <v>OK</v>
      </c>
      <c r="G1636" t="str">
        <f t="shared" si="820"/>
        <v>OK</v>
      </c>
      <c r="H1636" t="str">
        <f t="shared" si="821"/>
        <v>OK</v>
      </c>
      <c r="I1636" s="4">
        <f t="shared" si="822"/>
        <v>2021</v>
      </c>
    </row>
    <row r="1637" spans="1:19" x14ac:dyDescent="0.35">
      <c r="A1637" s="1">
        <v>44371</v>
      </c>
      <c r="B1637" s="4">
        <v>24.5</v>
      </c>
      <c r="C1637">
        <v>19.899999999999999</v>
      </c>
      <c r="D1637">
        <v>28.8</v>
      </c>
      <c r="E1637" s="4">
        <v>0.9</v>
      </c>
      <c r="F1637" t="str">
        <f t="shared" si="819"/>
        <v>OK</v>
      </c>
      <c r="G1637" t="str">
        <f t="shared" si="820"/>
        <v>OK</v>
      </c>
      <c r="H1637" t="str">
        <f t="shared" si="821"/>
        <v>OK</v>
      </c>
      <c r="I1637" s="4">
        <f t="shared" si="822"/>
        <v>2021</v>
      </c>
      <c r="J1637">
        <f t="shared" ref="J1637:J1638" si="855">( 377.84*B1637 + 3903.1)/550</f>
        <v>23.927600000000002</v>
      </c>
      <c r="K1637">
        <f t="shared" ref="K1637:K1638" si="856" xml:space="preserve"> (59.02*E1637 + 1383.4)/365</f>
        <v>3.9356657534246575</v>
      </c>
      <c r="R1637" s="4">
        <f t="shared" ref="R1637:R1638" si="857">J1637-B1637</f>
        <v>-0.57239999999999824</v>
      </c>
      <c r="S1637" s="4">
        <f t="shared" ref="S1637:S1638" si="858">K1637-E1637</f>
        <v>3.0356657534246576</v>
      </c>
    </row>
    <row r="1638" spans="1:19" x14ac:dyDescent="0.35">
      <c r="A1638" s="1">
        <v>44372</v>
      </c>
      <c r="B1638" s="4">
        <v>24.6</v>
      </c>
      <c r="C1638">
        <v>19.399999999999999</v>
      </c>
      <c r="D1638">
        <v>29.7</v>
      </c>
      <c r="E1638" s="4">
        <v>0.2</v>
      </c>
      <c r="F1638" t="str">
        <f t="shared" si="819"/>
        <v>OK</v>
      </c>
      <c r="G1638" t="str">
        <f t="shared" si="820"/>
        <v>OK</v>
      </c>
      <c r="H1638" t="str">
        <f t="shared" si="821"/>
        <v>OK</v>
      </c>
      <c r="I1638" s="4">
        <f t="shared" si="822"/>
        <v>2021</v>
      </c>
      <c r="J1638">
        <f t="shared" si="855"/>
        <v>23.996298181818183</v>
      </c>
      <c r="K1638">
        <f t="shared" si="856"/>
        <v>3.8224767123287675</v>
      </c>
      <c r="R1638" s="4">
        <f t="shared" si="857"/>
        <v>-0.60370181818181834</v>
      </c>
      <c r="S1638" s="4">
        <f t="shared" si="858"/>
        <v>3.6224767123287673</v>
      </c>
    </row>
    <row r="1639" spans="1:19" hidden="1" x14ac:dyDescent="0.35">
      <c r="A1639" s="1">
        <v>44373</v>
      </c>
      <c r="B1639" s="4">
        <v>22.8</v>
      </c>
      <c r="C1639">
        <v>20.100000000000001</v>
      </c>
      <c r="D1639">
        <v>29.7</v>
      </c>
      <c r="E1639" s="4">
        <v>0</v>
      </c>
      <c r="F1639" t="str">
        <f t="shared" si="819"/>
        <v>OK</v>
      </c>
      <c r="G1639" t="str">
        <f t="shared" si="820"/>
        <v>OK</v>
      </c>
      <c r="H1639" t="str">
        <f t="shared" si="821"/>
        <v>OK</v>
      </c>
      <c r="I1639" s="4">
        <f t="shared" si="822"/>
        <v>2021</v>
      </c>
    </row>
    <row r="1640" spans="1:19" x14ac:dyDescent="0.35">
      <c r="A1640" s="1">
        <v>44374</v>
      </c>
      <c r="B1640" s="4">
        <v>22.6</v>
      </c>
      <c r="C1640">
        <v>20.2</v>
      </c>
      <c r="D1640">
        <v>27.2</v>
      </c>
      <c r="E1640" s="4">
        <v>2.2999999999999998</v>
      </c>
      <c r="F1640" t="str">
        <f t="shared" si="819"/>
        <v>OK</v>
      </c>
      <c r="G1640" t="str">
        <f t="shared" si="820"/>
        <v>OK</v>
      </c>
      <c r="H1640" t="str">
        <f t="shared" si="821"/>
        <v>OK</v>
      </c>
      <c r="I1640" s="4">
        <f t="shared" si="822"/>
        <v>2021</v>
      </c>
      <c r="J1640">
        <f t="shared" ref="J1640:J1641" si="859">( 377.84*B1640 + 3903.1)/550</f>
        <v>22.622334545454546</v>
      </c>
      <c r="K1640">
        <f t="shared" ref="K1640:K1641" si="860" xml:space="preserve"> (59.02*E1640 + 1383.4)/365</f>
        <v>4.1620438356164389</v>
      </c>
      <c r="R1640" s="4">
        <f t="shared" ref="R1640:R1641" si="861">J1640-B1640</f>
        <v>2.2334545454544497E-2</v>
      </c>
      <c r="S1640" s="4">
        <f t="shared" ref="S1640:S1641" si="862">K1640-E1640</f>
        <v>1.862043835616439</v>
      </c>
    </row>
    <row r="1641" spans="1:19" x14ac:dyDescent="0.35">
      <c r="A1641" s="1">
        <v>44375</v>
      </c>
      <c r="B1641" s="4">
        <v>23.7</v>
      </c>
      <c r="C1641">
        <v>20.8</v>
      </c>
      <c r="D1641">
        <v>28.5</v>
      </c>
      <c r="E1641" s="4">
        <v>0.5</v>
      </c>
      <c r="F1641" t="str">
        <f t="shared" si="819"/>
        <v>OK</v>
      </c>
      <c r="G1641" t="str">
        <f t="shared" si="820"/>
        <v>OK</v>
      </c>
      <c r="H1641" t="str">
        <f t="shared" si="821"/>
        <v>OK</v>
      </c>
      <c r="I1641" s="4">
        <f t="shared" si="822"/>
        <v>2021</v>
      </c>
      <c r="J1641">
        <f t="shared" si="859"/>
        <v>23.378014545454544</v>
      </c>
      <c r="K1641">
        <f t="shared" si="860"/>
        <v>3.8709863013698631</v>
      </c>
      <c r="R1641" s="4">
        <f t="shared" si="861"/>
        <v>-0.32198545454545524</v>
      </c>
      <c r="S1641" s="4">
        <f t="shared" si="862"/>
        <v>3.3709863013698631</v>
      </c>
    </row>
    <row r="1642" spans="1:19" hidden="1" x14ac:dyDescent="0.35">
      <c r="A1642" s="1">
        <v>44376</v>
      </c>
      <c r="B1642" s="4">
        <v>26.2</v>
      </c>
      <c r="C1642">
        <v>20.9</v>
      </c>
      <c r="D1642">
        <v>31.6</v>
      </c>
      <c r="E1642" s="4">
        <v>0</v>
      </c>
      <c r="F1642" t="str">
        <f t="shared" si="819"/>
        <v>OK</v>
      </c>
      <c r="G1642" t="str">
        <f t="shared" si="820"/>
        <v>OK</v>
      </c>
      <c r="H1642" t="str">
        <f t="shared" si="821"/>
        <v>OK</v>
      </c>
      <c r="I1642" s="4">
        <f t="shared" si="822"/>
        <v>2021</v>
      </c>
    </row>
    <row r="1643" spans="1:19" x14ac:dyDescent="0.35">
      <c r="A1643" s="1">
        <v>44377</v>
      </c>
      <c r="B1643" s="4">
        <v>26</v>
      </c>
      <c r="C1643">
        <v>20.7</v>
      </c>
      <c r="D1643">
        <v>30.9</v>
      </c>
      <c r="E1643" s="4">
        <v>1.5</v>
      </c>
      <c r="F1643" t="str">
        <f t="shared" si="819"/>
        <v>OK</v>
      </c>
      <c r="G1643" t="str">
        <f t="shared" si="820"/>
        <v>OK</v>
      </c>
      <c r="H1643" t="str">
        <f t="shared" si="821"/>
        <v>OK</v>
      </c>
      <c r="I1643" s="4">
        <f t="shared" si="822"/>
        <v>2021</v>
      </c>
      <c r="J1643">
        <f t="shared" ref="J1643:J1644" si="863">( 377.84*B1643 + 3903.1)/550</f>
        <v>24.958072727272729</v>
      </c>
      <c r="K1643">
        <f t="shared" ref="K1643:K1644" si="864" xml:space="preserve"> (59.02*E1643 + 1383.4)/365</f>
        <v>4.0326849315068491</v>
      </c>
      <c r="R1643" s="4">
        <f t="shared" ref="R1643:R1644" si="865">J1643-B1643</f>
        <v>-1.0419272727272713</v>
      </c>
      <c r="S1643" s="4">
        <f t="shared" ref="S1643:S1644" si="866">K1643-E1643</f>
        <v>2.5326849315068491</v>
      </c>
    </row>
    <row r="1644" spans="1:19" x14ac:dyDescent="0.35">
      <c r="A1644" s="1">
        <v>44378</v>
      </c>
      <c r="B1644" s="4">
        <v>25.7</v>
      </c>
      <c r="C1644">
        <v>23</v>
      </c>
      <c r="D1644">
        <v>32.700000000000003</v>
      </c>
      <c r="E1644" s="4">
        <v>2.5</v>
      </c>
      <c r="F1644" t="str">
        <f t="shared" si="819"/>
        <v>OK</v>
      </c>
      <c r="G1644" t="str">
        <f t="shared" si="820"/>
        <v>OK</v>
      </c>
      <c r="H1644" t="str">
        <f t="shared" si="821"/>
        <v>OK</v>
      </c>
      <c r="I1644" s="4">
        <f t="shared" si="822"/>
        <v>2021</v>
      </c>
      <c r="J1644">
        <f t="shared" si="863"/>
        <v>24.751978181818181</v>
      </c>
      <c r="K1644">
        <f t="shared" si="864"/>
        <v>4.1943835616438356</v>
      </c>
      <c r="R1644" s="4">
        <f t="shared" si="865"/>
        <v>-0.94802181818181808</v>
      </c>
      <c r="S1644" s="4">
        <f t="shared" si="866"/>
        <v>1.6943835616438356</v>
      </c>
    </row>
    <row r="1645" spans="1:19" hidden="1" x14ac:dyDescent="0.35">
      <c r="A1645" s="1">
        <v>44379</v>
      </c>
      <c r="B1645" s="4">
        <v>26</v>
      </c>
      <c r="C1645">
        <v>22</v>
      </c>
      <c r="D1645">
        <v>30.6</v>
      </c>
      <c r="E1645" s="4">
        <v>0</v>
      </c>
      <c r="F1645" t="str">
        <f t="shared" si="819"/>
        <v>OK</v>
      </c>
      <c r="G1645" t="str">
        <f t="shared" si="820"/>
        <v>OK</v>
      </c>
      <c r="H1645" t="str">
        <f t="shared" si="821"/>
        <v>OK</v>
      </c>
      <c r="I1645" s="4">
        <f t="shared" si="822"/>
        <v>2021</v>
      </c>
    </row>
    <row r="1646" spans="1:19" x14ac:dyDescent="0.35">
      <c r="A1646" s="1">
        <v>44380</v>
      </c>
      <c r="B1646" s="4">
        <v>24.4</v>
      </c>
      <c r="C1646">
        <v>19.7</v>
      </c>
      <c r="D1646">
        <v>29.5</v>
      </c>
      <c r="E1646" s="4">
        <v>15</v>
      </c>
      <c r="F1646" t="str">
        <f t="shared" si="819"/>
        <v>OK</v>
      </c>
      <c r="G1646" t="str">
        <f t="shared" si="820"/>
        <v>OK</v>
      </c>
      <c r="H1646" t="str">
        <f t="shared" si="821"/>
        <v>OK</v>
      </c>
      <c r="I1646" s="4">
        <f t="shared" si="822"/>
        <v>2021</v>
      </c>
      <c r="J1646">
        <f t="shared" ref="J1646:J1649" si="867">( 377.84*B1646 + 3903.1)/550</f>
        <v>23.858901818181817</v>
      </c>
      <c r="K1646">
        <f t="shared" ref="K1646:K1649" si="868" xml:space="preserve"> (59.02*E1646 + 1383.4)/365</f>
        <v>6.2156164383561654</v>
      </c>
      <c r="R1646" s="4">
        <f t="shared" ref="R1646:R1649" si="869">J1646-B1646</f>
        <v>-0.5410981818181817</v>
      </c>
      <c r="S1646" s="4">
        <f t="shared" ref="S1646:S1649" si="870">K1646-E1646</f>
        <v>-8.7843835616438355</v>
      </c>
    </row>
    <row r="1647" spans="1:19" x14ac:dyDescent="0.35">
      <c r="A1647" s="1">
        <v>44381</v>
      </c>
      <c r="B1647" s="4">
        <v>23.6</v>
      </c>
      <c r="C1647">
        <v>20.399999999999999</v>
      </c>
      <c r="D1647">
        <v>29.4</v>
      </c>
      <c r="E1647" s="4">
        <v>7.5</v>
      </c>
      <c r="F1647" t="str">
        <f t="shared" si="819"/>
        <v>OK</v>
      </c>
      <c r="G1647" t="str">
        <f t="shared" si="820"/>
        <v>OK</v>
      </c>
      <c r="H1647" t="str">
        <f t="shared" si="821"/>
        <v>OK</v>
      </c>
      <c r="I1647" s="4">
        <f t="shared" si="822"/>
        <v>2021</v>
      </c>
      <c r="J1647">
        <f t="shared" si="867"/>
        <v>23.309316363636363</v>
      </c>
      <c r="K1647">
        <f t="shared" si="868"/>
        <v>5.0028767123287672</v>
      </c>
      <c r="R1647" s="4">
        <f t="shared" si="869"/>
        <v>-0.2906836363636387</v>
      </c>
      <c r="S1647" s="4">
        <f t="shared" si="870"/>
        <v>-2.4971232876712328</v>
      </c>
    </row>
    <row r="1648" spans="1:19" x14ac:dyDescent="0.35">
      <c r="A1648" s="1">
        <v>44382</v>
      </c>
      <c r="B1648" s="4">
        <v>23.3</v>
      </c>
      <c r="C1648">
        <v>20.399999999999999</v>
      </c>
      <c r="D1648">
        <v>28.4</v>
      </c>
      <c r="E1648" s="4">
        <v>2.7</v>
      </c>
      <c r="F1648" t="str">
        <f t="shared" si="819"/>
        <v>OK</v>
      </c>
      <c r="G1648" t="str">
        <f t="shared" si="820"/>
        <v>OK</v>
      </c>
      <c r="H1648" t="str">
        <f t="shared" si="821"/>
        <v>OK</v>
      </c>
      <c r="I1648" s="4">
        <f t="shared" si="822"/>
        <v>2021</v>
      </c>
      <c r="J1648">
        <f t="shared" si="867"/>
        <v>23.103221818181819</v>
      </c>
      <c r="K1648">
        <f t="shared" si="868"/>
        <v>4.2267232876712333</v>
      </c>
      <c r="R1648" s="4">
        <f t="shared" si="869"/>
        <v>-0.19677818181818196</v>
      </c>
      <c r="S1648" s="4">
        <f t="shared" si="870"/>
        <v>1.5267232876712331</v>
      </c>
    </row>
    <row r="1649" spans="1:19" x14ac:dyDescent="0.35">
      <c r="A1649" s="1">
        <v>44383</v>
      </c>
      <c r="B1649" s="4">
        <v>24.9</v>
      </c>
      <c r="C1649">
        <v>20.2</v>
      </c>
      <c r="D1649">
        <v>29.4</v>
      </c>
      <c r="E1649" s="4">
        <v>1.3</v>
      </c>
      <c r="F1649" t="str">
        <f t="shared" si="819"/>
        <v>OK</v>
      </c>
      <c r="G1649" t="str">
        <f t="shared" si="820"/>
        <v>OK</v>
      </c>
      <c r="H1649" t="str">
        <f t="shared" si="821"/>
        <v>OK</v>
      </c>
      <c r="I1649" s="4">
        <f t="shared" si="822"/>
        <v>2021</v>
      </c>
      <c r="J1649">
        <f t="shared" si="867"/>
        <v>24.202392727272724</v>
      </c>
      <c r="K1649">
        <f t="shared" si="868"/>
        <v>4.0003452054794524</v>
      </c>
      <c r="R1649" s="4">
        <f t="shared" si="869"/>
        <v>-0.69760727272727507</v>
      </c>
      <c r="S1649" s="4">
        <f t="shared" si="870"/>
        <v>2.7003452054794526</v>
      </c>
    </row>
    <row r="1650" spans="1:19" hidden="1" x14ac:dyDescent="0.35">
      <c r="A1650" s="1">
        <v>44384</v>
      </c>
      <c r="B1650" s="4">
        <v>24.6</v>
      </c>
      <c r="C1650">
        <v>22.3</v>
      </c>
      <c r="D1650">
        <v>30</v>
      </c>
      <c r="E1650" s="4">
        <v>0</v>
      </c>
      <c r="F1650" t="str">
        <f t="shared" si="819"/>
        <v>OK</v>
      </c>
      <c r="G1650" t="str">
        <f t="shared" si="820"/>
        <v>OK</v>
      </c>
      <c r="H1650" t="str">
        <f t="shared" si="821"/>
        <v>OK</v>
      </c>
      <c r="I1650" s="4">
        <f t="shared" si="822"/>
        <v>2021</v>
      </c>
    </row>
    <row r="1651" spans="1:19" hidden="1" x14ac:dyDescent="0.35">
      <c r="A1651" s="1">
        <v>44385</v>
      </c>
      <c r="B1651" s="4">
        <v>25.3</v>
      </c>
      <c r="C1651">
        <v>21.8</v>
      </c>
      <c r="D1651">
        <v>29.4</v>
      </c>
      <c r="E1651" s="4">
        <v>0</v>
      </c>
      <c r="F1651" t="str">
        <f t="shared" si="819"/>
        <v>OK</v>
      </c>
      <c r="G1651" t="str">
        <f t="shared" si="820"/>
        <v>OK</v>
      </c>
      <c r="H1651" t="str">
        <f t="shared" si="821"/>
        <v>OK</v>
      </c>
      <c r="I1651" s="4">
        <f t="shared" si="822"/>
        <v>2021</v>
      </c>
    </row>
    <row r="1652" spans="1:19" hidden="1" x14ac:dyDescent="0.35">
      <c r="A1652" s="1">
        <v>44386</v>
      </c>
      <c r="B1652" s="4">
        <v>24.2</v>
      </c>
      <c r="C1652">
        <v>20.3</v>
      </c>
      <c r="D1652">
        <v>30.1</v>
      </c>
      <c r="E1652" s="4">
        <v>0</v>
      </c>
      <c r="F1652" t="str">
        <f t="shared" si="819"/>
        <v>OK</v>
      </c>
      <c r="G1652" t="str">
        <f t="shared" si="820"/>
        <v>OK</v>
      </c>
      <c r="H1652" t="str">
        <f t="shared" si="821"/>
        <v>OK</v>
      </c>
      <c r="I1652" s="4">
        <f t="shared" si="822"/>
        <v>2021</v>
      </c>
    </row>
    <row r="1653" spans="1:19" x14ac:dyDescent="0.35">
      <c r="A1653" s="1">
        <v>44387</v>
      </c>
      <c r="B1653" s="4">
        <v>22.8</v>
      </c>
      <c r="C1653">
        <v>20.100000000000001</v>
      </c>
      <c r="D1653">
        <v>29</v>
      </c>
      <c r="E1653" s="4">
        <v>0.3</v>
      </c>
      <c r="F1653" t="str">
        <f t="shared" si="819"/>
        <v>OK</v>
      </c>
      <c r="G1653" t="str">
        <f t="shared" si="820"/>
        <v>OK</v>
      </c>
      <c r="H1653" t="str">
        <f t="shared" si="821"/>
        <v>OK</v>
      </c>
      <c r="I1653" s="4">
        <f t="shared" si="822"/>
        <v>2021</v>
      </c>
      <c r="J1653">
        <f t="shared" ref="J1653:J1654" si="871">( 377.84*B1653 + 3903.1)/550</f>
        <v>22.759730909090912</v>
      </c>
      <c r="K1653">
        <f t="shared" ref="K1653:K1654" si="872" xml:space="preserve"> (59.02*E1653 + 1383.4)/365</f>
        <v>3.8386465753424659</v>
      </c>
      <c r="R1653" s="4">
        <f t="shared" ref="R1653:R1654" si="873">J1653-B1653</f>
        <v>-4.026909090908859E-2</v>
      </c>
      <c r="S1653" s="4">
        <f t="shared" ref="S1653:S1654" si="874">K1653-E1653</f>
        <v>3.5386465753424661</v>
      </c>
    </row>
    <row r="1654" spans="1:19" x14ac:dyDescent="0.35">
      <c r="A1654" s="1">
        <v>44388</v>
      </c>
      <c r="B1654" s="4">
        <v>22.8</v>
      </c>
      <c r="C1654">
        <v>20.100000000000001</v>
      </c>
      <c r="D1654">
        <v>26.8</v>
      </c>
      <c r="E1654" s="4">
        <v>0.5</v>
      </c>
      <c r="F1654" t="str">
        <f t="shared" si="819"/>
        <v>OK</v>
      </c>
      <c r="G1654" t="str">
        <f t="shared" si="820"/>
        <v>OK</v>
      </c>
      <c r="H1654" t="str">
        <f t="shared" si="821"/>
        <v>OK</v>
      </c>
      <c r="I1654" s="4">
        <f t="shared" si="822"/>
        <v>2021</v>
      </c>
      <c r="J1654">
        <f t="shared" si="871"/>
        <v>22.759730909090912</v>
      </c>
      <c r="K1654">
        <f t="shared" si="872"/>
        <v>3.8709863013698631</v>
      </c>
      <c r="R1654" s="4">
        <f t="shared" si="873"/>
        <v>-4.026909090908859E-2</v>
      </c>
      <c r="S1654" s="4">
        <f t="shared" si="874"/>
        <v>3.3709863013698631</v>
      </c>
    </row>
    <row r="1655" spans="1:19" hidden="1" x14ac:dyDescent="0.35">
      <c r="A1655" s="1">
        <v>44389</v>
      </c>
      <c r="B1655" s="4">
        <v>23.2</v>
      </c>
      <c r="C1655">
        <v>20.2</v>
      </c>
      <c r="D1655">
        <v>26.8</v>
      </c>
      <c r="E1655" s="4">
        <v>0</v>
      </c>
      <c r="F1655" t="str">
        <f t="shared" si="819"/>
        <v>OK</v>
      </c>
      <c r="G1655" t="str">
        <f t="shared" si="820"/>
        <v>OK</v>
      </c>
      <c r="H1655" t="str">
        <f t="shared" si="821"/>
        <v>OK</v>
      </c>
      <c r="I1655" s="4">
        <f t="shared" si="822"/>
        <v>2021</v>
      </c>
    </row>
    <row r="1656" spans="1:19" x14ac:dyDescent="0.35">
      <c r="A1656" s="1">
        <v>44390</v>
      </c>
      <c r="B1656" s="4">
        <v>21.8</v>
      </c>
      <c r="C1656">
        <v>20.5</v>
      </c>
      <c r="D1656">
        <v>24</v>
      </c>
      <c r="E1656" s="4">
        <v>4.5999999999999996</v>
      </c>
      <c r="F1656" t="str">
        <f t="shared" ref="F1656:F1719" si="875">IF(OR(B1656 &lt; $N$30, B1656 &gt; $N$67), "Outlier", "OK")</f>
        <v>OK</v>
      </c>
      <c r="G1656" t="str">
        <f t="shared" ref="G1656:G1719" si="876">IF(OR(C1656 &lt; $O$30, C1656 &gt; $O$67), "Outlier", "OK")</f>
        <v>OK</v>
      </c>
      <c r="H1656" t="str">
        <f t="shared" ref="H1656:H1719" si="877">IF(OR(D1656 &lt; $P$30, D1656 &gt; $P$67), "Outlier", "OK")</f>
        <v>OK</v>
      </c>
      <c r="I1656" s="4">
        <f t="shared" ref="I1656:I1719" si="878">YEAR(A1656)</f>
        <v>2021</v>
      </c>
      <c r="J1656">
        <f t="shared" ref="J1656:J1663" si="879">( 377.84*B1656 + 3903.1)/550</f>
        <v>22.072749090909092</v>
      </c>
      <c r="K1656">
        <f t="shared" ref="K1656:K1663" si="880" xml:space="preserve"> (59.02*E1656 + 1383.4)/365</f>
        <v>4.533950684931507</v>
      </c>
      <c r="R1656" s="4">
        <f t="shared" ref="R1656:R1663" si="881">J1656-B1656</f>
        <v>0.27274909090909105</v>
      </c>
      <c r="S1656" s="4">
        <f t="shared" ref="S1656:S1663" si="882">K1656-E1656</f>
        <v>-6.6049315068492653E-2</v>
      </c>
    </row>
    <row r="1657" spans="1:19" x14ac:dyDescent="0.35">
      <c r="A1657" s="1">
        <v>44391</v>
      </c>
      <c r="B1657" s="4">
        <v>21.1</v>
      </c>
      <c r="C1657">
        <v>19.8</v>
      </c>
      <c r="D1657">
        <v>23.4</v>
      </c>
      <c r="E1657" s="4">
        <v>11.4</v>
      </c>
      <c r="F1657" t="str">
        <f t="shared" si="875"/>
        <v>OK</v>
      </c>
      <c r="G1657" t="str">
        <f t="shared" si="876"/>
        <v>OK</v>
      </c>
      <c r="H1657" t="str">
        <f t="shared" si="877"/>
        <v>OK</v>
      </c>
      <c r="I1657" s="4">
        <f t="shared" si="878"/>
        <v>2021</v>
      </c>
      <c r="J1657">
        <f t="shared" si="879"/>
        <v>21.591861818181815</v>
      </c>
      <c r="K1657">
        <f t="shared" si="880"/>
        <v>5.6335013698630139</v>
      </c>
      <c r="R1657" s="4">
        <f t="shared" si="881"/>
        <v>0.49186181818181396</v>
      </c>
      <c r="S1657" s="4">
        <f t="shared" si="882"/>
        <v>-5.7664986301369865</v>
      </c>
    </row>
    <row r="1658" spans="1:19" x14ac:dyDescent="0.35">
      <c r="A1658" s="1">
        <v>44392</v>
      </c>
      <c r="B1658" s="4">
        <v>21.7</v>
      </c>
      <c r="C1658">
        <v>19.899999999999999</v>
      </c>
      <c r="D1658">
        <v>25.4</v>
      </c>
      <c r="E1658" s="4">
        <v>18.8</v>
      </c>
      <c r="F1658" t="str">
        <f t="shared" si="875"/>
        <v>OK</v>
      </c>
      <c r="G1658" t="str">
        <f t="shared" si="876"/>
        <v>OK</v>
      </c>
      <c r="H1658" t="str">
        <f t="shared" si="877"/>
        <v>OK</v>
      </c>
      <c r="I1658" s="4">
        <f t="shared" si="878"/>
        <v>2021</v>
      </c>
      <c r="J1658">
        <f t="shared" si="879"/>
        <v>22.004050909090907</v>
      </c>
      <c r="K1658">
        <f t="shared" si="880"/>
        <v>6.8300712328767128</v>
      </c>
      <c r="R1658" s="4">
        <f t="shared" si="881"/>
        <v>0.3040509090909076</v>
      </c>
      <c r="S1658" s="4">
        <f t="shared" si="882"/>
        <v>-11.969928767123289</v>
      </c>
    </row>
    <row r="1659" spans="1:19" x14ac:dyDescent="0.35">
      <c r="A1659" s="1">
        <v>44393</v>
      </c>
      <c r="B1659" s="4">
        <v>22.7</v>
      </c>
      <c r="C1659">
        <v>20.8</v>
      </c>
      <c r="D1659">
        <v>25.6</v>
      </c>
      <c r="E1659" s="4">
        <v>2.8</v>
      </c>
      <c r="F1659" t="str">
        <f t="shared" si="875"/>
        <v>OK</v>
      </c>
      <c r="G1659" t="str">
        <f t="shared" si="876"/>
        <v>OK</v>
      </c>
      <c r="H1659" t="str">
        <f t="shared" si="877"/>
        <v>OK</v>
      </c>
      <c r="I1659" s="4">
        <f t="shared" si="878"/>
        <v>2021</v>
      </c>
      <c r="J1659">
        <f t="shared" si="879"/>
        <v>22.691032727272727</v>
      </c>
      <c r="K1659">
        <f t="shared" si="880"/>
        <v>4.2428931506849317</v>
      </c>
      <c r="R1659" s="4">
        <f t="shared" si="881"/>
        <v>-8.9672727272720465E-3</v>
      </c>
      <c r="S1659" s="4">
        <f t="shared" si="882"/>
        <v>1.4428931506849318</v>
      </c>
    </row>
    <row r="1660" spans="1:19" x14ac:dyDescent="0.35">
      <c r="A1660" s="1">
        <v>44394</v>
      </c>
      <c r="B1660" s="4">
        <v>22.1</v>
      </c>
      <c r="C1660">
        <v>20.7</v>
      </c>
      <c r="D1660">
        <v>27</v>
      </c>
      <c r="E1660" s="4">
        <v>1.3</v>
      </c>
      <c r="F1660" t="str">
        <f t="shared" si="875"/>
        <v>OK</v>
      </c>
      <c r="G1660" t="str">
        <f t="shared" si="876"/>
        <v>OK</v>
      </c>
      <c r="H1660" t="str">
        <f t="shared" si="877"/>
        <v>OK</v>
      </c>
      <c r="I1660" s="4">
        <f t="shared" si="878"/>
        <v>2021</v>
      </c>
      <c r="J1660">
        <f t="shared" si="879"/>
        <v>22.278843636363636</v>
      </c>
      <c r="K1660">
        <f t="shared" si="880"/>
        <v>4.0003452054794524</v>
      </c>
      <c r="R1660" s="4">
        <f t="shared" si="881"/>
        <v>0.17884363636363432</v>
      </c>
      <c r="S1660" s="4">
        <f t="shared" si="882"/>
        <v>2.7003452054794526</v>
      </c>
    </row>
    <row r="1661" spans="1:19" x14ac:dyDescent="0.35">
      <c r="A1661" s="1">
        <v>44395</v>
      </c>
      <c r="B1661" s="4">
        <v>21.6</v>
      </c>
      <c r="C1661">
        <v>20</v>
      </c>
      <c r="D1661">
        <v>28.2</v>
      </c>
      <c r="E1661" s="4">
        <v>17.8</v>
      </c>
      <c r="F1661" t="str">
        <f t="shared" si="875"/>
        <v>OK</v>
      </c>
      <c r="G1661" t="str">
        <f t="shared" si="876"/>
        <v>OK</v>
      </c>
      <c r="H1661" t="str">
        <f t="shared" si="877"/>
        <v>OK</v>
      </c>
      <c r="I1661" s="4">
        <f t="shared" si="878"/>
        <v>2021</v>
      </c>
      <c r="J1661">
        <f t="shared" si="879"/>
        <v>21.935352727272726</v>
      </c>
      <c r="K1661">
        <f t="shared" si="880"/>
        <v>6.6683726027397263</v>
      </c>
      <c r="R1661" s="4">
        <f t="shared" si="881"/>
        <v>0.33535272727272414</v>
      </c>
      <c r="S1661" s="4">
        <f t="shared" si="882"/>
        <v>-11.131627397260274</v>
      </c>
    </row>
    <row r="1662" spans="1:19" x14ac:dyDescent="0.35">
      <c r="A1662" s="1">
        <v>44396</v>
      </c>
      <c r="B1662" s="4">
        <v>22.6</v>
      </c>
      <c r="C1662">
        <v>19.5</v>
      </c>
      <c r="D1662">
        <v>26.8</v>
      </c>
      <c r="E1662" s="4">
        <v>4.3</v>
      </c>
      <c r="F1662" t="str">
        <f t="shared" si="875"/>
        <v>OK</v>
      </c>
      <c r="G1662" t="str">
        <f t="shared" si="876"/>
        <v>OK</v>
      </c>
      <c r="H1662" t="str">
        <f t="shared" si="877"/>
        <v>OK</v>
      </c>
      <c r="I1662" s="4">
        <f t="shared" si="878"/>
        <v>2021</v>
      </c>
      <c r="J1662">
        <f t="shared" si="879"/>
        <v>22.622334545454546</v>
      </c>
      <c r="K1662">
        <f t="shared" si="880"/>
        <v>4.485441095890411</v>
      </c>
      <c r="R1662" s="4">
        <f t="shared" si="881"/>
        <v>2.2334545454544497E-2</v>
      </c>
      <c r="S1662" s="4">
        <f t="shared" si="882"/>
        <v>0.18544109589041113</v>
      </c>
    </row>
    <row r="1663" spans="1:19" x14ac:dyDescent="0.35">
      <c r="A1663" s="1">
        <v>44397</v>
      </c>
      <c r="B1663" s="4">
        <v>23.1</v>
      </c>
      <c r="C1663">
        <v>19.7</v>
      </c>
      <c r="D1663">
        <v>27.6</v>
      </c>
      <c r="E1663" s="4">
        <v>7.1</v>
      </c>
      <c r="F1663" t="str">
        <f t="shared" si="875"/>
        <v>OK</v>
      </c>
      <c r="G1663" t="str">
        <f t="shared" si="876"/>
        <v>OK</v>
      </c>
      <c r="H1663" t="str">
        <f t="shared" si="877"/>
        <v>OK</v>
      </c>
      <c r="I1663" s="4">
        <f t="shared" si="878"/>
        <v>2021</v>
      </c>
      <c r="J1663">
        <f t="shared" si="879"/>
        <v>22.965825454545453</v>
      </c>
      <c r="K1663">
        <f t="shared" si="880"/>
        <v>4.9381972602739728</v>
      </c>
      <c r="R1663" s="4">
        <f t="shared" si="881"/>
        <v>-0.13417454545454888</v>
      </c>
      <c r="S1663" s="4">
        <f t="shared" si="882"/>
        <v>-2.1618027397260269</v>
      </c>
    </row>
    <row r="1664" spans="1:19" hidden="1" x14ac:dyDescent="0.35">
      <c r="A1664" s="1">
        <v>44398</v>
      </c>
      <c r="B1664" s="4">
        <v>21.8</v>
      </c>
      <c r="C1664">
        <v>20.399999999999999</v>
      </c>
      <c r="D1664">
        <v>27.8</v>
      </c>
      <c r="E1664" s="4">
        <v>0</v>
      </c>
      <c r="F1664" t="str">
        <f t="shared" si="875"/>
        <v>OK</v>
      </c>
      <c r="G1664" t="str">
        <f t="shared" si="876"/>
        <v>OK</v>
      </c>
      <c r="H1664" t="str">
        <f t="shared" si="877"/>
        <v>OK</v>
      </c>
      <c r="I1664" s="4">
        <f t="shared" si="878"/>
        <v>2021</v>
      </c>
    </row>
    <row r="1665" spans="1:19" x14ac:dyDescent="0.35">
      <c r="A1665" s="1">
        <v>44399</v>
      </c>
      <c r="B1665" s="4">
        <v>21.2</v>
      </c>
      <c r="C1665">
        <v>20</v>
      </c>
      <c r="D1665">
        <v>24.2</v>
      </c>
      <c r="E1665" s="4">
        <v>3.3</v>
      </c>
      <c r="F1665" t="str">
        <f t="shared" si="875"/>
        <v>OK</v>
      </c>
      <c r="G1665" t="str">
        <f t="shared" si="876"/>
        <v>OK</v>
      </c>
      <c r="H1665" t="str">
        <f t="shared" si="877"/>
        <v>OK</v>
      </c>
      <c r="I1665" s="4">
        <f t="shared" si="878"/>
        <v>2021</v>
      </c>
      <c r="J1665">
        <f t="shared" ref="J1665:J1669" si="883">( 377.84*B1665 + 3903.1)/550</f>
        <v>21.660559999999997</v>
      </c>
      <c r="K1665">
        <f t="shared" ref="K1665:K1669" si="884" xml:space="preserve"> (59.02*E1665 + 1383.4)/365</f>
        <v>4.3237424657534254</v>
      </c>
      <c r="R1665" s="4">
        <f t="shared" ref="R1665:R1669" si="885">J1665-B1665</f>
        <v>0.46055999999999742</v>
      </c>
      <c r="S1665" s="4">
        <f t="shared" ref="S1665:S1669" si="886">K1665-E1665</f>
        <v>1.0237424657534255</v>
      </c>
    </row>
    <row r="1666" spans="1:19" x14ac:dyDescent="0.35">
      <c r="A1666" s="1">
        <v>44400</v>
      </c>
      <c r="B1666" s="4">
        <v>21.4</v>
      </c>
      <c r="C1666">
        <v>19.7</v>
      </c>
      <c r="D1666">
        <v>24.7</v>
      </c>
      <c r="E1666" s="4">
        <v>3</v>
      </c>
      <c r="F1666" t="str">
        <f t="shared" si="875"/>
        <v>OK</v>
      </c>
      <c r="G1666" t="str">
        <f t="shared" si="876"/>
        <v>OK</v>
      </c>
      <c r="H1666" t="str">
        <f t="shared" si="877"/>
        <v>OK</v>
      </c>
      <c r="I1666" s="4">
        <f t="shared" si="878"/>
        <v>2021</v>
      </c>
      <c r="J1666">
        <f t="shared" si="883"/>
        <v>21.797956363636359</v>
      </c>
      <c r="K1666">
        <f t="shared" si="884"/>
        <v>4.2752328767123284</v>
      </c>
      <c r="R1666" s="4">
        <f t="shared" si="885"/>
        <v>0.39795636363636078</v>
      </c>
      <c r="S1666" s="4">
        <f t="shared" si="886"/>
        <v>1.2752328767123284</v>
      </c>
    </row>
    <row r="1667" spans="1:19" x14ac:dyDescent="0.35">
      <c r="A1667" s="1">
        <v>44401</v>
      </c>
      <c r="B1667" s="4">
        <v>22.6</v>
      </c>
      <c r="C1667">
        <v>20</v>
      </c>
      <c r="D1667">
        <v>27.1</v>
      </c>
      <c r="E1667" s="4">
        <v>0.5</v>
      </c>
      <c r="F1667" t="str">
        <f t="shared" si="875"/>
        <v>OK</v>
      </c>
      <c r="G1667" t="str">
        <f t="shared" si="876"/>
        <v>OK</v>
      </c>
      <c r="H1667" t="str">
        <f t="shared" si="877"/>
        <v>OK</v>
      </c>
      <c r="I1667" s="4">
        <f t="shared" si="878"/>
        <v>2021</v>
      </c>
      <c r="J1667">
        <f t="shared" si="883"/>
        <v>22.622334545454546</v>
      </c>
      <c r="K1667">
        <f t="shared" si="884"/>
        <v>3.8709863013698631</v>
      </c>
      <c r="R1667" s="4">
        <f t="shared" si="885"/>
        <v>2.2334545454544497E-2</v>
      </c>
      <c r="S1667" s="4">
        <f t="shared" si="886"/>
        <v>3.3709863013698631</v>
      </c>
    </row>
    <row r="1668" spans="1:19" x14ac:dyDescent="0.35">
      <c r="A1668" s="1">
        <v>44402</v>
      </c>
      <c r="B1668" s="4">
        <v>23.2</v>
      </c>
      <c r="C1668">
        <v>20.6</v>
      </c>
      <c r="D1668">
        <v>28</v>
      </c>
      <c r="E1668" s="4">
        <v>24.4</v>
      </c>
      <c r="F1668" t="str">
        <f t="shared" si="875"/>
        <v>OK</v>
      </c>
      <c r="G1668" t="str">
        <f t="shared" si="876"/>
        <v>OK</v>
      </c>
      <c r="H1668" t="str">
        <f t="shared" si="877"/>
        <v>OK</v>
      </c>
      <c r="I1668" s="4">
        <f t="shared" si="878"/>
        <v>2021</v>
      </c>
      <c r="J1668">
        <f t="shared" si="883"/>
        <v>23.034523636363634</v>
      </c>
      <c r="K1668">
        <f t="shared" si="884"/>
        <v>7.7355835616438364</v>
      </c>
      <c r="R1668" s="4">
        <f t="shared" si="885"/>
        <v>-0.16547636363636542</v>
      </c>
      <c r="S1668" s="4">
        <f t="shared" si="886"/>
        <v>-16.664416438356163</v>
      </c>
    </row>
    <row r="1669" spans="1:19" x14ac:dyDescent="0.35">
      <c r="A1669" s="1">
        <v>44403</v>
      </c>
      <c r="B1669" s="4">
        <v>23.4</v>
      </c>
      <c r="C1669">
        <v>20.5</v>
      </c>
      <c r="D1669">
        <v>28.4</v>
      </c>
      <c r="E1669" s="4">
        <v>59.7</v>
      </c>
      <c r="F1669" t="str">
        <f t="shared" si="875"/>
        <v>OK</v>
      </c>
      <c r="G1669" t="str">
        <f t="shared" si="876"/>
        <v>OK</v>
      </c>
      <c r="H1669" t="str">
        <f t="shared" si="877"/>
        <v>OK</v>
      </c>
      <c r="I1669" s="4">
        <f t="shared" si="878"/>
        <v>2021</v>
      </c>
      <c r="J1669">
        <f t="shared" si="883"/>
        <v>23.171919999999997</v>
      </c>
      <c r="K1669">
        <f t="shared" si="884"/>
        <v>13.443545205479452</v>
      </c>
      <c r="R1669" s="4">
        <f t="shared" si="885"/>
        <v>-0.22808000000000206</v>
      </c>
      <c r="S1669" s="4">
        <f t="shared" si="886"/>
        <v>-46.25645479452055</v>
      </c>
    </row>
    <row r="1670" spans="1:19" hidden="1" x14ac:dyDescent="0.35">
      <c r="A1670" s="1">
        <v>44404</v>
      </c>
      <c r="B1670" s="4">
        <v>23.4</v>
      </c>
      <c r="C1670">
        <v>20.100000000000001</v>
      </c>
      <c r="D1670">
        <v>28.3</v>
      </c>
      <c r="E1670" s="4">
        <v>0</v>
      </c>
      <c r="F1670" t="str">
        <f t="shared" si="875"/>
        <v>OK</v>
      </c>
      <c r="G1670" t="str">
        <f t="shared" si="876"/>
        <v>OK</v>
      </c>
      <c r="H1670" t="str">
        <f t="shared" si="877"/>
        <v>OK</v>
      </c>
      <c r="I1670" s="4">
        <f t="shared" si="878"/>
        <v>2021</v>
      </c>
    </row>
    <row r="1671" spans="1:19" x14ac:dyDescent="0.35">
      <c r="A1671" s="1">
        <v>44405</v>
      </c>
      <c r="B1671" s="4">
        <v>23.1</v>
      </c>
      <c r="C1671">
        <v>19.8</v>
      </c>
      <c r="D1671">
        <v>27.6</v>
      </c>
      <c r="E1671" s="4">
        <v>1</v>
      </c>
      <c r="F1671" t="str">
        <f t="shared" si="875"/>
        <v>OK</v>
      </c>
      <c r="G1671" t="str">
        <f t="shared" si="876"/>
        <v>OK</v>
      </c>
      <c r="H1671" t="str">
        <f t="shared" si="877"/>
        <v>OK</v>
      </c>
      <c r="I1671" s="4">
        <f t="shared" si="878"/>
        <v>2021</v>
      </c>
      <c r="J1671">
        <f t="shared" ref="J1671:J1672" si="887">( 377.84*B1671 + 3903.1)/550</f>
        <v>22.965825454545453</v>
      </c>
      <c r="K1671">
        <f t="shared" ref="K1671:K1672" si="888" xml:space="preserve"> (59.02*E1671 + 1383.4)/365</f>
        <v>3.9518356164383563</v>
      </c>
      <c r="R1671" s="4">
        <f t="shared" ref="R1671:R1672" si="889">J1671-B1671</f>
        <v>-0.13417454545454888</v>
      </c>
      <c r="S1671" s="4">
        <f t="shared" ref="S1671:S1672" si="890">K1671-E1671</f>
        <v>2.9518356164383563</v>
      </c>
    </row>
    <row r="1672" spans="1:19" x14ac:dyDescent="0.35">
      <c r="A1672" s="1">
        <v>44406</v>
      </c>
      <c r="B1672" s="4">
        <v>22.7</v>
      </c>
      <c r="C1672">
        <v>19.5</v>
      </c>
      <c r="D1672">
        <v>26.4</v>
      </c>
      <c r="E1672" s="4">
        <v>0.9</v>
      </c>
      <c r="F1672" t="str">
        <f t="shared" si="875"/>
        <v>OK</v>
      </c>
      <c r="G1672" t="str">
        <f t="shared" si="876"/>
        <v>OK</v>
      </c>
      <c r="H1672" t="str">
        <f t="shared" si="877"/>
        <v>OK</v>
      </c>
      <c r="I1672" s="4">
        <f t="shared" si="878"/>
        <v>2021</v>
      </c>
      <c r="J1672">
        <f t="shared" si="887"/>
        <v>22.691032727272727</v>
      </c>
      <c r="K1672">
        <f t="shared" si="888"/>
        <v>3.9356657534246575</v>
      </c>
      <c r="R1672" s="4">
        <f t="shared" si="889"/>
        <v>-8.9672727272720465E-3</v>
      </c>
      <c r="S1672" s="4">
        <f t="shared" si="890"/>
        <v>3.0356657534246576</v>
      </c>
    </row>
    <row r="1673" spans="1:19" hidden="1" x14ac:dyDescent="0.35">
      <c r="A1673" s="1">
        <v>44407</v>
      </c>
      <c r="B1673" s="4">
        <v>23.5</v>
      </c>
      <c r="C1673">
        <v>19.600000000000001</v>
      </c>
      <c r="D1673">
        <v>28.4</v>
      </c>
      <c r="E1673" s="4">
        <v>0</v>
      </c>
      <c r="F1673" t="str">
        <f t="shared" si="875"/>
        <v>OK</v>
      </c>
      <c r="G1673" t="str">
        <f t="shared" si="876"/>
        <v>OK</v>
      </c>
      <c r="H1673" t="str">
        <f t="shared" si="877"/>
        <v>OK</v>
      </c>
      <c r="I1673" s="4">
        <f t="shared" si="878"/>
        <v>2021</v>
      </c>
    </row>
    <row r="1674" spans="1:19" x14ac:dyDescent="0.35">
      <c r="A1674" s="1">
        <v>44408</v>
      </c>
      <c r="B1674" s="4">
        <v>23.1</v>
      </c>
      <c r="C1674">
        <v>19</v>
      </c>
      <c r="D1674">
        <v>28.1</v>
      </c>
      <c r="E1674" s="4">
        <v>0.7</v>
      </c>
      <c r="F1674" t="str">
        <f t="shared" si="875"/>
        <v>OK</v>
      </c>
      <c r="G1674" t="str">
        <f t="shared" si="876"/>
        <v>OK</v>
      </c>
      <c r="H1674" t="str">
        <f t="shared" si="877"/>
        <v>OK</v>
      </c>
      <c r="I1674" s="4">
        <f t="shared" si="878"/>
        <v>2021</v>
      </c>
      <c r="J1674">
        <f>( 377.84*B1674 + 3903.1)/550</f>
        <v>22.965825454545453</v>
      </c>
      <c r="K1674">
        <f xml:space="preserve"> (59.02*E1674 + 1383.4)/365</f>
        <v>3.9033260273972608</v>
      </c>
      <c r="R1674" s="4">
        <f>J1674-B1674</f>
        <v>-0.13417454545454888</v>
      </c>
      <c r="S1674" s="4">
        <f>K1674-E1674</f>
        <v>3.203326027397261</v>
      </c>
    </row>
    <row r="1675" spans="1:19" hidden="1" x14ac:dyDescent="0.35">
      <c r="A1675" s="1">
        <v>44409</v>
      </c>
      <c r="B1675" s="4">
        <v>23.2</v>
      </c>
      <c r="C1675">
        <v>20</v>
      </c>
      <c r="D1675">
        <v>28</v>
      </c>
      <c r="E1675" s="4">
        <v>0</v>
      </c>
      <c r="F1675" t="str">
        <f t="shared" si="875"/>
        <v>OK</v>
      </c>
      <c r="G1675" t="str">
        <f t="shared" si="876"/>
        <v>OK</v>
      </c>
      <c r="H1675" t="str">
        <f t="shared" si="877"/>
        <v>OK</v>
      </c>
      <c r="I1675" s="4">
        <f t="shared" si="878"/>
        <v>2021</v>
      </c>
    </row>
    <row r="1676" spans="1:19" hidden="1" x14ac:dyDescent="0.35">
      <c r="A1676" s="1">
        <v>44410</v>
      </c>
      <c r="B1676" s="4">
        <v>23.6</v>
      </c>
      <c r="C1676">
        <v>19.600000000000001</v>
      </c>
      <c r="D1676">
        <v>27.5</v>
      </c>
      <c r="E1676" s="4">
        <v>0</v>
      </c>
      <c r="F1676" t="str">
        <f t="shared" si="875"/>
        <v>OK</v>
      </c>
      <c r="G1676" t="str">
        <f t="shared" si="876"/>
        <v>OK</v>
      </c>
      <c r="H1676" t="str">
        <f t="shared" si="877"/>
        <v>OK</v>
      </c>
      <c r="I1676" s="4">
        <f t="shared" si="878"/>
        <v>2021</v>
      </c>
    </row>
    <row r="1677" spans="1:19" x14ac:dyDescent="0.35">
      <c r="A1677" s="1">
        <v>44411</v>
      </c>
      <c r="B1677" s="4">
        <v>23.2</v>
      </c>
      <c r="C1677">
        <v>19.5</v>
      </c>
      <c r="D1677">
        <v>28.2</v>
      </c>
      <c r="E1677" s="4">
        <v>0.7</v>
      </c>
      <c r="F1677" t="str">
        <f t="shared" si="875"/>
        <v>OK</v>
      </c>
      <c r="G1677" t="str">
        <f t="shared" si="876"/>
        <v>OK</v>
      </c>
      <c r="H1677" t="str">
        <f t="shared" si="877"/>
        <v>OK</v>
      </c>
      <c r="I1677" s="4">
        <f t="shared" si="878"/>
        <v>2021</v>
      </c>
      <c r="J1677">
        <f t="shared" ref="J1677:J1683" si="891">( 377.84*B1677 + 3903.1)/550</f>
        <v>23.034523636363634</v>
      </c>
      <c r="K1677">
        <f t="shared" ref="K1677:K1683" si="892" xml:space="preserve"> (59.02*E1677 + 1383.4)/365</f>
        <v>3.9033260273972608</v>
      </c>
      <c r="R1677" s="4">
        <f t="shared" ref="R1677:R1683" si="893">J1677-B1677</f>
        <v>-0.16547636363636542</v>
      </c>
      <c r="S1677" s="4">
        <f t="shared" ref="S1677:S1683" si="894">K1677-E1677</f>
        <v>3.203326027397261</v>
      </c>
    </row>
    <row r="1678" spans="1:19" x14ac:dyDescent="0.35">
      <c r="A1678" s="1">
        <v>44412</v>
      </c>
      <c r="B1678" s="4">
        <v>23.3</v>
      </c>
      <c r="C1678">
        <v>19.8</v>
      </c>
      <c r="D1678">
        <v>27.8</v>
      </c>
      <c r="E1678" s="4">
        <v>2.8</v>
      </c>
      <c r="F1678" t="str">
        <f t="shared" si="875"/>
        <v>OK</v>
      </c>
      <c r="G1678" t="str">
        <f t="shared" si="876"/>
        <v>OK</v>
      </c>
      <c r="H1678" t="str">
        <f t="shared" si="877"/>
        <v>OK</v>
      </c>
      <c r="I1678" s="4">
        <f t="shared" si="878"/>
        <v>2021</v>
      </c>
      <c r="J1678">
        <f t="shared" si="891"/>
        <v>23.103221818181819</v>
      </c>
      <c r="K1678">
        <f t="shared" si="892"/>
        <v>4.2428931506849317</v>
      </c>
      <c r="R1678" s="4">
        <f t="shared" si="893"/>
        <v>-0.19677818181818196</v>
      </c>
      <c r="S1678" s="4">
        <f t="shared" si="894"/>
        <v>1.4428931506849318</v>
      </c>
    </row>
    <row r="1679" spans="1:19" x14ac:dyDescent="0.35">
      <c r="A1679" s="1">
        <v>44413</v>
      </c>
      <c r="B1679" s="4">
        <v>22.7</v>
      </c>
      <c r="C1679">
        <v>19.2</v>
      </c>
      <c r="D1679">
        <v>27.6</v>
      </c>
      <c r="E1679" s="4">
        <v>2.7</v>
      </c>
      <c r="F1679" t="str">
        <f t="shared" si="875"/>
        <v>OK</v>
      </c>
      <c r="G1679" t="str">
        <f t="shared" si="876"/>
        <v>OK</v>
      </c>
      <c r="H1679" t="str">
        <f t="shared" si="877"/>
        <v>OK</v>
      </c>
      <c r="I1679" s="4">
        <f t="shared" si="878"/>
        <v>2021</v>
      </c>
      <c r="J1679">
        <f t="shared" si="891"/>
        <v>22.691032727272727</v>
      </c>
      <c r="K1679">
        <f t="shared" si="892"/>
        <v>4.2267232876712333</v>
      </c>
      <c r="R1679" s="4">
        <f t="shared" si="893"/>
        <v>-8.9672727272720465E-3</v>
      </c>
      <c r="S1679" s="4">
        <f t="shared" si="894"/>
        <v>1.5267232876712331</v>
      </c>
    </row>
    <row r="1680" spans="1:19" x14ac:dyDescent="0.35">
      <c r="A1680" s="1">
        <v>44414</v>
      </c>
      <c r="B1680" s="4">
        <v>23.5</v>
      </c>
      <c r="C1680">
        <v>19.899999999999999</v>
      </c>
      <c r="D1680">
        <v>28.8</v>
      </c>
      <c r="E1680" s="4">
        <v>1.6</v>
      </c>
      <c r="F1680" t="str">
        <f t="shared" si="875"/>
        <v>OK</v>
      </c>
      <c r="G1680" t="str">
        <f t="shared" si="876"/>
        <v>OK</v>
      </c>
      <c r="H1680" t="str">
        <f t="shared" si="877"/>
        <v>OK</v>
      </c>
      <c r="I1680" s="4">
        <f t="shared" si="878"/>
        <v>2021</v>
      </c>
      <c r="J1680">
        <f t="shared" si="891"/>
        <v>23.240618181818181</v>
      </c>
      <c r="K1680">
        <f t="shared" si="892"/>
        <v>4.0488547945205484</v>
      </c>
      <c r="R1680" s="4">
        <f t="shared" si="893"/>
        <v>-0.2593818181818186</v>
      </c>
      <c r="S1680" s="4">
        <f t="shared" si="894"/>
        <v>2.4488547945205483</v>
      </c>
    </row>
    <row r="1681" spans="1:19" x14ac:dyDescent="0.35">
      <c r="A1681" s="1">
        <v>44415</v>
      </c>
      <c r="B1681" s="4">
        <v>24.3</v>
      </c>
      <c r="C1681">
        <v>20.9</v>
      </c>
      <c r="D1681">
        <v>29.4</v>
      </c>
      <c r="E1681" s="4">
        <v>4.3</v>
      </c>
      <c r="F1681" t="str">
        <f t="shared" si="875"/>
        <v>OK</v>
      </c>
      <c r="G1681" t="str">
        <f t="shared" si="876"/>
        <v>OK</v>
      </c>
      <c r="H1681" t="str">
        <f t="shared" si="877"/>
        <v>OK</v>
      </c>
      <c r="I1681" s="4">
        <f t="shared" si="878"/>
        <v>2021</v>
      </c>
      <c r="J1681">
        <f t="shared" si="891"/>
        <v>23.790203636363636</v>
      </c>
      <c r="K1681">
        <f t="shared" si="892"/>
        <v>4.485441095890411</v>
      </c>
      <c r="R1681" s="4">
        <f t="shared" si="893"/>
        <v>-0.50979636363636516</v>
      </c>
      <c r="S1681" s="4">
        <f t="shared" si="894"/>
        <v>0.18544109589041113</v>
      </c>
    </row>
    <row r="1682" spans="1:19" x14ac:dyDescent="0.35">
      <c r="A1682" s="1">
        <v>44416</v>
      </c>
      <c r="B1682" s="4">
        <v>24.9</v>
      </c>
      <c r="C1682">
        <v>20.8</v>
      </c>
      <c r="D1682">
        <v>30.3</v>
      </c>
      <c r="E1682" s="4">
        <v>1.3</v>
      </c>
      <c r="F1682" t="str">
        <f t="shared" si="875"/>
        <v>OK</v>
      </c>
      <c r="G1682" t="str">
        <f t="shared" si="876"/>
        <v>OK</v>
      </c>
      <c r="H1682" t="str">
        <f t="shared" si="877"/>
        <v>OK</v>
      </c>
      <c r="I1682" s="4">
        <f t="shared" si="878"/>
        <v>2021</v>
      </c>
      <c r="J1682">
        <f t="shared" si="891"/>
        <v>24.202392727272724</v>
      </c>
      <c r="K1682">
        <f t="shared" si="892"/>
        <v>4.0003452054794524</v>
      </c>
      <c r="R1682" s="4">
        <f t="shared" si="893"/>
        <v>-0.69760727272727507</v>
      </c>
      <c r="S1682" s="4">
        <f t="shared" si="894"/>
        <v>2.7003452054794526</v>
      </c>
    </row>
    <row r="1683" spans="1:19" x14ac:dyDescent="0.35">
      <c r="A1683" s="1">
        <v>44417</v>
      </c>
      <c r="B1683" s="4">
        <v>25.5</v>
      </c>
      <c r="C1683">
        <v>21.7</v>
      </c>
      <c r="D1683">
        <v>30.7</v>
      </c>
      <c r="E1683" s="4">
        <v>0.5</v>
      </c>
      <c r="F1683" t="str">
        <f t="shared" si="875"/>
        <v>OK</v>
      </c>
      <c r="G1683" t="str">
        <f t="shared" si="876"/>
        <v>OK</v>
      </c>
      <c r="H1683" t="str">
        <f t="shared" si="877"/>
        <v>OK</v>
      </c>
      <c r="I1683" s="4">
        <f t="shared" si="878"/>
        <v>2021</v>
      </c>
      <c r="J1683">
        <f t="shared" si="891"/>
        <v>24.614581818181819</v>
      </c>
      <c r="K1683">
        <f t="shared" si="892"/>
        <v>3.8709863013698631</v>
      </c>
      <c r="R1683" s="4">
        <f t="shared" si="893"/>
        <v>-0.88541818181818144</v>
      </c>
      <c r="S1683" s="4">
        <f t="shared" si="894"/>
        <v>3.3709863013698631</v>
      </c>
    </row>
    <row r="1684" spans="1:19" hidden="1" x14ac:dyDescent="0.35">
      <c r="A1684" s="1">
        <v>44418</v>
      </c>
      <c r="B1684" s="4">
        <v>23.9</v>
      </c>
      <c r="C1684">
        <v>21.8</v>
      </c>
      <c r="D1684">
        <v>30.7</v>
      </c>
      <c r="E1684" s="4">
        <v>0</v>
      </c>
      <c r="F1684" t="str">
        <f t="shared" si="875"/>
        <v>OK</v>
      </c>
      <c r="G1684" t="str">
        <f t="shared" si="876"/>
        <v>OK</v>
      </c>
      <c r="H1684" t="str">
        <f t="shared" si="877"/>
        <v>OK</v>
      </c>
      <c r="I1684" s="4">
        <f t="shared" si="878"/>
        <v>2021</v>
      </c>
    </row>
    <row r="1685" spans="1:19" hidden="1" x14ac:dyDescent="0.35">
      <c r="A1685" s="1">
        <v>44419</v>
      </c>
      <c r="B1685" s="4">
        <v>24</v>
      </c>
      <c r="C1685">
        <v>20.8</v>
      </c>
      <c r="D1685">
        <v>28.2</v>
      </c>
      <c r="E1685" s="4">
        <v>0</v>
      </c>
      <c r="F1685" t="str">
        <f t="shared" si="875"/>
        <v>OK</v>
      </c>
      <c r="G1685" t="str">
        <f t="shared" si="876"/>
        <v>OK</v>
      </c>
      <c r="H1685" t="str">
        <f t="shared" si="877"/>
        <v>OK</v>
      </c>
      <c r="I1685" s="4">
        <f t="shared" si="878"/>
        <v>2021</v>
      </c>
    </row>
    <row r="1686" spans="1:19" x14ac:dyDescent="0.35">
      <c r="A1686" s="1">
        <v>44420</v>
      </c>
      <c r="B1686" s="4">
        <v>22.8</v>
      </c>
      <c r="C1686">
        <v>19.7</v>
      </c>
      <c r="D1686">
        <v>28.2</v>
      </c>
      <c r="E1686" s="4">
        <v>1.5</v>
      </c>
      <c r="F1686" t="str">
        <f t="shared" si="875"/>
        <v>OK</v>
      </c>
      <c r="G1686" t="str">
        <f t="shared" si="876"/>
        <v>OK</v>
      </c>
      <c r="H1686" t="str">
        <f t="shared" si="877"/>
        <v>OK</v>
      </c>
      <c r="I1686" s="4">
        <f t="shared" si="878"/>
        <v>2021</v>
      </c>
      <c r="J1686">
        <f t="shared" ref="J1686:J1687" si="895">( 377.84*B1686 + 3903.1)/550</f>
        <v>22.759730909090912</v>
      </c>
      <c r="K1686">
        <f t="shared" ref="K1686:K1687" si="896" xml:space="preserve"> (59.02*E1686 + 1383.4)/365</f>
        <v>4.0326849315068491</v>
      </c>
      <c r="R1686" s="4">
        <f t="shared" ref="R1686:R1687" si="897">J1686-B1686</f>
        <v>-4.026909090908859E-2</v>
      </c>
      <c r="S1686" s="4">
        <f t="shared" ref="S1686:S1687" si="898">K1686-E1686</f>
        <v>2.5326849315068491</v>
      </c>
    </row>
    <row r="1687" spans="1:19" x14ac:dyDescent="0.35">
      <c r="A1687" s="1">
        <v>44421</v>
      </c>
      <c r="B1687" s="4">
        <v>23.2</v>
      </c>
      <c r="C1687">
        <v>20</v>
      </c>
      <c r="D1687">
        <v>27</v>
      </c>
      <c r="E1687" s="4">
        <v>3.8</v>
      </c>
      <c r="F1687" t="str">
        <f t="shared" si="875"/>
        <v>OK</v>
      </c>
      <c r="G1687" t="str">
        <f t="shared" si="876"/>
        <v>OK</v>
      </c>
      <c r="H1687" t="str">
        <f t="shared" si="877"/>
        <v>OK</v>
      </c>
      <c r="I1687" s="4">
        <f t="shared" si="878"/>
        <v>2021</v>
      </c>
      <c r="J1687">
        <f t="shared" si="895"/>
        <v>23.034523636363634</v>
      </c>
      <c r="K1687">
        <f t="shared" si="896"/>
        <v>4.4045917808219182</v>
      </c>
      <c r="R1687" s="4">
        <f t="shared" si="897"/>
        <v>-0.16547636363636542</v>
      </c>
      <c r="S1687" s="4">
        <f t="shared" si="898"/>
        <v>0.60459178082191833</v>
      </c>
    </row>
    <row r="1688" spans="1:19" hidden="1" x14ac:dyDescent="0.35">
      <c r="A1688" s="1">
        <v>44422</v>
      </c>
      <c r="B1688" s="4">
        <v>23.6</v>
      </c>
      <c r="C1688">
        <v>20.3</v>
      </c>
      <c r="D1688">
        <v>27.4</v>
      </c>
      <c r="E1688" s="4">
        <v>0</v>
      </c>
      <c r="F1688" t="str">
        <f t="shared" si="875"/>
        <v>OK</v>
      </c>
      <c r="G1688" t="str">
        <f t="shared" si="876"/>
        <v>OK</v>
      </c>
      <c r="H1688" t="str">
        <f t="shared" si="877"/>
        <v>OK</v>
      </c>
      <c r="I1688" s="4">
        <f t="shared" si="878"/>
        <v>2021</v>
      </c>
    </row>
    <row r="1689" spans="1:19" x14ac:dyDescent="0.35">
      <c r="A1689" s="1">
        <v>44423</v>
      </c>
      <c r="B1689" s="4">
        <v>22.7</v>
      </c>
      <c r="C1689">
        <v>19</v>
      </c>
      <c r="D1689">
        <v>27</v>
      </c>
      <c r="E1689" s="4">
        <v>0.5</v>
      </c>
      <c r="F1689" t="str">
        <f t="shared" si="875"/>
        <v>OK</v>
      </c>
      <c r="G1689" t="str">
        <f t="shared" si="876"/>
        <v>OK</v>
      </c>
      <c r="H1689" t="str">
        <f t="shared" si="877"/>
        <v>OK</v>
      </c>
      <c r="I1689" s="4">
        <f t="shared" si="878"/>
        <v>2021</v>
      </c>
      <c r="J1689">
        <f>( 377.84*B1689 + 3903.1)/550</f>
        <v>22.691032727272727</v>
      </c>
      <c r="K1689">
        <f xml:space="preserve"> (59.02*E1689 + 1383.4)/365</f>
        <v>3.8709863013698631</v>
      </c>
      <c r="R1689" s="4">
        <f>J1689-B1689</f>
        <v>-8.9672727272720465E-3</v>
      </c>
      <c r="S1689" s="4">
        <f>K1689-E1689</f>
        <v>3.3709863013698631</v>
      </c>
    </row>
    <row r="1690" spans="1:19" hidden="1" x14ac:dyDescent="0.35">
      <c r="A1690" s="1">
        <v>44424</v>
      </c>
      <c r="B1690" s="4">
        <v>22.8</v>
      </c>
      <c r="C1690">
        <v>20.7</v>
      </c>
      <c r="D1690">
        <v>28</v>
      </c>
      <c r="E1690" s="4">
        <v>0</v>
      </c>
      <c r="F1690" t="str">
        <f t="shared" si="875"/>
        <v>OK</v>
      </c>
      <c r="G1690" t="str">
        <f t="shared" si="876"/>
        <v>OK</v>
      </c>
      <c r="H1690" t="str">
        <f t="shared" si="877"/>
        <v>OK</v>
      </c>
      <c r="I1690" s="4">
        <f t="shared" si="878"/>
        <v>2021</v>
      </c>
    </row>
    <row r="1691" spans="1:19" x14ac:dyDescent="0.35">
      <c r="A1691" s="1">
        <v>44425</v>
      </c>
      <c r="B1691" s="4">
        <v>22.9</v>
      </c>
      <c r="C1691">
        <v>20.3</v>
      </c>
      <c r="D1691">
        <v>26.5</v>
      </c>
      <c r="E1691" s="4">
        <v>13.7</v>
      </c>
      <c r="F1691" t="str">
        <f t="shared" si="875"/>
        <v>OK</v>
      </c>
      <c r="G1691" t="str">
        <f t="shared" si="876"/>
        <v>OK</v>
      </c>
      <c r="H1691" t="str">
        <f t="shared" si="877"/>
        <v>OK</v>
      </c>
      <c r="I1691" s="4">
        <f t="shared" si="878"/>
        <v>2021</v>
      </c>
      <c r="J1691">
        <f>( 377.84*B1691 + 3903.1)/550</f>
        <v>22.82842909090909</v>
      </c>
      <c r="K1691">
        <f xml:space="preserve"> (59.02*E1691 + 1383.4)/365</f>
        <v>6.0054082191780829</v>
      </c>
      <c r="R1691" s="4">
        <f>J1691-B1691</f>
        <v>-7.1570909090908685E-2</v>
      </c>
      <c r="S1691" s="4">
        <f>K1691-E1691</f>
        <v>-7.6945917808219164</v>
      </c>
    </row>
    <row r="1692" spans="1:19" hidden="1" x14ac:dyDescent="0.35">
      <c r="A1692" s="1">
        <v>44426</v>
      </c>
      <c r="B1692" s="4">
        <v>23.6</v>
      </c>
      <c r="C1692">
        <v>20.7</v>
      </c>
      <c r="D1692">
        <v>27.5</v>
      </c>
      <c r="E1692" s="4">
        <v>0</v>
      </c>
      <c r="F1692" t="str">
        <f t="shared" si="875"/>
        <v>OK</v>
      </c>
      <c r="G1692" t="str">
        <f t="shared" si="876"/>
        <v>OK</v>
      </c>
      <c r="H1692" t="str">
        <f t="shared" si="877"/>
        <v>OK</v>
      </c>
      <c r="I1692" s="4">
        <f t="shared" si="878"/>
        <v>2021</v>
      </c>
    </row>
    <row r="1693" spans="1:19" x14ac:dyDescent="0.35">
      <c r="A1693" s="1">
        <v>44427</v>
      </c>
      <c r="B1693" s="4">
        <v>23.6</v>
      </c>
      <c r="C1693">
        <v>20.399999999999999</v>
      </c>
      <c r="D1693">
        <v>28.4</v>
      </c>
      <c r="E1693" s="4">
        <v>0.3</v>
      </c>
      <c r="F1693" t="str">
        <f t="shared" si="875"/>
        <v>OK</v>
      </c>
      <c r="G1693" t="str">
        <f t="shared" si="876"/>
        <v>OK</v>
      </c>
      <c r="H1693" t="str">
        <f t="shared" si="877"/>
        <v>OK</v>
      </c>
      <c r="I1693" s="4">
        <f t="shared" si="878"/>
        <v>2021</v>
      </c>
      <c r="J1693">
        <f t="shared" ref="J1693:J1699" si="899">( 377.84*B1693 + 3903.1)/550</f>
        <v>23.309316363636363</v>
      </c>
      <c r="K1693">
        <f t="shared" ref="K1693:K1699" si="900" xml:space="preserve"> (59.02*E1693 + 1383.4)/365</f>
        <v>3.8386465753424659</v>
      </c>
      <c r="R1693" s="4">
        <f t="shared" ref="R1693:R1699" si="901">J1693-B1693</f>
        <v>-0.2906836363636387</v>
      </c>
      <c r="S1693" s="4">
        <f t="shared" ref="S1693:S1699" si="902">K1693-E1693</f>
        <v>3.5386465753424661</v>
      </c>
    </row>
    <row r="1694" spans="1:19" x14ac:dyDescent="0.35">
      <c r="A1694" s="1">
        <v>44428</v>
      </c>
      <c r="B1694" s="4">
        <v>24.1</v>
      </c>
      <c r="C1694">
        <v>20.5</v>
      </c>
      <c r="D1694">
        <v>28.8</v>
      </c>
      <c r="E1694" s="4">
        <v>7.1</v>
      </c>
      <c r="F1694" t="str">
        <f t="shared" si="875"/>
        <v>OK</v>
      </c>
      <c r="G1694" t="str">
        <f t="shared" si="876"/>
        <v>OK</v>
      </c>
      <c r="H1694" t="str">
        <f t="shared" si="877"/>
        <v>OK</v>
      </c>
      <c r="I1694" s="4">
        <f t="shared" si="878"/>
        <v>2021</v>
      </c>
      <c r="J1694">
        <f t="shared" si="899"/>
        <v>23.652807272727273</v>
      </c>
      <c r="K1694">
        <f t="shared" si="900"/>
        <v>4.9381972602739728</v>
      </c>
      <c r="R1694" s="4">
        <f t="shared" si="901"/>
        <v>-0.44719272727272852</v>
      </c>
      <c r="S1694" s="4">
        <f t="shared" si="902"/>
        <v>-2.1618027397260269</v>
      </c>
    </row>
    <row r="1695" spans="1:19" x14ac:dyDescent="0.35">
      <c r="A1695" s="1">
        <v>44429</v>
      </c>
      <c r="B1695" s="4">
        <v>22.4</v>
      </c>
      <c r="C1695">
        <v>20.2</v>
      </c>
      <c r="D1695">
        <v>28.6</v>
      </c>
      <c r="E1695" s="4">
        <v>0.3</v>
      </c>
      <c r="F1695" t="str">
        <f t="shared" si="875"/>
        <v>OK</v>
      </c>
      <c r="G1695" t="str">
        <f t="shared" si="876"/>
        <v>OK</v>
      </c>
      <c r="H1695" t="str">
        <f t="shared" si="877"/>
        <v>OK</v>
      </c>
      <c r="I1695" s="4">
        <f t="shared" si="878"/>
        <v>2021</v>
      </c>
      <c r="J1695">
        <f t="shared" si="899"/>
        <v>22.48493818181818</v>
      </c>
      <c r="K1695">
        <f t="shared" si="900"/>
        <v>3.8386465753424659</v>
      </c>
      <c r="R1695" s="4">
        <f t="shared" si="901"/>
        <v>8.4938181818181135E-2</v>
      </c>
      <c r="S1695" s="4">
        <f t="shared" si="902"/>
        <v>3.5386465753424661</v>
      </c>
    </row>
    <row r="1696" spans="1:19" x14ac:dyDescent="0.35">
      <c r="A1696" s="1">
        <v>44430</v>
      </c>
      <c r="B1696" s="4">
        <v>22.8</v>
      </c>
      <c r="C1696">
        <v>19.2</v>
      </c>
      <c r="D1696">
        <v>27.7</v>
      </c>
      <c r="E1696" s="4">
        <v>5.6</v>
      </c>
      <c r="F1696" t="str">
        <f t="shared" si="875"/>
        <v>OK</v>
      </c>
      <c r="G1696" t="str">
        <f t="shared" si="876"/>
        <v>OK</v>
      </c>
      <c r="H1696" t="str">
        <f t="shared" si="877"/>
        <v>OK</v>
      </c>
      <c r="I1696" s="4">
        <f t="shared" si="878"/>
        <v>2021</v>
      </c>
      <c r="J1696">
        <f t="shared" si="899"/>
        <v>22.759730909090912</v>
      </c>
      <c r="K1696">
        <f t="shared" si="900"/>
        <v>4.6956493150684935</v>
      </c>
      <c r="R1696" s="4">
        <f t="shared" si="901"/>
        <v>-4.026909090908859E-2</v>
      </c>
      <c r="S1696" s="4">
        <f t="shared" si="902"/>
        <v>-0.90435068493150617</v>
      </c>
    </row>
    <row r="1697" spans="1:19" x14ac:dyDescent="0.35">
      <c r="A1697" s="1">
        <v>44431</v>
      </c>
      <c r="B1697" s="4">
        <v>23.6</v>
      </c>
      <c r="C1697">
        <v>20.5</v>
      </c>
      <c r="D1697">
        <v>27.1</v>
      </c>
      <c r="E1697" s="4">
        <v>3</v>
      </c>
      <c r="F1697" t="str">
        <f t="shared" si="875"/>
        <v>OK</v>
      </c>
      <c r="G1697" t="str">
        <f t="shared" si="876"/>
        <v>OK</v>
      </c>
      <c r="H1697" t="str">
        <f t="shared" si="877"/>
        <v>OK</v>
      </c>
      <c r="I1697" s="4">
        <f t="shared" si="878"/>
        <v>2021</v>
      </c>
      <c r="J1697">
        <f t="shared" si="899"/>
        <v>23.309316363636363</v>
      </c>
      <c r="K1697">
        <f t="shared" si="900"/>
        <v>4.2752328767123284</v>
      </c>
      <c r="R1697" s="4">
        <f t="shared" si="901"/>
        <v>-0.2906836363636387</v>
      </c>
      <c r="S1697" s="4">
        <f t="shared" si="902"/>
        <v>1.2752328767123284</v>
      </c>
    </row>
    <row r="1698" spans="1:19" x14ac:dyDescent="0.35">
      <c r="A1698" s="1">
        <v>44432</v>
      </c>
      <c r="B1698" s="4">
        <v>24.5</v>
      </c>
      <c r="C1698">
        <v>20.3</v>
      </c>
      <c r="D1698">
        <v>29</v>
      </c>
      <c r="E1698" s="4">
        <v>3.8</v>
      </c>
      <c r="F1698" t="str">
        <f t="shared" si="875"/>
        <v>OK</v>
      </c>
      <c r="G1698" t="str">
        <f t="shared" si="876"/>
        <v>OK</v>
      </c>
      <c r="H1698" t="str">
        <f t="shared" si="877"/>
        <v>OK</v>
      </c>
      <c r="I1698" s="4">
        <f t="shared" si="878"/>
        <v>2021</v>
      </c>
      <c r="J1698">
        <f t="shared" si="899"/>
        <v>23.927600000000002</v>
      </c>
      <c r="K1698">
        <f t="shared" si="900"/>
        <v>4.4045917808219182</v>
      </c>
      <c r="R1698" s="4">
        <f t="shared" si="901"/>
        <v>-0.57239999999999824</v>
      </c>
      <c r="S1698" s="4">
        <f t="shared" si="902"/>
        <v>0.60459178082191833</v>
      </c>
    </row>
    <row r="1699" spans="1:19" x14ac:dyDescent="0.35">
      <c r="A1699" s="1">
        <v>44433</v>
      </c>
      <c r="B1699" s="4">
        <v>24.1</v>
      </c>
      <c r="C1699">
        <v>20.7</v>
      </c>
      <c r="D1699">
        <v>29.1</v>
      </c>
      <c r="E1699" s="4">
        <v>1</v>
      </c>
      <c r="F1699" t="str">
        <f t="shared" si="875"/>
        <v>OK</v>
      </c>
      <c r="G1699" t="str">
        <f t="shared" si="876"/>
        <v>OK</v>
      </c>
      <c r="H1699" t="str">
        <f t="shared" si="877"/>
        <v>OK</v>
      </c>
      <c r="I1699" s="4">
        <f t="shared" si="878"/>
        <v>2021</v>
      </c>
      <c r="J1699">
        <f t="shared" si="899"/>
        <v>23.652807272727273</v>
      </c>
      <c r="K1699">
        <f t="shared" si="900"/>
        <v>3.9518356164383563</v>
      </c>
      <c r="R1699" s="4">
        <f t="shared" si="901"/>
        <v>-0.44719272727272852</v>
      </c>
      <c r="S1699" s="4">
        <f t="shared" si="902"/>
        <v>2.9518356164383563</v>
      </c>
    </row>
    <row r="1700" spans="1:19" hidden="1" x14ac:dyDescent="0.35">
      <c r="A1700" s="1">
        <v>44434</v>
      </c>
      <c r="B1700" s="4">
        <v>24.1</v>
      </c>
      <c r="C1700">
        <v>21</v>
      </c>
      <c r="D1700">
        <v>29.6</v>
      </c>
      <c r="E1700" s="4">
        <v>0</v>
      </c>
      <c r="F1700" t="str">
        <f t="shared" si="875"/>
        <v>OK</v>
      </c>
      <c r="G1700" t="str">
        <f t="shared" si="876"/>
        <v>OK</v>
      </c>
      <c r="H1700" t="str">
        <f t="shared" si="877"/>
        <v>OK</v>
      </c>
      <c r="I1700" s="4">
        <f t="shared" si="878"/>
        <v>2021</v>
      </c>
    </row>
    <row r="1701" spans="1:19" x14ac:dyDescent="0.35">
      <c r="A1701" s="1">
        <v>44435</v>
      </c>
      <c r="B1701" s="4">
        <v>22.7</v>
      </c>
      <c r="C1701">
        <v>20.5</v>
      </c>
      <c r="D1701">
        <v>30.4</v>
      </c>
      <c r="E1701" s="4">
        <v>24.9</v>
      </c>
      <c r="F1701" t="str">
        <f t="shared" si="875"/>
        <v>OK</v>
      </c>
      <c r="G1701" t="str">
        <f t="shared" si="876"/>
        <v>OK</v>
      </c>
      <c r="H1701" t="str">
        <f t="shared" si="877"/>
        <v>OK</v>
      </c>
      <c r="I1701" s="4">
        <f t="shared" si="878"/>
        <v>2021</v>
      </c>
      <c r="J1701">
        <f t="shared" ref="J1701:J1705" si="903">( 377.84*B1701 + 3903.1)/550</f>
        <v>22.691032727272727</v>
      </c>
      <c r="K1701">
        <f t="shared" ref="K1701:K1705" si="904" xml:space="preserve"> (59.02*E1701 + 1383.4)/365</f>
        <v>7.8164328767123292</v>
      </c>
      <c r="R1701" s="4">
        <f t="shared" ref="R1701:R1705" si="905">J1701-B1701</f>
        <v>-8.9672727272720465E-3</v>
      </c>
      <c r="S1701" s="4">
        <f t="shared" ref="S1701:S1705" si="906">K1701-E1701</f>
        <v>-17.083567123287668</v>
      </c>
    </row>
    <row r="1702" spans="1:19" x14ac:dyDescent="0.35">
      <c r="A1702" s="1">
        <v>44436</v>
      </c>
      <c r="B1702" s="4">
        <v>22.4</v>
      </c>
      <c r="C1702">
        <v>20.100000000000001</v>
      </c>
      <c r="D1702">
        <v>28.4</v>
      </c>
      <c r="E1702" s="4">
        <v>11.7</v>
      </c>
      <c r="F1702" t="str">
        <f t="shared" si="875"/>
        <v>OK</v>
      </c>
      <c r="G1702" t="str">
        <f t="shared" si="876"/>
        <v>OK</v>
      </c>
      <c r="H1702" t="str">
        <f t="shared" si="877"/>
        <v>OK</v>
      </c>
      <c r="I1702" s="4">
        <f t="shared" si="878"/>
        <v>2021</v>
      </c>
      <c r="J1702">
        <f t="shared" si="903"/>
        <v>22.48493818181818</v>
      </c>
      <c r="K1702">
        <f t="shared" si="904"/>
        <v>5.6820109589041099</v>
      </c>
      <c r="R1702" s="4">
        <f t="shared" si="905"/>
        <v>8.4938181818181135E-2</v>
      </c>
      <c r="S1702" s="4">
        <f t="shared" si="906"/>
        <v>-6.0179890410958894</v>
      </c>
    </row>
    <row r="1703" spans="1:19" x14ac:dyDescent="0.35">
      <c r="A1703" s="1">
        <v>44437</v>
      </c>
      <c r="B1703" s="4">
        <v>21.7</v>
      </c>
      <c r="C1703">
        <v>19.2</v>
      </c>
      <c r="D1703">
        <v>25.8</v>
      </c>
      <c r="E1703" s="4">
        <v>4.0999999999999996</v>
      </c>
      <c r="F1703" t="str">
        <f t="shared" si="875"/>
        <v>OK</v>
      </c>
      <c r="G1703" t="str">
        <f t="shared" si="876"/>
        <v>OK</v>
      </c>
      <c r="H1703" t="str">
        <f t="shared" si="877"/>
        <v>OK</v>
      </c>
      <c r="I1703" s="4">
        <f t="shared" si="878"/>
        <v>2021</v>
      </c>
      <c r="J1703">
        <f t="shared" si="903"/>
        <v>22.004050909090907</v>
      </c>
      <c r="K1703">
        <f t="shared" si="904"/>
        <v>4.4531013698630142</v>
      </c>
      <c r="R1703" s="4">
        <f t="shared" si="905"/>
        <v>0.3040509090909076</v>
      </c>
      <c r="S1703" s="4">
        <f t="shared" si="906"/>
        <v>0.35310136986301455</v>
      </c>
    </row>
    <row r="1704" spans="1:19" x14ac:dyDescent="0.35">
      <c r="A1704" s="1">
        <v>44438</v>
      </c>
      <c r="B1704" s="4">
        <v>22.4</v>
      </c>
      <c r="C1704">
        <v>19.7</v>
      </c>
      <c r="D1704">
        <v>26.2</v>
      </c>
      <c r="E1704" s="4">
        <v>3.8</v>
      </c>
      <c r="F1704" t="str">
        <f t="shared" si="875"/>
        <v>OK</v>
      </c>
      <c r="G1704" t="str">
        <f t="shared" si="876"/>
        <v>OK</v>
      </c>
      <c r="H1704" t="str">
        <f t="shared" si="877"/>
        <v>OK</v>
      </c>
      <c r="I1704" s="4">
        <f t="shared" si="878"/>
        <v>2021</v>
      </c>
      <c r="J1704">
        <f t="shared" si="903"/>
        <v>22.48493818181818</v>
      </c>
      <c r="K1704">
        <f t="shared" si="904"/>
        <v>4.4045917808219182</v>
      </c>
      <c r="R1704" s="4">
        <f t="shared" si="905"/>
        <v>8.4938181818181135E-2</v>
      </c>
      <c r="S1704" s="4">
        <f t="shared" si="906"/>
        <v>0.60459178082191833</v>
      </c>
    </row>
    <row r="1705" spans="1:19" x14ac:dyDescent="0.35">
      <c r="A1705" s="1">
        <v>44439</v>
      </c>
      <c r="B1705" s="4">
        <v>23.9</v>
      </c>
      <c r="C1705">
        <v>19.7</v>
      </c>
      <c r="D1705">
        <v>27.6</v>
      </c>
      <c r="E1705" s="4">
        <v>0.5</v>
      </c>
      <c r="F1705" t="str">
        <f t="shared" si="875"/>
        <v>OK</v>
      </c>
      <c r="G1705" t="str">
        <f t="shared" si="876"/>
        <v>OK</v>
      </c>
      <c r="H1705" t="str">
        <f t="shared" si="877"/>
        <v>OK</v>
      </c>
      <c r="I1705" s="4">
        <f t="shared" si="878"/>
        <v>2021</v>
      </c>
      <c r="J1705">
        <f t="shared" si="903"/>
        <v>23.515410909090907</v>
      </c>
      <c r="K1705">
        <f t="shared" si="904"/>
        <v>3.8709863013698631</v>
      </c>
      <c r="R1705" s="4">
        <f t="shared" si="905"/>
        <v>-0.38458909090909188</v>
      </c>
      <c r="S1705" s="4">
        <f t="shared" si="906"/>
        <v>3.3709863013698631</v>
      </c>
    </row>
    <row r="1706" spans="1:19" hidden="1" x14ac:dyDescent="0.35">
      <c r="A1706" s="1">
        <v>44440</v>
      </c>
      <c r="B1706" s="4">
        <v>23.6</v>
      </c>
      <c r="C1706">
        <v>20.9</v>
      </c>
      <c r="D1706">
        <v>29.3</v>
      </c>
      <c r="E1706" s="4">
        <v>0</v>
      </c>
      <c r="F1706" t="str">
        <f t="shared" si="875"/>
        <v>OK</v>
      </c>
      <c r="G1706" t="str">
        <f t="shared" si="876"/>
        <v>OK</v>
      </c>
      <c r="H1706" t="str">
        <f t="shared" si="877"/>
        <v>OK</v>
      </c>
      <c r="I1706" s="4">
        <f t="shared" si="878"/>
        <v>2021</v>
      </c>
    </row>
    <row r="1707" spans="1:19" x14ac:dyDescent="0.35">
      <c r="A1707" s="1">
        <v>44441</v>
      </c>
      <c r="B1707" s="4">
        <v>22.6</v>
      </c>
      <c r="C1707">
        <v>19.5</v>
      </c>
      <c r="D1707">
        <v>29.4</v>
      </c>
      <c r="E1707" s="4">
        <v>2.8</v>
      </c>
      <c r="F1707" t="str">
        <f t="shared" si="875"/>
        <v>OK</v>
      </c>
      <c r="G1707" t="str">
        <f t="shared" si="876"/>
        <v>OK</v>
      </c>
      <c r="H1707" t="str">
        <f t="shared" si="877"/>
        <v>OK</v>
      </c>
      <c r="I1707" s="4">
        <f t="shared" si="878"/>
        <v>2021</v>
      </c>
      <c r="J1707">
        <f t="shared" ref="J1707:J1708" si="907">( 377.84*B1707 + 3903.1)/550</f>
        <v>22.622334545454546</v>
      </c>
      <c r="K1707">
        <f t="shared" ref="K1707:K1708" si="908" xml:space="preserve"> (59.02*E1707 + 1383.4)/365</f>
        <v>4.2428931506849317</v>
      </c>
      <c r="R1707" s="4">
        <f t="shared" ref="R1707:R1708" si="909">J1707-B1707</f>
        <v>2.2334545454544497E-2</v>
      </c>
      <c r="S1707" s="4">
        <f t="shared" ref="S1707:S1708" si="910">K1707-E1707</f>
        <v>1.4428931506849318</v>
      </c>
    </row>
    <row r="1708" spans="1:19" x14ac:dyDescent="0.35">
      <c r="A1708" s="1">
        <v>44442</v>
      </c>
      <c r="B1708" s="4">
        <v>22.5</v>
      </c>
      <c r="C1708">
        <v>19.5</v>
      </c>
      <c r="D1708">
        <v>26.7</v>
      </c>
      <c r="E1708" s="4">
        <v>44.7</v>
      </c>
      <c r="F1708" t="str">
        <f t="shared" si="875"/>
        <v>OK</v>
      </c>
      <c r="G1708" t="str">
        <f t="shared" si="876"/>
        <v>OK</v>
      </c>
      <c r="H1708" t="str">
        <f t="shared" si="877"/>
        <v>OK</v>
      </c>
      <c r="I1708" s="4">
        <f t="shared" si="878"/>
        <v>2021</v>
      </c>
      <c r="J1708">
        <f t="shared" si="907"/>
        <v>22.553636363636365</v>
      </c>
      <c r="K1708">
        <f t="shared" si="908"/>
        <v>11.01806575342466</v>
      </c>
      <c r="R1708" s="4">
        <f t="shared" si="909"/>
        <v>5.3636363636364592E-2</v>
      </c>
      <c r="S1708" s="4">
        <f t="shared" si="910"/>
        <v>-33.681934246575345</v>
      </c>
    </row>
    <row r="1709" spans="1:19" hidden="1" x14ac:dyDescent="0.35">
      <c r="A1709" s="1">
        <v>44443</v>
      </c>
      <c r="B1709" s="4">
        <v>22.3</v>
      </c>
      <c r="C1709">
        <v>20.399999999999999</v>
      </c>
      <c r="D1709">
        <v>26.2</v>
      </c>
      <c r="E1709" s="4">
        <v>0</v>
      </c>
      <c r="F1709" t="str">
        <f t="shared" si="875"/>
        <v>OK</v>
      </c>
      <c r="G1709" t="str">
        <f t="shared" si="876"/>
        <v>OK</v>
      </c>
      <c r="H1709" t="str">
        <f t="shared" si="877"/>
        <v>OK</v>
      </c>
      <c r="I1709" s="4">
        <f t="shared" si="878"/>
        <v>2021</v>
      </c>
    </row>
    <row r="1710" spans="1:19" x14ac:dyDescent="0.35">
      <c r="A1710" s="1">
        <v>44444</v>
      </c>
      <c r="B1710" s="4">
        <v>22.1</v>
      </c>
      <c r="C1710">
        <v>20.2</v>
      </c>
      <c r="D1710">
        <v>26.6</v>
      </c>
      <c r="E1710" s="4">
        <v>1</v>
      </c>
      <c r="F1710" t="str">
        <f t="shared" si="875"/>
        <v>OK</v>
      </c>
      <c r="G1710" t="str">
        <f t="shared" si="876"/>
        <v>OK</v>
      </c>
      <c r="H1710" t="str">
        <f t="shared" si="877"/>
        <v>OK</v>
      </c>
      <c r="I1710" s="4">
        <f t="shared" si="878"/>
        <v>2021</v>
      </c>
      <c r="J1710">
        <f t="shared" ref="J1710:J1714" si="911">( 377.84*B1710 + 3903.1)/550</f>
        <v>22.278843636363636</v>
      </c>
      <c r="K1710">
        <f t="shared" ref="K1710:K1714" si="912" xml:space="preserve"> (59.02*E1710 + 1383.4)/365</f>
        <v>3.9518356164383563</v>
      </c>
      <c r="R1710" s="4">
        <f t="shared" ref="R1710:R1714" si="913">J1710-B1710</f>
        <v>0.17884363636363432</v>
      </c>
      <c r="S1710" s="4">
        <f t="shared" ref="S1710:S1714" si="914">K1710-E1710</f>
        <v>2.9518356164383563</v>
      </c>
    </row>
    <row r="1711" spans="1:19" x14ac:dyDescent="0.35">
      <c r="A1711" s="1">
        <v>44445</v>
      </c>
      <c r="B1711" s="4">
        <v>22.6</v>
      </c>
      <c r="C1711">
        <v>20.2</v>
      </c>
      <c r="D1711">
        <v>27.2</v>
      </c>
      <c r="E1711" s="4">
        <v>7.9</v>
      </c>
      <c r="F1711" t="str">
        <f t="shared" si="875"/>
        <v>OK</v>
      </c>
      <c r="G1711" t="str">
        <f t="shared" si="876"/>
        <v>OK</v>
      </c>
      <c r="H1711" t="str">
        <f t="shared" si="877"/>
        <v>OK</v>
      </c>
      <c r="I1711" s="4">
        <f t="shared" si="878"/>
        <v>2021</v>
      </c>
      <c r="J1711">
        <f t="shared" si="911"/>
        <v>22.622334545454546</v>
      </c>
      <c r="K1711">
        <f t="shared" si="912"/>
        <v>5.0675561643835616</v>
      </c>
      <c r="R1711" s="4">
        <f t="shared" si="913"/>
        <v>2.2334545454544497E-2</v>
      </c>
      <c r="S1711" s="4">
        <f t="shared" si="914"/>
        <v>-2.8324438356164388</v>
      </c>
    </row>
    <row r="1712" spans="1:19" x14ac:dyDescent="0.35">
      <c r="A1712" s="1">
        <v>44446</v>
      </c>
      <c r="B1712" s="4">
        <v>22.2</v>
      </c>
      <c r="C1712">
        <v>20</v>
      </c>
      <c r="D1712">
        <v>27</v>
      </c>
      <c r="E1712" s="4">
        <v>2</v>
      </c>
      <c r="F1712" t="str">
        <f t="shared" si="875"/>
        <v>OK</v>
      </c>
      <c r="G1712" t="str">
        <f t="shared" si="876"/>
        <v>OK</v>
      </c>
      <c r="H1712" t="str">
        <f t="shared" si="877"/>
        <v>OK</v>
      </c>
      <c r="I1712" s="4">
        <f t="shared" si="878"/>
        <v>2021</v>
      </c>
      <c r="J1712">
        <f t="shared" si="911"/>
        <v>22.347541818181817</v>
      </c>
      <c r="K1712">
        <f t="shared" si="912"/>
        <v>4.1135342465753428</v>
      </c>
      <c r="R1712" s="4">
        <f t="shared" si="913"/>
        <v>0.14754181818181777</v>
      </c>
      <c r="S1712" s="4">
        <f t="shared" si="914"/>
        <v>2.1135342465753428</v>
      </c>
    </row>
    <row r="1713" spans="1:19" x14ac:dyDescent="0.35">
      <c r="A1713" s="1">
        <v>44447</v>
      </c>
      <c r="B1713" s="4">
        <v>23.1</v>
      </c>
      <c r="C1713">
        <v>20.5</v>
      </c>
      <c r="D1713">
        <v>27</v>
      </c>
      <c r="E1713" s="4">
        <v>0.5</v>
      </c>
      <c r="F1713" t="str">
        <f t="shared" si="875"/>
        <v>OK</v>
      </c>
      <c r="G1713" t="str">
        <f t="shared" si="876"/>
        <v>OK</v>
      </c>
      <c r="H1713" t="str">
        <f t="shared" si="877"/>
        <v>OK</v>
      </c>
      <c r="I1713" s="4">
        <f t="shared" si="878"/>
        <v>2021</v>
      </c>
      <c r="J1713">
        <f t="shared" si="911"/>
        <v>22.965825454545453</v>
      </c>
      <c r="K1713">
        <f t="shared" si="912"/>
        <v>3.8709863013698631</v>
      </c>
      <c r="R1713" s="4">
        <f t="shared" si="913"/>
        <v>-0.13417454545454888</v>
      </c>
      <c r="S1713" s="4">
        <f t="shared" si="914"/>
        <v>3.3709863013698631</v>
      </c>
    </row>
    <row r="1714" spans="1:19" x14ac:dyDescent="0.35">
      <c r="A1714" s="1">
        <v>44448</v>
      </c>
      <c r="B1714" s="4">
        <v>24</v>
      </c>
      <c r="C1714">
        <v>20</v>
      </c>
      <c r="D1714">
        <v>27.8</v>
      </c>
      <c r="E1714" s="4">
        <v>0.5</v>
      </c>
      <c r="F1714" t="str">
        <f t="shared" si="875"/>
        <v>OK</v>
      </c>
      <c r="G1714" t="str">
        <f t="shared" si="876"/>
        <v>OK</v>
      </c>
      <c r="H1714" t="str">
        <f t="shared" si="877"/>
        <v>OK</v>
      </c>
      <c r="I1714" s="4">
        <f t="shared" si="878"/>
        <v>2021</v>
      </c>
      <c r="J1714">
        <f t="shared" si="911"/>
        <v>23.584109090909092</v>
      </c>
      <c r="K1714">
        <f t="shared" si="912"/>
        <v>3.8709863013698631</v>
      </c>
      <c r="R1714" s="4">
        <f t="shared" si="913"/>
        <v>-0.41589090909090842</v>
      </c>
      <c r="S1714" s="4">
        <f t="shared" si="914"/>
        <v>3.3709863013698631</v>
      </c>
    </row>
    <row r="1715" spans="1:19" hidden="1" x14ac:dyDescent="0.35">
      <c r="A1715" s="1">
        <v>44449</v>
      </c>
      <c r="B1715" s="4">
        <v>24.1</v>
      </c>
      <c r="C1715">
        <v>20.2</v>
      </c>
      <c r="D1715">
        <v>29.1</v>
      </c>
      <c r="E1715" s="4">
        <v>0</v>
      </c>
      <c r="F1715" t="str">
        <f t="shared" si="875"/>
        <v>OK</v>
      </c>
      <c r="G1715" t="str">
        <f t="shared" si="876"/>
        <v>OK</v>
      </c>
      <c r="H1715" t="str">
        <f t="shared" si="877"/>
        <v>OK</v>
      </c>
      <c r="I1715" s="4">
        <f t="shared" si="878"/>
        <v>2021</v>
      </c>
    </row>
    <row r="1716" spans="1:19" x14ac:dyDescent="0.35">
      <c r="A1716" s="1">
        <v>44450</v>
      </c>
      <c r="B1716" s="4">
        <v>22.8</v>
      </c>
      <c r="C1716">
        <v>19.399999999999999</v>
      </c>
      <c r="D1716">
        <v>28</v>
      </c>
      <c r="E1716" s="4">
        <v>1.3</v>
      </c>
      <c r="F1716" t="str">
        <f t="shared" si="875"/>
        <v>OK</v>
      </c>
      <c r="G1716" t="str">
        <f t="shared" si="876"/>
        <v>OK</v>
      </c>
      <c r="H1716" t="str">
        <f t="shared" si="877"/>
        <v>OK</v>
      </c>
      <c r="I1716" s="4">
        <f t="shared" si="878"/>
        <v>2021</v>
      </c>
      <c r="J1716">
        <f>( 377.84*B1716 + 3903.1)/550</f>
        <v>22.759730909090912</v>
      </c>
      <c r="K1716">
        <f xml:space="preserve"> (59.02*E1716 + 1383.4)/365</f>
        <v>4.0003452054794524</v>
      </c>
      <c r="R1716" s="4">
        <f>J1716-B1716</f>
        <v>-4.026909090908859E-2</v>
      </c>
      <c r="S1716" s="4">
        <f>K1716-E1716</f>
        <v>2.7003452054794526</v>
      </c>
    </row>
    <row r="1717" spans="1:19" hidden="1" x14ac:dyDescent="0.35">
      <c r="A1717" s="1">
        <v>44451</v>
      </c>
      <c r="B1717" s="4">
        <v>23.6</v>
      </c>
      <c r="C1717">
        <v>20.7</v>
      </c>
      <c r="D1717">
        <v>28.5</v>
      </c>
      <c r="E1717" s="4">
        <v>0</v>
      </c>
      <c r="F1717" t="str">
        <f t="shared" si="875"/>
        <v>OK</v>
      </c>
      <c r="G1717" t="str">
        <f t="shared" si="876"/>
        <v>OK</v>
      </c>
      <c r="H1717" t="str">
        <f t="shared" si="877"/>
        <v>OK</v>
      </c>
      <c r="I1717" s="4">
        <f t="shared" si="878"/>
        <v>2021</v>
      </c>
    </row>
    <row r="1718" spans="1:19" hidden="1" x14ac:dyDescent="0.35">
      <c r="A1718" s="1">
        <v>44452</v>
      </c>
      <c r="B1718" s="4">
        <v>23.7</v>
      </c>
      <c r="C1718">
        <v>20.9</v>
      </c>
      <c r="D1718">
        <v>28</v>
      </c>
      <c r="E1718" s="4">
        <v>0</v>
      </c>
      <c r="F1718" t="str">
        <f t="shared" si="875"/>
        <v>OK</v>
      </c>
      <c r="G1718" t="str">
        <f t="shared" si="876"/>
        <v>OK</v>
      </c>
      <c r="H1718" t="str">
        <f t="shared" si="877"/>
        <v>OK</v>
      </c>
      <c r="I1718" s="4">
        <f t="shared" si="878"/>
        <v>2021</v>
      </c>
    </row>
    <row r="1719" spans="1:19" hidden="1" x14ac:dyDescent="0.35">
      <c r="A1719" s="1">
        <v>44453</v>
      </c>
      <c r="B1719" s="4">
        <v>24.1</v>
      </c>
      <c r="C1719">
        <v>19.899999999999999</v>
      </c>
      <c r="D1719">
        <v>28.2</v>
      </c>
      <c r="E1719" s="4">
        <v>0</v>
      </c>
      <c r="F1719" t="str">
        <f t="shared" si="875"/>
        <v>OK</v>
      </c>
      <c r="G1719" t="str">
        <f t="shared" si="876"/>
        <v>OK</v>
      </c>
      <c r="H1719" t="str">
        <f t="shared" si="877"/>
        <v>OK</v>
      </c>
      <c r="I1719" s="4">
        <f t="shared" si="878"/>
        <v>2021</v>
      </c>
    </row>
    <row r="1720" spans="1:19" x14ac:dyDescent="0.35">
      <c r="A1720" s="1">
        <v>44454</v>
      </c>
      <c r="B1720" s="4">
        <v>23.2</v>
      </c>
      <c r="C1720">
        <v>19.2</v>
      </c>
      <c r="D1720">
        <v>27.7</v>
      </c>
      <c r="E1720" s="4">
        <v>1.4</v>
      </c>
      <c r="F1720" t="str">
        <f t="shared" ref="F1720:F1783" si="915">IF(OR(B1720 &lt; $N$30, B1720 &gt; $N$67), "Outlier", "OK")</f>
        <v>OK</v>
      </c>
      <c r="G1720" t="str">
        <f t="shared" ref="G1720:G1783" si="916">IF(OR(C1720 &lt; $O$30, C1720 &gt; $O$67), "Outlier", "OK")</f>
        <v>OK</v>
      </c>
      <c r="H1720" t="str">
        <f t="shared" ref="H1720:H1783" si="917">IF(OR(D1720 &lt; $P$30, D1720 &gt; $P$67), "Outlier", "OK")</f>
        <v>OK</v>
      </c>
      <c r="I1720" s="4">
        <f t="shared" ref="I1720:I1783" si="918">YEAR(A1720)</f>
        <v>2021</v>
      </c>
      <c r="J1720">
        <f t="shared" ref="J1720:J1727" si="919">( 377.84*B1720 + 3903.1)/550</f>
        <v>23.034523636363634</v>
      </c>
      <c r="K1720">
        <f t="shared" ref="K1720:K1727" si="920" xml:space="preserve"> (59.02*E1720 + 1383.4)/365</f>
        <v>4.0165150684931508</v>
      </c>
      <c r="R1720" s="4">
        <f t="shared" ref="R1720:R1727" si="921">J1720-B1720</f>
        <v>-0.16547636363636542</v>
      </c>
      <c r="S1720" s="4">
        <f t="shared" ref="S1720:S1727" si="922">K1720-E1720</f>
        <v>2.6165150684931509</v>
      </c>
    </row>
    <row r="1721" spans="1:19" x14ac:dyDescent="0.35">
      <c r="A1721" s="1">
        <v>44455</v>
      </c>
      <c r="B1721" s="4">
        <v>23.7</v>
      </c>
      <c r="C1721">
        <v>19</v>
      </c>
      <c r="D1721">
        <v>29</v>
      </c>
      <c r="E1721" s="4">
        <v>0.3</v>
      </c>
      <c r="F1721" t="str">
        <f t="shared" si="915"/>
        <v>OK</v>
      </c>
      <c r="G1721" t="str">
        <f t="shared" si="916"/>
        <v>OK</v>
      </c>
      <c r="H1721" t="str">
        <f t="shared" si="917"/>
        <v>OK</v>
      </c>
      <c r="I1721" s="4">
        <f t="shared" si="918"/>
        <v>2021</v>
      </c>
      <c r="J1721">
        <f t="shared" si="919"/>
        <v>23.378014545454544</v>
      </c>
      <c r="K1721">
        <f t="shared" si="920"/>
        <v>3.8386465753424659</v>
      </c>
      <c r="R1721" s="4">
        <f t="shared" si="921"/>
        <v>-0.32198545454545524</v>
      </c>
      <c r="S1721" s="4">
        <f t="shared" si="922"/>
        <v>3.5386465753424661</v>
      </c>
    </row>
    <row r="1722" spans="1:19" x14ac:dyDescent="0.35">
      <c r="A1722" s="1">
        <v>44456</v>
      </c>
      <c r="B1722" s="4">
        <v>24</v>
      </c>
      <c r="C1722">
        <v>19.3</v>
      </c>
      <c r="D1722">
        <v>30</v>
      </c>
      <c r="E1722" s="4">
        <v>0.4</v>
      </c>
      <c r="F1722" t="str">
        <f t="shared" si="915"/>
        <v>OK</v>
      </c>
      <c r="G1722" t="str">
        <f t="shared" si="916"/>
        <v>OK</v>
      </c>
      <c r="H1722" t="str">
        <f t="shared" si="917"/>
        <v>OK</v>
      </c>
      <c r="I1722" s="4">
        <f t="shared" si="918"/>
        <v>2021</v>
      </c>
      <c r="J1722">
        <f t="shared" si="919"/>
        <v>23.584109090909092</v>
      </c>
      <c r="K1722">
        <f t="shared" si="920"/>
        <v>3.8548164383561643</v>
      </c>
      <c r="R1722" s="4">
        <f t="shared" si="921"/>
        <v>-0.41589090909090842</v>
      </c>
      <c r="S1722" s="4">
        <f t="shared" si="922"/>
        <v>3.4548164383561644</v>
      </c>
    </row>
    <row r="1723" spans="1:19" x14ac:dyDescent="0.35">
      <c r="A1723" s="1">
        <v>44457</v>
      </c>
      <c r="B1723" s="4">
        <v>24.3</v>
      </c>
      <c r="C1723">
        <v>18.8</v>
      </c>
      <c r="D1723">
        <v>30.4</v>
      </c>
      <c r="E1723" s="4">
        <v>0.1</v>
      </c>
      <c r="F1723" t="str">
        <f t="shared" si="915"/>
        <v>OK</v>
      </c>
      <c r="G1723" t="str">
        <f t="shared" si="916"/>
        <v>OK</v>
      </c>
      <c r="H1723" t="str">
        <f t="shared" si="917"/>
        <v>OK</v>
      </c>
      <c r="I1723" s="4">
        <f t="shared" si="918"/>
        <v>2021</v>
      </c>
      <c r="J1723">
        <f t="shared" si="919"/>
        <v>23.790203636363636</v>
      </c>
      <c r="K1723">
        <f t="shared" si="920"/>
        <v>3.8063068493150687</v>
      </c>
      <c r="R1723" s="4">
        <f t="shared" si="921"/>
        <v>-0.50979636363636516</v>
      </c>
      <c r="S1723" s="4">
        <f t="shared" si="922"/>
        <v>3.7063068493150686</v>
      </c>
    </row>
    <row r="1724" spans="1:19" x14ac:dyDescent="0.35">
      <c r="A1724" s="1">
        <v>44458</v>
      </c>
      <c r="B1724" s="4">
        <v>24.4</v>
      </c>
      <c r="C1724">
        <v>19.5</v>
      </c>
      <c r="D1724">
        <v>30</v>
      </c>
      <c r="E1724" s="4">
        <v>3.8</v>
      </c>
      <c r="F1724" t="str">
        <f t="shared" si="915"/>
        <v>OK</v>
      </c>
      <c r="G1724" t="str">
        <f t="shared" si="916"/>
        <v>OK</v>
      </c>
      <c r="H1724" t="str">
        <f t="shared" si="917"/>
        <v>OK</v>
      </c>
      <c r="I1724" s="4">
        <f t="shared" si="918"/>
        <v>2021</v>
      </c>
      <c r="J1724">
        <f t="shared" si="919"/>
        <v>23.858901818181817</v>
      </c>
      <c r="K1724">
        <f t="shared" si="920"/>
        <v>4.4045917808219182</v>
      </c>
      <c r="R1724" s="4">
        <f t="shared" si="921"/>
        <v>-0.5410981818181817</v>
      </c>
      <c r="S1724" s="4">
        <f t="shared" si="922"/>
        <v>0.60459178082191833</v>
      </c>
    </row>
    <row r="1725" spans="1:19" x14ac:dyDescent="0.35">
      <c r="A1725" s="1">
        <v>44459</v>
      </c>
      <c r="B1725" s="4">
        <v>22.4</v>
      </c>
      <c r="C1725">
        <v>19.8</v>
      </c>
      <c r="D1725">
        <v>31.3</v>
      </c>
      <c r="E1725" s="4">
        <v>26.2</v>
      </c>
      <c r="F1725" t="str">
        <f t="shared" si="915"/>
        <v>OK</v>
      </c>
      <c r="G1725" t="str">
        <f t="shared" si="916"/>
        <v>OK</v>
      </c>
      <c r="H1725" t="str">
        <f t="shared" si="917"/>
        <v>OK</v>
      </c>
      <c r="I1725" s="4">
        <f t="shared" si="918"/>
        <v>2021</v>
      </c>
      <c r="J1725">
        <f t="shared" si="919"/>
        <v>22.48493818181818</v>
      </c>
      <c r="K1725">
        <f t="shared" si="920"/>
        <v>8.0266410958904117</v>
      </c>
      <c r="R1725" s="4">
        <f t="shared" si="921"/>
        <v>8.4938181818181135E-2</v>
      </c>
      <c r="S1725" s="4">
        <f t="shared" si="922"/>
        <v>-18.173358904109588</v>
      </c>
    </row>
    <row r="1726" spans="1:19" x14ac:dyDescent="0.35">
      <c r="A1726" s="1">
        <v>44460</v>
      </c>
      <c r="B1726" s="4">
        <v>23.5</v>
      </c>
      <c r="C1726">
        <v>20.3</v>
      </c>
      <c r="D1726">
        <v>29</v>
      </c>
      <c r="E1726" s="4">
        <v>53.3</v>
      </c>
      <c r="F1726" t="str">
        <f t="shared" si="915"/>
        <v>OK</v>
      </c>
      <c r="G1726" t="str">
        <f t="shared" si="916"/>
        <v>OK</v>
      </c>
      <c r="H1726" t="str">
        <f t="shared" si="917"/>
        <v>OK</v>
      </c>
      <c r="I1726" s="4">
        <f t="shared" si="918"/>
        <v>2021</v>
      </c>
      <c r="J1726">
        <f t="shared" si="919"/>
        <v>23.240618181818181</v>
      </c>
      <c r="K1726">
        <f t="shared" si="920"/>
        <v>12.40867397260274</v>
      </c>
      <c r="R1726" s="4">
        <f t="shared" si="921"/>
        <v>-0.2593818181818186</v>
      </c>
      <c r="S1726" s="4">
        <f t="shared" si="922"/>
        <v>-40.891326027397255</v>
      </c>
    </row>
    <row r="1727" spans="1:19" x14ac:dyDescent="0.35">
      <c r="A1727" s="1">
        <v>44461</v>
      </c>
      <c r="B1727" s="4">
        <v>23.9</v>
      </c>
      <c r="C1727">
        <v>20.6</v>
      </c>
      <c r="D1727">
        <v>29.7</v>
      </c>
      <c r="E1727" s="4">
        <v>11.2</v>
      </c>
      <c r="F1727" t="str">
        <f t="shared" si="915"/>
        <v>OK</v>
      </c>
      <c r="G1727" t="str">
        <f t="shared" si="916"/>
        <v>OK</v>
      </c>
      <c r="H1727" t="str">
        <f t="shared" si="917"/>
        <v>OK</v>
      </c>
      <c r="I1727" s="4">
        <f t="shared" si="918"/>
        <v>2021</v>
      </c>
      <c r="J1727">
        <f t="shared" si="919"/>
        <v>23.515410909090907</v>
      </c>
      <c r="K1727">
        <f t="shared" si="920"/>
        <v>5.6011616438356162</v>
      </c>
      <c r="R1727" s="4">
        <f t="shared" si="921"/>
        <v>-0.38458909090909188</v>
      </c>
      <c r="S1727" s="4">
        <f t="shared" si="922"/>
        <v>-5.5988383561643831</v>
      </c>
    </row>
    <row r="1728" spans="1:19" hidden="1" x14ac:dyDescent="0.35">
      <c r="A1728" s="1">
        <v>44462</v>
      </c>
      <c r="B1728" s="4">
        <v>23.8</v>
      </c>
      <c r="C1728">
        <v>20.6</v>
      </c>
      <c r="D1728">
        <v>28</v>
      </c>
      <c r="E1728" s="4">
        <v>0</v>
      </c>
      <c r="F1728" t="str">
        <f t="shared" si="915"/>
        <v>OK</v>
      </c>
      <c r="G1728" t="str">
        <f t="shared" si="916"/>
        <v>OK</v>
      </c>
      <c r="H1728" t="str">
        <f t="shared" si="917"/>
        <v>OK</v>
      </c>
      <c r="I1728" s="4">
        <f t="shared" si="918"/>
        <v>2021</v>
      </c>
    </row>
    <row r="1729" spans="1:19" x14ac:dyDescent="0.35">
      <c r="A1729" s="1">
        <v>44463</v>
      </c>
      <c r="B1729" s="4">
        <v>24</v>
      </c>
      <c r="C1729">
        <v>20.7</v>
      </c>
      <c r="D1729">
        <v>28.2</v>
      </c>
      <c r="E1729" s="4">
        <v>0.3</v>
      </c>
      <c r="F1729" t="str">
        <f t="shared" si="915"/>
        <v>OK</v>
      </c>
      <c r="G1729" t="str">
        <f t="shared" si="916"/>
        <v>OK</v>
      </c>
      <c r="H1729" t="str">
        <f t="shared" si="917"/>
        <v>OK</v>
      </c>
      <c r="I1729" s="4">
        <f t="shared" si="918"/>
        <v>2021</v>
      </c>
      <c r="J1729">
        <f t="shared" ref="J1729:J1734" si="923">( 377.84*B1729 + 3903.1)/550</f>
        <v>23.584109090909092</v>
      </c>
      <c r="K1729">
        <f t="shared" ref="K1729:K1734" si="924" xml:space="preserve"> (59.02*E1729 + 1383.4)/365</f>
        <v>3.8386465753424659</v>
      </c>
      <c r="R1729" s="4">
        <f t="shared" ref="R1729:R1734" si="925">J1729-B1729</f>
        <v>-0.41589090909090842</v>
      </c>
      <c r="S1729" s="4">
        <f t="shared" ref="S1729:S1734" si="926">K1729-E1729</f>
        <v>3.5386465753424661</v>
      </c>
    </row>
    <row r="1730" spans="1:19" x14ac:dyDescent="0.35">
      <c r="A1730" s="1">
        <v>44464</v>
      </c>
      <c r="B1730" s="4">
        <v>24.2</v>
      </c>
      <c r="C1730">
        <v>20.8</v>
      </c>
      <c r="D1730">
        <v>28.8</v>
      </c>
      <c r="E1730" s="4">
        <v>0.5</v>
      </c>
      <c r="F1730" t="str">
        <f t="shared" si="915"/>
        <v>OK</v>
      </c>
      <c r="G1730" t="str">
        <f t="shared" si="916"/>
        <v>OK</v>
      </c>
      <c r="H1730" t="str">
        <f t="shared" si="917"/>
        <v>OK</v>
      </c>
      <c r="I1730" s="4">
        <f t="shared" si="918"/>
        <v>2021</v>
      </c>
      <c r="J1730">
        <f t="shared" si="923"/>
        <v>23.721505454545454</v>
      </c>
      <c r="K1730">
        <f t="shared" si="924"/>
        <v>3.8709863013698631</v>
      </c>
      <c r="R1730" s="4">
        <f t="shared" si="925"/>
        <v>-0.47849454545454506</v>
      </c>
      <c r="S1730" s="4">
        <f t="shared" si="926"/>
        <v>3.3709863013698631</v>
      </c>
    </row>
    <row r="1731" spans="1:19" x14ac:dyDescent="0.35">
      <c r="A1731" s="1">
        <v>44465</v>
      </c>
      <c r="B1731" s="4">
        <v>23.1</v>
      </c>
      <c r="C1731">
        <v>20.100000000000001</v>
      </c>
      <c r="D1731">
        <v>29.2</v>
      </c>
      <c r="E1731" s="4">
        <v>12.2</v>
      </c>
      <c r="F1731" t="str">
        <f t="shared" si="915"/>
        <v>OK</v>
      </c>
      <c r="G1731" t="str">
        <f t="shared" si="916"/>
        <v>OK</v>
      </c>
      <c r="H1731" t="str">
        <f t="shared" si="917"/>
        <v>OK</v>
      </c>
      <c r="I1731" s="4">
        <f t="shared" si="918"/>
        <v>2021</v>
      </c>
      <c r="J1731">
        <f t="shared" si="923"/>
        <v>22.965825454545453</v>
      </c>
      <c r="K1731">
        <f t="shared" si="924"/>
        <v>5.7628602739726027</v>
      </c>
      <c r="R1731" s="4">
        <f t="shared" si="925"/>
        <v>-0.13417454545454888</v>
      </c>
      <c r="S1731" s="4">
        <f t="shared" si="926"/>
        <v>-6.4371397260273966</v>
      </c>
    </row>
    <row r="1732" spans="1:19" x14ac:dyDescent="0.35">
      <c r="A1732" s="1">
        <v>44466</v>
      </c>
      <c r="B1732" s="4">
        <v>22.7</v>
      </c>
      <c r="C1732">
        <v>20.2</v>
      </c>
      <c r="D1732">
        <v>27</v>
      </c>
      <c r="E1732" s="4">
        <v>0.5</v>
      </c>
      <c r="F1732" t="str">
        <f t="shared" si="915"/>
        <v>OK</v>
      </c>
      <c r="G1732" t="str">
        <f t="shared" si="916"/>
        <v>OK</v>
      </c>
      <c r="H1732" t="str">
        <f t="shared" si="917"/>
        <v>OK</v>
      </c>
      <c r="I1732" s="4">
        <f t="shared" si="918"/>
        <v>2021</v>
      </c>
      <c r="J1732">
        <f t="shared" si="923"/>
        <v>22.691032727272727</v>
      </c>
      <c r="K1732">
        <f t="shared" si="924"/>
        <v>3.8709863013698631</v>
      </c>
      <c r="R1732" s="4">
        <f t="shared" si="925"/>
        <v>-8.9672727272720465E-3</v>
      </c>
      <c r="S1732" s="4">
        <f t="shared" si="926"/>
        <v>3.3709863013698631</v>
      </c>
    </row>
    <row r="1733" spans="1:19" x14ac:dyDescent="0.35">
      <c r="A1733" s="1">
        <v>44467</v>
      </c>
      <c r="B1733" s="4">
        <v>22.3</v>
      </c>
      <c r="C1733">
        <v>18.8</v>
      </c>
      <c r="D1733">
        <v>27</v>
      </c>
      <c r="E1733" s="4">
        <v>10.199999999999999</v>
      </c>
      <c r="F1733" t="str">
        <f t="shared" si="915"/>
        <v>OK</v>
      </c>
      <c r="G1733" t="str">
        <f t="shared" si="916"/>
        <v>OK</v>
      </c>
      <c r="H1733" t="str">
        <f t="shared" si="917"/>
        <v>OK</v>
      </c>
      <c r="I1733" s="4">
        <f t="shared" si="918"/>
        <v>2021</v>
      </c>
      <c r="J1733">
        <f t="shared" si="923"/>
        <v>22.416240000000002</v>
      </c>
      <c r="K1733">
        <f t="shared" si="924"/>
        <v>5.4394630136986297</v>
      </c>
      <c r="R1733" s="4">
        <f t="shared" si="925"/>
        <v>0.11624000000000123</v>
      </c>
      <c r="S1733" s="4">
        <f t="shared" si="926"/>
        <v>-4.7605369863013696</v>
      </c>
    </row>
    <row r="1734" spans="1:19" x14ac:dyDescent="0.35">
      <c r="A1734" s="1">
        <v>44468</v>
      </c>
      <c r="B1734" s="4">
        <v>23.4</v>
      </c>
      <c r="C1734">
        <v>19.399999999999999</v>
      </c>
      <c r="D1734">
        <v>27.4</v>
      </c>
      <c r="E1734" s="4">
        <v>9.1</v>
      </c>
      <c r="F1734" t="str">
        <f t="shared" si="915"/>
        <v>OK</v>
      </c>
      <c r="G1734" t="str">
        <f t="shared" si="916"/>
        <v>OK</v>
      </c>
      <c r="H1734" t="str">
        <f t="shared" si="917"/>
        <v>OK</v>
      </c>
      <c r="I1734" s="4">
        <f t="shared" si="918"/>
        <v>2021</v>
      </c>
      <c r="J1734">
        <f t="shared" si="923"/>
        <v>23.171919999999997</v>
      </c>
      <c r="K1734">
        <f t="shared" si="924"/>
        <v>5.2615945205479449</v>
      </c>
      <c r="R1734" s="4">
        <f t="shared" si="925"/>
        <v>-0.22808000000000206</v>
      </c>
      <c r="S1734" s="4">
        <f t="shared" si="926"/>
        <v>-3.8384054794520548</v>
      </c>
    </row>
    <row r="1735" spans="1:19" hidden="1" x14ac:dyDescent="0.35">
      <c r="A1735" s="1">
        <v>44469</v>
      </c>
      <c r="B1735" s="4">
        <v>24</v>
      </c>
      <c r="C1735">
        <v>20.399999999999999</v>
      </c>
      <c r="D1735">
        <v>28</v>
      </c>
      <c r="E1735" s="4">
        <v>0</v>
      </c>
      <c r="F1735" t="str">
        <f t="shared" si="915"/>
        <v>OK</v>
      </c>
      <c r="G1735" t="str">
        <f t="shared" si="916"/>
        <v>OK</v>
      </c>
      <c r="H1735" t="str">
        <f t="shared" si="917"/>
        <v>OK</v>
      </c>
      <c r="I1735" s="4">
        <f t="shared" si="918"/>
        <v>2021</v>
      </c>
    </row>
    <row r="1736" spans="1:19" x14ac:dyDescent="0.35">
      <c r="A1736" s="1">
        <v>44470</v>
      </c>
      <c r="B1736" s="4">
        <v>23</v>
      </c>
      <c r="C1736">
        <v>19.899999999999999</v>
      </c>
      <c r="D1736">
        <v>29.8</v>
      </c>
      <c r="E1736" s="4">
        <v>8.5</v>
      </c>
      <c r="F1736" t="str">
        <f t="shared" si="915"/>
        <v>OK</v>
      </c>
      <c r="G1736" t="str">
        <f t="shared" si="916"/>
        <v>OK</v>
      </c>
      <c r="H1736" t="str">
        <f t="shared" si="917"/>
        <v>OK</v>
      </c>
      <c r="I1736" s="4">
        <f t="shared" si="918"/>
        <v>2021</v>
      </c>
      <c r="J1736">
        <f t="shared" ref="J1736:J1737" si="927">( 377.84*B1736 + 3903.1)/550</f>
        <v>22.897127272727271</v>
      </c>
      <c r="K1736">
        <f t="shared" ref="K1736:K1737" si="928" xml:space="preserve"> (59.02*E1736 + 1383.4)/365</f>
        <v>5.1645753424657537</v>
      </c>
      <c r="R1736" s="4">
        <f t="shared" ref="R1736:R1737" si="929">J1736-B1736</f>
        <v>-0.10287272727272878</v>
      </c>
      <c r="S1736" s="4">
        <f t="shared" ref="S1736:S1737" si="930">K1736-E1736</f>
        <v>-3.3354246575342463</v>
      </c>
    </row>
    <row r="1737" spans="1:19" x14ac:dyDescent="0.35">
      <c r="A1737" s="1">
        <v>44471</v>
      </c>
      <c r="B1737" s="4">
        <v>23.1</v>
      </c>
      <c r="C1737">
        <v>19.2</v>
      </c>
      <c r="D1737">
        <v>29</v>
      </c>
      <c r="E1737" s="4">
        <v>5.8</v>
      </c>
      <c r="F1737" t="str">
        <f t="shared" si="915"/>
        <v>OK</v>
      </c>
      <c r="G1737" t="str">
        <f t="shared" si="916"/>
        <v>OK</v>
      </c>
      <c r="H1737" t="str">
        <f t="shared" si="917"/>
        <v>OK</v>
      </c>
      <c r="I1737" s="4">
        <f t="shared" si="918"/>
        <v>2021</v>
      </c>
      <c r="J1737">
        <f t="shared" si="927"/>
        <v>22.965825454545453</v>
      </c>
      <c r="K1737">
        <f t="shared" si="928"/>
        <v>4.7279890410958911</v>
      </c>
      <c r="R1737" s="4">
        <f t="shared" si="929"/>
        <v>-0.13417454545454888</v>
      </c>
      <c r="S1737" s="4">
        <f t="shared" si="930"/>
        <v>-1.0720109589041087</v>
      </c>
    </row>
    <row r="1738" spans="1:19" hidden="1" x14ac:dyDescent="0.35">
      <c r="A1738" s="1">
        <v>44472</v>
      </c>
      <c r="B1738" s="4">
        <v>23.7</v>
      </c>
      <c r="C1738">
        <v>20</v>
      </c>
      <c r="D1738">
        <v>30</v>
      </c>
      <c r="E1738" s="4">
        <v>0</v>
      </c>
      <c r="F1738" t="str">
        <f t="shared" si="915"/>
        <v>OK</v>
      </c>
      <c r="G1738" t="str">
        <f t="shared" si="916"/>
        <v>OK</v>
      </c>
      <c r="H1738" t="str">
        <f t="shared" si="917"/>
        <v>OK</v>
      </c>
      <c r="I1738" s="4">
        <f t="shared" si="918"/>
        <v>2021</v>
      </c>
    </row>
    <row r="1739" spans="1:19" x14ac:dyDescent="0.35">
      <c r="A1739" s="1">
        <v>44473</v>
      </c>
      <c r="B1739" s="4">
        <v>24.8</v>
      </c>
      <c r="C1739">
        <v>20.2</v>
      </c>
      <c r="D1739">
        <v>29.7</v>
      </c>
      <c r="E1739" s="4">
        <v>64</v>
      </c>
      <c r="F1739" t="str">
        <f t="shared" si="915"/>
        <v>OK</v>
      </c>
      <c r="G1739" t="str">
        <f t="shared" si="916"/>
        <v>OK</v>
      </c>
      <c r="H1739" t="str">
        <f t="shared" si="917"/>
        <v>OK</v>
      </c>
      <c r="I1739" s="4">
        <f t="shared" si="918"/>
        <v>2021</v>
      </c>
      <c r="J1739">
        <f>( 377.84*B1739 + 3903.1)/550</f>
        <v>24.133694545454546</v>
      </c>
      <c r="K1739">
        <f xml:space="preserve"> (59.02*E1739 + 1383.4)/365</f>
        <v>14.138849315068494</v>
      </c>
      <c r="R1739" s="4">
        <f>J1739-B1739</f>
        <v>-0.66630545454545498</v>
      </c>
      <c r="S1739" s="4">
        <f>K1739-E1739</f>
        <v>-49.861150684931502</v>
      </c>
    </row>
    <row r="1740" spans="1:19" hidden="1" x14ac:dyDescent="0.35">
      <c r="A1740" s="1">
        <v>44474</v>
      </c>
      <c r="B1740" s="4">
        <v>23.3</v>
      </c>
      <c r="C1740">
        <v>19.100000000000001</v>
      </c>
      <c r="D1740">
        <v>30.6</v>
      </c>
      <c r="E1740" s="4">
        <v>0</v>
      </c>
      <c r="F1740" t="str">
        <f t="shared" si="915"/>
        <v>OK</v>
      </c>
      <c r="G1740" t="str">
        <f t="shared" si="916"/>
        <v>OK</v>
      </c>
      <c r="H1740" t="str">
        <f t="shared" si="917"/>
        <v>OK</v>
      </c>
      <c r="I1740" s="4">
        <f t="shared" si="918"/>
        <v>2021</v>
      </c>
    </row>
    <row r="1741" spans="1:19" x14ac:dyDescent="0.35">
      <c r="A1741" s="1">
        <v>44475</v>
      </c>
      <c r="B1741" s="4">
        <v>22.6</v>
      </c>
      <c r="C1741">
        <v>20.100000000000001</v>
      </c>
      <c r="D1741">
        <v>28</v>
      </c>
      <c r="E1741" s="4">
        <v>38.6</v>
      </c>
      <c r="F1741" t="str">
        <f t="shared" si="915"/>
        <v>OK</v>
      </c>
      <c r="G1741" t="str">
        <f t="shared" si="916"/>
        <v>OK</v>
      </c>
      <c r="H1741" t="str">
        <f t="shared" si="917"/>
        <v>OK</v>
      </c>
      <c r="I1741" s="4">
        <f t="shared" si="918"/>
        <v>2021</v>
      </c>
      <c r="J1741">
        <f t="shared" ref="J1741:J1754" si="931">( 377.84*B1741 + 3903.1)/550</f>
        <v>22.622334545454546</v>
      </c>
      <c r="K1741">
        <f t="shared" ref="K1741:K1754" si="932" xml:space="preserve"> (59.02*E1741 + 1383.4)/365</f>
        <v>10.031704109589041</v>
      </c>
      <c r="R1741" s="4">
        <f t="shared" ref="R1741:R1754" si="933">J1741-B1741</f>
        <v>2.2334545454544497E-2</v>
      </c>
      <c r="S1741" s="4">
        <f t="shared" ref="S1741:S1754" si="934">K1741-E1741</f>
        <v>-28.568295890410958</v>
      </c>
    </row>
    <row r="1742" spans="1:19" x14ac:dyDescent="0.35">
      <c r="A1742" s="1">
        <v>44476</v>
      </c>
      <c r="B1742" s="4">
        <v>24.9</v>
      </c>
      <c r="C1742">
        <v>21</v>
      </c>
      <c r="D1742">
        <v>29.6</v>
      </c>
      <c r="E1742" s="4">
        <v>0.5</v>
      </c>
      <c r="F1742" t="str">
        <f t="shared" si="915"/>
        <v>OK</v>
      </c>
      <c r="G1742" t="str">
        <f t="shared" si="916"/>
        <v>OK</v>
      </c>
      <c r="H1742" t="str">
        <f t="shared" si="917"/>
        <v>OK</v>
      </c>
      <c r="I1742" s="4">
        <f t="shared" si="918"/>
        <v>2021</v>
      </c>
      <c r="J1742">
        <f t="shared" si="931"/>
        <v>24.202392727272724</v>
      </c>
      <c r="K1742">
        <f t="shared" si="932"/>
        <v>3.8709863013698631</v>
      </c>
      <c r="R1742" s="4">
        <f t="shared" si="933"/>
        <v>-0.69760727272727507</v>
      </c>
      <c r="S1742" s="4">
        <f t="shared" si="934"/>
        <v>3.3709863013698631</v>
      </c>
    </row>
    <row r="1743" spans="1:19" x14ac:dyDescent="0.35">
      <c r="A1743" s="1">
        <v>44477</v>
      </c>
      <c r="B1743" s="4">
        <v>22.8</v>
      </c>
      <c r="C1743">
        <v>21.8</v>
      </c>
      <c r="D1743">
        <v>30.6</v>
      </c>
      <c r="E1743" s="4">
        <v>6.1</v>
      </c>
      <c r="F1743" t="str">
        <f t="shared" si="915"/>
        <v>OK</v>
      </c>
      <c r="G1743" t="str">
        <f t="shared" si="916"/>
        <v>OK</v>
      </c>
      <c r="H1743" t="str">
        <f t="shared" si="917"/>
        <v>OK</v>
      </c>
      <c r="I1743" s="4">
        <f t="shared" si="918"/>
        <v>2021</v>
      </c>
      <c r="J1743">
        <f t="shared" si="931"/>
        <v>22.759730909090912</v>
      </c>
      <c r="K1743">
        <f t="shared" si="932"/>
        <v>4.7764986301369863</v>
      </c>
      <c r="R1743" s="4">
        <f t="shared" si="933"/>
        <v>-4.026909090908859E-2</v>
      </c>
      <c r="S1743" s="4">
        <f t="shared" si="934"/>
        <v>-1.3235013698630134</v>
      </c>
    </row>
    <row r="1744" spans="1:19" x14ac:dyDescent="0.35">
      <c r="A1744" s="1">
        <v>44478</v>
      </c>
      <c r="B1744" s="4">
        <v>22.1</v>
      </c>
      <c r="C1744">
        <v>20.8</v>
      </c>
      <c r="D1744">
        <v>27.1</v>
      </c>
      <c r="E1744" s="4">
        <v>7.9</v>
      </c>
      <c r="F1744" t="str">
        <f t="shared" si="915"/>
        <v>OK</v>
      </c>
      <c r="G1744" t="str">
        <f t="shared" si="916"/>
        <v>OK</v>
      </c>
      <c r="H1744" t="str">
        <f t="shared" si="917"/>
        <v>OK</v>
      </c>
      <c r="I1744" s="4">
        <f t="shared" si="918"/>
        <v>2021</v>
      </c>
      <c r="J1744">
        <f t="shared" si="931"/>
        <v>22.278843636363636</v>
      </c>
      <c r="K1744">
        <f t="shared" si="932"/>
        <v>5.0675561643835616</v>
      </c>
      <c r="R1744" s="4">
        <f t="shared" si="933"/>
        <v>0.17884363636363432</v>
      </c>
      <c r="S1744" s="4">
        <f t="shared" si="934"/>
        <v>-2.8324438356164388</v>
      </c>
    </row>
    <row r="1745" spans="1:19" x14ac:dyDescent="0.35">
      <c r="A1745" s="1">
        <v>44479</v>
      </c>
      <c r="B1745" s="4">
        <v>22.5</v>
      </c>
      <c r="C1745">
        <v>21.1</v>
      </c>
      <c r="D1745">
        <v>26.3</v>
      </c>
      <c r="E1745" s="4">
        <v>14.5</v>
      </c>
      <c r="F1745" t="str">
        <f t="shared" si="915"/>
        <v>OK</v>
      </c>
      <c r="G1745" t="str">
        <f t="shared" si="916"/>
        <v>OK</v>
      </c>
      <c r="H1745" t="str">
        <f t="shared" si="917"/>
        <v>OK</v>
      </c>
      <c r="I1745" s="4">
        <f t="shared" si="918"/>
        <v>2021</v>
      </c>
      <c r="J1745">
        <f t="shared" si="931"/>
        <v>22.553636363636365</v>
      </c>
      <c r="K1745">
        <f t="shared" si="932"/>
        <v>6.1347671232876717</v>
      </c>
      <c r="R1745" s="4">
        <f t="shared" si="933"/>
        <v>5.3636363636364592E-2</v>
      </c>
      <c r="S1745" s="4">
        <f t="shared" si="934"/>
        <v>-8.3652328767123283</v>
      </c>
    </row>
    <row r="1746" spans="1:19" x14ac:dyDescent="0.35">
      <c r="A1746" s="1">
        <v>44480</v>
      </c>
      <c r="B1746" s="4">
        <v>22.8</v>
      </c>
      <c r="C1746">
        <v>19.600000000000001</v>
      </c>
      <c r="D1746">
        <v>27</v>
      </c>
      <c r="E1746" s="4">
        <v>13</v>
      </c>
      <c r="F1746" t="str">
        <f t="shared" si="915"/>
        <v>OK</v>
      </c>
      <c r="G1746" t="str">
        <f t="shared" si="916"/>
        <v>OK</v>
      </c>
      <c r="H1746" t="str">
        <f t="shared" si="917"/>
        <v>OK</v>
      </c>
      <c r="I1746" s="4">
        <f t="shared" si="918"/>
        <v>2021</v>
      </c>
      <c r="J1746">
        <f t="shared" si="931"/>
        <v>22.759730909090912</v>
      </c>
      <c r="K1746">
        <f t="shared" si="932"/>
        <v>5.8922191780821915</v>
      </c>
      <c r="R1746" s="4">
        <f t="shared" si="933"/>
        <v>-4.026909090908859E-2</v>
      </c>
      <c r="S1746" s="4">
        <f t="shared" si="934"/>
        <v>-7.1077808219178085</v>
      </c>
    </row>
    <row r="1747" spans="1:19" x14ac:dyDescent="0.35">
      <c r="A1747" s="1">
        <v>44481</v>
      </c>
      <c r="B1747" s="4">
        <v>22</v>
      </c>
      <c r="C1747">
        <v>19.399999999999999</v>
      </c>
      <c r="D1747">
        <v>27.5</v>
      </c>
      <c r="E1747" s="4">
        <v>32.5</v>
      </c>
      <c r="F1747" t="str">
        <f t="shared" si="915"/>
        <v>OK</v>
      </c>
      <c r="G1747" t="str">
        <f t="shared" si="916"/>
        <v>OK</v>
      </c>
      <c r="H1747" t="str">
        <f t="shared" si="917"/>
        <v>OK</v>
      </c>
      <c r="I1747" s="4">
        <f t="shared" si="918"/>
        <v>2021</v>
      </c>
      <c r="J1747">
        <f t="shared" si="931"/>
        <v>22.210145454545454</v>
      </c>
      <c r="K1747">
        <f t="shared" si="932"/>
        <v>9.0453424657534249</v>
      </c>
      <c r="R1747" s="4">
        <f t="shared" si="933"/>
        <v>0.21014545454545441</v>
      </c>
      <c r="S1747" s="4">
        <f t="shared" si="934"/>
        <v>-23.454657534246575</v>
      </c>
    </row>
    <row r="1748" spans="1:19" x14ac:dyDescent="0.35">
      <c r="A1748" s="1">
        <v>44482</v>
      </c>
      <c r="B1748" s="4">
        <v>22.8</v>
      </c>
      <c r="C1748">
        <v>19.7</v>
      </c>
      <c r="D1748">
        <v>27.8</v>
      </c>
      <c r="E1748" s="4">
        <v>18.3</v>
      </c>
      <c r="F1748" t="str">
        <f t="shared" si="915"/>
        <v>OK</v>
      </c>
      <c r="G1748" t="str">
        <f t="shared" si="916"/>
        <v>OK</v>
      </c>
      <c r="H1748" t="str">
        <f t="shared" si="917"/>
        <v>OK</v>
      </c>
      <c r="I1748" s="4">
        <f t="shared" si="918"/>
        <v>2021</v>
      </c>
      <c r="J1748">
        <f t="shared" si="931"/>
        <v>22.759730909090912</v>
      </c>
      <c r="K1748">
        <f t="shared" si="932"/>
        <v>6.74922191780822</v>
      </c>
      <c r="R1748" s="4">
        <f t="shared" si="933"/>
        <v>-4.026909090908859E-2</v>
      </c>
      <c r="S1748" s="4">
        <f t="shared" si="934"/>
        <v>-11.55077808219178</v>
      </c>
    </row>
    <row r="1749" spans="1:19" x14ac:dyDescent="0.35">
      <c r="A1749" s="1">
        <v>44483</v>
      </c>
      <c r="B1749" s="4">
        <v>24.2</v>
      </c>
      <c r="C1749">
        <v>20.399999999999999</v>
      </c>
      <c r="D1749">
        <v>28</v>
      </c>
      <c r="E1749" s="4">
        <v>26.9</v>
      </c>
      <c r="F1749" t="str">
        <f t="shared" si="915"/>
        <v>OK</v>
      </c>
      <c r="G1749" t="str">
        <f t="shared" si="916"/>
        <v>OK</v>
      </c>
      <c r="H1749" t="str">
        <f t="shared" si="917"/>
        <v>OK</v>
      </c>
      <c r="I1749" s="4">
        <f t="shared" si="918"/>
        <v>2021</v>
      </c>
      <c r="J1749">
        <f t="shared" si="931"/>
        <v>23.721505454545454</v>
      </c>
      <c r="K1749">
        <f t="shared" si="932"/>
        <v>8.1398301369863013</v>
      </c>
      <c r="R1749" s="4">
        <f t="shared" si="933"/>
        <v>-0.47849454545454506</v>
      </c>
      <c r="S1749" s="4">
        <f t="shared" si="934"/>
        <v>-18.760169863013697</v>
      </c>
    </row>
    <row r="1750" spans="1:19" x14ac:dyDescent="0.35">
      <c r="A1750" s="1">
        <v>44484</v>
      </c>
      <c r="B1750" s="4">
        <v>23.6</v>
      </c>
      <c r="C1750">
        <v>21.5</v>
      </c>
      <c r="D1750">
        <v>29</v>
      </c>
      <c r="E1750" s="4">
        <v>39.6</v>
      </c>
      <c r="F1750" t="str">
        <f t="shared" si="915"/>
        <v>OK</v>
      </c>
      <c r="G1750" t="str">
        <f t="shared" si="916"/>
        <v>OK</v>
      </c>
      <c r="H1750" t="str">
        <f t="shared" si="917"/>
        <v>OK</v>
      </c>
      <c r="I1750" s="4">
        <f t="shared" si="918"/>
        <v>2021</v>
      </c>
      <c r="J1750">
        <f t="shared" si="931"/>
        <v>23.309316363636363</v>
      </c>
      <c r="K1750">
        <f t="shared" si="932"/>
        <v>10.193402739726027</v>
      </c>
      <c r="R1750" s="4">
        <f t="shared" si="933"/>
        <v>-0.2906836363636387</v>
      </c>
      <c r="S1750" s="4">
        <f t="shared" si="934"/>
        <v>-29.406597260273976</v>
      </c>
    </row>
    <row r="1751" spans="1:19" x14ac:dyDescent="0.35">
      <c r="A1751" s="1">
        <v>44485</v>
      </c>
      <c r="B1751" s="4">
        <v>23.8</v>
      </c>
      <c r="C1751">
        <v>19.399999999999999</v>
      </c>
      <c r="D1751">
        <v>28.3</v>
      </c>
      <c r="E1751" s="4">
        <v>15</v>
      </c>
      <c r="F1751" t="str">
        <f t="shared" si="915"/>
        <v>OK</v>
      </c>
      <c r="G1751" t="str">
        <f t="shared" si="916"/>
        <v>OK</v>
      </c>
      <c r="H1751" t="str">
        <f t="shared" si="917"/>
        <v>OK</v>
      </c>
      <c r="I1751" s="4">
        <f t="shared" si="918"/>
        <v>2021</v>
      </c>
      <c r="J1751">
        <f t="shared" si="931"/>
        <v>23.446712727272729</v>
      </c>
      <c r="K1751">
        <f t="shared" si="932"/>
        <v>6.2156164383561654</v>
      </c>
      <c r="R1751" s="4">
        <f t="shared" si="933"/>
        <v>-0.35328727272727178</v>
      </c>
      <c r="S1751" s="4">
        <f t="shared" si="934"/>
        <v>-8.7843835616438355</v>
      </c>
    </row>
    <row r="1752" spans="1:19" x14ac:dyDescent="0.35">
      <c r="A1752" s="1">
        <v>44486</v>
      </c>
      <c r="B1752" s="4">
        <v>22.7</v>
      </c>
      <c r="C1752">
        <v>20.6</v>
      </c>
      <c r="D1752">
        <v>28.9</v>
      </c>
      <c r="E1752" s="4">
        <v>7.1</v>
      </c>
      <c r="F1752" t="str">
        <f t="shared" si="915"/>
        <v>OK</v>
      </c>
      <c r="G1752" t="str">
        <f t="shared" si="916"/>
        <v>OK</v>
      </c>
      <c r="H1752" t="str">
        <f t="shared" si="917"/>
        <v>OK</v>
      </c>
      <c r="I1752" s="4">
        <f t="shared" si="918"/>
        <v>2021</v>
      </c>
      <c r="J1752">
        <f t="shared" si="931"/>
        <v>22.691032727272727</v>
      </c>
      <c r="K1752">
        <f t="shared" si="932"/>
        <v>4.9381972602739728</v>
      </c>
      <c r="R1752" s="4">
        <f t="shared" si="933"/>
        <v>-8.9672727272720465E-3</v>
      </c>
      <c r="S1752" s="4">
        <f t="shared" si="934"/>
        <v>-2.1618027397260269</v>
      </c>
    </row>
    <row r="1753" spans="1:19" x14ac:dyDescent="0.35">
      <c r="A1753" s="1">
        <v>44487</v>
      </c>
      <c r="B1753" s="4">
        <v>22.9</v>
      </c>
      <c r="C1753">
        <v>20.8</v>
      </c>
      <c r="D1753">
        <v>26.7</v>
      </c>
      <c r="E1753" s="4">
        <v>0.8</v>
      </c>
      <c r="F1753" t="str">
        <f t="shared" si="915"/>
        <v>OK</v>
      </c>
      <c r="G1753" t="str">
        <f t="shared" si="916"/>
        <v>OK</v>
      </c>
      <c r="H1753" t="str">
        <f t="shared" si="917"/>
        <v>OK</v>
      </c>
      <c r="I1753" s="4">
        <f t="shared" si="918"/>
        <v>2021</v>
      </c>
      <c r="J1753">
        <f t="shared" si="931"/>
        <v>22.82842909090909</v>
      </c>
      <c r="K1753">
        <f t="shared" si="932"/>
        <v>3.9194958904109587</v>
      </c>
      <c r="R1753" s="4">
        <f t="shared" si="933"/>
        <v>-7.1570909090908685E-2</v>
      </c>
      <c r="S1753" s="4">
        <f t="shared" si="934"/>
        <v>3.1194958904109589</v>
      </c>
    </row>
    <row r="1754" spans="1:19" x14ac:dyDescent="0.35">
      <c r="A1754" s="1">
        <v>44488</v>
      </c>
      <c r="B1754" s="4">
        <v>23.8</v>
      </c>
      <c r="C1754">
        <v>20.5</v>
      </c>
      <c r="D1754">
        <v>27.6</v>
      </c>
      <c r="E1754" s="4">
        <v>15.2</v>
      </c>
      <c r="F1754" t="str">
        <f t="shared" si="915"/>
        <v>OK</v>
      </c>
      <c r="G1754" t="str">
        <f t="shared" si="916"/>
        <v>OK</v>
      </c>
      <c r="H1754" t="str">
        <f t="shared" si="917"/>
        <v>OK</v>
      </c>
      <c r="I1754" s="4">
        <f t="shared" si="918"/>
        <v>2021</v>
      </c>
      <c r="J1754">
        <f t="shared" si="931"/>
        <v>23.446712727272729</v>
      </c>
      <c r="K1754">
        <f t="shared" si="932"/>
        <v>6.2479561643835613</v>
      </c>
      <c r="R1754" s="4">
        <f t="shared" si="933"/>
        <v>-0.35328727272727178</v>
      </c>
      <c r="S1754" s="4">
        <f t="shared" si="934"/>
        <v>-8.952043835616438</v>
      </c>
    </row>
    <row r="1755" spans="1:19" hidden="1" x14ac:dyDescent="0.35">
      <c r="A1755" s="1">
        <v>44489</v>
      </c>
      <c r="B1755" s="4">
        <v>24.7</v>
      </c>
      <c r="C1755">
        <v>20</v>
      </c>
      <c r="D1755">
        <v>28.8</v>
      </c>
      <c r="E1755" s="4">
        <v>0</v>
      </c>
      <c r="F1755" t="str">
        <f t="shared" si="915"/>
        <v>OK</v>
      </c>
      <c r="G1755" t="str">
        <f t="shared" si="916"/>
        <v>OK</v>
      </c>
      <c r="H1755" t="str">
        <f t="shared" si="917"/>
        <v>OK</v>
      </c>
      <c r="I1755" s="4">
        <f t="shared" si="918"/>
        <v>2021</v>
      </c>
    </row>
    <row r="1756" spans="1:19" x14ac:dyDescent="0.35">
      <c r="A1756" s="1">
        <v>44490</v>
      </c>
      <c r="B1756" s="4">
        <v>25.5</v>
      </c>
      <c r="C1756">
        <v>20.9</v>
      </c>
      <c r="D1756">
        <v>29.3</v>
      </c>
      <c r="E1756" s="4">
        <v>0.5</v>
      </c>
      <c r="F1756" t="str">
        <f t="shared" si="915"/>
        <v>OK</v>
      </c>
      <c r="G1756" t="str">
        <f t="shared" si="916"/>
        <v>OK</v>
      </c>
      <c r="H1756" t="str">
        <f t="shared" si="917"/>
        <v>OK</v>
      </c>
      <c r="I1756" s="4">
        <f t="shared" si="918"/>
        <v>2021</v>
      </c>
      <c r="J1756">
        <f t="shared" ref="J1756:J1759" si="935">( 377.84*B1756 + 3903.1)/550</f>
        <v>24.614581818181819</v>
      </c>
      <c r="K1756">
        <f t="shared" ref="K1756:K1759" si="936" xml:space="preserve"> (59.02*E1756 + 1383.4)/365</f>
        <v>3.8709863013698631</v>
      </c>
      <c r="R1756" s="4">
        <f t="shared" ref="R1756:R1759" si="937">J1756-B1756</f>
        <v>-0.88541818181818144</v>
      </c>
      <c r="S1756" s="4">
        <f t="shared" ref="S1756:S1759" si="938">K1756-E1756</f>
        <v>3.3709863013698631</v>
      </c>
    </row>
    <row r="1757" spans="1:19" x14ac:dyDescent="0.35">
      <c r="A1757" s="1">
        <v>44491</v>
      </c>
      <c r="B1757" s="4">
        <v>25.1</v>
      </c>
      <c r="C1757">
        <v>18.5</v>
      </c>
      <c r="D1757">
        <v>30.7</v>
      </c>
      <c r="E1757" s="4">
        <v>0.3</v>
      </c>
      <c r="F1757" t="str">
        <f t="shared" si="915"/>
        <v>OK</v>
      </c>
      <c r="G1757" t="str">
        <f t="shared" si="916"/>
        <v>OK</v>
      </c>
      <c r="H1757" t="str">
        <f t="shared" si="917"/>
        <v>OK</v>
      </c>
      <c r="I1757" s="4">
        <f t="shared" si="918"/>
        <v>2021</v>
      </c>
      <c r="J1757">
        <f t="shared" si="935"/>
        <v>24.33978909090909</v>
      </c>
      <c r="K1757">
        <f t="shared" si="936"/>
        <v>3.8386465753424659</v>
      </c>
      <c r="R1757" s="4">
        <f t="shared" si="937"/>
        <v>-0.76021090909091171</v>
      </c>
      <c r="S1757" s="4">
        <f t="shared" si="938"/>
        <v>3.5386465753424661</v>
      </c>
    </row>
    <row r="1758" spans="1:19" x14ac:dyDescent="0.35">
      <c r="A1758" s="1">
        <v>44492</v>
      </c>
      <c r="B1758" s="4">
        <v>24.1</v>
      </c>
      <c r="C1758">
        <v>20.399999999999999</v>
      </c>
      <c r="D1758">
        <v>31.6</v>
      </c>
      <c r="E1758" s="4">
        <v>17.3</v>
      </c>
      <c r="F1758" t="str">
        <f t="shared" si="915"/>
        <v>OK</v>
      </c>
      <c r="G1758" t="str">
        <f t="shared" si="916"/>
        <v>OK</v>
      </c>
      <c r="H1758" t="str">
        <f t="shared" si="917"/>
        <v>OK</v>
      </c>
      <c r="I1758" s="4">
        <f t="shared" si="918"/>
        <v>2021</v>
      </c>
      <c r="J1758">
        <f t="shared" si="935"/>
        <v>23.652807272727273</v>
      </c>
      <c r="K1758">
        <f t="shared" si="936"/>
        <v>6.5875232876712326</v>
      </c>
      <c r="R1758" s="4">
        <f t="shared" si="937"/>
        <v>-0.44719272727272852</v>
      </c>
      <c r="S1758" s="4">
        <f t="shared" si="938"/>
        <v>-10.712476712328769</v>
      </c>
    </row>
    <row r="1759" spans="1:19" x14ac:dyDescent="0.35">
      <c r="A1759" s="1">
        <v>44493</v>
      </c>
      <c r="B1759" s="4">
        <v>24.3</v>
      </c>
      <c r="C1759">
        <v>19.2</v>
      </c>
      <c r="D1759">
        <v>30.1</v>
      </c>
      <c r="E1759" s="4">
        <v>41.9</v>
      </c>
      <c r="F1759" t="str">
        <f t="shared" si="915"/>
        <v>OK</v>
      </c>
      <c r="G1759" t="str">
        <f t="shared" si="916"/>
        <v>OK</v>
      </c>
      <c r="H1759" t="str">
        <f t="shared" si="917"/>
        <v>OK</v>
      </c>
      <c r="I1759" s="4">
        <f t="shared" si="918"/>
        <v>2021</v>
      </c>
      <c r="J1759">
        <f t="shared" si="935"/>
        <v>23.790203636363636</v>
      </c>
      <c r="K1759">
        <f t="shared" si="936"/>
        <v>10.565309589041096</v>
      </c>
      <c r="R1759" s="4">
        <f t="shared" si="937"/>
        <v>-0.50979636363636516</v>
      </c>
      <c r="S1759" s="4">
        <f t="shared" si="938"/>
        <v>-31.334690410958903</v>
      </c>
    </row>
    <row r="1760" spans="1:19" hidden="1" x14ac:dyDescent="0.35">
      <c r="A1760" s="1">
        <v>44494</v>
      </c>
      <c r="B1760" s="4">
        <v>23.9</v>
      </c>
      <c r="C1760">
        <v>20.9</v>
      </c>
      <c r="D1760">
        <v>29.4</v>
      </c>
      <c r="E1760" s="4">
        <v>0</v>
      </c>
      <c r="F1760" t="str">
        <f t="shared" si="915"/>
        <v>OK</v>
      </c>
      <c r="G1760" t="str">
        <f t="shared" si="916"/>
        <v>OK</v>
      </c>
      <c r="H1760" t="str">
        <f t="shared" si="917"/>
        <v>OK</v>
      </c>
      <c r="I1760" s="4">
        <f t="shared" si="918"/>
        <v>2021</v>
      </c>
    </row>
    <row r="1761" spans="1:19" x14ac:dyDescent="0.35">
      <c r="A1761" s="1">
        <v>44495</v>
      </c>
      <c r="B1761" s="4">
        <v>22.5</v>
      </c>
      <c r="C1761">
        <v>17.8</v>
      </c>
      <c r="D1761">
        <v>27</v>
      </c>
      <c r="E1761" s="4">
        <v>0.8</v>
      </c>
      <c r="F1761" t="str">
        <f t="shared" si="915"/>
        <v>OK</v>
      </c>
      <c r="G1761" t="str">
        <f t="shared" si="916"/>
        <v>OK</v>
      </c>
      <c r="H1761" t="str">
        <f t="shared" si="917"/>
        <v>OK</v>
      </c>
      <c r="I1761" s="4">
        <f t="shared" si="918"/>
        <v>2021</v>
      </c>
      <c r="J1761">
        <f>( 377.84*B1761 + 3903.1)/550</f>
        <v>22.553636363636365</v>
      </c>
      <c r="K1761">
        <f xml:space="preserve"> (59.02*E1761 + 1383.4)/365</f>
        <v>3.9194958904109587</v>
      </c>
      <c r="R1761" s="4">
        <f>J1761-B1761</f>
        <v>5.3636363636364592E-2</v>
      </c>
      <c r="S1761" s="4">
        <f>K1761-E1761</f>
        <v>3.1194958904109589</v>
      </c>
    </row>
    <row r="1762" spans="1:19" hidden="1" x14ac:dyDescent="0.35">
      <c r="A1762" s="1">
        <v>44496</v>
      </c>
      <c r="B1762" s="4">
        <v>22.3</v>
      </c>
      <c r="C1762">
        <v>18.3</v>
      </c>
      <c r="D1762">
        <v>26.6</v>
      </c>
      <c r="E1762" s="4">
        <v>0</v>
      </c>
      <c r="F1762" t="str">
        <f t="shared" si="915"/>
        <v>OK</v>
      </c>
      <c r="G1762" t="str">
        <f t="shared" si="916"/>
        <v>OK</v>
      </c>
      <c r="H1762" t="str">
        <f t="shared" si="917"/>
        <v>OK</v>
      </c>
      <c r="I1762" s="4">
        <f t="shared" si="918"/>
        <v>2021</v>
      </c>
    </row>
    <row r="1763" spans="1:19" x14ac:dyDescent="0.35">
      <c r="A1763" s="1">
        <v>44497</v>
      </c>
      <c r="B1763" s="4">
        <v>22</v>
      </c>
      <c r="C1763">
        <v>17.2</v>
      </c>
      <c r="D1763">
        <v>27.4</v>
      </c>
      <c r="E1763" s="4">
        <v>0.1</v>
      </c>
      <c r="F1763" t="str">
        <f t="shared" si="915"/>
        <v>OK</v>
      </c>
      <c r="G1763" t="str">
        <f t="shared" si="916"/>
        <v>OK</v>
      </c>
      <c r="H1763" t="str">
        <f t="shared" si="917"/>
        <v>OK</v>
      </c>
      <c r="I1763" s="4">
        <f t="shared" si="918"/>
        <v>2021</v>
      </c>
      <c r="J1763">
        <f t="shared" ref="J1763:J1768" si="939">( 377.84*B1763 + 3903.1)/550</f>
        <v>22.210145454545454</v>
      </c>
      <c r="K1763">
        <f t="shared" ref="K1763:K1768" si="940" xml:space="preserve"> (59.02*E1763 + 1383.4)/365</f>
        <v>3.8063068493150687</v>
      </c>
      <c r="R1763" s="4">
        <f t="shared" ref="R1763:R1768" si="941">J1763-B1763</f>
        <v>0.21014545454545441</v>
      </c>
      <c r="S1763" s="4">
        <f t="shared" ref="S1763:S1768" si="942">K1763-E1763</f>
        <v>3.7063068493150686</v>
      </c>
    </row>
    <row r="1764" spans="1:19" x14ac:dyDescent="0.35">
      <c r="A1764" s="1">
        <v>44498</v>
      </c>
      <c r="B1764" s="4">
        <v>21.6</v>
      </c>
      <c r="C1764">
        <v>18.899999999999999</v>
      </c>
      <c r="D1764">
        <v>25.7</v>
      </c>
      <c r="E1764" s="4">
        <v>10.3</v>
      </c>
      <c r="F1764" t="str">
        <f t="shared" si="915"/>
        <v>OK</v>
      </c>
      <c r="G1764" t="str">
        <f t="shared" si="916"/>
        <v>OK</v>
      </c>
      <c r="H1764" t="str">
        <f t="shared" si="917"/>
        <v>OK</v>
      </c>
      <c r="I1764" s="4">
        <f t="shared" si="918"/>
        <v>2021</v>
      </c>
      <c r="J1764">
        <f t="shared" si="939"/>
        <v>21.935352727272726</v>
      </c>
      <c r="K1764">
        <f t="shared" si="940"/>
        <v>5.455632876712329</v>
      </c>
      <c r="R1764" s="4">
        <f t="shared" si="941"/>
        <v>0.33535272727272414</v>
      </c>
      <c r="S1764" s="4">
        <f t="shared" si="942"/>
        <v>-4.8443671232876717</v>
      </c>
    </row>
    <row r="1765" spans="1:19" x14ac:dyDescent="0.35">
      <c r="A1765" s="1">
        <v>44499</v>
      </c>
      <c r="B1765" s="4">
        <v>22.5</v>
      </c>
      <c r="C1765">
        <v>19.899999999999999</v>
      </c>
      <c r="D1765">
        <v>26.8</v>
      </c>
      <c r="E1765" s="4">
        <v>5</v>
      </c>
      <c r="F1765" t="str">
        <f t="shared" si="915"/>
        <v>OK</v>
      </c>
      <c r="G1765" t="str">
        <f t="shared" si="916"/>
        <v>OK</v>
      </c>
      <c r="H1765" t="str">
        <f t="shared" si="917"/>
        <v>OK</v>
      </c>
      <c r="I1765" s="4">
        <f t="shared" si="918"/>
        <v>2021</v>
      </c>
      <c r="J1765">
        <f t="shared" si="939"/>
        <v>22.553636363636365</v>
      </c>
      <c r="K1765">
        <f t="shared" si="940"/>
        <v>4.5986301369863014</v>
      </c>
      <c r="R1765" s="4">
        <f t="shared" si="941"/>
        <v>5.3636363636364592E-2</v>
      </c>
      <c r="S1765" s="4">
        <f t="shared" si="942"/>
        <v>-0.40136986301369859</v>
      </c>
    </row>
    <row r="1766" spans="1:19" x14ac:dyDescent="0.35">
      <c r="A1766" s="1">
        <v>44500</v>
      </c>
      <c r="B1766" s="4">
        <v>22.3</v>
      </c>
      <c r="C1766">
        <v>19.7</v>
      </c>
      <c r="D1766">
        <v>26.8</v>
      </c>
      <c r="E1766" s="4">
        <v>8.6</v>
      </c>
      <c r="F1766" t="str">
        <f t="shared" si="915"/>
        <v>OK</v>
      </c>
      <c r="G1766" t="str">
        <f t="shared" si="916"/>
        <v>OK</v>
      </c>
      <c r="H1766" t="str">
        <f t="shared" si="917"/>
        <v>OK</v>
      </c>
      <c r="I1766" s="4">
        <f t="shared" si="918"/>
        <v>2021</v>
      </c>
      <c r="J1766">
        <f t="shared" si="939"/>
        <v>22.416240000000002</v>
      </c>
      <c r="K1766">
        <f t="shared" si="940"/>
        <v>5.1807452054794529</v>
      </c>
      <c r="R1766" s="4">
        <f t="shared" si="941"/>
        <v>0.11624000000000123</v>
      </c>
      <c r="S1766" s="4">
        <f t="shared" si="942"/>
        <v>-3.4192547945205467</v>
      </c>
    </row>
    <row r="1767" spans="1:19" x14ac:dyDescent="0.35">
      <c r="A1767" s="1">
        <v>44501</v>
      </c>
      <c r="B1767" s="4">
        <v>21.7</v>
      </c>
      <c r="C1767">
        <v>19.600000000000001</v>
      </c>
      <c r="D1767">
        <v>26.8</v>
      </c>
      <c r="E1767" s="4">
        <v>8.6999999999999993</v>
      </c>
      <c r="F1767" t="str">
        <f t="shared" si="915"/>
        <v>OK</v>
      </c>
      <c r="G1767" t="str">
        <f t="shared" si="916"/>
        <v>OK</v>
      </c>
      <c r="H1767" t="str">
        <f t="shared" si="917"/>
        <v>OK</v>
      </c>
      <c r="I1767" s="4">
        <f t="shared" si="918"/>
        <v>2021</v>
      </c>
      <c r="J1767">
        <f t="shared" si="939"/>
        <v>22.004050909090907</v>
      </c>
      <c r="K1767">
        <f t="shared" si="940"/>
        <v>5.1969150684931504</v>
      </c>
      <c r="R1767" s="4">
        <f t="shared" si="941"/>
        <v>0.3040509090909076</v>
      </c>
      <c r="S1767" s="4">
        <f t="shared" si="942"/>
        <v>-3.5030849315068489</v>
      </c>
    </row>
    <row r="1768" spans="1:19" x14ac:dyDescent="0.35">
      <c r="A1768" s="1">
        <v>44502</v>
      </c>
      <c r="B1768" s="4">
        <v>21.9</v>
      </c>
      <c r="C1768">
        <v>19.5</v>
      </c>
      <c r="D1768">
        <v>25.9</v>
      </c>
      <c r="E1768" s="4">
        <v>5.3</v>
      </c>
      <c r="F1768" t="str">
        <f t="shared" si="915"/>
        <v>OK</v>
      </c>
      <c r="G1768" t="str">
        <f t="shared" si="916"/>
        <v>OK</v>
      </c>
      <c r="H1768" t="str">
        <f t="shared" si="917"/>
        <v>OK</v>
      </c>
      <c r="I1768" s="4">
        <f t="shared" si="918"/>
        <v>2021</v>
      </c>
      <c r="J1768">
        <f t="shared" si="939"/>
        <v>22.14144727272727</v>
      </c>
      <c r="K1768">
        <f t="shared" si="940"/>
        <v>4.6471397260273974</v>
      </c>
      <c r="R1768" s="4">
        <f t="shared" si="941"/>
        <v>0.24144727272727096</v>
      </c>
      <c r="S1768" s="4">
        <f t="shared" si="942"/>
        <v>-0.65286027397260238</v>
      </c>
    </row>
    <row r="1769" spans="1:19" hidden="1" x14ac:dyDescent="0.35">
      <c r="A1769" s="1">
        <v>44503</v>
      </c>
      <c r="B1769" s="4">
        <v>22.3</v>
      </c>
      <c r="C1769">
        <v>20.2</v>
      </c>
      <c r="D1769">
        <v>26.8</v>
      </c>
      <c r="E1769" s="4">
        <v>0</v>
      </c>
      <c r="F1769" t="str">
        <f t="shared" si="915"/>
        <v>OK</v>
      </c>
      <c r="G1769" t="str">
        <f t="shared" si="916"/>
        <v>OK</v>
      </c>
      <c r="H1769" t="str">
        <f t="shared" si="917"/>
        <v>OK</v>
      </c>
      <c r="I1769" s="4">
        <f t="shared" si="918"/>
        <v>2021</v>
      </c>
    </row>
    <row r="1770" spans="1:19" x14ac:dyDescent="0.35">
      <c r="A1770" s="1">
        <v>44504</v>
      </c>
      <c r="B1770" s="4">
        <v>22.1</v>
      </c>
      <c r="C1770">
        <v>19.399999999999999</v>
      </c>
      <c r="D1770">
        <v>27</v>
      </c>
      <c r="E1770" s="4">
        <v>10.7</v>
      </c>
      <c r="F1770" t="str">
        <f t="shared" si="915"/>
        <v>OK</v>
      </c>
      <c r="G1770" t="str">
        <f t="shared" si="916"/>
        <v>OK</v>
      </c>
      <c r="H1770" t="str">
        <f t="shared" si="917"/>
        <v>OK</v>
      </c>
      <c r="I1770" s="4">
        <f t="shared" si="918"/>
        <v>2021</v>
      </c>
      <c r="J1770">
        <f t="shared" ref="J1770:J1771" si="943">( 377.84*B1770 + 3903.1)/550</f>
        <v>22.278843636363636</v>
      </c>
      <c r="K1770">
        <f t="shared" ref="K1770:K1771" si="944" xml:space="preserve"> (59.02*E1770 + 1383.4)/365</f>
        <v>5.5203123287671243</v>
      </c>
      <c r="R1770" s="4">
        <f t="shared" ref="R1770:R1771" si="945">J1770-B1770</f>
        <v>0.17884363636363432</v>
      </c>
      <c r="S1770" s="4">
        <f t="shared" ref="S1770:S1771" si="946">K1770-E1770</f>
        <v>-5.179687671232875</v>
      </c>
    </row>
    <row r="1771" spans="1:19" x14ac:dyDescent="0.35">
      <c r="A1771" s="1">
        <v>44505</v>
      </c>
      <c r="B1771" s="4">
        <v>21.7</v>
      </c>
      <c r="C1771">
        <v>19.2</v>
      </c>
      <c r="D1771">
        <v>28.4</v>
      </c>
      <c r="E1771" s="4">
        <v>55.9</v>
      </c>
      <c r="F1771" t="str">
        <f t="shared" si="915"/>
        <v>OK</v>
      </c>
      <c r="G1771" t="str">
        <f t="shared" si="916"/>
        <v>OK</v>
      </c>
      <c r="H1771" t="str">
        <f t="shared" si="917"/>
        <v>OK</v>
      </c>
      <c r="I1771" s="4">
        <f t="shared" si="918"/>
        <v>2021</v>
      </c>
      <c r="J1771">
        <f t="shared" si="943"/>
        <v>22.004050909090907</v>
      </c>
      <c r="K1771">
        <f t="shared" si="944"/>
        <v>12.829090410958905</v>
      </c>
      <c r="R1771" s="4">
        <f t="shared" si="945"/>
        <v>0.3040509090909076</v>
      </c>
      <c r="S1771" s="4">
        <f t="shared" si="946"/>
        <v>-43.070909589041094</v>
      </c>
    </row>
    <row r="1772" spans="1:19" hidden="1" x14ac:dyDescent="0.35">
      <c r="A1772" s="1">
        <v>44506</v>
      </c>
      <c r="B1772" s="4">
        <v>22.8</v>
      </c>
      <c r="C1772">
        <v>18.3</v>
      </c>
      <c r="D1772">
        <v>26.6</v>
      </c>
      <c r="E1772" s="4">
        <v>0</v>
      </c>
      <c r="F1772" t="str">
        <f t="shared" si="915"/>
        <v>OK</v>
      </c>
      <c r="G1772" t="str">
        <f t="shared" si="916"/>
        <v>OK</v>
      </c>
      <c r="H1772" t="str">
        <f t="shared" si="917"/>
        <v>OK</v>
      </c>
      <c r="I1772" s="4">
        <f t="shared" si="918"/>
        <v>2021</v>
      </c>
    </row>
    <row r="1773" spans="1:19" x14ac:dyDescent="0.35">
      <c r="A1773" s="1">
        <v>44507</v>
      </c>
      <c r="B1773" s="4">
        <v>21</v>
      </c>
      <c r="C1773">
        <v>19.2</v>
      </c>
      <c r="D1773">
        <v>23.6</v>
      </c>
      <c r="E1773" s="4">
        <v>3.7</v>
      </c>
      <c r="F1773" t="str">
        <f t="shared" si="915"/>
        <v>OK</v>
      </c>
      <c r="G1773" t="str">
        <f t="shared" si="916"/>
        <v>OK</v>
      </c>
      <c r="H1773" t="str">
        <f t="shared" si="917"/>
        <v>OK</v>
      </c>
      <c r="I1773" s="4">
        <f t="shared" si="918"/>
        <v>2021</v>
      </c>
      <c r="J1773">
        <f t="shared" ref="J1773:J1775" si="947">( 377.84*B1773 + 3903.1)/550</f>
        <v>21.523163636363638</v>
      </c>
      <c r="K1773">
        <f t="shared" ref="K1773:K1775" si="948" xml:space="preserve"> (59.02*E1773 + 1383.4)/365</f>
        <v>4.3884219178082198</v>
      </c>
      <c r="R1773" s="4">
        <f t="shared" ref="R1773:R1775" si="949">J1773-B1773</f>
        <v>0.52316363636363761</v>
      </c>
      <c r="S1773" s="4">
        <f t="shared" ref="S1773:S1775" si="950">K1773-E1773</f>
        <v>0.6884219178082196</v>
      </c>
    </row>
    <row r="1774" spans="1:19" x14ac:dyDescent="0.35">
      <c r="A1774" s="1">
        <v>44508</v>
      </c>
      <c r="B1774" s="4">
        <v>20.5</v>
      </c>
      <c r="C1774">
        <v>19.5</v>
      </c>
      <c r="D1774">
        <v>24.5</v>
      </c>
      <c r="E1774" s="4">
        <v>2</v>
      </c>
      <c r="F1774" t="str">
        <f t="shared" si="915"/>
        <v>OK</v>
      </c>
      <c r="G1774" t="str">
        <f t="shared" si="916"/>
        <v>OK</v>
      </c>
      <c r="H1774" t="str">
        <f t="shared" si="917"/>
        <v>OK</v>
      </c>
      <c r="I1774" s="4">
        <f t="shared" si="918"/>
        <v>2021</v>
      </c>
      <c r="J1774">
        <f t="shared" si="947"/>
        <v>21.179672727272727</v>
      </c>
      <c r="K1774">
        <f t="shared" si="948"/>
        <v>4.1135342465753428</v>
      </c>
      <c r="R1774" s="4">
        <f t="shared" si="949"/>
        <v>0.67967272727272743</v>
      </c>
      <c r="S1774" s="4">
        <f t="shared" si="950"/>
        <v>2.1135342465753428</v>
      </c>
    </row>
    <row r="1775" spans="1:19" x14ac:dyDescent="0.35">
      <c r="A1775" s="1">
        <v>44509</v>
      </c>
      <c r="B1775" s="4">
        <v>21.4</v>
      </c>
      <c r="C1775">
        <v>18.2</v>
      </c>
      <c r="D1775">
        <v>25.6</v>
      </c>
      <c r="E1775" s="4">
        <v>1</v>
      </c>
      <c r="F1775" t="str">
        <f t="shared" si="915"/>
        <v>OK</v>
      </c>
      <c r="G1775" t="str">
        <f t="shared" si="916"/>
        <v>OK</v>
      </c>
      <c r="H1775" t="str">
        <f t="shared" si="917"/>
        <v>OK</v>
      </c>
      <c r="I1775" s="4">
        <f t="shared" si="918"/>
        <v>2021</v>
      </c>
      <c r="J1775">
        <f t="shared" si="947"/>
        <v>21.797956363636359</v>
      </c>
      <c r="K1775">
        <f t="shared" si="948"/>
        <v>3.9518356164383563</v>
      </c>
      <c r="R1775" s="4">
        <f t="shared" si="949"/>
        <v>0.39795636363636078</v>
      </c>
      <c r="S1775" s="4">
        <f t="shared" si="950"/>
        <v>2.9518356164383563</v>
      </c>
    </row>
    <row r="1776" spans="1:19" hidden="1" x14ac:dyDescent="0.35">
      <c r="A1776" s="1">
        <v>44510</v>
      </c>
      <c r="B1776" s="4">
        <v>20.7</v>
      </c>
      <c r="C1776">
        <v>17.399999999999999</v>
      </c>
      <c r="D1776">
        <v>26.6</v>
      </c>
      <c r="E1776" s="4">
        <v>0</v>
      </c>
      <c r="F1776" t="str">
        <f t="shared" si="915"/>
        <v>OK</v>
      </c>
      <c r="G1776" t="str">
        <f t="shared" si="916"/>
        <v>OK</v>
      </c>
      <c r="H1776" t="str">
        <f t="shared" si="917"/>
        <v>OK</v>
      </c>
      <c r="I1776" s="4">
        <f t="shared" si="918"/>
        <v>2021</v>
      </c>
    </row>
    <row r="1777" spans="1:19" x14ac:dyDescent="0.35">
      <c r="A1777" s="1">
        <v>44511</v>
      </c>
      <c r="B1777" s="4">
        <v>18.399999999999999</v>
      </c>
      <c r="C1777">
        <v>17.3</v>
      </c>
      <c r="D1777">
        <v>24</v>
      </c>
      <c r="E1777" s="4">
        <v>4.3</v>
      </c>
      <c r="F1777" t="str">
        <f t="shared" si="915"/>
        <v>OK</v>
      </c>
      <c r="G1777" t="str">
        <f t="shared" si="916"/>
        <v>OK</v>
      </c>
      <c r="H1777" t="str">
        <f t="shared" si="917"/>
        <v>OK</v>
      </c>
      <c r="I1777" s="4">
        <f t="shared" si="918"/>
        <v>2021</v>
      </c>
      <c r="J1777">
        <f t="shared" ref="J1777:J1779" si="951">( 377.84*B1777 + 3903.1)/550</f>
        <v>19.737010909090909</v>
      </c>
      <c r="K1777">
        <f t="shared" ref="K1777:K1779" si="952" xml:space="preserve"> (59.02*E1777 + 1383.4)/365</f>
        <v>4.485441095890411</v>
      </c>
      <c r="R1777" s="4">
        <f t="shared" ref="R1777:R1779" si="953">J1777-B1777</f>
        <v>1.3370109090909104</v>
      </c>
      <c r="S1777" s="4">
        <f t="shared" ref="S1777:S1779" si="954">K1777-E1777</f>
        <v>0.18544109589041113</v>
      </c>
    </row>
    <row r="1778" spans="1:19" x14ac:dyDescent="0.35">
      <c r="A1778" s="1">
        <v>44512</v>
      </c>
      <c r="B1778" s="4">
        <v>20.399999999999999</v>
      </c>
      <c r="C1778">
        <v>16.8</v>
      </c>
      <c r="D1778">
        <v>22.5</v>
      </c>
      <c r="E1778" s="4">
        <v>19.100000000000001</v>
      </c>
      <c r="F1778" t="str">
        <f t="shared" si="915"/>
        <v>OK</v>
      </c>
      <c r="G1778" t="str">
        <f t="shared" si="916"/>
        <v>OK</v>
      </c>
      <c r="H1778" t="str">
        <f t="shared" si="917"/>
        <v>OK</v>
      </c>
      <c r="I1778" s="4">
        <f t="shared" si="918"/>
        <v>2021</v>
      </c>
      <c r="J1778">
        <f t="shared" si="951"/>
        <v>21.110974545454543</v>
      </c>
      <c r="K1778">
        <f t="shared" si="952"/>
        <v>6.8785808219178088</v>
      </c>
      <c r="R1778" s="4">
        <f t="shared" si="953"/>
        <v>0.71097454545454397</v>
      </c>
      <c r="S1778" s="4">
        <f t="shared" si="954"/>
        <v>-12.221419178082193</v>
      </c>
    </row>
    <row r="1779" spans="1:19" x14ac:dyDescent="0.35">
      <c r="A1779" s="1">
        <v>44513</v>
      </c>
      <c r="B1779" s="4">
        <v>21.8</v>
      </c>
      <c r="C1779">
        <v>20.100000000000001</v>
      </c>
      <c r="D1779">
        <v>24.7</v>
      </c>
      <c r="E1779" s="4">
        <v>6.6</v>
      </c>
      <c r="F1779" t="str">
        <f t="shared" si="915"/>
        <v>OK</v>
      </c>
      <c r="G1779" t="str">
        <f t="shared" si="916"/>
        <v>OK</v>
      </c>
      <c r="H1779" t="str">
        <f t="shared" si="917"/>
        <v>OK</v>
      </c>
      <c r="I1779" s="4">
        <f t="shared" si="918"/>
        <v>2021</v>
      </c>
      <c r="J1779">
        <f t="shared" si="951"/>
        <v>22.072749090909092</v>
      </c>
      <c r="K1779">
        <f t="shared" si="952"/>
        <v>4.8573479452054791</v>
      </c>
      <c r="R1779" s="4">
        <f t="shared" si="953"/>
        <v>0.27274909090909105</v>
      </c>
      <c r="S1779" s="4">
        <f t="shared" si="954"/>
        <v>-1.7426520547945206</v>
      </c>
    </row>
    <row r="1780" spans="1:19" hidden="1" x14ac:dyDescent="0.35">
      <c r="A1780" s="1">
        <v>44514</v>
      </c>
      <c r="B1780" s="4">
        <v>22.4</v>
      </c>
      <c r="C1780">
        <v>19.100000000000001</v>
      </c>
      <c r="D1780">
        <v>26</v>
      </c>
      <c r="E1780" s="4">
        <v>0</v>
      </c>
      <c r="F1780" t="str">
        <f t="shared" si="915"/>
        <v>OK</v>
      </c>
      <c r="G1780" t="str">
        <f t="shared" si="916"/>
        <v>OK</v>
      </c>
      <c r="H1780" t="str">
        <f t="shared" si="917"/>
        <v>OK</v>
      </c>
      <c r="I1780" s="4">
        <f t="shared" si="918"/>
        <v>2021</v>
      </c>
    </row>
    <row r="1781" spans="1:19" x14ac:dyDescent="0.35">
      <c r="A1781" s="1">
        <v>44515</v>
      </c>
      <c r="B1781" s="4">
        <v>22.8</v>
      </c>
      <c r="C1781">
        <v>20.7</v>
      </c>
      <c r="D1781">
        <v>26.2</v>
      </c>
      <c r="E1781" s="4">
        <v>1</v>
      </c>
      <c r="F1781" t="str">
        <f t="shared" si="915"/>
        <v>OK</v>
      </c>
      <c r="G1781" t="str">
        <f t="shared" si="916"/>
        <v>OK</v>
      </c>
      <c r="H1781" t="str">
        <f t="shared" si="917"/>
        <v>OK</v>
      </c>
      <c r="I1781" s="4">
        <f t="shared" si="918"/>
        <v>2021</v>
      </c>
      <c r="J1781">
        <f t="shared" ref="J1781:J1788" si="955">( 377.84*B1781 + 3903.1)/550</f>
        <v>22.759730909090912</v>
      </c>
      <c r="K1781">
        <f t="shared" ref="K1781:K1788" si="956" xml:space="preserve"> (59.02*E1781 + 1383.4)/365</f>
        <v>3.9518356164383563</v>
      </c>
      <c r="R1781" s="4">
        <f t="shared" ref="R1781:R1788" si="957">J1781-B1781</f>
        <v>-4.026909090908859E-2</v>
      </c>
      <c r="S1781" s="4">
        <f t="shared" ref="S1781:S1788" si="958">K1781-E1781</f>
        <v>2.9518356164383563</v>
      </c>
    </row>
    <row r="1782" spans="1:19" x14ac:dyDescent="0.35">
      <c r="A1782" s="1">
        <v>44516</v>
      </c>
      <c r="B1782" s="4">
        <v>22.8</v>
      </c>
      <c r="C1782">
        <v>18.899999999999999</v>
      </c>
      <c r="D1782">
        <v>26.4</v>
      </c>
      <c r="E1782" s="4">
        <v>52.1</v>
      </c>
      <c r="F1782" t="str">
        <f t="shared" si="915"/>
        <v>OK</v>
      </c>
      <c r="G1782" t="str">
        <f t="shared" si="916"/>
        <v>OK</v>
      </c>
      <c r="H1782" t="str">
        <f t="shared" si="917"/>
        <v>OK</v>
      </c>
      <c r="I1782" s="4">
        <f t="shared" si="918"/>
        <v>2021</v>
      </c>
      <c r="J1782">
        <f t="shared" si="955"/>
        <v>22.759730909090912</v>
      </c>
      <c r="K1782">
        <f t="shared" si="956"/>
        <v>12.214635616438358</v>
      </c>
      <c r="R1782" s="4">
        <f t="shared" si="957"/>
        <v>-4.026909090908859E-2</v>
      </c>
      <c r="S1782" s="4">
        <f t="shared" si="958"/>
        <v>-39.885364383561644</v>
      </c>
    </row>
    <row r="1783" spans="1:19" x14ac:dyDescent="0.35">
      <c r="A1783" s="1">
        <v>44517</v>
      </c>
      <c r="B1783" s="4">
        <v>22.5</v>
      </c>
      <c r="C1783">
        <v>19.8</v>
      </c>
      <c r="D1783">
        <v>27.6</v>
      </c>
      <c r="E1783" s="4">
        <v>0.8</v>
      </c>
      <c r="F1783" t="str">
        <f t="shared" si="915"/>
        <v>OK</v>
      </c>
      <c r="G1783" t="str">
        <f t="shared" si="916"/>
        <v>OK</v>
      </c>
      <c r="H1783" t="str">
        <f t="shared" si="917"/>
        <v>OK</v>
      </c>
      <c r="I1783" s="4">
        <f t="shared" si="918"/>
        <v>2021</v>
      </c>
      <c r="J1783">
        <f t="shared" si="955"/>
        <v>22.553636363636365</v>
      </c>
      <c r="K1783">
        <f t="shared" si="956"/>
        <v>3.9194958904109587</v>
      </c>
      <c r="R1783" s="4">
        <f t="shared" si="957"/>
        <v>5.3636363636364592E-2</v>
      </c>
      <c r="S1783" s="4">
        <f t="shared" si="958"/>
        <v>3.1194958904109589</v>
      </c>
    </row>
    <row r="1784" spans="1:19" x14ac:dyDescent="0.35">
      <c r="A1784" s="1">
        <v>44518</v>
      </c>
      <c r="B1784" s="4">
        <v>20.6</v>
      </c>
      <c r="C1784">
        <v>20</v>
      </c>
      <c r="D1784">
        <v>27.2</v>
      </c>
      <c r="E1784" s="4">
        <v>3.6</v>
      </c>
      <c r="F1784" t="str">
        <f t="shared" ref="F1784:F1835" si="959">IF(OR(B1784 &lt; $N$30, B1784 &gt; $N$67), "Outlier", "OK")</f>
        <v>OK</v>
      </c>
      <c r="G1784" t="str">
        <f t="shared" ref="G1784:G1835" si="960">IF(OR(C1784 &lt; $O$30, C1784 &gt; $O$67), "Outlier", "OK")</f>
        <v>OK</v>
      </c>
      <c r="H1784" t="str">
        <f t="shared" ref="H1784:H1835" si="961">IF(OR(D1784 &lt; $P$30, D1784 &gt; $P$67), "Outlier", "OK")</f>
        <v>OK</v>
      </c>
      <c r="I1784" s="4">
        <f t="shared" ref="I1784:I1835" si="962">YEAR(A1784)</f>
        <v>2021</v>
      </c>
      <c r="J1784">
        <f t="shared" si="955"/>
        <v>21.248370909090909</v>
      </c>
      <c r="K1784">
        <f t="shared" si="956"/>
        <v>4.3722520547945205</v>
      </c>
      <c r="R1784" s="4">
        <f t="shared" si="957"/>
        <v>0.64837090909090733</v>
      </c>
      <c r="S1784" s="4">
        <f t="shared" si="958"/>
        <v>0.77225205479452042</v>
      </c>
    </row>
    <row r="1785" spans="1:19" x14ac:dyDescent="0.35">
      <c r="A1785" s="1">
        <v>44519</v>
      </c>
      <c r="B1785" s="4">
        <v>21.1</v>
      </c>
      <c r="C1785">
        <v>19.8</v>
      </c>
      <c r="D1785">
        <v>23.2</v>
      </c>
      <c r="E1785" s="4">
        <v>73.400000000000006</v>
      </c>
      <c r="F1785" t="str">
        <f t="shared" si="959"/>
        <v>OK</v>
      </c>
      <c r="G1785" t="str">
        <f t="shared" si="960"/>
        <v>OK</v>
      </c>
      <c r="H1785" t="str">
        <f t="shared" si="961"/>
        <v>OK</v>
      </c>
      <c r="I1785" s="4">
        <f t="shared" si="962"/>
        <v>2021</v>
      </c>
      <c r="J1785">
        <f t="shared" si="955"/>
        <v>21.591861818181815</v>
      </c>
      <c r="K1785">
        <f t="shared" si="956"/>
        <v>15.658816438356167</v>
      </c>
      <c r="R1785" s="4">
        <f t="shared" si="957"/>
        <v>0.49186181818181396</v>
      </c>
      <c r="S1785" s="4">
        <f t="shared" si="958"/>
        <v>-57.741183561643837</v>
      </c>
    </row>
    <row r="1786" spans="1:19" x14ac:dyDescent="0.35">
      <c r="A1786" s="1">
        <v>44520</v>
      </c>
      <c r="B1786" s="4">
        <v>21.1</v>
      </c>
      <c r="C1786">
        <v>20.100000000000001</v>
      </c>
      <c r="D1786">
        <v>22.6</v>
      </c>
      <c r="E1786" s="4">
        <v>3.8</v>
      </c>
      <c r="F1786" t="str">
        <f t="shared" si="959"/>
        <v>OK</v>
      </c>
      <c r="G1786" t="str">
        <f t="shared" si="960"/>
        <v>OK</v>
      </c>
      <c r="H1786" t="str">
        <f t="shared" si="961"/>
        <v>OK</v>
      </c>
      <c r="I1786" s="4">
        <f t="shared" si="962"/>
        <v>2021</v>
      </c>
      <c r="J1786">
        <f t="shared" si="955"/>
        <v>21.591861818181815</v>
      </c>
      <c r="K1786">
        <f t="shared" si="956"/>
        <v>4.4045917808219182</v>
      </c>
      <c r="R1786" s="4">
        <f t="shared" si="957"/>
        <v>0.49186181818181396</v>
      </c>
      <c r="S1786" s="4">
        <f t="shared" si="958"/>
        <v>0.60459178082191833</v>
      </c>
    </row>
    <row r="1787" spans="1:19" x14ac:dyDescent="0.35">
      <c r="A1787" s="1">
        <v>44521</v>
      </c>
      <c r="B1787" s="4">
        <v>22.5</v>
      </c>
      <c r="C1787">
        <v>19.3</v>
      </c>
      <c r="D1787">
        <v>26.2</v>
      </c>
      <c r="E1787" s="4">
        <v>2.2999999999999998</v>
      </c>
      <c r="F1787" t="str">
        <f t="shared" si="959"/>
        <v>OK</v>
      </c>
      <c r="G1787" t="str">
        <f t="shared" si="960"/>
        <v>OK</v>
      </c>
      <c r="H1787" t="str">
        <f t="shared" si="961"/>
        <v>OK</v>
      </c>
      <c r="I1787" s="4">
        <f t="shared" si="962"/>
        <v>2021</v>
      </c>
      <c r="J1787">
        <f t="shared" si="955"/>
        <v>22.553636363636365</v>
      </c>
      <c r="K1787">
        <f t="shared" si="956"/>
        <v>4.1620438356164389</v>
      </c>
      <c r="R1787" s="4">
        <f t="shared" si="957"/>
        <v>5.3636363636364592E-2</v>
      </c>
      <c r="S1787" s="4">
        <f t="shared" si="958"/>
        <v>1.862043835616439</v>
      </c>
    </row>
    <row r="1788" spans="1:19" x14ac:dyDescent="0.35">
      <c r="A1788" s="1">
        <v>44522</v>
      </c>
      <c r="B1788" s="4">
        <v>22.8</v>
      </c>
      <c r="C1788">
        <v>20.5</v>
      </c>
      <c r="D1788">
        <v>26.5</v>
      </c>
      <c r="E1788" s="4">
        <v>5.0999999999999996</v>
      </c>
      <c r="F1788" t="str">
        <f t="shared" si="959"/>
        <v>OK</v>
      </c>
      <c r="G1788" t="str">
        <f t="shared" si="960"/>
        <v>OK</v>
      </c>
      <c r="H1788" t="str">
        <f t="shared" si="961"/>
        <v>OK</v>
      </c>
      <c r="I1788" s="4">
        <f t="shared" si="962"/>
        <v>2021</v>
      </c>
      <c r="J1788">
        <f t="shared" si="955"/>
        <v>22.759730909090912</v>
      </c>
      <c r="K1788">
        <f t="shared" si="956"/>
        <v>4.6147999999999998</v>
      </c>
      <c r="R1788" s="4">
        <f t="shared" si="957"/>
        <v>-4.026909090908859E-2</v>
      </c>
      <c r="S1788" s="4">
        <f t="shared" si="958"/>
        <v>-0.48519999999999985</v>
      </c>
    </row>
    <row r="1789" spans="1:19" hidden="1" x14ac:dyDescent="0.35">
      <c r="A1789" s="1">
        <v>44523</v>
      </c>
      <c r="B1789" s="4">
        <v>24.2</v>
      </c>
      <c r="C1789">
        <v>20.100000000000001</v>
      </c>
      <c r="D1789">
        <v>28.4</v>
      </c>
      <c r="E1789" s="4">
        <v>0</v>
      </c>
      <c r="F1789" t="str">
        <f t="shared" si="959"/>
        <v>OK</v>
      </c>
      <c r="G1789" t="str">
        <f t="shared" si="960"/>
        <v>OK</v>
      </c>
      <c r="H1789" t="str">
        <f t="shared" si="961"/>
        <v>OK</v>
      </c>
      <c r="I1789" s="4">
        <f t="shared" si="962"/>
        <v>2021</v>
      </c>
    </row>
    <row r="1790" spans="1:19" hidden="1" x14ac:dyDescent="0.35">
      <c r="A1790" s="1">
        <v>44524</v>
      </c>
      <c r="B1790" s="4">
        <v>22.8</v>
      </c>
      <c r="C1790">
        <v>20.100000000000001</v>
      </c>
      <c r="D1790">
        <v>29.8</v>
      </c>
      <c r="E1790" s="4">
        <v>0</v>
      </c>
      <c r="F1790" t="str">
        <f t="shared" si="959"/>
        <v>OK</v>
      </c>
      <c r="G1790" t="str">
        <f t="shared" si="960"/>
        <v>OK</v>
      </c>
      <c r="H1790" t="str">
        <f t="shared" si="961"/>
        <v>OK</v>
      </c>
      <c r="I1790" s="4">
        <f t="shared" si="962"/>
        <v>2021</v>
      </c>
    </row>
    <row r="1791" spans="1:19" x14ac:dyDescent="0.35">
      <c r="A1791" s="1">
        <v>44525</v>
      </c>
      <c r="B1791" s="4">
        <v>23</v>
      </c>
      <c r="C1791">
        <v>19.399999999999999</v>
      </c>
      <c r="D1791">
        <v>27</v>
      </c>
      <c r="E1791" s="4">
        <v>11.4</v>
      </c>
      <c r="F1791" t="str">
        <f t="shared" si="959"/>
        <v>OK</v>
      </c>
      <c r="G1791" t="str">
        <f t="shared" si="960"/>
        <v>OK</v>
      </c>
      <c r="H1791" t="str">
        <f t="shared" si="961"/>
        <v>OK</v>
      </c>
      <c r="I1791" s="4">
        <f t="shared" si="962"/>
        <v>2021</v>
      </c>
      <c r="J1791">
        <f>( 377.84*B1791 + 3903.1)/550</f>
        <v>22.897127272727271</v>
      </c>
      <c r="K1791">
        <f xml:space="preserve"> (59.02*E1791 + 1383.4)/365</f>
        <v>5.6335013698630139</v>
      </c>
      <c r="R1791" s="4">
        <f>J1791-B1791</f>
        <v>-0.10287272727272878</v>
      </c>
      <c r="S1791" s="4">
        <f>K1791-E1791</f>
        <v>-5.7664986301369865</v>
      </c>
    </row>
    <row r="1792" spans="1:19" hidden="1" x14ac:dyDescent="0.35">
      <c r="A1792" s="1">
        <v>44526</v>
      </c>
      <c r="B1792" s="4">
        <v>21.8</v>
      </c>
      <c r="C1792">
        <v>19.100000000000001</v>
      </c>
      <c r="D1792">
        <v>27</v>
      </c>
      <c r="E1792" s="4">
        <v>0</v>
      </c>
      <c r="F1792" t="str">
        <f t="shared" si="959"/>
        <v>OK</v>
      </c>
      <c r="G1792" t="str">
        <f t="shared" si="960"/>
        <v>OK</v>
      </c>
      <c r="H1792" t="str">
        <f t="shared" si="961"/>
        <v>OK</v>
      </c>
      <c r="I1792" s="4">
        <f t="shared" si="962"/>
        <v>2021</v>
      </c>
    </row>
    <row r="1793" spans="1:19" x14ac:dyDescent="0.35">
      <c r="A1793" s="1">
        <v>44527</v>
      </c>
      <c r="B1793" s="4">
        <v>20.399999999999999</v>
      </c>
      <c r="C1793">
        <v>18.399999999999999</v>
      </c>
      <c r="D1793">
        <v>23</v>
      </c>
      <c r="E1793" s="4">
        <v>5</v>
      </c>
      <c r="F1793" t="str">
        <f t="shared" si="959"/>
        <v>OK</v>
      </c>
      <c r="G1793" t="str">
        <f t="shared" si="960"/>
        <v>OK</v>
      </c>
      <c r="H1793" t="str">
        <f t="shared" si="961"/>
        <v>OK</v>
      </c>
      <c r="I1793" s="4">
        <f t="shared" si="962"/>
        <v>2021</v>
      </c>
      <c r="J1793">
        <f>( 377.84*B1793 + 3903.1)/550</f>
        <v>21.110974545454543</v>
      </c>
      <c r="K1793">
        <f xml:space="preserve"> (59.02*E1793 + 1383.4)/365</f>
        <v>4.5986301369863014</v>
      </c>
      <c r="R1793" s="4">
        <f>J1793-B1793</f>
        <v>0.71097454545454397</v>
      </c>
      <c r="S1793" s="4">
        <f>K1793-E1793</f>
        <v>-0.40136986301369859</v>
      </c>
    </row>
    <row r="1794" spans="1:19" hidden="1" x14ac:dyDescent="0.35">
      <c r="A1794" s="1">
        <v>44528</v>
      </c>
      <c r="B1794" s="4">
        <v>21</v>
      </c>
      <c r="C1794">
        <v>19.8</v>
      </c>
      <c r="D1794">
        <v>23.4</v>
      </c>
      <c r="E1794" s="4">
        <v>0</v>
      </c>
      <c r="F1794" t="str">
        <f t="shared" si="959"/>
        <v>OK</v>
      </c>
      <c r="G1794" t="str">
        <f t="shared" si="960"/>
        <v>OK</v>
      </c>
      <c r="H1794" t="str">
        <f t="shared" si="961"/>
        <v>OK</v>
      </c>
      <c r="I1794" s="4">
        <f t="shared" si="962"/>
        <v>2021</v>
      </c>
    </row>
    <row r="1795" spans="1:19" hidden="1" x14ac:dyDescent="0.35">
      <c r="A1795" s="1">
        <v>44529</v>
      </c>
      <c r="B1795" s="4">
        <v>21.1</v>
      </c>
      <c r="C1795">
        <v>19.5</v>
      </c>
      <c r="D1795">
        <v>22.6</v>
      </c>
      <c r="E1795" s="4">
        <v>0</v>
      </c>
      <c r="F1795" t="str">
        <f t="shared" si="959"/>
        <v>OK</v>
      </c>
      <c r="G1795" t="str">
        <f t="shared" si="960"/>
        <v>OK</v>
      </c>
      <c r="H1795" t="str">
        <f t="shared" si="961"/>
        <v>OK</v>
      </c>
      <c r="I1795" s="4">
        <f t="shared" si="962"/>
        <v>2021</v>
      </c>
    </row>
    <row r="1796" spans="1:19" x14ac:dyDescent="0.35">
      <c r="A1796" s="1">
        <v>44530</v>
      </c>
      <c r="B1796" s="4">
        <v>22.4</v>
      </c>
      <c r="C1796">
        <v>18.899999999999999</v>
      </c>
      <c r="D1796">
        <v>25.8</v>
      </c>
      <c r="E1796" s="4">
        <v>0.5</v>
      </c>
      <c r="F1796" t="str">
        <f t="shared" si="959"/>
        <v>OK</v>
      </c>
      <c r="G1796" t="str">
        <f t="shared" si="960"/>
        <v>OK</v>
      </c>
      <c r="H1796" t="str">
        <f t="shared" si="961"/>
        <v>OK</v>
      </c>
      <c r="I1796" s="4">
        <f t="shared" si="962"/>
        <v>2021</v>
      </c>
      <c r="J1796">
        <f>( 377.84*B1796 + 3903.1)/550</f>
        <v>22.48493818181818</v>
      </c>
      <c r="K1796">
        <f xml:space="preserve"> (59.02*E1796 + 1383.4)/365</f>
        <v>3.8709863013698631</v>
      </c>
      <c r="R1796" s="4">
        <f>J1796-B1796</f>
        <v>8.4938181818181135E-2</v>
      </c>
      <c r="S1796" s="4">
        <f>K1796-E1796</f>
        <v>3.3709863013698631</v>
      </c>
    </row>
    <row r="1797" spans="1:19" hidden="1" x14ac:dyDescent="0.35">
      <c r="A1797" s="1">
        <v>44531</v>
      </c>
      <c r="B1797" s="4">
        <v>21.7</v>
      </c>
      <c r="C1797">
        <v>20</v>
      </c>
      <c r="D1797">
        <v>26.4</v>
      </c>
      <c r="E1797" s="4">
        <v>0</v>
      </c>
      <c r="F1797" t="str">
        <f t="shared" si="959"/>
        <v>OK</v>
      </c>
      <c r="G1797" t="str">
        <f t="shared" si="960"/>
        <v>OK</v>
      </c>
      <c r="H1797" t="str">
        <f t="shared" si="961"/>
        <v>OK</v>
      </c>
      <c r="I1797" s="4">
        <f t="shared" si="962"/>
        <v>2021</v>
      </c>
    </row>
    <row r="1798" spans="1:19" x14ac:dyDescent="0.35">
      <c r="A1798" s="1">
        <v>44532</v>
      </c>
      <c r="B1798" s="4">
        <v>21.6</v>
      </c>
      <c r="C1798">
        <v>19.2</v>
      </c>
      <c r="D1798">
        <v>25.9</v>
      </c>
      <c r="E1798" s="4">
        <v>6.9</v>
      </c>
      <c r="F1798" t="str">
        <f t="shared" si="959"/>
        <v>OK</v>
      </c>
      <c r="G1798" t="str">
        <f t="shared" si="960"/>
        <v>OK</v>
      </c>
      <c r="H1798" t="str">
        <f t="shared" si="961"/>
        <v>OK</v>
      </c>
      <c r="I1798" s="4">
        <f t="shared" si="962"/>
        <v>2021</v>
      </c>
      <c r="J1798">
        <f t="shared" ref="J1798:J1799" si="963">( 377.84*B1798 + 3903.1)/550</f>
        <v>21.935352727272726</v>
      </c>
      <c r="K1798">
        <f t="shared" ref="K1798:K1799" si="964" xml:space="preserve"> (59.02*E1798 + 1383.4)/365</f>
        <v>4.905857534246576</v>
      </c>
      <c r="R1798" s="4">
        <f t="shared" ref="R1798:R1799" si="965">J1798-B1798</f>
        <v>0.33535272727272414</v>
      </c>
      <c r="S1798" s="4">
        <f t="shared" ref="S1798:S1799" si="966">K1798-E1798</f>
        <v>-1.9941424657534244</v>
      </c>
    </row>
    <row r="1799" spans="1:19" x14ac:dyDescent="0.35">
      <c r="A1799" s="1">
        <v>44533</v>
      </c>
      <c r="B1799" s="4">
        <v>21.9</v>
      </c>
      <c r="C1799">
        <v>17.899999999999999</v>
      </c>
      <c r="D1799">
        <v>27.4</v>
      </c>
      <c r="E1799" s="4">
        <v>3</v>
      </c>
      <c r="F1799" t="str">
        <f t="shared" si="959"/>
        <v>OK</v>
      </c>
      <c r="G1799" t="str">
        <f t="shared" si="960"/>
        <v>OK</v>
      </c>
      <c r="H1799" t="str">
        <f t="shared" si="961"/>
        <v>OK</v>
      </c>
      <c r="I1799" s="4">
        <f t="shared" si="962"/>
        <v>2021</v>
      </c>
      <c r="J1799">
        <f t="shared" si="963"/>
        <v>22.14144727272727</v>
      </c>
      <c r="K1799">
        <f t="shared" si="964"/>
        <v>4.2752328767123284</v>
      </c>
      <c r="R1799" s="4">
        <f t="shared" si="965"/>
        <v>0.24144727272727096</v>
      </c>
      <c r="S1799" s="4">
        <f t="shared" si="966"/>
        <v>1.2752328767123284</v>
      </c>
    </row>
    <row r="1800" spans="1:19" hidden="1" x14ac:dyDescent="0.35">
      <c r="A1800" s="1">
        <v>44534</v>
      </c>
      <c r="B1800" s="4">
        <v>23.9</v>
      </c>
      <c r="C1800">
        <v>21</v>
      </c>
      <c r="D1800">
        <v>28.2</v>
      </c>
      <c r="E1800" s="4">
        <v>0</v>
      </c>
      <c r="F1800" t="str">
        <f t="shared" si="959"/>
        <v>OK</v>
      </c>
      <c r="G1800" t="str">
        <f t="shared" si="960"/>
        <v>OK</v>
      </c>
      <c r="H1800" t="str">
        <f t="shared" si="961"/>
        <v>OK</v>
      </c>
      <c r="I1800" s="4">
        <f t="shared" si="962"/>
        <v>2021</v>
      </c>
    </row>
    <row r="1801" spans="1:19" x14ac:dyDescent="0.35">
      <c r="A1801" s="1">
        <v>44535</v>
      </c>
      <c r="B1801" s="4">
        <v>23.2</v>
      </c>
      <c r="C1801">
        <v>19.8</v>
      </c>
      <c r="D1801">
        <v>28.4</v>
      </c>
      <c r="E1801" s="4">
        <v>1</v>
      </c>
      <c r="F1801" t="str">
        <f t="shared" si="959"/>
        <v>OK</v>
      </c>
      <c r="G1801" t="str">
        <f t="shared" si="960"/>
        <v>OK</v>
      </c>
      <c r="H1801" t="str">
        <f t="shared" si="961"/>
        <v>OK</v>
      </c>
      <c r="I1801" s="4">
        <f t="shared" si="962"/>
        <v>2021</v>
      </c>
      <c r="J1801">
        <f>( 377.84*B1801 + 3903.1)/550</f>
        <v>23.034523636363634</v>
      </c>
      <c r="K1801">
        <f xml:space="preserve"> (59.02*E1801 + 1383.4)/365</f>
        <v>3.9518356164383563</v>
      </c>
      <c r="R1801" s="4">
        <f>J1801-B1801</f>
        <v>-0.16547636363636542</v>
      </c>
      <c r="S1801" s="4">
        <f>K1801-E1801</f>
        <v>2.9518356164383563</v>
      </c>
    </row>
    <row r="1802" spans="1:19" hidden="1" x14ac:dyDescent="0.35">
      <c r="A1802" s="1">
        <v>44536</v>
      </c>
      <c r="B1802" s="4">
        <v>23.2</v>
      </c>
      <c r="C1802">
        <v>19.3</v>
      </c>
      <c r="D1802">
        <v>29.2</v>
      </c>
      <c r="E1802" s="4">
        <v>0</v>
      </c>
      <c r="F1802" t="str">
        <f t="shared" si="959"/>
        <v>OK</v>
      </c>
      <c r="G1802" t="str">
        <f t="shared" si="960"/>
        <v>OK</v>
      </c>
      <c r="H1802" t="str">
        <f t="shared" si="961"/>
        <v>OK</v>
      </c>
      <c r="I1802" s="4">
        <f t="shared" si="962"/>
        <v>2021</v>
      </c>
    </row>
    <row r="1803" spans="1:19" hidden="1" x14ac:dyDescent="0.35">
      <c r="A1803" s="1">
        <v>44537</v>
      </c>
      <c r="B1803" s="4">
        <v>22.1</v>
      </c>
      <c r="C1803">
        <v>17.7</v>
      </c>
      <c r="D1803">
        <v>26.4</v>
      </c>
      <c r="E1803" s="4">
        <v>0</v>
      </c>
      <c r="F1803" t="str">
        <f t="shared" si="959"/>
        <v>OK</v>
      </c>
      <c r="G1803" t="str">
        <f t="shared" si="960"/>
        <v>OK</v>
      </c>
      <c r="H1803" t="str">
        <f t="shared" si="961"/>
        <v>OK</v>
      </c>
      <c r="I1803" s="4">
        <f t="shared" si="962"/>
        <v>2021</v>
      </c>
    </row>
    <row r="1804" spans="1:19" hidden="1" x14ac:dyDescent="0.35">
      <c r="A1804" s="1">
        <v>44538</v>
      </c>
      <c r="B1804" s="4">
        <v>21.7</v>
      </c>
      <c r="C1804">
        <v>16.899999999999999</v>
      </c>
      <c r="D1804">
        <v>27.4</v>
      </c>
      <c r="E1804" s="4">
        <v>0</v>
      </c>
      <c r="F1804" t="str">
        <f t="shared" si="959"/>
        <v>OK</v>
      </c>
      <c r="G1804" t="str">
        <f t="shared" si="960"/>
        <v>OK</v>
      </c>
      <c r="H1804" t="str">
        <f t="shared" si="961"/>
        <v>OK</v>
      </c>
      <c r="I1804" s="4">
        <f t="shared" si="962"/>
        <v>2021</v>
      </c>
    </row>
    <row r="1805" spans="1:19" x14ac:dyDescent="0.35">
      <c r="A1805" s="1">
        <v>44539</v>
      </c>
      <c r="B1805" s="4">
        <v>22.1</v>
      </c>
      <c r="C1805">
        <v>18.8</v>
      </c>
      <c r="D1805">
        <v>26.2</v>
      </c>
      <c r="E1805" s="4">
        <v>0.9</v>
      </c>
      <c r="F1805" t="str">
        <f t="shared" si="959"/>
        <v>OK</v>
      </c>
      <c r="G1805" t="str">
        <f t="shared" si="960"/>
        <v>OK</v>
      </c>
      <c r="H1805" t="str">
        <f t="shared" si="961"/>
        <v>OK</v>
      </c>
      <c r="I1805" s="4">
        <f t="shared" si="962"/>
        <v>2021</v>
      </c>
      <c r="J1805">
        <f t="shared" ref="J1805:J1806" si="967">( 377.84*B1805 + 3903.1)/550</f>
        <v>22.278843636363636</v>
      </c>
      <c r="K1805">
        <f t="shared" ref="K1805:K1806" si="968" xml:space="preserve"> (59.02*E1805 + 1383.4)/365</f>
        <v>3.9356657534246575</v>
      </c>
      <c r="R1805" s="4">
        <f t="shared" ref="R1805:R1806" si="969">J1805-B1805</f>
        <v>0.17884363636363432</v>
      </c>
      <c r="S1805" s="4">
        <f t="shared" ref="S1805:S1806" si="970">K1805-E1805</f>
        <v>3.0356657534246576</v>
      </c>
    </row>
    <row r="1806" spans="1:19" x14ac:dyDescent="0.35">
      <c r="A1806" s="1">
        <v>44540</v>
      </c>
      <c r="B1806" s="4">
        <v>22.7</v>
      </c>
      <c r="C1806">
        <v>18.600000000000001</v>
      </c>
      <c r="D1806">
        <v>27.2</v>
      </c>
      <c r="E1806" s="4">
        <v>1</v>
      </c>
      <c r="F1806" t="str">
        <f t="shared" si="959"/>
        <v>OK</v>
      </c>
      <c r="G1806" t="str">
        <f t="shared" si="960"/>
        <v>OK</v>
      </c>
      <c r="H1806" t="str">
        <f t="shared" si="961"/>
        <v>OK</v>
      </c>
      <c r="I1806" s="4">
        <f t="shared" si="962"/>
        <v>2021</v>
      </c>
      <c r="J1806">
        <f t="shared" si="967"/>
        <v>22.691032727272727</v>
      </c>
      <c r="K1806">
        <f t="shared" si="968"/>
        <v>3.9518356164383563</v>
      </c>
      <c r="R1806" s="4">
        <f t="shared" si="969"/>
        <v>-8.9672727272720465E-3</v>
      </c>
      <c r="S1806" s="4">
        <f t="shared" si="970"/>
        <v>2.9518356164383563</v>
      </c>
    </row>
    <row r="1807" spans="1:19" hidden="1" x14ac:dyDescent="0.35">
      <c r="A1807" s="1">
        <v>44541</v>
      </c>
      <c r="B1807" s="4">
        <v>21.6</v>
      </c>
      <c r="C1807">
        <v>18</v>
      </c>
      <c r="D1807">
        <v>28.4</v>
      </c>
      <c r="E1807" s="4">
        <v>0</v>
      </c>
      <c r="F1807" t="str">
        <f t="shared" si="959"/>
        <v>OK</v>
      </c>
      <c r="G1807" t="str">
        <f t="shared" si="960"/>
        <v>OK</v>
      </c>
      <c r="H1807" t="str">
        <f t="shared" si="961"/>
        <v>OK</v>
      </c>
      <c r="I1807" s="4">
        <f t="shared" si="962"/>
        <v>2021</v>
      </c>
    </row>
    <row r="1808" spans="1:19" x14ac:dyDescent="0.35">
      <c r="A1808" s="1">
        <v>44542</v>
      </c>
      <c r="B1808" s="4">
        <v>20.9</v>
      </c>
      <c r="C1808">
        <v>17.5</v>
      </c>
      <c r="D1808">
        <v>24.7</v>
      </c>
      <c r="E1808" s="4">
        <v>0.2</v>
      </c>
      <c r="F1808" t="str">
        <f t="shared" si="959"/>
        <v>OK</v>
      </c>
      <c r="G1808" t="str">
        <f t="shared" si="960"/>
        <v>OK</v>
      </c>
      <c r="H1808" t="str">
        <f t="shared" si="961"/>
        <v>OK</v>
      </c>
      <c r="I1808" s="4">
        <f t="shared" si="962"/>
        <v>2021</v>
      </c>
      <c r="J1808">
        <f t="shared" ref="J1808:J1811" si="971">( 377.84*B1808 + 3903.1)/550</f>
        <v>21.454465454545453</v>
      </c>
      <c r="K1808">
        <f t="shared" ref="K1808:K1811" si="972" xml:space="preserve"> (59.02*E1808 + 1383.4)/365</f>
        <v>3.8224767123287675</v>
      </c>
      <c r="R1808" s="4">
        <f t="shared" ref="R1808:R1811" si="973">J1808-B1808</f>
        <v>0.55446545454545415</v>
      </c>
      <c r="S1808" s="4">
        <f t="shared" ref="S1808:S1811" si="974">K1808-E1808</f>
        <v>3.6224767123287673</v>
      </c>
    </row>
    <row r="1809" spans="1:19" x14ac:dyDescent="0.35">
      <c r="A1809" s="1">
        <v>44543</v>
      </c>
      <c r="B1809" s="4">
        <v>20.6</v>
      </c>
      <c r="C1809">
        <v>18</v>
      </c>
      <c r="D1809">
        <v>24.9</v>
      </c>
      <c r="E1809" s="4">
        <v>2.4</v>
      </c>
      <c r="F1809" t="str">
        <f t="shared" si="959"/>
        <v>OK</v>
      </c>
      <c r="G1809" t="str">
        <f t="shared" si="960"/>
        <v>OK</v>
      </c>
      <c r="H1809" t="str">
        <f t="shared" si="961"/>
        <v>OK</v>
      </c>
      <c r="I1809" s="4">
        <f t="shared" si="962"/>
        <v>2021</v>
      </c>
      <c r="J1809">
        <f t="shared" si="971"/>
        <v>21.248370909090909</v>
      </c>
      <c r="K1809">
        <f t="shared" si="972"/>
        <v>4.1782136986301373</v>
      </c>
      <c r="R1809" s="4">
        <f t="shared" si="973"/>
        <v>0.64837090909090733</v>
      </c>
      <c r="S1809" s="4">
        <f t="shared" si="974"/>
        <v>1.7782136986301373</v>
      </c>
    </row>
    <row r="1810" spans="1:19" x14ac:dyDescent="0.35">
      <c r="A1810" s="1">
        <v>44544</v>
      </c>
      <c r="B1810" s="4">
        <v>21.2</v>
      </c>
      <c r="C1810">
        <v>18.3</v>
      </c>
      <c r="D1810">
        <v>24.4</v>
      </c>
      <c r="E1810" s="4">
        <v>2.8</v>
      </c>
      <c r="F1810" t="str">
        <f t="shared" si="959"/>
        <v>OK</v>
      </c>
      <c r="G1810" t="str">
        <f t="shared" si="960"/>
        <v>OK</v>
      </c>
      <c r="H1810" t="str">
        <f t="shared" si="961"/>
        <v>OK</v>
      </c>
      <c r="I1810" s="4">
        <f t="shared" si="962"/>
        <v>2021</v>
      </c>
      <c r="J1810">
        <f t="shared" si="971"/>
        <v>21.660559999999997</v>
      </c>
      <c r="K1810">
        <f t="shared" si="972"/>
        <v>4.2428931506849317</v>
      </c>
      <c r="R1810" s="4">
        <f t="shared" si="973"/>
        <v>0.46055999999999742</v>
      </c>
      <c r="S1810" s="4">
        <f t="shared" si="974"/>
        <v>1.4428931506849318</v>
      </c>
    </row>
    <row r="1811" spans="1:19" x14ac:dyDescent="0.35">
      <c r="A1811" s="1">
        <v>44545</v>
      </c>
      <c r="B1811" s="4">
        <v>20.6</v>
      </c>
      <c r="C1811">
        <v>17.399999999999999</v>
      </c>
      <c r="D1811">
        <v>24.4</v>
      </c>
      <c r="E1811" s="4">
        <v>0.3</v>
      </c>
      <c r="F1811" t="str">
        <f t="shared" si="959"/>
        <v>OK</v>
      </c>
      <c r="G1811" t="str">
        <f t="shared" si="960"/>
        <v>OK</v>
      </c>
      <c r="H1811" t="str">
        <f t="shared" si="961"/>
        <v>OK</v>
      </c>
      <c r="I1811" s="4">
        <f t="shared" si="962"/>
        <v>2021</v>
      </c>
      <c r="J1811">
        <f t="shared" si="971"/>
        <v>21.248370909090909</v>
      </c>
      <c r="K1811">
        <f t="shared" si="972"/>
        <v>3.8386465753424659</v>
      </c>
      <c r="R1811" s="4">
        <f t="shared" si="973"/>
        <v>0.64837090909090733</v>
      </c>
      <c r="S1811" s="4">
        <f t="shared" si="974"/>
        <v>3.5386465753424661</v>
      </c>
    </row>
    <row r="1812" spans="1:19" hidden="1" x14ac:dyDescent="0.35">
      <c r="A1812" s="1">
        <v>44546</v>
      </c>
      <c r="B1812" s="4">
        <v>21.5</v>
      </c>
      <c r="C1812">
        <v>17.2</v>
      </c>
      <c r="D1812">
        <v>26.4</v>
      </c>
      <c r="E1812" s="4">
        <v>0</v>
      </c>
      <c r="F1812" t="str">
        <f t="shared" si="959"/>
        <v>OK</v>
      </c>
      <c r="G1812" t="str">
        <f t="shared" si="960"/>
        <v>OK</v>
      </c>
      <c r="H1812" t="str">
        <f t="shared" si="961"/>
        <v>OK</v>
      </c>
      <c r="I1812" s="4">
        <f t="shared" si="962"/>
        <v>2021</v>
      </c>
    </row>
    <row r="1813" spans="1:19" hidden="1" x14ac:dyDescent="0.35">
      <c r="A1813" s="1">
        <v>44547</v>
      </c>
      <c r="B1813" s="4">
        <v>20.6</v>
      </c>
      <c r="C1813">
        <v>16.3</v>
      </c>
      <c r="D1813">
        <v>27.6</v>
      </c>
      <c r="E1813" s="4">
        <v>0</v>
      </c>
      <c r="F1813" t="str">
        <f t="shared" si="959"/>
        <v>OK</v>
      </c>
      <c r="G1813" t="str">
        <f t="shared" si="960"/>
        <v>OK</v>
      </c>
      <c r="H1813" t="str">
        <f t="shared" si="961"/>
        <v>OK</v>
      </c>
      <c r="I1813" s="4">
        <f t="shared" si="962"/>
        <v>2021</v>
      </c>
    </row>
    <row r="1814" spans="1:19" hidden="1" x14ac:dyDescent="0.35">
      <c r="A1814" s="1">
        <v>44548</v>
      </c>
      <c r="B1814" s="4">
        <v>20.2</v>
      </c>
      <c r="C1814">
        <v>15.3</v>
      </c>
      <c r="D1814">
        <v>26</v>
      </c>
      <c r="E1814" s="4">
        <v>0</v>
      </c>
      <c r="F1814" t="str">
        <f t="shared" si="959"/>
        <v>OK</v>
      </c>
      <c r="G1814" t="str">
        <f t="shared" si="960"/>
        <v>OK</v>
      </c>
      <c r="H1814" t="str">
        <f t="shared" si="961"/>
        <v>OK</v>
      </c>
      <c r="I1814" s="4">
        <f t="shared" si="962"/>
        <v>2021</v>
      </c>
    </row>
    <row r="1815" spans="1:19" hidden="1" x14ac:dyDescent="0.35">
      <c r="A1815" s="1">
        <v>44549</v>
      </c>
      <c r="B1815">
        <v>18.7</v>
      </c>
      <c r="C1815">
        <v>13.1</v>
      </c>
      <c r="D1815">
        <v>26</v>
      </c>
      <c r="E1815">
        <v>0</v>
      </c>
      <c r="F1815" t="str">
        <f t="shared" si="959"/>
        <v>OK</v>
      </c>
      <c r="G1815" t="str">
        <f t="shared" si="960"/>
        <v>Outlier</v>
      </c>
      <c r="H1815" t="str">
        <f t="shared" si="961"/>
        <v>OK</v>
      </c>
      <c r="I1815">
        <f t="shared" si="962"/>
        <v>2021</v>
      </c>
    </row>
    <row r="1816" spans="1:19" hidden="1" x14ac:dyDescent="0.35">
      <c r="A1816" s="1">
        <v>44550</v>
      </c>
      <c r="B1816">
        <v>18.7</v>
      </c>
      <c r="C1816">
        <v>12.9</v>
      </c>
      <c r="D1816">
        <v>26.2</v>
      </c>
      <c r="E1816">
        <v>0</v>
      </c>
      <c r="F1816" t="str">
        <f t="shared" si="959"/>
        <v>OK</v>
      </c>
      <c r="G1816" t="str">
        <f t="shared" si="960"/>
        <v>Outlier</v>
      </c>
      <c r="H1816" t="str">
        <f t="shared" si="961"/>
        <v>OK</v>
      </c>
      <c r="I1816">
        <f t="shared" si="962"/>
        <v>2021</v>
      </c>
    </row>
    <row r="1817" spans="1:19" hidden="1" x14ac:dyDescent="0.35">
      <c r="A1817" s="1">
        <v>44551</v>
      </c>
      <c r="B1817">
        <v>19</v>
      </c>
      <c r="C1817">
        <v>13.9</v>
      </c>
      <c r="D1817">
        <v>26</v>
      </c>
      <c r="E1817">
        <v>0</v>
      </c>
      <c r="F1817" t="str">
        <f t="shared" si="959"/>
        <v>OK</v>
      </c>
      <c r="G1817" t="str">
        <f t="shared" si="960"/>
        <v>Outlier</v>
      </c>
      <c r="H1817" t="str">
        <f t="shared" si="961"/>
        <v>OK</v>
      </c>
      <c r="I1817">
        <f t="shared" si="962"/>
        <v>2021</v>
      </c>
    </row>
    <row r="1818" spans="1:19" hidden="1" x14ac:dyDescent="0.35">
      <c r="A1818" s="1">
        <v>44552</v>
      </c>
      <c r="B1818">
        <v>19.399999999999999</v>
      </c>
      <c r="C1818">
        <v>12.8</v>
      </c>
      <c r="D1818">
        <v>27.4</v>
      </c>
      <c r="E1818">
        <v>0</v>
      </c>
      <c r="F1818" t="str">
        <f t="shared" si="959"/>
        <v>OK</v>
      </c>
      <c r="G1818" t="str">
        <f t="shared" si="960"/>
        <v>Outlier</v>
      </c>
      <c r="H1818" t="str">
        <f t="shared" si="961"/>
        <v>OK</v>
      </c>
      <c r="I1818">
        <f t="shared" si="962"/>
        <v>2021</v>
      </c>
    </row>
    <row r="1819" spans="1:19" hidden="1" x14ac:dyDescent="0.35">
      <c r="A1819" s="1">
        <v>44553</v>
      </c>
      <c r="B1819">
        <v>20</v>
      </c>
      <c r="C1819">
        <v>13.2</v>
      </c>
      <c r="D1819">
        <v>27.4</v>
      </c>
      <c r="E1819">
        <v>0</v>
      </c>
      <c r="F1819" t="str">
        <f t="shared" si="959"/>
        <v>OK</v>
      </c>
      <c r="G1819" t="str">
        <f t="shared" si="960"/>
        <v>Outlier</v>
      </c>
      <c r="H1819" t="str">
        <f t="shared" si="961"/>
        <v>OK</v>
      </c>
      <c r="I1819">
        <f t="shared" si="962"/>
        <v>2021</v>
      </c>
    </row>
    <row r="1820" spans="1:19" hidden="1" x14ac:dyDescent="0.35">
      <c r="A1820" s="1">
        <v>44554</v>
      </c>
      <c r="B1820">
        <v>19.899999999999999</v>
      </c>
      <c r="C1820">
        <v>12.5</v>
      </c>
      <c r="D1820">
        <v>27.2</v>
      </c>
      <c r="E1820">
        <v>0</v>
      </c>
      <c r="F1820" t="str">
        <f t="shared" si="959"/>
        <v>OK</v>
      </c>
      <c r="G1820" t="str">
        <f t="shared" si="960"/>
        <v>Outlier</v>
      </c>
      <c r="H1820" t="str">
        <f t="shared" si="961"/>
        <v>OK</v>
      </c>
      <c r="I1820">
        <f t="shared" si="962"/>
        <v>2021</v>
      </c>
    </row>
    <row r="1821" spans="1:19" hidden="1" x14ac:dyDescent="0.35">
      <c r="A1821" s="1">
        <v>44555</v>
      </c>
      <c r="B1821">
        <v>20.3</v>
      </c>
      <c r="C1821">
        <v>12.6</v>
      </c>
      <c r="D1821">
        <v>29</v>
      </c>
      <c r="E1821">
        <v>0</v>
      </c>
      <c r="F1821" t="str">
        <f t="shared" si="959"/>
        <v>OK</v>
      </c>
      <c r="G1821" t="str">
        <f t="shared" si="960"/>
        <v>Outlier</v>
      </c>
      <c r="H1821" t="str">
        <f t="shared" si="961"/>
        <v>OK</v>
      </c>
      <c r="I1821">
        <f t="shared" si="962"/>
        <v>2021</v>
      </c>
    </row>
    <row r="1822" spans="1:19" hidden="1" x14ac:dyDescent="0.35">
      <c r="A1822" s="1">
        <v>44556</v>
      </c>
      <c r="B1822">
        <v>20.7</v>
      </c>
      <c r="C1822">
        <v>13.5</v>
      </c>
      <c r="D1822">
        <v>29.2</v>
      </c>
      <c r="E1822">
        <v>0</v>
      </c>
      <c r="F1822" t="str">
        <f t="shared" si="959"/>
        <v>OK</v>
      </c>
      <c r="G1822" t="str">
        <f t="shared" si="960"/>
        <v>Outlier</v>
      </c>
      <c r="H1822" t="str">
        <f t="shared" si="961"/>
        <v>OK</v>
      </c>
      <c r="I1822">
        <f t="shared" si="962"/>
        <v>2021</v>
      </c>
    </row>
    <row r="1823" spans="1:19" hidden="1" x14ac:dyDescent="0.35">
      <c r="A1823" s="1">
        <v>44557</v>
      </c>
      <c r="B1823" s="4">
        <v>20.2</v>
      </c>
      <c r="C1823">
        <v>15.2</v>
      </c>
      <c r="D1823">
        <v>26.6</v>
      </c>
      <c r="E1823" s="4">
        <v>0</v>
      </c>
      <c r="F1823" t="str">
        <f t="shared" si="959"/>
        <v>OK</v>
      </c>
      <c r="G1823" t="str">
        <f t="shared" si="960"/>
        <v>OK</v>
      </c>
      <c r="H1823" t="str">
        <f t="shared" si="961"/>
        <v>OK</v>
      </c>
      <c r="I1823" s="4">
        <f t="shared" si="962"/>
        <v>2021</v>
      </c>
    </row>
    <row r="1824" spans="1:19" hidden="1" x14ac:dyDescent="0.35">
      <c r="A1824" s="1">
        <v>44558</v>
      </c>
      <c r="B1824" s="4">
        <v>20.3</v>
      </c>
      <c r="C1824">
        <v>15.4</v>
      </c>
      <c r="D1824">
        <v>26.4</v>
      </c>
      <c r="E1824" s="4">
        <v>0</v>
      </c>
      <c r="F1824" t="str">
        <f t="shared" si="959"/>
        <v>OK</v>
      </c>
      <c r="G1824" t="str">
        <f t="shared" si="960"/>
        <v>OK</v>
      </c>
      <c r="H1824" t="str">
        <f t="shared" si="961"/>
        <v>OK</v>
      </c>
      <c r="I1824" s="4">
        <f t="shared" si="962"/>
        <v>2021</v>
      </c>
    </row>
    <row r="1825" spans="1:19" hidden="1" x14ac:dyDescent="0.35">
      <c r="A1825" s="1">
        <v>44559</v>
      </c>
      <c r="B1825" s="4">
        <v>21</v>
      </c>
      <c r="C1825">
        <v>17</v>
      </c>
      <c r="D1825">
        <v>26</v>
      </c>
      <c r="E1825" s="4">
        <v>0</v>
      </c>
      <c r="F1825" t="str">
        <f t="shared" si="959"/>
        <v>OK</v>
      </c>
      <c r="G1825" t="str">
        <f t="shared" si="960"/>
        <v>OK</v>
      </c>
      <c r="H1825" t="str">
        <f t="shared" si="961"/>
        <v>OK</v>
      </c>
      <c r="I1825" s="4">
        <f t="shared" si="962"/>
        <v>2021</v>
      </c>
    </row>
    <row r="1826" spans="1:19" x14ac:dyDescent="0.35">
      <c r="A1826" s="1">
        <v>44560</v>
      </c>
      <c r="B1826" s="4">
        <v>20.2</v>
      </c>
      <c r="C1826">
        <v>15.4</v>
      </c>
      <c r="D1826">
        <v>26.4</v>
      </c>
      <c r="E1826" s="4">
        <v>0.7</v>
      </c>
      <c r="F1826" t="str">
        <f t="shared" si="959"/>
        <v>OK</v>
      </c>
      <c r="G1826" t="str">
        <f t="shared" si="960"/>
        <v>OK</v>
      </c>
      <c r="H1826" t="str">
        <f t="shared" si="961"/>
        <v>OK</v>
      </c>
      <c r="I1826" s="4">
        <f t="shared" si="962"/>
        <v>2021</v>
      </c>
      <c r="J1826">
        <f>( 377.84*B1826 + 3903.1)/550</f>
        <v>20.97357818181818</v>
      </c>
      <c r="K1826">
        <f xml:space="preserve"> (59.02*E1826 + 1383.4)/365</f>
        <v>3.9033260273972608</v>
      </c>
      <c r="R1826" s="4">
        <f>J1826-B1826</f>
        <v>0.77357818181818061</v>
      </c>
      <c r="S1826" s="4">
        <f>K1826-E1826</f>
        <v>3.203326027397261</v>
      </c>
    </row>
    <row r="1827" spans="1:19" hidden="1" x14ac:dyDescent="0.35">
      <c r="A1827" s="1">
        <v>44561</v>
      </c>
      <c r="B1827" s="4">
        <v>20.3</v>
      </c>
      <c r="C1827">
        <v>17.600000000000001</v>
      </c>
      <c r="D1827">
        <v>26.5</v>
      </c>
      <c r="E1827" s="4">
        <v>0</v>
      </c>
      <c r="F1827" t="str">
        <f t="shared" si="959"/>
        <v>OK</v>
      </c>
      <c r="G1827" t="str">
        <f t="shared" si="960"/>
        <v>OK</v>
      </c>
      <c r="H1827" t="str">
        <f t="shared" si="961"/>
        <v>OK</v>
      </c>
      <c r="I1827" s="4">
        <f t="shared" si="962"/>
        <v>2021</v>
      </c>
    </row>
    <row r="1828" spans="1:19" x14ac:dyDescent="0.35">
      <c r="A1828" s="1">
        <v>44562</v>
      </c>
      <c r="B1828" s="4">
        <v>21.4</v>
      </c>
      <c r="C1828">
        <v>18.5</v>
      </c>
      <c r="D1828">
        <v>24.6</v>
      </c>
      <c r="E1828" s="4">
        <v>3.3</v>
      </c>
      <c r="F1828" t="str">
        <f t="shared" si="959"/>
        <v>OK</v>
      </c>
      <c r="G1828" t="str">
        <f t="shared" si="960"/>
        <v>OK</v>
      </c>
      <c r="H1828" t="str">
        <f t="shared" si="961"/>
        <v>OK</v>
      </c>
      <c r="I1828" s="4">
        <f t="shared" si="962"/>
        <v>2022</v>
      </c>
      <c r="J1828">
        <f>( 377.84*B1828 + 3903.1)/550</f>
        <v>21.797956363636359</v>
      </c>
      <c r="K1828">
        <f xml:space="preserve"> (59.02*E1828 + 1383.4)/365</f>
        <v>4.3237424657534254</v>
      </c>
      <c r="R1828" s="4">
        <f>J1828-B1828</f>
        <v>0.39795636363636078</v>
      </c>
      <c r="S1828" s="4">
        <f>K1828-E1828</f>
        <v>1.0237424657534255</v>
      </c>
    </row>
    <row r="1829" spans="1:19" hidden="1" x14ac:dyDescent="0.35">
      <c r="A1829" s="1">
        <v>44563</v>
      </c>
      <c r="B1829" s="4">
        <v>22</v>
      </c>
      <c r="C1829">
        <v>17.5</v>
      </c>
      <c r="D1829">
        <v>26.4</v>
      </c>
      <c r="E1829" s="4">
        <v>0</v>
      </c>
      <c r="F1829" t="str">
        <f t="shared" si="959"/>
        <v>OK</v>
      </c>
      <c r="G1829" t="str">
        <f t="shared" si="960"/>
        <v>OK</v>
      </c>
      <c r="H1829" t="str">
        <f t="shared" si="961"/>
        <v>OK</v>
      </c>
      <c r="I1829" s="4">
        <f t="shared" si="962"/>
        <v>2022</v>
      </c>
    </row>
    <row r="1830" spans="1:19" hidden="1" x14ac:dyDescent="0.35">
      <c r="A1830" s="1">
        <v>44564</v>
      </c>
      <c r="B1830" s="4">
        <v>20.6</v>
      </c>
      <c r="C1830">
        <v>15.1</v>
      </c>
      <c r="D1830">
        <v>26.6</v>
      </c>
      <c r="E1830" s="4">
        <v>0</v>
      </c>
      <c r="F1830" t="str">
        <f t="shared" si="959"/>
        <v>OK</v>
      </c>
      <c r="G1830" t="str">
        <f t="shared" si="960"/>
        <v>OK</v>
      </c>
      <c r="H1830" t="str">
        <f t="shared" si="961"/>
        <v>OK</v>
      </c>
      <c r="I1830" s="4">
        <f t="shared" si="962"/>
        <v>2022</v>
      </c>
    </row>
    <row r="1831" spans="1:19" hidden="1" x14ac:dyDescent="0.35">
      <c r="A1831" s="1">
        <v>44565</v>
      </c>
      <c r="B1831" s="4">
        <v>20.5</v>
      </c>
      <c r="C1831">
        <v>16.399999999999999</v>
      </c>
      <c r="D1831">
        <v>26.3</v>
      </c>
      <c r="E1831" s="4">
        <v>0</v>
      </c>
      <c r="F1831" t="str">
        <f t="shared" si="959"/>
        <v>OK</v>
      </c>
      <c r="G1831" t="str">
        <f t="shared" si="960"/>
        <v>OK</v>
      </c>
      <c r="H1831" t="str">
        <f t="shared" si="961"/>
        <v>OK</v>
      </c>
      <c r="I1831" s="4">
        <f t="shared" si="962"/>
        <v>2022</v>
      </c>
    </row>
    <row r="1832" spans="1:19" hidden="1" x14ac:dyDescent="0.35">
      <c r="A1832" s="1">
        <v>44566</v>
      </c>
      <c r="B1832" s="4">
        <v>20.5</v>
      </c>
      <c r="C1832">
        <v>14.8</v>
      </c>
      <c r="D1832">
        <v>27.4</v>
      </c>
      <c r="E1832" s="4">
        <v>0</v>
      </c>
      <c r="F1832" t="str">
        <f t="shared" si="959"/>
        <v>OK</v>
      </c>
      <c r="G1832" t="str">
        <f t="shared" si="960"/>
        <v>OK</v>
      </c>
      <c r="H1832" t="str">
        <f t="shared" si="961"/>
        <v>OK</v>
      </c>
      <c r="I1832" s="4">
        <f t="shared" si="962"/>
        <v>2022</v>
      </c>
    </row>
    <row r="1833" spans="1:19" hidden="1" x14ac:dyDescent="0.35">
      <c r="A1833" s="1">
        <v>44567</v>
      </c>
      <c r="B1833" s="4">
        <v>21.1</v>
      </c>
      <c r="C1833">
        <v>15.9</v>
      </c>
      <c r="D1833">
        <v>27</v>
      </c>
      <c r="E1833" s="4">
        <v>0</v>
      </c>
      <c r="F1833" t="str">
        <f t="shared" si="959"/>
        <v>OK</v>
      </c>
      <c r="G1833" t="str">
        <f t="shared" si="960"/>
        <v>OK</v>
      </c>
      <c r="H1833" t="str">
        <f t="shared" si="961"/>
        <v>OK</v>
      </c>
      <c r="I1833" s="4">
        <f t="shared" si="962"/>
        <v>2022</v>
      </c>
    </row>
    <row r="1834" spans="1:19" hidden="1" x14ac:dyDescent="0.35">
      <c r="A1834" s="1">
        <v>44568</v>
      </c>
      <c r="B1834" s="4">
        <v>21.4</v>
      </c>
      <c r="C1834">
        <v>16.600000000000001</v>
      </c>
      <c r="D1834">
        <v>27</v>
      </c>
      <c r="E1834" s="4">
        <v>0</v>
      </c>
      <c r="F1834" t="str">
        <f t="shared" si="959"/>
        <v>OK</v>
      </c>
      <c r="G1834" t="str">
        <f t="shared" si="960"/>
        <v>OK</v>
      </c>
      <c r="H1834" t="str">
        <f t="shared" si="961"/>
        <v>OK</v>
      </c>
      <c r="I1834" s="4">
        <f t="shared" si="962"/>
        <v>2022</v>
      </c>
    </row>
    <row r="1835" spans="1:19" hidden="1" x14ac:dyDescent="0.35">
      <c r="A1835" s="1">
        <v>44569</v>
      </c>
      <c r="B1835" s="4">
        <v>21.6</v>
      </c>
      <c r="C1835">
        <v>17.2</v>
      </c>
      <c r="D1835">
        <v>27.2</v>
      </c>
      <c r="E1835" s="4">
        <v>0</v>
      </c>
      <c r="F1835" t="str">
        <f t="shared" si="959"/>
        <v>OK</v>
      </c>
      <c r="G1835" t="str">
        <f t="shared" si="960"/>
        <v>OK</v>
      </c>
      <c r="H1835" t="str">
        <f t="shared" si="961"/>
        <v>OK</v>
      </c>
      <c r="I1835" s="4">
        <f t="shared" si="962"/>
        <v>2022</v>
      </c>
    </row>
    <row r="1836" spans="1:19" hidden="1" x14ac:dyDescent="0.35">
      <c r="A1836" s="1">
        <v>44570</v>
      </c>
      <c r="B1836">
        <v>21.7</v>
      </c>
      <c r="C1836">
        <v>17.3</v>
      </c>
      <c r="D1836">
        <v>27.2</v>
      </c>
      <c r="E1836">
        <v>0</v>
      </c>
      <c r="F1836" t="str">
        <f t="shared" ref="F1836:F1843" si="975">IF(OR(B1815 &lt; $N$30, B1815 &gt; $N$67), "Outlier", "OK")</f>
        <v>OK</v>
      </c>
      <c r="G1836" t="str">
        <f t="shared" ref="G1836:G1843" si="976">IF(OR(C1815 &lt; $O$30, C1815 &gt; $O$67), "Outlier", "OK")</f>
        <v>Outlier</v>
      </c>
      <c r="H1836" t="str">
        <f t="shared" ref="H1836:H1843" si="977">IF(OR(D1815 &lt; $P$30, D1815 &gt; $P$67), "Outlier", "OK")</f>
        <v>OK</v>
      </c>
      <c r="I1836"/>
    </row>
    <row r="1837" spans="1:19" hidden="1" x14ac:dyDescent="0.35">
      <c r="A1837" s="1">
        <v>44571</v>
      </c>
      <c r="B1837">
        <v>21.5</v>
      </c>
      <c r="C1837">
        <v>16.7</v>
      </c>
      <c r="D1837">
        <v>27.3</v>
      </c>
      <c r="E1837">
        <v>0.1</v>
      </c>
      <c r="F1837" t="str">
        <f t="shared" si="975"/>
        <v>OK</v>
      </c>
      <c r="G1837" t="str">
        <f t="shared" si="976"/>
        <v>Outlier</v>
      </c>
      <c r="H1837" t="str">
        <f t="shared" si="977"/>
        <v>OK</v>
      </c>
      <c r="I1837"/>
    </row>
    <row r="1838" spans="1:19" hidden="1" x14ac:dyDescent="0.35">
      <c r="A1838" s="1">
        <v>44572</v>
      </c>
      <c r="B1838">
        <v>21.8</v>
      </c>
      <c r="C1838">
        <v>16.7</v>
      </c>
      <c r="D1838">
        <v>28.6</v>
      </c>
      <c r="E1838">
        <v>0.1</v>
      </c>
      <c r="F1838" t="str">
        <f t="shared" si="975"/>
        <v>OK</v>
      </c>
      <c r="G1838" t="str">
        <f t="shared" si="976"/>
        <v>Outlier</v>
      </c>
      <c r="H1838" t="str">
        <f t="shared" si="977"/>
        <v>OK</v>
      </c>
      <c r="I1838"/>
    </row>
    <row r="1839" spans="1:19" hidden="1" x14ac:dyDescent="0.35">
      <c r="A1839" s="1">
        <v>44573</v>
      </c>
      <c r="B1839">
        <v>22.4</v>
      </c>
      <c r="C1839">
        <v>18.3</v>
      </c>
      <c r="D1839">
        <v>28.6</v>
      </c>
      <c r="E1839">
        <v>0.4</v>
      </c>
      <c r="F1839" t="str">
        <f t="shared" si="975"/>
        <v>OK</v>
      </c>
      <c r="G1839" t="str">
        <f t="shared" si="976"/>
        <v>Outlier</v>
      </c>
      <c r="H1839" t="str">
        <f t="shared" si="977"/>
        <v>OK</v>
      </c>
      <c r="I1839"/>
    </row>
    <row r="1840" spans="1:19" hidden="1" x14ac:dyDescent="0.35">
      <c r="A1840" s="1">
        <v>44574</v>
      </c>
      <c r="B1840">
        <v>22.1</v>
      </c>
      <c r="C1840">
        <v>17.5</v>
      </c>
      <c r="D1840">
        <v>27.4</v>
      </c>
      <c r="E1840">
        <v>0.5</v>
      </c>
      <c r="F1840" t="str">
        <f t="shared" si="975"/>
        <v>OK</v>
      </c>
      <c r="G1840" t="str">
        <f t="shared" si="976"/>
        <v>Outlier</v>
      </c>
      <c r="H1840" t="str">
        <f t="shared" si="977"/>
        <v>OK</v>
      </c>
      <c r="I1840"/>
    </row>
    <row r="1841" spans="1:19" hidden="1" x14ac:dyDescent="0.35">
      <c r="A1841" s="1">
        <v>44575</v>
      </c>
      <c r="B1841">
        <v>21.8</v>
      </c>
      <c r="C1841">
        <v>17.8</v>
      </c>
      <c r="D1841">
        <v>27.4</v>
      </c>
      <c r="E1841">
        <v>0.2</v>
      </c>
      <c r="F1841" t="str">
        <f t="shared" si="975"/>
        <v>OK</v>
      </c>
      <c r="G1841" t="str">
        <f t="shared" si="976"/>
        <v>Outlier</v>
      </c>
      <c r="H1841" t="str">
        <f t="shared" si="977"/>
        <v>OK</v>
      </c>
      <c r="I1841"/>
    </row>
    <row r="1842" spans="1:19" hidden="1" x14ac:dyDescent="0.35">
      <c r="A1842" s="1">
        <v>44576</v>
      </c>
      <c r="B1842">
        <v>22</v>
      </c>
      <c r="C1842">
        <v>16.2</v>
      </c>
      <c r="D1842">
        <v>28.6</v>
      </c>
      <c r="E1842">
        <v>0</v>
      </c>
      <c r="F1842" t="str">
        <f t="shared" si="975"/>
        <v>OK</v>
      </c>
      <c r="G1842" t="str">
        <f t="shared" si="976"/>
        <v>Outlier</v>
      </c>
      <c r="H1842" t="str">
        <f t="shared" si="977"/>
        <v>OK</v>
      </c>
      <c r="I1842"/>
    </row>
    <row r="1843" spans="1:19" hidden="1" x14ac:dyDescent="0.35">
      <c r="A1843" s="1">
        <v>44577</v>
      </c>
      <c r="B1843">
        <v>21.9</v>
      </c>
      <c r="C1843">
        <v>17.399999999999999</v>
      </c>
      <c r="D1843">
        <v>27.6</v>
      </c>
      <c r="E1843">
        <v>0.2</v>
      </c>
      <c r="F1843" t="str">
        <f t="shared" si="975"/>
        <v>OK</v>
      </c>
      <c r="G1843" t="str">
        <f t="shared" si="976"/>
        <v>Outlier</v>
      </c>
      <c r="H1843" t="str">
        <f t="shared" si="977"/>
        <v>OK</v>
      </c>
      <c r="I1843"/>
    </row>
    <row r="1844" spans="1:19" hidden="1" x14ac:dyDescent="0.35">
      <c r="A1844" s="1">
        <v>44578</v>
      </c>
      <c r="B1844" s="4">
        <v>21.3</v>
      </c>
      <c r="C1844">
        <v>16.8</v>
      </c>
      <c r="D1844">
        <v>27</v>
      </c>
      <c r="E1844" s="4">
        <v>0</v>
      </c>
      <c r="F1844" t="str">
        <f t="shared" ref="F1844:F1867" si="978">IF(OR(B1844 &lt; $N$30, B1844 &gt; $N$67), "Outlier", "OK")</f>
        <v>OK</v>
      </c>
      <c r="G1844" t="str">
        <f t="shared" ref="G1844:G1867" si="979">IF(OR(C1844 &lt; $O$30, C1844 &gt; $O$67), "Outlier", "OK")</f>
        <v>OK</v>
      </c>
      <c r="H1844" t="str">
        <f t="shared" ref="H1844:H1867" si="980">IF(OR(D1844 &lt; $P$30, D1844 &gt; $P$67), "Outlier", "OK")</f>
        <v>OK</v>
      </c>
      <c r="I1844" s="4">
        <f t="shared" ref="I1844:I1867" si="981">YEAR(A1844)</f>
        <v>2022</v>
      </c>
    </row>
    <row r="1845" spans="1:19" hidden="1" x14ac:dyDescent="0.35">
      <c r="A1845" s="1">
        <v>44579</v>
      </c>
      <c r="B1845" s="4">
        <v>21.1</v>
      </c>
      <c r="C1845">
        <v>15.3</v>
      </c>
      <c r="D1845">
        <v>27.1</v>
      </c>
      <c r="E1845" s="4">
        <v>0</v>
      </c>
      <c r="F1845" t="str">
        <f t="shared" si="978"/>
        <v>OK</v>
      </c>
      <c r="G1845" t="str">
        <f t="shared" si="979"/>
        <v>OK</v>
      </c>
      <c r="H1845" t="str">
        <f t="shared" si="980"/>
        <v>OK</v>
      </c>
      <c r="I1845" s="4">
        <f t="shared" si="981"/>
        <v>2022</v>
      </c>
    </row>
    <row r="1846" spans="1:19" hidden="1" x14ac:dyDescent="0.35">
      <c r="A1846" s="1">
        <v>44580</v>
      </c>
      <c r="B1846" s="4">
        <v>21</v>
      </c>
      <c r="C1846">
        <v>16</v>
      </c>
      <c r="D1846">
        <v>27</v>
      </c>
      <c r="E1846" s="4">
        <v>0</v>
      </c>
      <c r="F1846" t="str">
        <f t="shared" si="978"/>
        <v>OK</v>
      </c>
      <c r="G1846" t="str">
        <f t="shared" si="979"/>
        <v>OK</v>
      </c>
      <c r="H1846" t="str">
        <f t="shared" si="980"/>
        <v>OK</v>
      </c>
      <c r="I1846" s="4">
        <f t="shared" si="981"/>
        <v>2022</v>
      </c>
    </row>
    <row r="1847" spans="1:19" hidden="1" x14ac:dyDescent="0.35">
      <c r="A1847" s="1">
        <v>44581</v>
      </c>
      <c r="B1847">
        <v>21</v>
      </c>
      <c r="C1847">
        <v>13</v>
      </c>
      <c r="D1847">
        <v>29</v>
      </c>
      <c r="E1847">
        <v>0</v>
      </c>
      <c r="F1847" t="str">
        <f t="shared" si="978"/>
        <v>OK</v>
      </c>
      <c r="G1847" t="str">
        <f t="shared" si="979"/>
        <v>Outlier</v>
      </c>
      <c r="H1847" t="str">
        <f t="shared" si="980"/>
        <v>OK</v>
      </c>
      <c r="I1847">
        <f t="shared" si="981"/>
        <v>2022</v>
      </c>
    </row>
    <row r="1848" spans="1:19" hidden="1" x14ac:dyDescent="0.35">
      <c r="A1848" s="1">
        <v>44582</v>
      </c>
      <c r="B1848">
        <v>22.1</v>
      </c>
      <c r="C1848">
        <v>14.5</v>
      </c>
      <c r="D1848">
        <v>31.4</v>
      </c>
      <c r="E1848">
        <v>0</v>
      </c>
      <c r="F1848" t="str">
        <f t="shared" si="978"/>
        <v>OK</v>
      </c>
      <c r="G1848" t="str">
        <f t="shared" si="979"/>
        <v>Outlier</v>
      </c>
      <c r="H1848" t="str">
        <f t="shared" si="980"/>
        <v>OK</v>
      </c>
      <c r="I1848">
        <f t="shared" si="981"/>
        <v>2022</v>
      </c>
    </row>
    <row r="1849" spans="1:19" hidden="1" x14ac:dyDescent="0.35">
      <c r="A1849" s="1">
        <v>44583</v>
      </c>
      <c r="B1849">
        <v>22.1</v>
      </c>
      <c r="C1849">
        <v>14.6</v>
      </c>
      <c r="D1849">
        <v>30</v>
      </c>
      <c r="E1849">
        <v>0</v>
      </c>
      <c r="F1849" t="str">
        <f t="shared" si="978"/>
        <v>OK</v>
      </c>
      <c r="G1849" t="str">
        <f t="shared" si="979"/>
        <v>Outlier</v>
      </c>
      <c r="H1849" t="str">
        <f t="shared" si="980"/>
        <v>OK</v>
      </c>
      <c r="I1849">
        <f t="shared" si="981"/>
        <v>2022</v>
      </c>
    </row>
    <row r="1850" spans="1:19" hidden="1" x14ac:dyDescent="0.35">
      <c r="A1850" s="1">
        <v>44584</v>
      </c>
      <c r="B1850" s="4">
        <v>21.9</v>
      </c>
      <c r="C1850">
        <v>14.9</v>
      </c>
      <c r="D1850">
        <v>30.4</v>
      </c>
      <c r="E1850" s="4">
        <v>0</v>
      </c>
      <c r="F1850" t="str">
        <f t="shared" si="978"/>
        <v>OK</v>
      </c>
      <c r="G1850" t="str">
        <f t="shared" si="979"/>
        <v>OK</v>
      </c>
      <c r="H1850" t="str">
        <f t="shared" si="980"/>
        <v>OK</v>
      </c>
      <c r="I1850" s="4">
        <f t="shared" si="981"/>
        <v>2022</v>
      </c>
    </row>
    <row r="1851" spans="1:19" hidden="1" x14ac:dyDescent="0.35">
      <c r="A1851" s="1">
        <v>44585</v>
      </c>
      <c r="B1851">
        <v>21.2</v>
      </c>
      <c r="C1851">
        <v>13.4</v>
      </c>
      <c r="D1851">
        <v>28.8</v>
      </c>
      <c r="E1851">
        <v>0</v>
      </c>
      <c r="F1851" t="str">
        <f t="shared" si="978"/>
        <v>OK</v>
      </c>
      <c r="G1851" t="str">
        <f t="shared" si="979"/>
        <v>Outlier</v>
      </c>
      <c r="H1851" t="str">
        <f t="shared" si="980"/>
        <v>OK</v>
      </c>
      <c r="I1851">
        <f t="shared" si="981"/>
        <v>2022</v>
      </c>
    </row>
    <row r="1852" spans="1:19" hidden="1" x14ac:dyDescent="0.35">
      <c r="A1852" s="1">
        <v>44586</v>
      </c>
      <c r="B1852">
        <v>20.8</v>
      </c>
      <c r="C1852">
        <v>13.1</v>
      </c>
      <c r="D1852">
        <v>27.4</v>
      </c>
      <c r="E1852">
        <v>0</v>
      </c>
      <c r="F1852" t="str">
        <f t="shared" si="978"/>
        <v>OK</v>
      </c>
      <c r="G1852" t="str">
        <f t="shared" si="979"/>
        <v>Outlier</v>
      </c>
      <c r="H1852" t="str">
        <f t="shared" si="980"/>
        <v>OK</v>
      </c>
      <c r="I1852">
        <f t="shared" si="981"/>
        <v>2022</v>
      </c>
    </row>
    <row r="1853" spans="1:19" x14ac:dyDescent="0.35">
      <c r="A1853" s="1">
        <v>44587</v>
      </c>
      <c r="B1853" s="4">
        <v>22.2</v>
      </c>
      <c r="C1853">
        <v>17.3</v>
      </c>
      <c r="D1853">
        <v>28</v>
      </c>
      <c r="E1853" s="4">
        <v>0.1</v>
      </c>
      <c r="F1853" t="str">
        <f t="shared" si="978"/>
        <v>OK</v>
      </c>
      <c r="G1853" t="str">
        <f t="shared" si="979"/>
        <v>OK</v>
      </c>
      <c r="H1853" t="str">
        <f t="shared" si="980"/>
        <v>OK</v>
      </c>
      <c r="I1853" s="4">
        <f t="shared" si="981"/>
        <v>2022</v>
      </c>
      <c r="J1853">
        <f t="shared" ref="J1853:J1854" si="982">( 377.84*B1853 + 3903.1)/550</f>
        <v>22.347541818181817</v>
      </c>
      <c r="K1853">
        <f t="shared" ref="K1853:K1854" si="983" xml:space="preserve"> (59.02*E1853 + 1383.4)/365</f>
        <v>3.8063068493150687</v>
      </c>
      <c r="R1853" s="4">
        <f t="shared" ref="R1853:R1854" si="984">J1853-B1853</f>
        <v>0.14754181818181777</v>
      </c>
      <c r="S1853" s="4">
        <f t="shared" ref="S1853:S1854" si="985">K1853-E1853</f>
        <v>3.7063068493150686</v>
      </c>
    </row>
    <row r="1854" spans="1:19" x14ac:dyDescent="0.35">
      <c r="A1854" s="1">
        <v>44588</v>
      </c>
      <c r="B1854" s="4">
        <v>21.5</v>
      </c>
      <c r="C1854">
        <v>17.899999999999999</v>
      </c>
      <c r="D1854">
        <v>25.4</v>
      </c>
      <c r="E1854" s="4">
        <v>1.8</v>
      </c>
      <c r="F1854" t="str">
        <f t="shared" si="978"/>
        <v>OK</v>
      </c>
      <c r="G1854" t="str">
        <f t="shared" si="979"/>
        <v>OK</v>
      </c>
      <c r="H1854" t="str">
        <f t="shared" si="980"/>
        <v>OK</v>
      </c>
      <c r="I1854" s="4">
        <f t="shared" si="981"/>
        <v>2022</v>
      </c>
      <c r="J1854">
        <f t="shared" si="982"/>
        <v>21.866654545454544</v>
      </c>
      <c r="K1854">
        <f t="shared" si="983"/>
        <v>4.0811945205479461</v>
      </c>
      <c r="R1854" s="4">
        <f t="shared" si="984"/>
        <v>0.36665454545454423</v>
      </c>
      <c r="S1854" s="4">
        <f t="shared" si="985"/>
        <v>2.2811945205479462</v>
      </c>
    </row>
    <row r="1855" spans="1:19" hidden="1" x14ac:dyDescent="0.35">
      <c r="A1855" s="1">
        <v>44589</v>
      </c>
      <c r="B1855" s="4">
        <v>21.1</v>
      </c>
      <c r="C1855">
        <v>17</v>
      </c>
      <c r="D1855">
        <v>26.3</v>
      </c>
      <c r="E1855" s="4">
        <v>0</v>
      </c>
      <c r="F1855" t="str">
        <f t="shared" si="978"/>
        <v>OK</v>
      </c>
      <c r="G1855" t="str">
        <f t="shared" si="979"/>
        <v>OK</v>
      </c>
      <c r="H1855" t="str">
        <f t="shared" si="980"/>
        <v>OK</v>
      </c>
      <c r="I1855" s="4">
        <f t="shared" si="981"/>
        <v>2022</v>
      </c>
    </row>
    <row r="1856" spans="1:19" hidden="1" x14ac:dyDescent="0.35">
      <c r="A1856" s="1">
        <v>44590</v>
      </c>
      <c r="B1856" s="4">
        <v>21.2</v>
      </c>
      <c r="C1856">
        <v>15.3</v>
      </c>
      <c r="D1856">
        <v>27.2</v>
      </c>
      <c r="E1856" s="4">
        <v>0</v>
      </c>
      <c r="F1856" t="str">
        <f t="shared" si="978"/>
        <v>OK</v>
      </c>
      <c r="G1856" t="str">
        <f t="shared" si="979"/>
        <v>OK</v>
      </c>
      <c r="H1856" t="str">
        <f t="shared" si="980"/>
        <v>OK</v>
      </c>
      <c r="I1856" s="4">
        <f t="shared" si="981"/>
        <v>2022</v>
      </c>
    </row>
    <row r="1857" spans="1:9" hidden="1" x14ac:dyDescent="0.35">
      <c r="A1857" s="1">
        <v>44591</v>
      </c>
      <c r="B1857" s="4">
        <v>23</v>
      </c>
      <c r="C1857">
        <v>18.100000000000001</v>
      </c>
      <c r="D1857">
        <v>29.4</v>
      </c>
      <c r="E1857" s="4">
        <v>0</v>
      </c>
      <c r="F1857" t="str">
        <f t="shared" si="978"/>
        <v>OK</v>
      </c>
      <c r="G1857" t="str">
        <f t="shared" si="979"/>
        <v>OK</v>
      </c>
      <c r="H1857" t="str">
        <f t="shared" si="980"/>
        <v>OK</v>
      </c>
      <c r="I1857" s="4">
        <f t="shared" si="981"/>
        <v>2022</v>
      </c>
    </row>
    <row r="1858" spans="1:9" hidden="1" x14ac:dyDescent="0.35">
      <c r="A1858" s="1">
        <v>44592</v>
      </c>
      <c r="B1858" s="4">
        <v>23.4</v>
      </c>
      <c r="C1858">
        <v>18.3</v>
      </c>
      <c r="D1858">
        <v>29.6</v>
      </c>
      <c r="E1858" s="4">
        <v>0</v>
      </c>
      <c r="F1858" t="str">
        <f t="shared" si="978"/>
        <v>OK</v>
      </c>
      <c r="G1858" t="str">
        <f t="shared" si="979"/>
        <v>OK</v>
      </c>
      <c r="H1858" t="str">
        <f t="shared" si="980"/>
        <v>OK</v>
      </c>
      <c r="I1858" s="4">
        <f t="shared" si="981"/>
        <v>2022</v>
      </c>
    </row>
    <row r="1859" spans="1:9" hidden="1" x14ac:dyDescent="0.35">
      <c r="A1859" s="1">
        <v>44593</v>
      </c>
      <c r="B1859" s="4">
        <v>23.2</v>
      </c>
      <c r="C1859">
        <v>17.399999999999999</v>
      </c>
      <c r="D1859">
        <v>29.8</v>
      </c>
      <c r="E1859" s="4">
        <v>0</v>
      </c>
      <c r="F1859" t="str">
        <f t="shared" si="978"/>
        <v>OK</v>
      </c>
      <c r="G1859" t="str">
        <f t="shared" si="979"/>
        <v>OK</v>
      </c>
      <c r="H1859" t="str">
        <f t="shared" si="980"/>
        <v>OK</v>
      </c>
      <c r="I1859" s="4">
        <f t="shared" si="981"/>
        <v>2022</v>
      </c>
    </row>
    <row r="1860" spans="1:9" hidden="1" x14ac:dyDescent="0.35">
      <c r="A1860" s="1">
        <v>44594</v>
      </c>
      <c r="B1860" s="4">
        <v>23</v>
      </c>
      <c r="C1860">
        <v>16.3</v>
      </c>
      <c r="D1860">
        <v>29.6</v>
      </c>
      <c r="E1860" s="4">
        <v>0</v>
      </c>
      <c r="F1860" t="str">
        <f t="shared" si="978"/>
        <v>OK</v>
      </c>
      <c r="G1860" t="str">
        <f t="shared" si="979"/>
        <v>OK</v>
      </c>
      <c r="H1860" t="str">
        <f t="shared" si="980"/>
        <v>OK</v>
      </c>
      <c r="I1860" s="4">
        <f t="shared" si="981"/>
        <v>2022</v>
      </c>
    </row>
    <row r="1861" spans="1:9" hidden="1" x14ac:dyDescent="0.35">
      <c r="A1861" s="1">
        <v>44595</v>
      </c>
      <c r="B1861" s="4">
        <v>22.7</v>
      </c>
      <c r="C1861">
        <v>16.3</v>
      </c>
      <c r="D1861">
        <v>28.7</v>
      </c>
      <c r="E1861" s="4">
        <v>0</v>
      </c>
      <c r="F1861" t="str">
        <f t="shared" si="978"/>
        <v>OK</v>
      </c>
      <c r="G1861" t="str">
        <f t="shared" si="979"/>
        <v>OK</v>
      </c>
      <c r="H1861" t="str">
        <f t="shared" si="980"/>
        <v>OK</v>
      </c>
      <c r="I1861" s="4">
        <f t="shared" si="981"/>
        <v>2022</v>
      </c>
    </row>
    <row r="1862" spans="1:9" hidden="1" x14ac:dyDescent="0.35">
      <c r="A1862" s="1">
        <v>44596</v>
      </c>
      <c r="B1862" s="4">
        <v>22.9</v>
      </c>
      <c r="C1862">
        <v>16.5</v>
      </c>
      <c r="D1862">
        <v>30.6</v>
      </c>
      <c r="E1862" s="4">
        <v>0</v>
      </c>
      <c r="F1862" t="str">
        <f t="shared" si="978"/>
        <v>OK</v>
      </c>
      <c r="G1862" t="str">
        <f t="shared" si="979"/>
        <v>OK</v>
      </c>
      <c r="H1862" t="str">
        <f t="shared" si="980"/>
        <v>OK</v>
      </c>
      <c r="I1862" s="4">
        <f t="shared" si="981"/>
        <v>2022</v>
      </c>
    </row>
    <row r="1863" spans="1:9" hidden="1" x14ac:dyDescent="0.35">
      <c r="A1863" s="1">
        <v>44597</v>
      </c>
      <c r="B1863" s="4">
        <v>22.8</v>
      </c>
      <c r="C1863">
        <v>15.9</v>
      </c>
      <c r="D1863">
        <v>30.8</v>
      </c>
      <c r="E1863" s="4">
        <v>0</v>
      </c>
      <c r="F1863" t="str">
        <f t="shared" si="978"/>
        <v>OK</v>
      </c>
      <c r="G1863" t="str">
        <f t="shared" si="979"/>
        <v>OK</v>
      </c>
      <c r="H1863" t="str">
        <f t="shared" si="980"/>
        <v>OK</v>
      </c>
      <c r="I1863" s="4">
        <f t="shared" si="981"/>
        <v>2022</v>
      </c>
    </row>
    <row r="1864" spans="1:9" hidden="1" x14ac:dyDescent="0.35">
      <c r="A1864" s="1">
        <v>44598</v>
      </c>
      <c r="B1864" s="4">
        <v>22.7</v>
      </c>
      <c r="C1864">
        <v>18.2</v>
      </c>
      <c r="D1864">
        <v>28</v>
      </c>
      <c r="E1864" s="4">
        <v>0</v>
      </c>
      <c r="F1864" t="str">
        <f t="shared" si="978"/>
        <v>OK</v>
      </c>
      <c r="G1864" t="str">
        <f t="shared" si="979"/>
        <v>OK</v>
      </c>
      <c r="H1864" t="str">
        <f t="shared" si="980"/>
        <v>OK</v>
      </c>
      <c r="I1864" s="4">
        <f t="shared" si="981"/>
        <v>2022</v>
      </c>
    </row>
    <row r="1865" spans="1:9" hidden="1" x14ac:dyDescent="0.35">
      <c r="A1865" s="1">
        <v>44599</v>
      </c>
      <c r="B1865" s="4">
        <v>22.6</v>
      </c>
      <c r="C1865">
        <v>17.3</v>
      </c>
      <c r="D1865">
        <v>28.3</v>
      </c>
      <c r="E1865" s="4">
        <v>0</v>
      </c>
      <c r="F1865" t="str">
        <f t="shared" si="978"/>
        <v>OK</v>
      </c>
      <c r="G1865" t="str">
        <f t="shared" si="979"/>
        <v>OK</v>
      </c>
      <c r="H1865" t="str">
        <f t="shared" si="980"/>
        <v>OK</v>
      </c>
      <c r="I1865" s="4">
        <f t="shared" si="981"/>
        <v>2022</v>
      </c>
    </row>
    <row r="1866" spans="1:9" hidden="1" x14ac:dyDescent="0.35">
      <c r="A1866" s="1">
        <v>44600</v>
      </c>
      <c r="B1866" s="4">
        <v>22.3</v>
      </c>
      <c r="C1866">
        <v>15.7</v>
      </c>
      <c r="D1866">
        <v>29.4</v>
      </c>
      <c r="E1866" s="4">
        <v>0</v>
      </c>
      <c r="F1866" t="str">
        <f t="shared" si="978"/>
        <v>OK</v>
      </c>
      <c r="G1866" t="str">
        <f t="shared" si="979"/>
        <v>OK</v>
      </c>
      <c r="H1866" t="str">
        <f t="shared" si="980"/>
        <v>OK</v>
      </c>
      <c r="I1866" s="4">
        <f t="shared" si="981"/>
        <v>2022</v>
      </c>
    </row>
    <row r="1867" spans="1:9" hidden="1" x14ac:dyDescent="0.35">
      <c r="A1867" s="1">
        <v>44601</v>
      </c>
      <c r="B1867" s="4">
        <v>21.9</v>
      </c>
      <c r="C1867">
        <v>15.3</v>
      </c>
      <c r="D1867">
        <v>28.8</v>
      </c>
      <c r="E1867" s="4">
        <v>0</v>
      </c>
      <c r="F1867" t="str">
        <f t="shared" si="978"/>
        <v>OK</v>
      </c>
      <c r="G1867" t="str">
        <f t="shared" si="979"/>
        <v>OK</v>
      </c>
      <c r="H1867" t="str">
        <f t="shared" si="980"/>
        <v>OK</v>
      </c>
      <c r="I1867" s="4">
        <f t="shared" si="981"/>
        <v>2022</v>
      </c>
    </row>
    <row r="1868" spans="1:9" hidden="1" x14ac:dyDescent="0.35">
      <c r="A1868" s="1">
        <v>44602</v>
      </c>
      <c r="B1868">
        <v>21.9</v>
      </c>
      <c r="C1868">
        <v>14.4</v>
      </c>
      <c r="D1868">
        <v>30</v>
      </c>
      <c r="E1868">
        <v>0</v>
      </c>
      <c r="F1868" t="str">
        <f t="shared" ref="F1868:F1904" si="986">IF(OR(B1847 &lt; $N$30, B1847 &gt; $N$67), "Outlier", "OK")</f>
        <v>OK</v>
      </c>
      <c r="G1868" t="str">
        <f t="shared" ref="G1868:G1904" si="987">IF(OR(C1847 &lt; $O$30, C1847 &gt; $O$67), "Outlier", "OK")</f>
        <v>Outlier</v>
      </c>
      <c r="H1868" t="str">
        <f t="shared" ref="H1868:H1904" si="988">IF(OR(D1847 &lt; $P$30, D1847 &gt; $P$67), "Outlier", "OK")</f>
        <v>OK</v>
      </c>
      <c r="I1868"/>
    </row>
    <row r="1869" spans="1:9" hidden="1" x14ac:dyDescent="0.35">
      <c r="A1869" s="1">
        <v>44603</v>
      </c>
      <c r="B1869">
        <v>22.2</v>
      </c>
      <c r="C1869">
        <v>16.100000000000001</v>
      </c>
      <c r="D1869">
        <v>29.4</v>
      </c>
      <c r="E1869">
        <v>0</v>
      </c>
      <c r="F1869" t="str">
        <f t="shared" si="986"/>
        <v>OK</v>
      </c>
      <c r="G1869" t="str">
        <f t="shared" si="987"/>
        <v>Outlier</v>
      </c>
      <c r="H1869" t="str">
        <f t="shared" si="988"/>
        <v>OK</v>
      </c>
      <c r="I1869"/>
    </row>
    <row r="1870" spans="1:9" hidden="1" x14ac:dyDescent="0.35">
      <c r="A1870" s="1">
        <v>44604</v>
      </c>
      <c r="B1870">
        <v>22.3</v>
      </c>
      <c r="C1870">
        <v>16</v>
      </c>
      <c r="D1870">
        <v>29</v>
      </c>
      <c r="E1870">
        <v>0</v>
      </c>
      <c r="F1870" t="str">
        <f t="shared" si="986"/>
        <v>OK</v>
      </c>
      <c r="G1870" t="str">
        <f t="shared" si="987"/>
        <v>Outlier</v>
      </c>
      <c r="H1870" t="str">
        <f t="shared" si="988"/>
        <v>OK</v>
      </c>
      <c r="I1870"/>
    </row>
    <row r="1871" spans="1:9" hidden="1" x14ac:dyDescent="0.35">
      <c r="A1871" s="1">
        <v>44605</v>
      </c>
      <c r="B1871" s="4">
        <v>22.2</v>
      </c>
      <c r="C1871">
        <v>15.8</v>
      </c>
      <c r="D1871">
        <v>28.2</v>
      </c>
      <c r="E1871" s="4">
        <v>0</v>
      </c>
      <c r="F1871" t="str">
        <f>IF(OR(B1871 &lt; $N$30, B1871 &gt; $N$67), "Outlier", "OK")</f>
        <v>OK</v>
      </c>
      <c r="G1871" t="str">
        <f>IF(OR(C1871 &lt; $O$30, C1871 &gt; $O$67), "Outlier", "OK")</f>
        <v>OK</v>
      </c>
      <c r="H1871" t="str">
        <f>IF(OR(D1871 &lt; $P$30, D1871 &gt; $P$67), "Outlier", "OK")</f>
        <v>OK</v>
      </c>
      <c r="I1871" s="4">
        <f>YEAR(A1871)</f>
        <v>2022</v>
      </c>
    </row>
    <row r="1872" spans="1:9" hidden="1" x14ac:dyDescent="0.35">
      <c r="A1872" s="1">
        <v>44606</v>
      </c>
      <c r="B1872">
        <v>22.2</v>
      </c>
      <c r="C1872">
        <v>15.2</v>
      </c>
      <c r="D1872">
        <v>28.2</v>
      </c>
      <c r="E1872">
        <v>0</v>
      </c>
      <c r="F1872" t="str">
        <f t="shared" si="986"/>
        <v>OK</v>
      </c>
      <c r="G1872" t="str">
        <f t="shared" si="987"/>
        <v>Outlier</v>
      </c>
      <c r="H1872" t="str">
        <f t="shared" si="988"/>
        <v>OK</v>
      </c>
      <c r="I1872"/>
    </row>
    <row r="1873" spans="1:9" hidden="1" x14ac:dyDescent="0.35">
      <c r="A1873" s="1">
        <v>44607</v>
      </c>
      <c r="B1873">
        <v>22.7</v>
      </c>
      <c r="C1873">
        <v>17.100000000000001</v>
      </c>
      <c r="D1873">
        <v>28.4</v>
      </c>
      <c r="E1873">
        <v>0</v>
      </c>
      <c r="F1873" t="str">
        <f t="shared" si="986"/>
        <v>OK</v>
      </c>
      <c r="G1873" t="str">
        <f t="shared" si="987"/>
        <v>Outlier</v>
      </c>
      <c r="H1873" t="str">
        <f t="shared" si="988"/>
        <v>OK</v>
      </c>
      <c r="I1873"/>
    </row>
    <row r="1874" spans="1:9" hidden="1" x14ac:dyDescent="0.35">
      <c r="A1874" s="1">
        <v>44608</v>
      </c>
      <c r="B1874" s="4">
        <v>22.6</v>
      </c>
      <c r="C1874">
        <v>15.3</v>
      </c>
      <c r="D1874">
        <v>28.8</v>
      </c>
      <c r="E1874" s="4">
        <v>0</v>
      </c>
      <c r="F1874" t="str">
        <f t="shared" ref="F1874:F1888" si="989">IF(OR(B1874 &lt; $N$30, B1874 &gt; $N$67), "Outlier", "OK")</f>
        <v>OK</v>
      </c>
      <c r="G1874" t="str">
        <f t="shared" ref="G1874:G1888" si="990">IF(OR(C1874 &lt; $O$30, C1874 &gt; $O$67), "Outlier", "OK")</f>
        <v>OK</v>
      </c>
      <c r="H1874" t="str">
        <f t="shared" ref="H1874:H1888" si="991">IF(OR(D1874 &lt; $P$30, D1874 &gt; $P$67), "Outlier", "OK")</f>
        <v>OK</v>
      </c>
      <c r="I1874" s="4">
        <f t="shared" ref="I1874:I1888" si="992">YEAR(A1874)</f>
        <v>2022</v>
      </c>
    </row>
    <row r="1875" spans="1:9" hidden="1" x14ac:dyDescent="0.35">
      <c r="A1875" s="1">
        <v>44609</v>
      </c>
      <c r="B1875" s="4">
        <v>23</v>
      </c>
      <c r="C1875">
        <v>16.100000000000001</v>
      </c>
      <c r="D1875">
        <v>30</v>
      </c>
      <c r="E1875" s="4">
        <v>0</v>
      </c>
      <c r="F1875" t="str">
        <f t="shared" si="989"/>
        <v>OK</v>
      </c>
      <c r="G1875" t="str">
        <f t="shared" si="990"/>
        <v>OK</v>
      </c>
      <c r="H1875" t="str">
        <f t="shared" si="991"/>
        <v>OK</v>
      </c>
      <c r="I1875" s="4">
        <f t="shared" si="992"/>
        <v>2022</v>
      </c>
    </row>
    <row r="1876" spans="1:9" hidden="1" x14ac:dyDescent="0.35">
      <c r="A1876" s="1">
        <v>44610</v>
      </c>
      <c r="B1876" s="4">
        <v>22.5</v>
      </c>
      <c r="C1876">
        <v>14.9</v>
      </c>
      <c r="D1876">
        <v>29.4</v>
      </c>
      <c r="E1876" s="4">
        <v>0</v>
      </c>
      <c r="F1876" t="str">
        <f t="shared" si="989"/>
        <v>OK</v>
      </c>
      <c r="G1876" t="str">
        <f t="shared" si="990"/>
        <v>OK</v>
      </c>
      <c r="H1876" t="str">
        <f t="shared" si="991"/>
        <v>OK</v>
      </c>
      <c r="I1876" s="4">
        <f t="shared" si="992"/>
        <v>2022</v>
      </c>
    </row>
    <row r="1877" spans="1:9" hidden="1" x14ac:dyDescent="0.35">
      <c r="A1877" s="1">
        <v>44611</v>
      </c>
      <c r="B1877" s="4">
        <v>22.7</v>
      </c>
      <c r="C1877">
        <v>15.8</v>
      </c>
      <c r="D1877">
        <v>29.8</v>
      </c>
      <c r="E1877" s="4">
        <v>0</v>
      </c>
      <c r="F1877" t="str">
        <f t="shared" si="989"/>
        <v>OK</v>
      </c>
      <c r="G1877" t="str">
        <f t="shared" si="990"/>
        <v>OK</v>
      </c>
      <c r="H1877" t="str">
        <f t="shared" si="991"/>
        <v>OK</v>
      </c>
      <c r="I1877" s="4">
        <f t="shared" si="992"/>
        <v>2022</v>
      </c>
    </row>
    <row r="1878" spans="1:9" hidden="1" x14ac:dyDescent="0.35">
      <c r="A1878" s="1">
        <v>44612</v>
      </c>
      <c r="B1878" s="4">
        <v>23.5</v>
      </c>
      <c r="C1878">
        <v>15.8</v>
      </c>
      <c r="D1878">
        <v>32</v>
      </c>
      <c r="E1878" s="4">
        <v>0</v>
      </c>
      <c r="F1878" t="str">
        <f t="shared" si="989"/>
        <v>OK</v>
      </c>
      <c r="G1878" t="str">
        <f t="shared" si="990"/>
        <v>OK</v>
      </c>
      <c r="H1878" t="str">
        <f t="shared" si="991"/>
        <v>OK</v>
      </c>
      <c r="I1878" s="4">
        <f t="shared" si="992"/>
        <v>2022</v>
      </c>
    </row>
    <row r="1879" spans="1:9" hidden="1" x14ac:dyDescent="0.35">
      <c r="A1879" s="1">
        <v>44613</v>
      </c>
      <c r="B1879" s="4">
        <v>24.3</v>
      </c>
      <c r="C1879">
        <v>16.3</v>
      </c>
      <c r="D1879">
        <v>32.4</v>
      </c>
      <c r="E1879" s="4">
        <v>0</v>
      </c>
      <c r="F1879" t="str">
        <f t="shared" si="989"/>
        <v>OK</v>
      </c>
      <c r="G1879" t="str">
        <f t="shared" si="990"/>
        <v>OK</v>
      </c>
      <c r="H1879" t="str">
        <f t="shared" si="991"/>
        <v>OK</v>
      </c>
      <c r="I1879" s="4">
        <f t="shared" si="992"/>
        <v>2022</v>
      </c>
    </row>
    <row r="1880" spans="1:9" hidden="1" x14ac:dyDescent="0.35">
      <c r="A1880" s="1">
        <v>44614</v>
      </c>
      <c r="B1880" s="4">
        <v>24.7</v>
      </c>
      <c r="C1880">
        <v>17.899999999999999</v>
      </c>
      <c r="D1880">
        <v>31.3</v>
      </c>
      <c r="E1880" s="4">
        <v>0</v>
      </c>
      <c r="F1880" t="str">
        <f t="shared" si="989"/>
        <v>OK</v>
      </c>
      <c r="G1880" t="str">
        <f t="shared" si="990"/>
        <v>OK</v>
      </c>
      <c r="H1880" t="str">
        <f t="shared" si="991"/>
        <v>OK</v>
      </c>
      <c r="I1880" s="4">
        <f t="shared" si="992"/>
        <v>2022</v>
      </c>
    </row>
    <row r="1881" spans="1:9" hidden="1" x14ac:dyDescent="0.35">
      <c r="A1881" s="1">
        <v>44615</v>
      </c>
      <c r="B1881" s="4">
        <v>23.2</v>
      </c>
      <c r="C1881">
        <v>16.399999999999999</v>
      </c>
      <c r="D1881">
        <v>30.4</v>
      </c>
      <c r="E1881" s="4">
        <v>0</v>
      </c>
      <c r="F1881" t="str">
        <f t="shared" si="989"/>
        <v>OK</v>
      </c>
      <c r="G1881" t="str">
        <f t="shared" si="990"/>
        <v>OK</v>
      </c>
      <c r="H1881" t="str">
        <f t="shared" si="991"/>
        <v>OK</v>
      </c>
      <c r="I1881" s="4">
        <f t="shared" si="992"/>
        <v>2022</v>
      </c>
    </row>
    <row r="1882" spans="1:9" hidden="1" x14ac:dyDescent="0.35">
      <c r="A1882" s="1">
        <v>44616</v>
      </c>
      <c r="B1882" s="4">
        <v>22.5</v>
      </c>
      <c r="C1882">
        <v>15.5</v>
      </c>
      <c r="D1882">
        <v>29.4</v>
      </c>
      <c r="E1882" s="4">
        <v>0</v>
      </c>
      <c r="F1882" t="str">
        <f t="shared" si="989"/>
        <v>OK</v>
      </c>
      <c r="G1882" t="str">
        <f t="shared" si="990"/>
        <v>OK</v>
      </c>
      <c r="H1882" t="str">
        <f t="shared" si="991"/>
        <v>OK</v>
      </c>
      <c r="I1882" s="4">
        <f t="shared" si="992"/>
        <v>2022</v>
      </c>
    </row>
    <row r="1883" spans="1:9" hidden="1" x14ac:dyDescent="0.35">
      <c r="A1883" s="1">
        <v>44617</v>
      </c>
      <c r="B1883">
        <v>22.9</v>
      </c>
      <c r="C1883">
        <v>14.4</v>
      </c>
      <c r="D1883">
        <v>31.2</v>
      </c>
      <c r="E1883">
        <v>0</v>
      </c>
      <c r="F1883" t="str">
        <f t="shared" si="989"/>
        <v>OK</v>
      </c>
      <c r="G1883" t="str">
        <f t="shared" si="990"/>
        <v>Outlier</v>
      </c>
      <c r="H1883" t="str">
        <f t="shared" si="991"/>
        <v>OK</v>
      </c>
      <c r="I1883">
        <f t="shared" si="992"/>
        <v>2022</v>
      </c>
    </row>
    <row r="1884" spans="1:9" hidden="1" x14ac:dyDescent="0.35">
      <c r="A1884" s="1">
        <v>44618</v>
      </c>
      <c r="B1884" s="4">
        <v>22.5</v>
      </c>
      <c r="C1884">
        <v>14.9</v>
      </c>
      <c r="D1884">
        <v>30.2</v>
      </c>
      <c r="E1884" s="4">
        <v>0</v>
      </c>
      <c r="F1884" t="str">
        <f t="shared" si="989"/>
        <v>OK</v>
      </c>
      <c r="G1884" t="str">
        <f t="shared" si="990"/>
        <v>OK</v>
      </c>
      <c r="H1884" t="str">
        <f t="shared" si="991"/>
        <v>OK</v>
      </c>
      <c r="I1884" s="4">
        <f t="shared" si="992"/>
        <v>2022</v>
      </c>
    </row>
    <row r="1885" spans="1:9" hidden="1" x14ac:dyDescent="0.35">
      <c r="A1885" s="1">
        <v>44619</v>
      </c>
      <c r="B1885" s="4">
        <v>23.3</v>
      </c>
      <c r="C1885">
        <v>16.8</v>
      </c>
      <c r="D1885">
        <v>30</v>
      </c>
      <c r="E1885" s="4">
        <v>0</v>
      </c>
      <c r="F1885" t="str">
        <f t="shared" si="989"/>
        <v>OK</v>
      </c>
      <c r="G1885" t="str">
        <f t="shared" si="990"/>
        <v>OK</v>
      </c>
      <c r="H1885" t="str">
        <f t="shared" si="991"/>
        <v>OK</v>
      </c>
      <c r="I1885" s="4">
        <f t="shared" si="992"/>
        <v>2022</v>
      </c>
    </row>
    <row r="1886" spans="1:9" hidden="1" x14ac:dyDescent="0.35">
      <c r="A1886" s="1">
        <v>44620</v>
      </c>
      <c r="B1886" s="4">
        <v>23.3</v>
      </c>
      <c r="C1886">
        <v>16.100000000000001</v>
      </c>
      <c r="D1886">
        <v>30.6</v>
      </c>
      <c r="E1886" s="4">
        <v>0</v>
      </c>
      <c r="F1886" t="str">
        <f t="shared" si="989"/>
        <v>OK</v>
      </c>
      <c r="G1886" t="str">
        <f t="shared" si="990"/>
        <v>OK</v>
      </c>
      <c r="H1886" t="str">
        <f t="shared" si="991"/>
        <v>OK</v>
      </c>
      <c r="I1886" s="4">
        <f t="shared" si="992"/>
        <v>2022</v>
      </c>
    </row>
    <row r="1887" spans="1:9" hidden="1" x14ac:dyDescent="0.35">
      <c r="A1887" s="1">
        <v>44621</v>
      </c>
      <c r="B1887" s="4">
        <v>24</v>
      </c>
      <c r="C1887">
        <v>16.600000000000001</v>
      </c>
      <c r="D1887">
        <v>32</v>
      </c>
      <c r="E1887" s="4">
        <v>0</v>
      </c>
      <c r="F1887" t="str">
        <f t="shared" si="989"/>
        <v>OK</v>
      </c>
      <c r="G1887" t="str">
        <f t="shared" si="990"/>
        <v>OK</v>
      </c>
      <c r="H1887" t="str">
        <f t="shared" si="991"/>
        <v>OK</v>
      </c>
      <c r="I1887" s="4">
        <f t="shared" si="992"/>
        <v>2022</v>
      </c>
    </row>
    <row r="1888" spans="1:9" hidden="1" x14ac:dyDescent="0.35">
      <c r="A1888" s="1">
        <v>44622</v>
      </c>
      <c r="B1888" s="4">
        <v>23.7</v>
      </c>
      <c r="C1888">
        <v>16.899999999999999</v>
      </c>
      <c r="D1888">
        <v>30.4</v>
      </c>
      <c r="E1888" s="4">
        <v>0</v>
      </c>
      <c r="F1888" t="str">
        <f t="shared" si="989"/>
        <v>OK</v>
      </c>
      <c r="G1888" t="str">
        <f t="shared" si="990"/>
        <v>OK</v>
      </c>
      <c r="H1888" t="str">
        <f t="shared" si="991"/>
        <v>OK</v>
      </c>
      <c r="I1888" s="4">
        <f t="shared" si="992"/>
        <v>2022</v>
      </c>
    </row>
    <row r="1889" spans="1:19" hidden="1" x14ac:dyDescent="0.35">
      <c r="A1889" s="1">
        <v>44623</v>
      </c>
      <c r="B1889">
        <v>23.5</v>
      </c>
      <c r="C1889">
        <v>16.5</v>
      </c>
      <c r="D1889">
        <v>30.8</v>
      </c>
      <c r="E1889">
        <v>0</v>
      </c>
      <c r="F1889" t="str">
        <f t="shared" si="986"/>
        <v>OK</v>
      </c>
      <c r="G1889" t="str">
        <f t="shared" si="987"/>
        <v>Outlier</v>
      </c>
      <c r="H1889" t="str">
        <f t="shared" si="988"/>
        <v>OK</v>
      </c>
      <c r="I1889"/>
    </row>
    <row r="1890" spans="1:19" hidden="1" x14ac:dyDescent="0.35">
      <c r="A1890" s="1">
        <v>44624</v>
      </c>
      <c r="B1890" s="4">
        <v>24</v>
      </c>
      <c r="C1890">
        <v>17.399999999999999</v>
      </c>
      <c r="D1890">
        <v>31.6</v>
      </c>
      <c r="E1890" s="4">
        <v>0</v>
      </c>
      <c r="F1890" t="str">
        <f t="shared" ref="F1890:F1903" si="993">IF(OR(B1890 &lt; $N$30, B1890 &gt; $N$67), "Outlier", "OK")</f>
        <v>OK</v>
      </c>
      <c r="G1890" t="str">
        <f t="shared" ref="G1890:G1903" si="994">IF(OR(C1890 &lt; $O$30, C1890 &gt; $O$67), "Outlier", "OK")</f>
        <v>OK</v>
      </c>
      <c r="H1890" t="str">
        <f t="shared" ref="H1890:H1903" si="995">IF(OR(D1890 &lt; $P$30, D1890 &gt; $P$67), "Outlier", "OK")</f>
        <v>OK</v>
      </c>
      <c r="I1890" s="4">
        <f t="shared" ref="I1890:I1903" si="996">YEAR(A1890)</f>
        <v>2022</v>
      </c>
    </row>
    <row r="1891" spans="1:19" hidden="1" x14ac:dyDescent="0.35">
      <c r="A1891" s="1">
        <v>44625</v>
      </c>
      <c r="B1891" s="4">
        <v>24</v>
      </c>
      <c r="C1891">
        <v>16.2</v>
      </c>
      <c r="D1891">
        <v>30.6</v>
      </c>
      <c r="E1891" s="4">
        <v>0</v>
      </c>
      <c r="F1891" t="str">
        <f t="shared" si="993"/>
        <v>OK</v>
      </c>
      <c r="G1891" t="str">
        <f t="shared" si="994"/>
        <v>OK</v>
      </c>
      <c r="H1891" t="str">
        <f t="shared" si="995"/>
        <v>OK</v>
      </c>
      <c r="I1891" s="4">
        <f t="shared" si="996"/>
        <v>2022</v>
      </c>
    </row>
    <row r="1892" spans="1:19" hidden="1" x14ac:dyDescent="0.35">
      <c r="A1892" s="1">
        <v>44626</v>
      </c>
      <c r="B1892" s="4">
        <v>23.8</v>
      </c>
      <c r="C1892">
        <v>17.2</v>
      </c>
      <c r="D1892">
        <v>30.3</v>
      </c>
      <c r="E1892" s="4">
        <v>0</v>
      </c>
      <c r="F1892" t="str">
        <f t="shared" si="993"/>
        <v>OK</v>
      </c>
      <c r="G1892" t="str">
        <f t="shared" si="994"/>
        <v>OK</v>
      </c>
      <c r="H1892" t="str">
        <f t="shared" si="995"/>
        <v>OK</v>
      </c>
      <c r="I1892" s="4">
        <f t="shared" si="996"/>
        <v>2022</v>
      </c>
    </row>
    <row r="1893" spans="1:19" x14ac:dyDescent="0.35">
      <c r="A1893" s="1">
        <v>44627</v>
      </c>
      <c r="B1893" s="4">
        <v>21.9</v>
      </c>
      <c r="C1893">
        <v>16.3</v>
      </c>
      <c r="D1893">
        <v>27.9</v>
      </c>
      <c r="E1893" s="4">
        <v>2.4</v>
      </c>
      <c r="F1893" t="str">
        <f t="shared" si="993"/>
        <v>OK</v>
      </c>
      <c r="G1893" t="str">
        <f t="shared" si="994"/>
        <v>OK</v>
      </c>
      <c r="H1893" t="str">
        <f t="shared" si="995"/>
        <v>OK</v>
      </c>
      <c r="I1893" s="4">
        <f t="shared" si="996"/>
        <v>2022</v>
      </c>
      <c r="J1893">
        <f>( 377.84*B1893 + 3903.1)/550</f>
        <v>22.14144727272727</v>
      </c>
      <c r="K1893">
        <f xml:space="preserve"> (59.02*E1893 + 1383.4)/365</f>
        <v>4.1782136986301373</v>
      </c>
      <c r="R1893" s="4">
        <f>J1893-B1893</f>
        <v>0.24144727272727096</v>
      </c>
      <c r="S1893" s="4">
        <f>K1893-E1893</f>
        <v>1.7782136986301373</v>
      </c>
    </row>
    <row r="1894" spans="1:19" hidden="1" x14ac:dyDescent="0.35">
      <c r="A1894" s="1">
        <v>44628</v>
      </c>
      <c r="B1894" s="4">
        <v>24.9</v>
      </c>
      <c r="C1894">
        <v>18</v>
      </c>
      <c r="D1894">
        <v>30.6</v>
      </c>
      <c r="E1894" s="4">
        <v>0</v>
      </c>
      <c r="F1894" t="str">
        <f t="shared" si="993"/>
        <v>OK</v>
      </c>
      <c r="G1894" t="str">
        <f t="shared" si="994"/>
        <v>OK</v>
      </c>
      <c r="H1894" t="str">
        <f t="shared" si="995"/>
        <v>OK</v>
      </c>
      <c r="I1894" s="4">
        <f t="shared" si="996"/>
        <v>2022</v>
      </c>
    </row>
    <row r="1895" spans="1:19" hidden="1" x14ac:dyDescent="0.35">
      <c r="A1895" s="1">
        <v>44629</v>
      </c>
      <c r="B1895" s="4">
        <v>24.9</v>
      </c>
      <c r="C1895">
        <v>16.7</v>
      </c>
      <c r="D1895">
        <v>32.799999999999997</v>
      </c>
      <c r="E1895" s="4">
        <v>0</v>
      </c>
      <c r="F1895" t="str">
        <f t="shared" si="993"/>
        <v>OK</v>
      </c>
      <c r="G1895" t="str">
        <f t="shared" si="994"/>
        <v>OK</v>
      </c>
      <c r="H1895" t="str">
        <f t="shared" si="995"/>
        <v>OK</v>
      </c>
      <c r="I1895" s="4">
        <f t="shared" si="996"/>
        <v>2022</v>
      </c>
    </row>
    <row r="1896" spans="1:19" hidden="1" x14ac:dyDescent="0.35">
      <c r="A1896" s="1">
        <v>44630</v>
      </c>
      <c r="B1896" s="4">
        <v>25.4</v>
      </c>
      <c r="C1896">
        <v>17.100000000000001</v>
      </c>
      <c r="D1896">
        <v>32.799999999999997</v>
      </c>
      <c r="E1896" s="4">
        <v>0</v>
      </c>
      <c r="F1896" t="str">
        <f t="shared" si="993"/>
        <v>OK</v>
      </c>
      <c r="G1896" t="str">
        <f t="shared" si="994"/>
        <v>OK</v>
      </c>
      <c r="H1896" t="str">
        <f t="shared" si="995"/>
        <v>OK</v>
      </c>
      <c r="I1896" s="4">
        <f t="shared" si="996"/>
        <v>2022</v>
      </c>
    </row>
    <row r="1897" spans="1:19" hidden="1" x14ac:dyDescent="0.35">
      <c r="A1897" s="1">
        <v>44631</v>
      </c>
      <c r="B1897" s="4">
        <v>25.2</v>
      </c>
      <c r="C1897">
        <v>17.2</v>
      </c>
      <c r="D1897">
        <v>32.799999999999997</v>
      </c>
      <c r="E1897" s="4">
        <v>0</v>
      </c>
      <c r="F1897" t="str">
        <f t="shared" si="993"/>
        <v>OK</v>
      </c>
      <c r="G1897" t="str">
        <f t="shared" si="994"/>
        <v>OK</v>
      </c>
      <c r="H1897" t="str">
        <f t="shared" si="995"/>
        <v>OK</v>
      </c>
      <c r="I1897" s="4">
        <f t="shared" si="996"/>
        <v>2022</v>
      </c>
    </row>
    <row r="1898" spans="1:19" hidden="1" x14ac:dyDescent="0.35">
      <c r="A1898" s="1">
        <v>44632</v>
      </c>
      <c r="B1898" s="4">
        <v>25.5</v>
      </c>
      <c r="C1898">
        <v>18.100000000000001</v>
      </c>
      <c r="D1898">
        <v>33</v>
      </c>
      <c r="E1898" s="4">
        <v>0</v>
      </c>
      <c r="F1898" t="str">
        <f t="shared" si="993"/>
        <v>OK</v>
      </c>
      <c r="G1898" t="str">
        <f t="shared" si="994"/>
        <v>OK</v>
      </c>
      <c r="H1898" t="str">
        <f t="shared" si="995"/>
        <v>OK</v>
      </c>
      <c r="I1898" s="4">
        <f t="shared" si="996"/>
        <v>2022</v>
      </c>
    </row>
    <row r="1899" spans="1:19" hidden="1" x14ac:dyDescent="0.35">
      <c r="A1899" s="1">
        <v>44633</v>
      </c>
      <c r="B1899" s="4">
        <v>25.6</v>
      </c>
      <c r="C1899">
        <v>18.5</v>
      </c>
      <c r="D1899">
        <v>32.799999999999997</v>
      </c>
      <c r="E1899" s="4">
        <v>0</v>
      </c>
      <c r="F1899" t="str">
        <f t="shared" si="993"/>
        <v>OK</v>
      </c>
      <c r="G1899" t="str">
        <f t="shared" si="994"/>
        <v>OK</v>
      </c>
      <c r="H1899" t="str">
        <f t="shared" si="995"/>
        <v>OK</v>
      </c>
      <c r="I1899" s="4">
        <f t="shared" si="996"/>
        <v>2022</v>
      </c>
    </row>
    <row r="1900" spans="1:19" hidden="1" x14ac:dyDescent="0.35">
      <c r="A1900" s="1">
        <v>44634</v>
      </c>
      <c r="B1900" s="4">
        <v>26</v>
      </c>
      <c r="C1900">
        <v>18.399999999999999</v>
      </c>
      <c r="D1900">
        <v>32.799999999999997</v>
      </c>
      <c r="E1900" s="4">
        <v>0</v>
      </c>
      <c r="F1900" t="str">
        <f t="shared" si="993"/>
        <v>OK</v>
      </c>
      <c r="G1900" t="str">
        <f t="shared" si="994"/>
        <v>OK</v>
      </c>
      <c r="H1900" t="str">
        <f t="shared" si="995"/>
        <v>OK</v>
      </c>
      <c r="I1900" s="4">
        <f t="shared" si="996"/>
        <v>2022</v>
      </c>
    </row>
    <row r="1901" spans="1:19" hidden="1" x14ac:dyDescent="0.35">
      <c r="A1901" s="1">
        <v>44635</v>
      </c>
      <c r="B1901" s="4">
        <v>25.7</v>
      </c>
      <c r="C1901">
        <v>17.5</v>
      </c>
      <c r="D1901">
        <v>33.4</v>
      </c>
      <c r="E1901" s="4">
        <v>0</v>
      </c>
      <c r="F1901" t="str">
        <f t="shared" si="993"/>
        <v>OK</v>
      </c>
      <c r="G1901" t="str">
        <f t="shared" si="994"/>
        <v>OK</v>
      </c>
      <c r="H1901" t="str">
        <f t="shared" si="995"/>
        <v>OK</v>
      </c>
      <c r="I1901" s="4">
        <f t="shared" si="996"/>
        <v>2022</v>
      </c>
    </row>
    <row r="1902" spans="1:19" hidden="1" x14ac:dyDescent="0.35">
      <c r="A1902" s="1">
        <v>44636</v>
      </c>
      <c r="B1902" s="4">
        <v>25.7</v>
      </c>
      <c r="C1902">
        <v>17.600000000000001</v>
      </c>
      <c r="D1902">
        <v>34.200000000000003</v>
      </c>
      <c r="E1902" s="4">
        <v>0</v>
      </c>
      <c r="F1902" t="str">
        <f t="shared" si="993"/>
        <v>OK</v>
      </c>
      <c r="G1902" t="str">
        <f t="shared" si="994"/>
        <v>OK</v>
      </c>
      <c r="H1902" t="str">
        <f t="shared" si="995"/>
        <v>OK</v>
      </c>
      <c r="I1902" s="4">
        <f t="shared" si="996"/>
        <v>2022</v>
      </c>
    </row>
    <row r="1903" spans="1:19" hidden="1" x14ac:dyDescent="0.35">
      <c r="A1903" s="1">
        <v>44637</v>
      </c>
      <c r="B1903" s="4">
        <v>26.6</v>
      </c>
      <c r="C1903">
        <v>19.100000000000001</v>
      </c>
      <c r="D1903">
        <v>34.200000000000003</v>
      </c>
      <c r="E1903" s="4">
        <v>0</v>
      </c>
      <c r="F1903" t="str">
        <f t="shared" si="993"/>
        <v>OK</v>
      </c>
      <c r="G1903" t="str">
        <f t="shared" si="994"/>
        <v>OK</v>
      </c>
      <c r="H1903" t="str">
        <f t="shared" si="995"/>
        <v>OK</v>
      </c>
      <c r="I1903" s="4">
        <f t="shared" si="996"/>
        <v>2022</v>
      </c>
    </row>
    <row r="1904" spans="1:19" hidden="1" x14ac:dyDescent="0.35">
      <c r="A1904" s="1">
        <v>44638</v>
      </c>
      <c r="B1904">
        <v>26.6</v>
      </c>
      <c r="C1904">
        <v>18.7</v>
      </c>
      <c r="D1904">
        <v>34</v>
      </c>
      <c r="E1904">
        <v>0</v>
      </c>
      <c r="F1904" t="str">
        <f t="shared" si="986"/>
        <v>OK</v>
      </c>
      <c r="G1904" t="str">
        <f t="shared" si="987"/>
        <v>Outlier</v>
      </c>
      <c r="H1904" t="str">
        <f t="shared" si="988"/>
        <v>OK</v>
      </c>
      <c r="I1904"/>
    </row>
    <row r="1905" spans="1:19" x14ac:dyDescent="0.35">
      <c r="A1905" s="1">
        <v>44639</v>
      </c>
      <c r="B1905" s="4">
        <v>26.2</v>
      </c>
      <c r="C1905">
        <v>18.899999999999999</v>
      </c>
      <c r="D1905">
        <v>33.4</v>
      </c>
      <c r="E1905" s="4">
        <v>0.1</v>
      </c>
      <c r="F1905" t="str">
        <f t="shared" ref="F1905:F1968" si="997">IF(OR(B1905 &lt; $N$30, B1905 &gt; $N$67), "Outlier", "OK")</f>
        <v>OK</v>
      </c>
      <c r="G1905" t="str">
        <f t="shared" ref="G1905:G1968" si="998">IF(OR(C1905 &lt; $O$30, C1905 &gt; $O$67), "Outlier", "OK")</f>
        <v>OK</v>
      </c>
      <c r="H1905" t="str">
        <f t="shared" ref="H1905:H1968" si="999">IF(OR(D1905 &lt; $P$30, D1905 &gt; $P$67), "Outlier", "OK")</f>
        <v>OK</v>
      </c>
      <c r="I1905" s="4">
        <f t="shared" ref="I1905:I1968" si="1000">YEAR(A1905)</f>
        <v>2022</v>
      </c>
      <c r="J1905">
        <f>( 377.84*B1905 + 3903.1)/550</f>
        <v>25.095469090909091</v>
      </c>
      <c r="K1905">
        <f xml:space="preserve"> (59.02*E1905 + 1383.4)/365</f>
        <v>3.8063068493150687</v>
      </c>
      <c r="R1905" s="4">
        <f>J1905-B1905</f>
        <v>-1.1045309090909079</v>
      </c>
      <c r="S1905" s="4">
        <f>K1905-E1905</f>
        <v>3.7063068493150686</v>
      </c>
    </row>
    <row r="1906" spans="1:19" hidden="1" x14ac:dyDescent="0.35">
      <c r="A1906" s="1">
        <v>44640</v>
      </c>
      <c r="B1906" s="4">
        <v>24.9</v>
      </c>
      <c r="C1906">
        <v>22</v>
      </c>
      <c r="D1906">
        <v>34.1</v>
      </c>
      <c r="E1906" s="4">
        <v>0</v>
      </c>
      <c r="F1906" t="str">
        <f t="shared" si="997"/>
        <v>OK</v>
      </c>
      <c r="G1906" t="str">
        <f t="shared" si="998"/>
        <v>OK</v>
      </c>
      <c r="H1906" t="str">
        <f t="shared" si="999"/>
        <v>OK</v>
      </c>
      <c r="I1906" s="4">
        <f t="shared" si="1000"/>
        <v>2022</v>
      </c>
    </row>
    <row r="1907" spans="1:19" x14ac:dyDescent="0.35">
      <c r="A1907" s="1">
        <v>44641</v>
      </c>
      <c r="B1907" s="4">
        <v>24.7</v>
      </c>
      <c r="C1907">
        <v>21.3</v>
      </c>
      <c r="D1907">
        <v>33.200000000000003</v>
      </c>
      <c r="E1907" s="4">
        <v>6.1</v>
      </c>
      <c r="F1907" t="str">
        <f t="shared" si="997"/>
        <v>OK</v>
      </c>
      <c r="G1907" t="str">
        <f t="shared" si="998"/>
        <v>OK</v>
      </c>
      <c r="H1907" t="str">
        <f t="shared" si="999"/>
        <v>OK</v>
      </c>
      <c r="I1907" s="4">
        <f t="shared" si="1000"/>
        <v>2022</v>
      </c>
      <c r="J1907">
        <f t="shared" ref="J1907:J1909" si="1001">( 377.84*B1907 + 3903.1)/550</f>
        <v>24.064996363636364</v>
      </c>
      <c r="K1907">
        <f t="shared" ref="K1907:K1909" si="1002" xml:space="preserve"> (59.02*E1907 + 1383.4)/365</f>
        <v>4.7764986301369863</v>
      </c>
      <c r="R1907" s="4">
        <f t="shared" ref="R1907:R1909" si="1003">J1907-B1907</f>
        <v>-0.63500363636363488</v>
      </c>
      <c r="S1907" s="4">
        <f t="shared" ref="S1907:S1909" si="1004">K1907-E1907</f>
        <v>-1.3235013698630134</v>
      </c>
    </row>
    <row r="1908" spans="1:19" x14ac:dyDescent="0.35">
      <c r="A1908" s="1">
        <v>44642</v>
      </c>
      <c r="B1908" s="4">
        <v>25.6</v>
      </c>
      <c r="C1908">
        <v>21.8</v>
      </c>
      <c r="D1908">
        <v>33.5</v>
      </c>
      <c r="E1908" s="4">
        <v>7.9</v>
      </c>
      <c r="F1908" t="str">
        <f t="shared" si="997"/>
        <v>OK</v>
      </c>
      <c r="G1908" t="str">
        <f t="shared" si="998"/>
        <v>OK</v>
      </c>
      <c r="H1908" t="str">
        <f t="shared" si="999"/>
        <v>OK</v>
      </c>
      <c r="I1908" s="4">
        <f t="shared" si="1000"/>
        <v>2022</v>
      </c>
      <c r="J1908">
        <f t="shared" si="1001"/>
        <v>24.68328</v>
      </c>
      <c r="K1908">
        <f t="shared" si="1002"/>
        <v>5.0675561643835616</v>
      </c>
      <c r="R1908" s="4">
        <f t="shared" si="1003"/>
        <v>-0.91672000000000153</v>
      </c>
      <c r="S1908" s="4">
        <f t="shared" si="1004"/>
        <v>-2.8324438356164388</v>
      </c>
    </row>
    <row r="1909" spans="1:19" x14ac:dyDescent="0.35">
      <c r="A1909" s="1">
        <v>44643</v>
      </c>
      <c r="B1909" s="4">
        <v>27</v>
      </c>
      <c r="C1909">
        <v>21.4</v>
      </c>
      <c r="D1909">
        <v>32.799999999999997</v>
      </c>
      <c r="E1909" s="4">
        <v>2</v>
      </c>
      <c r="F1909" t="str">
        <f t="shared" si="997"/>
        <v>OK</v>
      </c>
      <c r="G1909" t="str">
        <f t="shared" si="998"/>
        <v>OK</v>
      </c>
      <c r="H1909" t="str">
        <f t="shared" si="999"/>
        <v>OK</v>
      </c>
      <c r="I1909" s="4">
        <f t="shared" si="1000"/>
        <v>2022</v>
      </c>
      <c r="J1909">
        <f t="shared" si="1001"/>
        <v>25.645054545454542</v>
      </c>
      <c r="K1909">
        <f t="shared" si="1002"/>
        <v>4.1135342465753428</v>
      </c>
      <c r="R1909" s="4">
        <f t="shared" si="1003"/>
        <v>-1.354945454545458</v>
      </c>
      <c r="S1909" s="4">
        <f t="shared" si="1004"/>
        <v>2.1135342465753428</v>
      </c>
    </row>
    <row r="1910" spans="1:19" hidden="1" x14ac:dyDescent="0.35">
      <c r="A1910" s="1">
        <v>44644</v>
      </c>
      <c r="B1910" s="4">
        <v>27.1</v>
      </c>
      <c r="C1910">
        <v>23.4</v>
      </c>
      <c r="D1910">
        <v>33.6</v>
      </c>
      <c r="E1910" s="4">
        <v>0</v>
      </c>
      <c r="F1910" t="str">
        <f t="shared" si="997"/>
        <v>OK</v>
      </c>
      <c r="G1910" t="str">
        <f t="shared" si="998"/>
        <v>OK</v>
      </c>
      <c r="H1910" t="str">
        <f t="shared" si="999"/>
        <v>OK</v>
      </c>
      <c r="I1910" s="4">
        <f t="shared" si="1000"/>
        <v>2022</v>
      </c>
    </row>
    <row r="1911" spans="1:19" x14ac:dyDescent="0.35">
      <c r="A1911" s="1">
        <v>44645</v>
      </c>
      <c r="B1911" s="4">
        <v>26.4</v>
      </c>
      <c r="C1911">
        <v>19.399999999999999</v>
      </c>
      <c r="D1911">
        <v>32.299999999999997</v>
      </c>
      <c r="E1911" s="4">
        <v>0.2</v>
      </c>
      <c r="F1911" t="str">
        <f t="shared" si="997"/>
        <v>OK</v>
      </c>
      <c r="G1911" t="str">
        <f t="shared" si="998"/>
        <v>OK</v>
      </c>
      <c r="H1911" t="str">
        <f t="shared" si="999"/>
        <v>OK</v>
      </c>
      <c r="I1911" s="4">
        <f t="shared" si="1000"/>
        <v>2022</v>
      </c>
      <c r="J1911">
        <f>( 377.84*B1911 + 3903.1)/550</f>
        <v>25.232865454545454</v>
      </c>
      <c r="K1911">
        <f xml:space="preserve"> (59.02*E1911 + 1383.4)/365</f>
        <v>3.8224767123287675</v>
      </c>
      <c r="R1911" s="4">
        <f>J1911-B1911</f>
        <v>-1.1671345454545445</v>
      </c>
      <c r="S1911" s="4">
        <f>K1911-E1911</f>
        <v>3.6224767123287673</v>
      </c>
    </row>
    <row r="1912" spans="1:19" hidden="1" x14ac:dyDescent="0.35">
      <c r="A1912" s="1">
        <v>44646</v>
      </c>
      <c r="B1912" s="4">
        <v>26.7</v>
      </c>
      <c r="C1912">
        <v>19.899999999999999</v>
      </c>
      <c r="D1912">
        <v>32.9</v>
      </c>
      <c r="E1912" s="4">
        <v>0</v>
      </c>
      <c r="F1912" t="str">
        <f t="shared" si="997"/>
        <v>OK</v>
      </c>
      <c r="G1912" t="str">
        <f t="shared" si="998"/>
        <v>OK</v>
      </c>
      <c r="H1912" t="str">
        <f t="shared" si="999"/>
        <v>OK</v>
      </c>
      <c r="I1912" s="4">
        <f t="shared" si="1000"/>
        <v>2022</v>
      </c>
    </row>
    <row r="1913" spans="1:19" hidden="1" x14ac:dyDescent="0.35">
      <c r="A1913" s="1">
        <v>44647</v>
      </c>
      <c r="B1913" s="4">
        <v>27.1</v>
      </c>
      <c r="C1913">
        <v>20.399999999999999</v>
      </c>
      <c r="D1913">
        <v>33.799999999999997</v>
      </c>
      <c r="E1913" s="4">
        <v>0</v>
      </c>
      <c r="F1913" t="str">
        <f t="shared" si="997"/>
        <v>OK</v>
      </c>
      <c r="G1913" t="str">
        <f t="shared" si="998"/>
        <v>OK</v>
      </c>
      <c r="H1913" t="str">
        <f t="shared" si="999"/>
        <v>OK</v>
      </c>
      <c r="I1913" s="4">
        <f t="shared" si="1000"/>
        <v>2022</v>
      </c>
    </row>
    <row r="1914" spans="1:19" hidden="1" x14ac:dyDescent="0.35">
      <c r="A1914" s="1">
        <v>44648</v>
      </c>
      <c r="B1914" s="4">
        <v>27.3</v>
      </c>
      <c r="C1914">
        <v>20.100000000000001</v>
      </c>
      <c r="D1914">
        <v>33.799999999999997</v>
      </c>
      <c r="E1914" s="4">
        <v>0</v>
      </c>
      <c r="F1914" t="str">
        <f t="shared" si="997"/>
        <v>OK</v>
      </c>
      <c r="G1914" t="str">
        <f t="shared" si="998"/>
        <v>OK</v>
      </c>
      <c r="H1914" t="str">
        <f t="shared" si="999"/>
        <v>OK</v>
      </c>
      <c r="I1914" s="4">
        <f t="shared" si="1000"/>
        <v>2022</v>
      </c>
    </row>
    <row r="1915" spans="1:19" x14ac:dyDescent="0.35">
      <c r="A1915" s="1">
        <v>44649</v>
      </c>
      <c r="B1915" s="4">
        <v>27.5</v>
      </c>
      <c r="C1915">
        <v>20.399999999999999</v>
      </c>
      <c r="D1915">
        <v>34.200000000000003</v>
      </c>
      <c r="E1915" s="4">
        <v>0.1</v>
      </c>
      <c r="F1915" t="str">
        <f t="shared" si="997"/>
        <v>OK</v>
      </c>
      <c r="G1915" t="str">
        <f t="shared" si="998"/>
        <v>OK</v>
      </c>
      <c r="H1915" t="str">
        <f t="shared" si="999"/>
        <v>OK</v>
      </c>
      <c r="I1915" s="4">
        <f t="shared" si="1000"/>
        <v>2022</v>
      </c>
      <c r="J1915">
        <f t="shared" ref="J1915:J1916" si="1005">( 377.84*B1915 + 3903.1)/550</f>
        <v>25.988545454545452</v>
      </c>
      <c r="K1915">
        <f t="shared" ref="K1915:K1916" si="1006" xml:space="preserve"> (59.02*E1915 + 1383.4)/365</f>
        <v>3.8063068493150687</v>
      </c>
      <c r="R1915" s="4">
        <f t="shared" ref="R1915:R1916" si="1007">J1915-B1915</f>
        <v>-1.5114545454545478</v>
      </c>
      <c r="S1915" s="4">
        <f t="shared" ref="S1915:S1916" si="1008">K1915-E1915</f>
        <v>3.7063068493150686</v>
      </c>
    </row>
    <row r="1916" spans="1:19" x14ac:dyDescent="0.35">
      <c r="A1916" s="1">
        <v>44650</v>
      </c>
      <c r="B1916" s="4">
        <v>27.6</v>
      </c>
      <c r="C1916">
        <v>21.8</v>
      </c>
      <c r="D1916">
        <v>33.799999999999997</v>
      </c>
      <c r="E1916" s="4">
        <v>0.1</v>
      </c>
      <c r="F1916" t="str">
        <f t="shared" si="997"/>
        <v>OK</v>
      </c>
      <c r="G1916" t="str">
        <f t="shared" si="998"/>
        <v>OK</v>
      </c>
      <c r="H1916" t="str">
        <f t="shared" si="999"/>
        <v>OK</v>
      </c>
      <c r="I1916" s="4">
        <f t="shared" si="1000"/>
        <v>2022</v>
      </c>
      <c r="J1916">
        <f t="shared" si="1005"/>
        <v>26.057243636363637</v>
      </c>
      <c r="K1916">
        <f t="shared" si="1006"/>
        <v>3.8063068493150687</v>
      </c>
      <c r="R1916" s="4">
        <f t="shared" si="1007"/>
        <v>-1.5427563636363644</v>
      </c>
      <c r="S1916" s="4">
        <f t="shared" si="1008"/>
        <v>3.7063068493150686</v>
      </c>
    </row>
    <row r="1917" spans="1:19" hidden="1" x14ac:dyDescent="0.35">
      <c r="A1917" s="1">
        <v>44651</v>
      </c>
      <c r="B1917" s="4">
        <v>27.5</v>
      </c>
      <c r="C1917">
        <v>20.9</v>
      </c>
      <c r="D1917">
        <v>34</v>
      </c>
      <c r="E1917" s="4">
        <v>0</v>
      </c>
      <c r="F1917" t="str">
        <f t="shared" si="997"/>
        <v>OK</v>
      </c>
      <c r="G1917" t="str">
        <f t="shared" si="998"/>
        <v>OK</v>
      </c>
      <c r="H1917" t="str">
        <f t="shared" si="999"/>
        <v>OK</v>
      </c>
      <c r="I1917" s="4">
        <f t="shared" si="1000"/>
        <v>2022</v>
      </c>
    </row>
    <row r="1918" spans="1:19" hidden="1" x14ac:dyDescent="0.35">
      <c r="A1918" s="1">
        <v>44652</v>
      </c>
      <c r="B1918" s="4">
        <v>27.2</v>
      </c>
      <c r="C1918">
        <v>21.2</v>
      </c>
      <c r="D1918">
        <v>33</v>
      </c>
      <c r="E1918" s="4">
        <v>0</v>
      </c>
      <c r="F1918" t="str">
        <f t="shared" si="997"/>
        <v>OK</v>
      </c>
      <c r="G1918" t="str">
        <f t="shared" si="998"/>
        <v>OK</v>
      </c>
      <c r="H1918" t="str">
        <f t="shared" si="999"/>
        <v>OK</v>
      </c>
      <c r="I1918" s="4">
        <f t="shared" si="1000"/>
        <v>2022</v>
      </c>
    </row>
    <row r="1919" spans="1:19" hidden="1" x14ac:dyDescent="0.35">
      <c r="A1919" s="1">
        <v>44653</v>
      </c>
      <c r="B1919" s="4">
        <v>26.8</v>
      </c>
      <c r="C1919">
        <v>20</v>
      </c>
      <c r="D1919">
        <v>33</v>
      </c>
      <c r="E1919" s="4">
        <v>0</v>
      </c>
      <c r="F1919" t="str">
        <f t="shared" si="997"/>
        <v>OK</v>
      </c>
      <c r="G1919" t="str">
        <f t="shared" si="998"/>
        <v>OK</v>
      </c>
      <c r="H1919" t="str">
        <f t="shared" si="999"/>
        <v>OK</v>
      </c>
      <c r="I1919" s="4">
        <f t="shared" si="1000"/>
        <v>2022</v>
      </c>
    </row>
    <row r="1920" spans="1:19" hidden="1" x14ac:dyDescent="0.35">
      <c r="A1920" s="1">
        <v>44654</v>
      </c>
      <c r="B1920" s="4">
        <v>26.6</v>
      </c>
      <c r="C1920">
        <v>18.600000000000001</v>
      </c>
      <c r="D1920">
        <v>33.6</v>
      </c>
      <c r="E1920" s="4">
        <v>0</v>
      </c>
      <c r="F1920" t="str">
        <f t="shared" si="997"/>
        <v>OK</v>
      </c>
      <c r="G1920" t="str">
        <f t="shared" si="998"/>
        <v>OK</v>
      </c>
      <c r="H1920" t="str">
        <f t="shared" si="999"/>
        <v>OK</v>
      </c>
      <c r="I1920" s="4">
        <f t="shared" si="1000"/>
        <v>2022</v>
      </c>
    </row>
    <row r="1921" spans="1:19" hidden="1" x14ac:dyDescent="0.35">
      <c r="A1921" s="1">
        <v>44655</v>
      </c>
      <c r="B1921" s="4">
        <v>26.5</v>
      </c>
      <c r="C1921">
        <v>19</v>
      </c>
      <c r="D1921">
        <v>33.799999999999997</v>
      </c>
      <c r="E1921" s="4">
        <v>0</v>
      </c>
      <c r="F1921" t="str">
        <f t="shared" si="997"/>
        <v>OK</v>
      </c>
      <c r="G1921" t="str">
        <f t="shared" si="998"/>
        <v>OK</v>
      </c>
      <c r="H1921" t="str">
        <f t="shared" si="999"/>
        <v>OK</v>
      </c>
      <c r="I1921" s="4">
        <f t="shared" si="1000"/>
        <v>2022</v>
      </c>
    </row>
    <row r="1922" spans="1:19" hidden="1" x14ac:dyDescent="0.35">
      <c r="A1922" s="1">
        <v>44656</v>
      </c>
      <c r="B1922" s="4">
        <v>26.3</v>
      </c>
      <c r="C1922">
        <v>19</v>
      </c>
      <c r="D1922">
        <v>33.200000000000003</v>
      </c>
      <c r="E1922" s="4">
        <v>0</v>
      </c>
      <c r="F1922" t="str">
        <f t="shared" si="997"/>
        <v>OK</v>
      </c>
      <c r="G1922" t="str">
        <f t="shared" si="998"/>
        <v>OK</v>
      </c>
      <c r="H1922" t="str">
        <f t="shared" si="999"/>
        <v>OK</v>
      </c>
      <c r="I1922" s="4">
        <f t="shared" si="1000"/>
        <v>2022</v>
      </c>
    </row>
    <row r="1923" spans="1:19" hidden="1" x14ac:dyDescent="0.35">
      <c r="A1923" s="1">
        <v>44657</v>
      </c>
      <c r="B1923" s="4">
        <v>26.7</v>
      </c>
      <c r="C1923">
        <v>18.399999999999999</v>
      </c>
      <c r="D1923">
        <v>35</v>
      </c>
      <c r="E1923" s="4">
        <v>0</v>
      </c>
      <c r="F1923" t="str">
        <f t="shared" si="997"/>
        <v>OK</v>
      </c>
      <c r="G1923" t="str">
        <f t="shared" si="998"/>
        <v>OK</v>
      </c>
      <c r="H1923" t="str">
        <f t="shared" si="999"/>
        <v>OK</v>
      </c>
      <c r="I1923" s="4">
        <f t="shared" si="1000"/>
        <v>2022</v>
      </c>
    </row>
    <row r="1924" spans="1:19" hidden="1" x14ac:dyDescent="0.35">
      <c r="A1924" s="1">
        <v>44658</v>
      </c>
      <c r="B1924" s="4">
        <v>27.1</v>
      </c>
      <c r="C1924">
        <v>19.100000000000001</v>
      </c>
      <c r="D1924">
        <v>34.799999999999997</v>
      </c>
      <c r="E1924" s="4">
        <v>0</v>
      </c>
      <c r="F1924" t="str">
        <f t="shared" si="997"/>
        <v>OK</v>
      </c>
      <c r="G1924" t="str">
        <f t="shared" si="998"/>
        <v>OK</v>
      </c>
      <c r="H1924" t="str">
        <f t="shared" si="999"/>
        <v>OK</v>
      </c>
      <c r="I1924" s="4">
        <f t="shared" si="1000"/>
        <v>2022</v>
      </c>
    </row>
    <row r="1925" spans="1:19" hidden="1" x14ac:dyDescent="0.35">
      <c r="A1925" s="1">
        <v>44659</v>
      </c>
      <c r="B1925" s="4">
        <v>26.7</v>
      </c>
      <c r="C1925">
        <v>19.3</v>
      </c>
      <c r="D1925">
        <v>33.200000000000003</v>
      </c>
      <c r="E1925" s="4">
        <v>0</v>
      </c>
      <c r="F1925" t="str">
        <f t="shared" si="997"/>
        <v>OK</v>
      </c>
      <c r="G1925" t="str">
        <f t="shared" si="998"/>
        <v>OK</v>
      </c>
      <c r="H1925" t="str">
        <f t="shared" si="999"/>
        <v>OK</v>
      </c>
      <c r="I1925" s="4">
        <f t="shared" si="1000"/>
        <v>2022</v>
      </c>
    </row>
    <row r="1926" spans="1:19" hidden="1" x14ac:dyDescent="0.35">
      <c r="A1926" s="1">
        <v>44660</v>
      </c>
      <c r="B1926" s="4">
        <v>27.1</v>
      </c>
      <c r="C1926">
        <v>19.899999999999999</v>
      </c>
      <c r="D1926">
        <v>33.6</v>
      </c>
      <c r="E1926" s="4">
        <v>0</v>
      </c>
      <c r="F1926" t="str">
        <f t="shared" si="997"/>
        <v>OK</v>
      </c>
      <c r="G1926" t="str">
        <f t="shared" si="998"/>
        <v>OK</v>
      </c>
      <c r="H1926" t="str">
        <f t="shared" si="999"/>
        <v>OK</v>
      </c>
      <c r="I1926" s="4">
        <f t="shared" si="1000"/>
        <v>2022</v>
      </c>
    </row>
    <row r="1927" spans="1:19" hidden="1" x14ac:dyDescent="0.35">
      <c r="A1927" s="1">
        <v>44661</v>
      </c>
      <c r="B1927" s="4">
        <v>27</v>
      </c>
      <c r="C1927">
        <v>20.3</v>
      </c>
      <c r="D1927">
        <v>34</v>
      </c>
      <c r="E1927" s="4">
        <v>0</v>
      </c>
      <c r="F1927" t="str">
        <f t="shared" si="997"/>
        <v>OK</v>
      </c>
      <c r="G1927" t="str">
        <f t="shared" si="998"/>
        <v>OK</v>
      </c>
      <c r="H1927" t="str">
        <f t="shared" si="999"/>
        <v>OK</v>
      </c>
      <c r="I1927" s="4">
        <f t="shared" si="1000"/>
        <v>2022</v>
      </c>
    </row>
    <row r="1928" spans="1:19" hidden="1" x14ac:dyDescent="0.35">
      <c r="A1928" s="1">
        <v>44662</v>
      </c>
      <c r="B1928" s="4">
        <v>27.2</v>
      </c>
      <c r="C1928">
        <v>20.100000000000001</v>
      </c>
      <c r="D1928">
        <v>34.200000000000003</v>
      </c>
      <c r="E1928" s="4">
        <v>0</v>
      </c>
      <c r="F1928" t="str">
        <f t="shared" si="997"/>
        <v>OK</v>
      </c>
      <c r="G1928" t="str">
        <f t="shared" si="998"/>
        <v>OK</v>
      </c>
      <c r="H1928" t="str">
        <f t="shared" si="999"/>
        <v>OK</v>
      </c>
      <c r="I1928" s="4">
        <f t="shared" si="1000"/>
        <v>2022</v>
      </c>
    </row>
    <row r="1929" spans="1:19" hidden="1" x14ac:dyDescent="0.35">
      <c r="A1929" s="1">
        <v>44663</v>
      </c>
      <c r="B1929" s="4">
        <v>26.7</v>
      </c>
      <c r="C1929">
        <v>20.5</v>
      </c>
      <c r="D1929">
        <v>34</v>
      </c>
      <c r="E1929" s="4">
        <v>0</v>
      </c>
      <c r="F1929" t="str">
        <f t="shared" si="997"/>
        <v>OK</v>
      </c>
      <c r="G1929" t="str">
        <f t="shared" si="998"/>
        <v>OK</v>
      </c>
      <c r="H1929" t="str">
        <f t="shared" si="999"/>
        <v>OK</v>
      </c>
      <c r="I1929" s="4">
        <f t="shared" si="1000"/>
        <v>2022</v>
      </c>
    </row>
    <row r="1930" spans="1:19" x14ac:dyDescent="0.35">
      <c r="A1930" s="1">
        <v>44664</v>
      </c>
      <c r="B1930" s="4">
        <v>25</v>
      </c>
      <c r="C1930">
        <v>21.5</v>
      </c>
      <c r="D1930">
        <v>32.799999999999997</v>
      </c>
      <c r="E1930" s="4">
        <v>3.5</v>
      </c>
      <c r="F1930" t="str">
        <f t="shared" si="997"/>
        <v>OK</v>
      </c>
      <c r="G1930" t="str">
        <f t="shared" si="998"/>
        <v>OK</v>
      </c>
      <c r="H1930" t="str">
        <f t="shared" si="999"/>
        <v>OK</v>
      </c>
      <c r="I1930" s="4">
        <f t="shared" si="1000"/>
        <v>2022</v>
      </c>
      <c r="J1930">
        <f t="shared" ref="J1930:J1932" si="1009">( 377.84*B1930 + 3903.1)/550</f>
        <v>24.271090909090908</v>
      </c>
      <c r="K1930">
        <f t="shared" ref="K1930:K1932" si="1010" xml:space="preserve"> (59.02*E1930 + 1383.4)/365</f>
        <v>4.3560821917808221</v>
      </c>
      <c r="R1930" s="4">
        <f t="shared" ref="R1930:R1932" si="1011">J1930-B1930</f>
        <v>-0.72890909090909162</v>
      </c>
      <c r="S1930" s="4">
        <f t="shared" ref="S1930:S1932" si="1012">K1930-E1930</f>
        <v>0.85608219178082212</v>
      </c>
    </row>
    <row r="1931" spans="1:19" x14ac:dyDescent="0.35">
      <c r="A1931" s="1">
        <v>44665</v>
      </c>
      <c r="B1931" s="4">
        <v>24.8</v>
      </c>
      <c r="C1931">
        <v>20.7</v>
      </c>
      <c r="D1931">
        <v>32.1</v>
      </c>
      <c r="E1931" s="4">
        <v>13.6</v>
      </c>
      <c r="F1931" t="str">
        <f t="shared" si="997"/>
        <v>OK</v>
      </c>
      <c r="G1931" t="str">
        <f t="shared" si="998"/>
        <v>OK</v>
      </c>
      <c r="H1931" t="str">
        <f t="shared" si="999"/>
        <v>OK</v>
      </c>
      <c r="I1931" s="4">
        <f t="shared" si="1000"/>
        <v>2022</v>
      </c>
      <c r="J1931">
        <f t="shared" si="1009"/>
        <v>24.133694545454546</v>
      </c>
      <c r="K1931">
        <f t="shared" si="1010"/>
        <v>5.9892383561643836</v>
      </c>
      <c r="R1931" s="4">
        <f t="shared" si="1011"/>
        <v>-0.66630545454545498</v>
      </c>
      <c r="S1931" s="4">
        <f t="shared" si="1012"/>
        <v>-7.610761643835616</v>
      </c>
    </row>
    <row r="1932" spans="1:19" x14ac:dyDescent="0.35">
      <c r="A1932" s="1">
        <v>44666</v>
      </c>
      <c r="B1932" s="4">
        <v>25.4</v>
      </c>
      <c r="C1932">
        <v>19.100000000000001</v>
      </c>
      <c r="D1932">
        <v>33</v>
      </c>
      <c r="E1932" s="4">
        <v>37.6</v>
      </c>
      <c r="F1932" t="str">
        <f t="shared" si="997"/>
        <v>OK</v>
      </c>
      <c r="G1932" t="str">
        <f t="shared" si="998"/>
        <v>OK</v>
      </c>
      <c r="H1932" t="str">
        <f t="shared" si="999"/>
        <v>OK</v>
      </c>
      <c r="I1932" s="4">
        <f t="shared" si="1000"/>
        <v>2022</v>
      </c>
      <c r="J1932">
        <f t="shared" si="1009"/>
        <v>24.545883636363634</v>
      </c>
      <c r="K1932">
        <f t="shared" si="1010"/>
        <v>9.8700054794520558</v>
      </c>
      <c r="R1932" s="4">
        <f t="shared" si="1011"/>
        <v>-0.85411636363636489</v>
      </c>
      <c r="S1932" s="4">
        <f t="shared" si="1012"/>
        <v>-27.729994520547947</v>
      </c>
    </row>
    <row r="1933" spans="1:19" hidden="1" x14ac:dyDescent="0.35">
      <c r="A1933" s="1">
        <v>44667</v>
      </c>
      <c r="B1933" s="4">
        <v>26.3</v>
      </c>
      <c r="C1933">
        <v>19.7</v>
      </c>
      <c r="D1933">
        <v>34.1</v>
      </c>
      <c r="E1933" s="4">
        <v>0</v>
      </c>
      <c r="F1933" t="str">
        <f t="shared" si="997"/>
        <v>OK</v>
      </c>
      <c r="G1933" t="str">
        <f t="shared" si="998"/>
        <v>OK</v>
      </c>
      <c r="H1933" t="str">
        <f t="shared" si="999"/>
        <v>OK</v>
      </c>
      <c r="I1933" s="4">
        <f t="shared" si="1000"/>
        <v>2022</v>
      </c>
    </row>
    <row r="1934" spans="1:19" x14ac:dyDescent="0.35">
      <c r="A1934" s="1">
        <v>44668</v>
      </c>
      <c r="B1934" s="4">
        <v>25.6</v>
      </c>
      <c r="C1934">
        <v>20</v>
      </c>
      <c r="D1934">
        <v>34.1</v>
      </c>
      <c r="E1934" s="4">
        <v>51.1</v>
      </c>
      <c r="F1934" t="str">
        <f t="shared" si="997"/>
        <v>OK</v>
      </c>
      <c r="G1934" t="str">
        <f t="shared" si="998"/>
        <v>OK</v>
      </c>
      <c r="H1934" t="str">
        <f t="shared" si="999"/>
        <v>OK</v>
      </c>
      <c r="I1934" s="4">
        <f t="shared" si="1000"/>
        <v>2022</v>
      </c>
      <c r="J1934">
        <f t="shared" ref="J1934:J1936" si="1013">( 377.84*B1934 + 3903.1)/550</f>
        <v>24.68328</v>
      </c>
      <c r="K1934">
        <f t="shared" ref="K1934:K1936" si="1014" xml:space="preserve"> (59.02*E1934 + 1383.4)/365</f>
        <v>12.05293698630137</v>
      </c>
      <c r="R1934" s="4">
        <f t="shared" ref="R1934:R1936" si="1015">J1934-B1934</f>
        <v>-0.91672000000000153</v>
      </c>
      <c r="S1934" s="4">
        <f t="shared" ref="S1934:S1936" si="1016">K1934-E1934</f>
        <v>-39.047063013698633</v>
      </c>
    </row>
    <row r="1935" spans="1:19" x14ac:dyDescent="0.35">
      <c r="A1935" s="1">
        <v>44669</v>
      </c>
      <c r="B1935" s="4">
        <v>23.8</v>
      </c>
      <c r="C1935">
        <v>19.100000000000001</v>
      </c>
      <c r="D1935">
        <v>32.1</v>
      </c>
      <c r="E1935" s="4">
        <v>1</v>
      </c>
      <c r="F1935" t="str">
        <f t="shared" si="997"/>
        <v>OK</v>
      </c>
      <c r="G1935" t="str">
        <f t="shared" si="998"/>
        <v>OK</v>
      </c>
      <c r="H1935" t="str">
        <f t="shared" si="999"/>
        <v>OK</v>
      </c>
      <c r="I1935" s="4">
        <f t="shared" si="1000"/>
        <v>2022</v>
      </c>
      <c r="J1935">
        <f t="shared" si="1013"/>
        <v>23.446712727272729</v>
      </c>
      <c r="K1935">
        <f t="shared" si="1014"/>
        <v>3.9518356164383563</v>
      </c>
      <c r="R1935" s="4">
        <f t="shared" si="1015"/>
        <v>-0.35328727272727178</v>
      </c>
      <c r="S1935" s="4">
        <f t="shared" si="1016"/>
        <v>2.9518356164383563</v>
      </c>
    </row>
    <row r="1936" spans="1:19" x14ac:dyDescent="0.35">
      <c r="A1936" s="1">
        <v>44670</v>
      </c>
      <c r="B1936" s="4">
        <v>26</v>
      </c>
      <c r="C1936">
        <v>20</v>
      </c>
      <c r="D1936">
        <v>32.4</v>
      </c>
      <c r="E1936" s="4">
        <v>32.799999999999997</v>
      </c>
      <c r="F1936" t="str">
        <f t="shared" si="997"/>
        <v>OK</v>
      </c>
      <c r="G1936" t="str">
        <f t="shared" si="998"/>
        <v>OK</v>
      </c>
      <c r="H1936" t="str">
        <f t="shared" si="999"/>
        <v>OK</v>
      </c>
      <c r="I1936" s="4">
        <f t="shared" si="1000"/>
        <v>2022</v>
      </c>
      <c r="J1936">
        <f t="shared" si="1013"/>
        <v>24.958072727272729</v>
      </c>
      <c r="K1936">
        <f t="shared" si="1014"/>
        <v>9.093852054794521</v>
      </c>
      <c r="R1936" s="4">
        <f t="shared" si="1015"/>
        <v>-1.0419272727272713</v>
      </c>
      <c r="S1936" s="4">
        <f t="shared" si="1016"/>
        <v>-23.706147945205476</v>
      </c>
    </row>
    <row r="1937" spans="1:19" hidden="1" x14ac:dyDescent="0.35">
      <c r="A1937" s="1">
        <v>44671</v>
      </c>
      <c r="B1937" s="4">
        <v>27.9</v>
      </c>
      <c r="C1937">
        <v>21.8</v>
      </c>
      <c r="D1937">
        <v>34.1</v>
      </c>
      <c r="E1937" s="4">
        <v>0</v>
      </c>
      <c r="F1937" t="str">
        <f t="shared" si="997"/>
        <v>OK</v>
      </c>
      <c r="G1937" t="str">
        <f t="shared" si="998"/>
        <v>OK</v>
      </c>
      <c r="H1937" t="str">
        <f t="shared" si="999"/>
        <v>OK</v>
      </c>
      <c r="I1937" s="4">
        <f t="shared" si="1000"/>
        <v>2022</v>
      </c>
    </row>
    <row r="1938" spans="1:19" hidden="1" x14ac:dyDescent="0.35">
      <c r="A1938" s="1">
        <v>44672</v>
      </c>
      <c r="B1938" s="4">
        <v>27.3</v>
      </c>
      <c r="C1938">
        <v>20.8</v>
      </c>
      <c r="D1938">
        <v>33.4</v>
      </c>
      <c r="E1938" s="4">
        <v>0</v>
      </c>
      <c r="F1938" t="str">
        <f t="shared" si="997"/>
        <v>OK</v>
      </c>
      <c r="G1938" t="str">
        <f t="shared" si="998"/>
        <v>OK</v>
      </c>
      <c r="H1938" t="str">
        <f t="shared" si="999"/>
        <v>OK</v>
      </c>
      <c r="I1938" s="4">
        <f t="shared" si="1000"/>
        <v>2022</v>
      </c>
    </row>
    <row r="1939" spans="1:19" hidden="1" x14ac:dyDescent="0.35">
      <c r="A1939" s="1">
        <v>44673</v>
      </c>
      <c r="B1939" s="4">
        <v>26.7</v>
      </c>
      <c r="C1939">
        <v>20.3</v>
      </c>
      <c r="D1939">
        <v>33.200000000000003</v>
      </c>
      <c r="E1939" s="4">
        <v>0</v>
      </c>
      <c r="F1939" t="str">
        <f t="shared" si="997"/>
        <v>OK</v>
      </c>
      <c r="G1939" t="str">
        <f t="shared" si="998"/>
        <v>OK</v>
      </c>
      <c r="H1939" t="str">
        <f t="shared" si="999"/>
        <v>OK</v>
      </c>
      <c r="I1939" s="4">
        <f t="shared" si="1000"/>
        <v>2022</v>
      </c>
    </row>
    <row r="1940" spans="1:19" hidden="1" x14ac:dyDescent="0.35">
      <c r="A1940" s="1">
        <v>44674</v>
      </c>
      <c r="B1940" s="4">
        <v>26.3</v>
      </c>
      <c r="C1940">
        <v>20.5</v>
      </c>
      <c r="D1940">
        <v>32.200000000000003</v>
      </c>
      <c r="E1940" s="4">
        <v>0</v>
      </c>
      <c r="F1940" t="str">
        <f t="shared" si="997"/>
        <v>OK</v>
      </c>
      <c r="G1940" t="str">
        <f t="shared" si="998"/>
        <v>OK</v>
      </c>
      <c r="H1940" t="str">
        <f t="shared" si="999"/>
        <v>OK</v>
      </c>
      <c r="I1940" s="4">
        <f t="shared" si="1000"/>
        <v>2022</v>
      </c>
    </row>
    <row r="1941" spans="1:19" hidden="1" x14ac:dyDescent="0.35">
      <c r="A1941" s="1">
        <v>44675</v>
      </c>
      <c r="B1941" s="4">
        <v>27</v>
      </c>
      <c r="C1941">
        <v>20.399999999999999</v>
      </c>
      <c r="D1941">
        <v>33.700000000000003</v>
      </c>
      <c r="E1941" s="4">
        <v>0</v>
      </c>
      <c r="F1941" t="str">
        <f t="shared" si="997"/>
        <v>OK</v>
      </c>
      <c r="G1941" t="str">
        <f t="shared" si="998"/>
        <v>OK</v>
      </c>
      <c r="H1941" t="str">
        <f t="shared" si="999"/>
        <v>OK</v>
      </c>
      <c r="I1941" s="4">
        <f t="shared" si="1000"/>
        <v>2022</v>
      </c>
    </row>
    <row r="1942" spans="1:19" hidden="1" x14ac:dyDescent="0.35">
      <c r="A1942" s="1">
        <v>44676</v>
      </c>
      <c r="B1942" s="4">
        <v>27.8</v>
      </c>
      <c r="C1942">
        <v>20.8</v>
      </c>
      <c r="D1942">
        <v>34.1</v>
      </c>
      <c r="E1942" s="4">
        <v>0</v>
      </c>
      <c r="F1942" t="str">
        <f t="shared" si="997"/>
        <v>OK</v>
      </c>
      <c r="G1942" t="str">
        <f t="shared" si="998"/>
        <v>OK</v>
      </c>
      <c r="H1942" t="str">
        <f t="shared" si="999"/>
        <v>OK</v>
      </c>
      <c r="I1942" s="4">
        <f t="shared" si="1000"/>
        <v>2022</v>
      </c>
    </row>
    <row r="1943" spans="1:19" hidden="1" x14ac:dyDescent="0.35">
      <c r="A1943" s="1">
        <v>44677</v>
      </c>
      <c r="B1943" s="4">
        <v>27.9</v>
      </c>
      <c r="C1943">
        <v>20.6</v>
      </c>
      <c r="D1943">
        <v>34.5</v>
      </c>
      <c r="E1943" s="4">
        <v>0</v>
      </c>
      <c r="F1943" t="str">
        <f t="shared" si="997"/>
        <v>OK</v>
      </c>
      <c r="G1943" t="str">
        <f t="shared" si="998"/>
        <v>OK</v>
      </c>
      <c r="H1943" t="str">
        <f t="shared" si="999"/>
        <v>OK</v>
      </c>
      <c r="I1943" s="4">
        <f t="shared" si="1000"/>
        <v>2022</v>
      </c>
    </row>
    <row r="1944" spans="1:19" hidden="1" x14ac:dyDescent="0.35">
      <c r="A1944" s="1">
        <v>44678</v>
      </c>
      <c r="B1944" s="4">
        <v>28.5</v>
      </c>
      <c r="C1944">
        <v>21.5</v>
      </c>
      <c r="D1944">
        <v>35.1</v>
      </c>
      <c r="E1944" s="4">
        <v>0</v>
      </c>
      <c r="F1944" t="str">
        <f t="shared" si="997"/>
        <v>OK</v>
      </c>
      <c r="G1944" t="str">
        <f t="shared" si="998"/>
        <v>OK</v>
      </c>
      <c r="H1944" t="str">
        <f t="shared" si="999"/>
        <v>OK</v>
      </c>
      <c r="I1944" s="4">
        <f t="shared" si="1000"/>
        <v>2022</v>
      </c>
    </row>
    <row r="1945" spans="1:19" hidden="1" x14ac:dyDescent="0.35">
      <c r="A1945" s="1">
        <v>44679</v>
      </c>
      <c r="B1945" s="4">
        <v>28.2</v>
      </c>
      <c r="C1945">
        <v>21.7</v>
      </c>
      <c r="D1945">
        <v>34.799999999999997</v>
      </c>
      <c r="E1945" s="4">
        <v>0</v>
      </c>
      <c r="F1945" t="str">
        <f t="shared" si="997"/>
        <v>OK</v>
      </c>
      <c r="G1945" t="str">
        <f t="shared" si="998"/>
        <v>OK</v>
      </c>
      <c r="H1945" t="str">
        <f t="shared" si="999"/>
        <v>OK</v>
      </c>
      <c r="I1945" s="4">
        <f t="shared" si="1000"/>
        <v>2022</v>
      </c>
    </row>
    <row r="1946" spans="1:19" hidden="1" x14ac:dyDescent="0.35">
      <c r="A1946" s="1">
        <v>44680</v>
      </c>
      <c r="B1946" s="4">
        <v>29.1</v>
      </c>
      <c r="C1946">
        <v>21.2</v>
      </c>
      <c r="D1946">
        <v>36.9</v>
      </c>
      <c r="E1946" s="4">
        <v>0</v>
      </c>
      <c r="F1946" t="str">
        <f t="shared" si="997"/>
        <v>OK</v>
      </c>
      <c r="G1946" t="str">
        <f t="shared" si="998"/>
        <v>OK</v>
      </c>
      <c r="H1946" t="str">
        <f t="shared" si="999"/>
        <v>OK</v>
      </c>
      <c r="I1946" s="4">
        <f t="shared" si="1000"/>
        <v>2022</v>
      </c>
    </row>
    <row r="1947" spans="1:19" hidden="1" x14ac:dyDescent="0.35">
      <c r="A1947" s="1">
        <v>44681</v>
      </c>
      <c r="B1947" s="4">
        <v>28.1</v>
      </c>
      <c r="C1947">
        <v>22.7</v>
      </c>
      <c r="D1947">
        <v>36.700000000000003</v>
      </c>
      <c r="E1947" s="4">
        <v>0</v>
      </c>
      <c r="F1947" t="str">
        <f t="shared" si="997"/>
        <v>OK</v>
      </c>
      <c r="G1947" t="str">
        <f t="shared" si="998"/>
        <v>OK</v>
      </c>
      <c r="H1947" t="str">
        <f t="shared" si="999"/>
        <v>OK</v>
      </c>
      <c r="I1947" s="4">
        <f t="shared" si="1000"/>
        <v>2022</v>
      </c>
    </row>
    <row r="1948" spans="1:19" hidden="1" x14ac:dyDescent="0.35">
      <c r="A1948" s="1">
        <v>44682</v>
      </c>
      <c r="B1948" s="4">
        <v>24.9</v>
      </c>
      <c r="C1948">
        <v>20.399999999999999</v>
      </c>
      <c r="D1948">
        <v>34.799999999999997</v>
      </c>
      <c r="E1948" s="4">
        <v>0</v>
      </c>
      <c r="F1948" t="str">
        <f t="shared" si="997"/>
        <v>OK</v>
      </c>
      <c r="G1948" t="str">
        <f t="shared" si="998"/>
        <v>OK</v>
      </c>
      <c r="H1948" t="str">
        <f t="shared" si="999"/>
        <v>OK</v>
      </c>
      <c r="I1948" s="4">
        <f t="shared" si="1000"/>
        <v>2022</v>
      </c>
    </row>
    <row r="1949" spans="1:19" x14ac:dyDescent="0.35">
      <c r="A1949" s="1">
        <v>44683</v>
      </c>
      <c r="B1949" s="4">
        <v>26.3</v>
      </c>
      <c r="C1949">
        <v>20.2</v>
      </c>
      <c r="D1949">
        <v>33.9</v>
      </c>
      <c r="E1949" s="4">
        <v>54.1</v>
      </c>
      <c r="F1949" t="str">
        <f t="shared" si="997"/>
        <v>OK</v>
      </c>
      <c r="G1949" t="str">
        <f t="shared" si="998"/>
        <v>OK</v>
      </c>
      <c r="H1949" t="str">
        <f t="shared" si="999"/>
        <v>OK</v>
      </c>
      <c r="I1949" s="4">
        <f t="shared" si="1000"/>
        <v>2022</v>
      </c>
      <c r="J1949">
        <f>( 377.84*B1949 + 3903.1)/550</f>
        <v>25.164167272727273</v>
      </c>
      <c r="K1949">
        <f xml:space="preserve"> (59.02*E1949 + 1383.4)/365</f>
        <v>12.538032876712331</v>
      </c>
      <c r="R1949" s="4">
        <f>J1949-B1949</f>
        <v>-1.135832727272728</v>
      </c>
      <c r="S1949" s="4">
        <f>K1949-E1949</f>
        <v>-41.561967123287673</v>
      </c>
    </row>
    <row r="1950" spans="1:19" hidden="1" x14ac:dyDescent="0.35">
      <c r="A1950" s="1">
        <v>44684</v>
      </c>
      <c r="B1950" s="4">
        <v>26.3</v>
      </c>
      <c r="C1950">
        <v>21.8</v>
      </c>
      <c r="D1950">
        <v>34</v>
      </c>
      <c r="E1950" s="4">
        <v>0</v>
      </c>
      <c r="F1950" t="str">
        <f t="shared" si="997"/>
        <v>OK</v>
      </c>
      <c r="G1950" t="str">
        <f t="shared" si="998"/>
        <v>OK</v>
      </c>
      <c r="H1950" t="str">
        <f t="shared" si="999"/>
        <v>OK</v>
      </c>
      <c r="I1950" s="4">
        <f t="shared" si="1000"/>
        <v>2022</v>
      </c>
    </row>
    <row r="1951" spans="1:19" x14ac:dyDescent="0.35">
      <c r="A1951" s="1">
        <v>44685</v>
      </c>
      <c r="B1951" s="4">
        <v>25.5</v>
      </c>
      <c r="C1951">
        <v>20.9</v>
      </c>
      <c r="D1951">
        <v>34.200000000000003</v>
      </c>
      <c r="E1951" s="4">
        <v>8.9</v>
      </c>
      <c r="F1951" t="str">
        <f t="shared" si="997"/>
        <v>OK</v>
      </c>
      <c r="G1951" t="str">
        <f t="shared" si="998"/>
        <v>OK</v>
      </c>
      <c r="H1951" t="str">
        <f t="shared" si="999"/>
        <v>OK</v>
      </c>
      <c r="I1951" s="4">
        <f t="shared" si="1000"/>
        <v>2022</v>
      </c>
      <c r="J1951">
        <f t="shared" ref="J1951:J1954" si="1017">( 377.84*B1951 + 3903.1)/550</f>
        <v>24.614581818181819</v>
      </c>
      <c r="K1951">
        <f t="shared" ref="K1951:K1954" si="1018" xml:space="preserve"> (59.02*E1951 + 1383.4)/365</f>
        <v>5.2292547945205481</v>
      </c>
      <c r="R1951" s="4">
        <f t="shared" ref="R1951:R1954" si="1019">J1951-B1951</f>
        <v>-0.88541818181818144</v>
      </c>
      <c r="S1951" s="4">
        <f t="shared" ref="S1951:S1954" si="1020">K1951-E1951</f>
        <v>-3.6707452054794523</v>
      </c>
    </row>
    <row r="1952" spans="1:19" x14ac:dyDescent="0.35">
      <c r="A1952" s="1">
        <v>44686</v>
      </c>
      <c r="B1952" s="4">
        <v>23.9</v>
      </c>
      <c r="C1952">
        <v>20.399999999999999</v>
      </c>
      <c r="D1952">
        <v>34.200000000000003</v>
      </c>
      <c r="E1952" s="4">
        <v>4.3</v>
      </c>
      <c r="F1952" t="str">
        <f t="shared" si="997"/>
        <v>OK</v>
      </c>
      <c r="G1952" t="str">
        <f t="shared" si="998"/>
        <v>OK</v>
      </c>
      <c r="H1952" t="str">
        <f t="shared" si="999"/>
        <v>OK</v>
      </c>
      <c r="I1952" s="4">
        <f t="shared" si="1000"/>
        <v>2022</v>
      </c>
      <c r="J1952">
        <f t="shared" si="1017"/>
        <v>23.515410909090907</v>
      </c>
      <c r="K1952">
        <f t="shared" si="1018"/>
        <v>4.485441095890411</v>
      </c>
      <c r="R1952" s="4">
        <f t="shared" si="1019"/>
        <v>-0.38458909090909188</v>
      </c>
      <c r="S1952" s="4">
        <f t="shared" si="1020"/>
        <v>0.18544109589041113</v>
      </c>
    </row>
    <row r="1953" spans="1:19" x14ac:dyDescent="0.35">
      <c r="A1953" s="1">
        <v>44687</v>
      </c>
      <c r="B1953" s="4">
        <v>25.2</v>
      </c>
      <c r="C1953">
        <v>21.3</v>
      </c>
      <c r="D1953">
        <v>31.8</v>
      </c>
      <c r="E1953" s="4">
        <v>0.3</v>
      </c>
      <c r="F1953" t="str">
        <f t="shared" si="997"/>
        <v>OK</v>
      </c>
      <c r="G1953" t="str">
        <f t="shared" si="998"/>
        <v>OK</v>
      </c>
      <c r="H1953" t="str">
        <f t="shared" si="999"/>
        <v>OK</v>
      </c>
      <c r="I1953" s="4">
        <f t="shared" si="1000"/>
        <v>2022</v>
      </c>
      <c r="J1953">
        <f t="shared" si="1017"/>
        <v>24.408487272727271</v>
      </c>
      <c r="K1953">
        <f t="shared" si="1018"/>
        <v>3.8386465753424659</v>
      </c>
      <c r="R1953" s="4">
        <f t="shared" si="1019"/>
        <v>-0.79151272727272826</v>
      </c>
      <c r="S1953" s="4">
        <f t="shared" si="1020"/>
        <v>3.5386465753424661</v>
      </c>
    </row>
    <row r="1954" spans="1:19" x14ac:dyDescent="0.35">
      <c r="A1954" s="1">
        <v>44688</v>
      </c>
      <c r="B1954" s="4">
        <v>26</v>
      </c>
      <c r="C1954">
        <v>21.2</v>
      </c>
      <c r="D1954">
        <v>33.5</v>
      </c>
      <c r="E1954" s="4">
        <v>5.0999999999999996</v>
      </c>
      <c r="F1954" t="str">
        <f t="shared" si="997"/>
        <v>OK</v>
      </c>
      <c r="G1954" t="str">
        <f t="shared" si="998"/>
        <v>OK</v>
      </c>
      <c r="H1954" t="str">
        <f t="shared" si="999"/>
        <v>OK</v>
      </c>
      <c r="I1954" s="4">
        <f t="shared" si="1000"/>
        <v>2022</v>
      </c>
      <c r="J1954">
        <f t="shared" si="1017"/>
        <v>24.958072727272729</v>
      </c>
      <c r="K1954">
        <f t="shared" si="1018"/>
        <v>4.6147999999999998</v>
      </c>
      <c r="R1954" s="4">
        <f t="shared" si="1019"/>
        <v>-1.0419272727272713</v>
      </c>
      <c r="S1954" s="4">
        <f t="shared" si="1020"/>
        <v>-0.48519999999999985</v>
      </c>
    </row>
    <row r="1955" spans="1:19" hidden="1" x14ac:dyDescent="0.35">
      <c r="A1955" s="1">
        <v>44689</v>
      </c>
      <c r="B1955" s="4">
        <v>26.1</v>
      </c>
      <c r="C1955">
        <v>21</v>
      </c>
      <c r="D1955">
        <v>33.200000000000003</v>
      </c>
      <c r="E1955" s="4">
        <v>0</v>
      </c>
      <c r="F1955" t="str">
        <f t="shared" si="997"/>
        <v>OK</v>
      </c>
      <c r="G1955" t="str">
        <f t="shared" si="998"/>
        <v>OK</v>
      </c>
      <c r="H1955" t="str">
        <f t="shared" si="999"/>
        <v>OK</v>
      </c>
      <c r="I1955" s="4">
        <f t="shared" si="1000"/>
        <v>2022</v>
      </c>
    </row>
    <row r="1956" spans="1:19" x14ac:dyDescent="0.35">
      <c r="A1956" s="1">
        <v>44690</v>
      </c>
      <c r="B1956" s="4">
        <v>25.3</v>
      </c>
      <c r="C1956">
        <v>21</v>
      </c>
      <c r="D1956">
        <v>33.200000000000003</v>
      </c>
      <c r="E1956" s="4">
        <v>2</v>
      </c>
      <c r="F1956" t="str">
        <f t="shared" si="997"/>
        <v>OK</v>
      </c>
      <c r="G1956" t="str">
        <f t="shared" si="998"/>
        <v>OK</v>
      </c>
      <c r="H1956" t="str">
        <f t="shared" si="999"/>
        <v>OK</v>
      </c>
      <c r="I1956" s="4">
        <f t="shared" si="1000"/>
        <v>2022</v>
      </c>
      <c r="J1956">
        <f t="shared" ref="J1956:J1960" si="1021">( 377.84*B1956 + 3903.1)/550</f>
        <v>24.477185454545452</v>
      </c>
      <c r="K1956">
        <f t="shared" ref="K1956:K1960" si="1022" xml:space="preserve"> (59.02*E1956 + 1383.4)/365</f>
        <v>4.1135342465753428</v>
      </c>
      <c r="R1956" s="4">
        <f t="shared" ref="R1956:R1960" si="1023">J1956-B1956</f>
        <v>-0.82281454545454835</v>
      </c>
      <c r="S1956" s="4">
        <f t="shared" ref="S1956:S1960" si="1024">K1956-E1956</f>
        <v>2.1135342465753428</v>
      </c>
    </row>
    <row r="1957" spans="1:19" x14ac:dyDescent="0.35">
      <c r="A1957" s="1">
        <v>44691</v>
      </c>
      <c r="B1957" s="4">
        <v>22.6</v>
      </c>
      <c r="C1957">
        <v>20.2</v>
      </c>
      <c r="D1957">
        <v>31.5</v>
      </c>
      <c r="E1957" s="4">
        <v>22.9</v>
      </c>
      <c r="F1957" t="str">
        <f t="shared" si="997"/>
        <v>OK</v>
      </c>
      <c r="G1957" t="str">
        <f t="shared" si="998"/>
        <v>OK</v>
      </c>
      <c r="H1957" t="str">
        <f t="shared" si="999"/>
        <v>OK</v>
      </c>
      <c r="I1957" s="4">
        <f t="shared" si="1000"/>
        <v>2022</v>
      </c>
      <c r="J1957">
        <f t="shared" si="1021"/>
        <v>22.622334545454546</v>
      </c>
      <c r="K1957">
        <f t="shared" si="1022"/>
        <v>7.4930356164383563</v>
      </c>
      <c r="R1957" s="4">
        <f t="shared" si="1023"/>
        <v>2.2334545454544497E-2</v>
      </c>
      <c r="S1957" s="4">
        <f t="shared" si="1024"/>
        <v>-15.406964383561643</v>
      </c>
    </row>
    <row r="1958" spans="1:19" x14ac:dyDescent="0.35">
      <c r="A1958" s="1">
        <v>44692</v>
      </c>
      <c r="B1958" s="4">
        <v>22.1</v>
      </c>
      <c r="C1958">
        <v>20.399999999999999</v>
      </c>
      <c r="D1958">
        <v>25</v>
      </c>
      <c r="E1958" s="4">
        <v>5.0999999999999996</v>
      </c>
      <c r="F1958" t="str">
        <f t="shared" si="997"/>
        <v>OK</v>
      </c>
      <c r="G1958" t="str">
        <f t="shared" si="998"/>
        <v>OK</v>
      </c>
      <c r="H1958" t="str">
        <f t="shared" si="999"/>
        <v>OK</v>
      </c>
      <c r="I1958" s="4">
        <f t="shared" si="1000"/>
        <v>2022</v>
      </c>
      <c r="J1958">
        <f t="shared" si="1021"/>
        <v>22.278843636363636</v>
      </c>
      <c r="K1958">
        <f t="shared" si="1022"/>
        <v>4.6147999999999998</v>
      </c>
      <c r="R1958" s="4">
        <f t="shared" si="1023"/>
        <v>0.17884363636363432</v>
      </c>
      <c r="S1958" s="4">
        <f t="shared" si="1024"/>
        <v>-0.48519999999999985</v>
      </c>
    </row>
    <row r="1959" spans="1:19" x14ac:dyDescent="0.35">
      <c r="A1959" s="1">
        <v>44693</v>
      </c>
      <c r="B1959" s="4">
        <v>21.3</v>
      </c>
      <c r="C1959">
        <v>19.5</v>
      </c>
      <c r="D1959">
        <v>25</v>
      </c>
      <c r="E1959" s="4">
        <v>5.3</v>
      </c>
      <c r="F1959" t="str">
        <f t="shared" si="997"/>
        <v>OK</v>
      </c>
      <c r="G1959" t="str">
        <f t="shared" si="998"/>
        <v>OK</v>
      </c>
      <c r="H1959" t="str">
        <f t="shared" si="999"/>
        <v>OK</v>
      </c>
      <c r="I1959" s="4">
        <f t="shared" si="1000"/>
        <v>2022</v>
      </c>
      <c r="J1959">
        <f t="shared" si="1021"/>
        <v>21.729258181818182</v>
      </c>
      <c r="K1959">
        <f t="shared" si="1022"/>
        <v>4.6471397260273974</v>
      </c>
      <c r="R1959" s="4">
        <f t="shared" si="1023"/>
        <v>0.42925818181818087</v>
      </c>
      <c r="S1959" s="4">
        <f t="shared" si="1024"/>
        <v>-0.65286027397260238</v>
      </c>
    </row>
    <row r="1960" spans="1:19" x14ac:dyDescent="0.35">
      <c r="A1960" s="1">
        <v>44694</v>
      </c>
      <c r="B1960" s="4">
        <v>22.9</v>
      </c>
      <c r="C1960">
        <v>20</v>
      </c>
      <c r="D1960">
        <v>26.3</v>
      </c>
      <c r="E1960" s="4">
        <v>2</v>
      </c>
      <c r="F1960" t="str">
        <f t="shared" si="997"/>
        <v>OK</v>
      </c>
      <c r="G1960" t="str">
        <f t="shared" si="998"/>
        <v>OK</v>
      </c>
      <c r="H1960" t="str">
        <f t="shared" si="999"/>
        <v>OK</v>
      </c>
      <c r="I1960" s="4">
        <f t="shared" si="1000"/>
        <v>2022</v>
      </c>
      <c r="J1960">
        <f t="shared" si="1021"/>
        <v>22.82842909090909</v>
      </c>
      <c r="K1960">
        <f t="shared" si="1022"/>
        <v>4.1135342465753428</v>
      </c>
      <c r="R1960" s="4">
        <f t="shared" si="1023"/>
        <v>-7.1570909090908685E-2</v>
      </c>
      <c r="S1960" s="4">
        <f t="shared" si="1024"/>
        <v>2.1135342465753428</v>
      </c>
    </row>
    <row r="1961" spans="1:19" hidden="1" x14ac:dyDescent="0.35">
      <c r="A1961" s="1">
        <v>44695</v>
      </c>
      <c r="B1961" s="4">
        <v>25.2</v>
      </c>
      <c r="C1961">
        <v>20.3</v>
      </c>
      <c r="D1961">
        <v>29.7</v>
      </c>
      <c r="E1961" s="4">
        <v>0</v>
      </c>
      <c r="F1961" t="str">
        <f t="shared" si="997"/>
        <v>OK</v>
      </c>
      <c r="G1961" t="str">
        <f t="shared" si="998"/>
        <v>OK</v>
      </c>
      <c r="H1961" t="str">
        <f t="shared" si="999"/>
        <v>OK</v>
      </c>
      <c r="I1961" s="4">
        <f t="shared" si="1000"/>
        <v>2022</v>
      </c>
    </row>
    <row r="1962" spans="1:19" x14ac:dyDescent="0.35">
      <c r="A1962" s="1">
        <v>44696</v>
      </c>
      <c r="B1962" s="4">
        <v>25.2</v>
      </c>
      <c r="C1962">
        <v>20.9</v>
      </c>
      <c r="D1962">
        <v>29.7</v>
      </c>
      <c r="E1962" s="4">
        <v>21.1</v>
      </c>
      <c r="F1962" t="str">
        <f t="shared" si="997"/>
        <v>OK</v>
      </c>
      <c r="G1962" t="str">
        <f t="shared" si="998"/>
        <v>OK</v>
      </c>
      <c r="H1962" t="str">
        <f t="shared" si="999"/>
        <v>OK</v>
      </c>
      <c r="I1962" s="4">
        <f t="shared" si="1000"/>
        <v>2022</v>
      </c>
      <c r="J1962">
        <f t="shared" ref="J1962:J1968" si="1025">( 377.84*B1962 + 3903.1)/550</f>
        <v>24.408487272727271</v>
      </c>
      <c r="K1962">
        <f t="shared" ref="K1962:K1968" si="1026" xml:space="preserve"> (59.02*E1962 + 1383.4)/365</f>
        <v>7.2019780821917818</v>
      </c>
      <c r="R1962" s="4">
        <f t="shared" ref="R1962:R1968" si="1027">J1962-B1962</f>
        <v>-0.79151272727272826</v>
      </c>
      <c r="S1962" s="4">
        <f t="shared" ref="S1962:S1968" si="1028">K1962-E1962</f>
        <v>-13.898021917808219</v>
      </c>
    </row>
    <row r="1963" spans="1:19" x14ac:dyDescent="0.35">
      <c r="A1963" s="1">
        <v>44697</v>
      </c>
      <c r="B1963" s="4">
        <v>23.9</v>
      </c>
      <c r="C1963">
        <v>20.8</v>
      </c>
      <c r="D1963">
        <v>29.5</v>
      </c>
      <c r="E1963" s="4">
        <v>0.3</v>
      </c>
      <c r="F1963" t="str">
        <f t="shared" si="997"/>
        <v>OK</v>
      </c>
      <c r="G1963" t="str">
        <f t="shared" si="998"/>
        <v>OK</v>
      </c>
      <c r="H1963" t="str">
        <f t="shared" si="999"/>
        <v>OK</v>
      </c>
      <c r="I1963" s="4">
        <f t="shared" si="1000"/>
        <v>2022</v>
      </c>
      <c r="J1963">
        <f t="shared" si="1025"/>
        <v>23.515410909090907</v>
      </c>
      <c r="K1963">
        <f t="shared" si="1026"/>
        <v>3.8386465753424659</v>
      </c>
      <c r="R1963" s="4">
        <f t="shared" si="1027"/>
        <v>-0.38458909090909188</v>
      </c>
      <c r="S1963" s="4">
        <f t="shared" si="1028"/>
        <v>3.5386465753424661</v>
      </c>
    </row>
    <row r="1964" spans="1:19" x14ac:dyDescent="0.35">
      <c r="A1964" s="1">
        <v>44698</v>
      </c>
      <c r="B1964" s="4">
        <v>23.8</v>
      </c>
      <c r="C1964">
        <v>21.1</v>
      </c>
      <c r="D1964">
        <v>30.1</v>
      </c>
      <c r="E1964" s="4">
        <v>6.4</v>
      </c>
      <c r="F1964" t="str">
        <f t="shared" si="997"/>
        <v>OK</v>
      </c>
      <c r="G1964" t="str">
        <f t="shared" si="998"/>
        <v>OK</v>
      </c>
      <c r="H1964" t="str">
        <f t="shared" si="999"/>
        <v>OK</v>
      </c>
      <c r="I1964" s="4">
        <f t="shared" si="1000"/>
        <v>2022</v>
      </c>
      <c r="J1964">
        <f t="shared" si="1025"/>
        <v>23.446712727272729</v>
      </c>
      <c r="K1964">
        <f t="shared" si="1026"/>
        <v>4.8250082191780823</v>
      </c>
      <c r="R1964" s="4">
        <f t="shared" si="1027"/>
        <v>-0.35328727272727178</v>
      </c>
      <c r="S1964" s="4">
        <f t="shared" si="1028"/>
        <v>-1.574991780821918</v>
      </c>
    </row>
    <row r="1965" spans="1:19" x14ac:dyDescent="0.35">
      <c r="A1965" s="1">
        <v>44699</v>
      </c>
      <c r="B1965" s="4">
        <v>24.3</v>
      </c>
      <c r="C1965">
        <v>20.2</v>
      </c>
      <c r="D1965">
        <v>29</v>
      </c>
      <c r="E1965" s="4">
        <v>114.6</v>
      </c>
      <c r="F1965" t="str">
        <f t="shared" si="997"/>
        <v>OK</v>
      </c>
      <c r="G1965" t="str">
        <f t="shared" si="998"/>
        <v>OK</v>
      </c>
      <c r="H1965" t="str">
        <f t="shared" si="999"/>
        <v>OK</v>
      </c>
      <c r="I1965" s="4">
        <f t="shared" si="1000"/>
        <v>2022</v>
      </c>
      <c r="J1965">
        <f t="shared" si="1025"/>
        <v>23.790203636363636</v>
      </c>
      <c r="K1965">
        <f t="shared" si="1026"/>
        <v>22.320800000000002</v>
      </c>
      <c r="R1965" s="4">
        <f t="shared" si="1027"/>
        <v>-0.50979636363636516</v>
      </c>
      <c r="S1965" s="4">
        <f t="shared" si="1028"/>
        <v>-92.279199999999989</v>
      </c>
    </row>
    <row r="1966" spans="1:19" x14ac:dyDescent="0.35">
      <c r="A1966" s="1">
        <v>44700</v>
      </c>
      <c r="B1966" s="4">
        <v>20.6</v>
      </c>
      <c r="C1966">
        <v>19.399999999999999</v>
      </c>
      <c r="D1966">
        <v>29</v>
      </c>
      <c r="E1966" s="4">
        <v>0.8</v>
      </c>
      <c r="F1966" t="str">
        <f t="shared" si="997"/>
        <v>OK</v>
      </c>
      <c r="G1966" t="str">
        <f t="shared" si="998"/>
        <v>OK</v>
      </c>
      <c r="H1966" t="str">
        <f t="shared" si="999"/>
        <v>OK</v>
      </c>
      <c r="I1966" s="4">
        <f t="shared" si="1000"/>
        <v>2022</v>
      </c>
      <c r="J1966">
        <f t="shared" si="1025"/>
        <v>21.248370909090909</v>
      </c>
      <c r="K1966">
        <f t="shared" si="1026"/>
        <v>3.9194958904109587</v>
      </c>
      <c r="R1966" s="4">
        <f t="shared" si="1027"/>
        <v>0.64837090909090733</v>
      </c>
      <c r="S1966" s="4">
        <f t="shared" si="1028"/>
        <v>3.1194958904109589</v>
      </c>
    </row>
    <row r="1967" spans="1:19" x14ac:dyDescent="0.35">
      <c r="A1967" s="1">
        <v>44701</v>
      </c>
      <c r="B1967" s="4">
        <v>21.8</v>
      </c>
      <c r="C1967">
        <v>17.899999999999999</v>
      </c>
      <c r="D1967">
        <v>27</v>
      </c>
      <c r="E1967" s="4">
        <v>4.8</v>
      </c>
      <c r="F1967" t="str">
        <f t="shared" si="997"/>
        <v>OK</v>
      </c>
      <c r="G1967" t="str">
        <f t="shared" si="998"/>
        <v>OK</v>
      </c>
      <c r="H1967" t="str">
        <f t="shared" si="999"/>
        <v>OK</v>
      </c>
      <c r="I1967" s="4">
        <f t="shared" si="1000"/>
        <v>2022</v>
      </c>
      <c r="J1967">
        <f t="shared" si="1025"/>
        <v>22.072749090909092</v>
      </c>
      <c r="K1967">
        <f t="shared" si="1026"/>
        <v>4.5662904109589046</v>
      </c>
      <c r="R1967" s="4">
        <f t="shared" si="1027"/>
        <v>0.27274909090909105</v>
      </c>
      <c r="S1967" s="4">
        <f t="shared" si="1028"/>
        <v>-0.23370958904109518</v>
      </c>
    </row>
    <row r="1968" spans="1:19" x14ac:dyDescent="0.35">
      <c r="A1968" s="1">
        <v>44702</v>
      </c>
      <c r="B1968" s="4">
        <v>22.8</v>
      </c>
      <c r="C1968">
        <v>18.8</v>
      </c>
      <c r="D1968">
        <v>27</v>
      </c>
      <c r="E1968" s="4">
        <v>3.8</v>
      </c>
      <c r="F1968" t="str">
        <f t="shared" si="997"/>
        <v>OK</v>
      </c>
      <c r="G1968" t="str">
        <f t="shared" si="998"/>
        <v>OK</v>
      </c>
      <c r="H1968" t="str">
        <f t="shared" si="999"/>
        <v>OK</v>
      </c>
      <c r="I1968" s="4">
        <f t="shared" si="1000"/>
        <v>2022</v>
      </c>
      <c r="J1968">
        <f t="shared" si="1025"/>
        <v>22.759730909090912</v>
      </c>
      <c r="K1968">
        <f t="shared" si="1026"/>
        <v>4.4045917808219182</v>
      </c>
      <c r="R1968" s="4">
        <f t="shared" si="1027"/>
        <v>-4.026909090908859E-2</v>
      </c>
      <c r="S1968" s="4">
        <f t="shared" si="1028"/>
        <v>0.60459178082191833</v>
      </c>
    </row>
    <row r="1969" spans="1:19" hidden="1" x14ac:dyDescent="0.35">
      <c r="A1969" s="1">
        <v>44703</v>
      </c>
      <c r="B1969" s="4">
        <v>23.8</v>
      </c>
      <c r="C1969">
        <v>20.7</v>
      </c>
      <c r="D1969">
        <v>28.5</v>
      </c>
      <c r="E1969" s="4">
        <v>0</v>
      </c>
      <c r="F1969" t="str">
        <f t="shared" ref="F1969:F2032" si="1029">IF(OR(B1969 &lt; $N$30, B1969 &gt; $N$67), "Outlier", "OK")</f>
        <v>OK</v>
      </c>
      <c r="G1969" t="str">
        <f t="shared" ref="G1969:G2032" si="1030">IF(OR(C1969 &lt; $O$30, C1969 &gt; $O$67), "Outlier", "OK")</f>
        <v>OK</v>
      </c>
      <c r="H1969" t="str">
        <f t="shared" ref="H1969:H2032" si="1031">IF(OR(D1969 &lt; $P$30, D1969 &gt; $P$67), "Outlier", "OK")</f>
        <v>OK</v>
      </c>
      <c r="I1969" s="4">
        <f t="shared" ref="I1969:I2032" si="1032">YEAR(A1969)</f>
        <v>2022</v>
      </c>
    </row>
    <row r="1970" spans="1:19" hidden="1" x14ac:dyDescent="0.35">
      <c r="A1970" s="1">
        <v>44704</v>
      </c>
      <c r="B1970" s="4">
        <v>24.5</v>
      </c>
      <c r="C1970">
        <v>19.899999999999999</v>
      </c>
      <c r="D1970">
        <v>29.6</v>
      </c>
      <c r="E1970" s="4">
        <v>0</v>
      </c>
      <c r="F1970" t="str">
        <f t="shared" si="1029"/>
        <v>OK</v>
      </c>
      <c r="G1970" t="str">
        <f t="shared" si="1030"/>
        <v>OK</v>
      </c>
      <c r="H1970" t="str">
        <f t="shared" si="1031"/>
        <v>OK</v>
      </c>
      <c r="I1970" s="4">
        <f t="shared" si="1032"/>
        <v>2022</v>
      </c>
    </row>
    <row r="1971" spans="1:19" hidden="1" x14ac:dyDescent="0.35">
      <c r="A1971" s="1">
        <v>44705</v>
      </c>
      <c r="B1971" s="4">
        <v>26.2</v>
      </c>
      <c r="C1971">
        <v>22.1</v>
      </c>
      <c r="D1971">
        <v>30.7</v>
      </c>
      <c r="E1971" s="4">
        <v>0</v>
      </c>
      <c r="F1971" t="str">
        <f t="shared" si="1029"/>
        <v>OK</v>
      </c>
      <c r="G1971" t="str">
        <f t="shared" si="1030"/>
        <v>OK</v>
      </c>
      <c r="H1971" t="str">
        <f t="shared" si="1031"/>
        <v>OK</v>
      </c>
      <c r="I1971" s="4">
        <f t="shared" si="1032"/>
        <v>2022</v>
      </c>
    </row>
    <row r="1972" spans="1:19" hidden="1" x14ac:dyDescent="0.35">
      <c r="A1972" s="1">
        <v>44706</v>
      </c>
      <c r="B1972" s="4">
        <v>24.6</v>
      </c>
      <c r="C1972">
        <v>20.100000000000001</v>
      </c>
      <c r="D1972">
        <v>30</v>
      </c>
      <c r="E1972" s="4">
        <v>0</v>
      </c>
      <c r="F1972" t="str">
        <f t="shared" si="1029"/>
        <v>OK</v>
      </c>
      <c r="G1972" t="str">
        <f t="shared" si="1030"/>
        <v>OK</v>
      </c>
      <c r="H1972" t="str">
        <f t="shared" si="1031"/>
        <v>OK</v>
      </c>
      <c r="I1972" s="4">
        <f t="shared" si="1032"/>
        <v>2022</v>
      </c>
    </row>
    <row r="1973" spans="1:19" x14ac:dyDescent="0.35">
      <c r="A1973" s="1">
        <v>44707</v>
      </c>
      <c r="B1973" s="4">
        <v>24.9</v>
      </c>
      <c r="C1973">
        <v>21.8</v>
      </c>
      <c r="D1973">
        <v>31.7</v>
      </c>
      <c r="E1973" s="4">
        <v>1.1000000000000001</v>
      </c>
      <c r="F1973" t="str">
        <f t="shared" si="1029"/>
        <v>OK</v>
      </c>
      <c r="G1973" t="str">
        <f t="shared" si="1030"/>
        <v>OK</v>
      </c>
      <c r="H1973" t="str">
        <f t="shared" si="1031"/>
        <v>OK</v>
      </c>
      <c r="I1973" s="4">
        <f t="shared" si="1032"/>
        <v>2022</v>
      </c>
      <c r="J1973">
        <f>( 377.84*B1973 + 3903.1)/550</f>
        <v>24.202392727272724</v>
      </c>
      <c r="K1973">
        <f xml:space="preserve"> (59.02*E1973 + 1383.4)/365</f>
        <v>3.9680054794520552</v>
      </c>
      <c r="R1973" s="4">
        <f>J1973-B1973</f>
        <v>-0.69760727272727507</v>
      </c>
      <c r="S1973" s="4">
        <f>K1973-E1973</f>
        <v>2.8680054794520551</v>
      </c>
    </row>
    <row r="1974" spans="1:19" hidden="1" x14ac:dyDescent="0.35">
      <c r="A1974" s="1">
        <v>44708</v>
      </c>
      <c r="B1974" s="4">
        <v>26.1</v>
      </c>
      <c r="C1974">
        <v>21.6</v>
      </c>
      <c r="D1974">
        <v>31.9</v>
      </c>
      <c r="E1974" s="4">
        <v>0</v>
      </c>
      <c r="F1974" t="str">
        <f t="shared" si="1029"/>
        <v>OK</v>
      </c>
      <c r="G1974" t="str">
        <f t="shared" si="1030"/>
        <v>OK</v>
      </c>
      <c r="H1974" t="str">
        <f t="shared" si="1031"/>
        <v>OK</v>
      </c>
      <c r="I1974" s="4">
        <f t="shared" si="1032"/>
        <v>2022</v>
      </c>
    </row>
    <row r="1975" spans="1:19" x14ac:dyDescent="0.35">
      <c r="A1975" s="1">
        <v>44709</v>
      </c>
      <c r="B1975" s="4">
        <v>24.5</v>
      </c>
      <c r="C1975">
        <v>19.2</v>
      </c>
      <c r="D1975">
        <v>30</v>
      </c>
      <c r="E1975" s="4">
        <v>0.3</v>
      </c>
      <c r="F1975" t="str">
        <f t="shared" si="1029"/>
        <v>OK</v>
      </c>
      <c r="G1975" t="str">
        <f t="shared" si="1030"/>
        <v>OK</v>
      </c>
      <c r="H1975" t="str">
        <f t="shared" si="1031"/>
        <v>OK</v>
      </c>
      <c r="I1975" s="4">
        <f t="shared" si="1032"/>
        <v>2022</v>
      </c>
      <c r="J1975">
        <f>( 377.84*B1975 + 3903.1)/550</f>
        <v>23.927600000000002</v>
      </c>
      <c r="K1975">
        <f xml:space="preserve"> (59.02*E1975 + 1383.4)/365</f>
        <v>3.8386465753424659</v>
      </c>
      <c r="R1975" s="4">
        <f>J1975-B1975</f>
        <v>-0.57239999999999824</v>
      </c>
      <c r="S1975" s="4">
        <f>K1975-E1975</f>
        <v>3.5386465753424661</v>
      </c>
    </row>
    <row r="1976" spans="1:19" hidden="1" x14ac:dyDescent="0.35">
      <c r="A1976" s="1">
        <v>44710</v>
      </c>
      <c r="B1976" s="4">
        <v>24.8</v>
      </c>
      <c r="C1976">
        <v>19.5</v>
      </c>
      <c r="D1976">
        <v>30</v>
      </c>
      <c r="E1976" s="4">
        <v>0</v>
      </c>
      <c r="F1976" t="str">
        <f t="shared" si="1029"/>
        <v>OK</v>
      </c>
      <c r="G1976" t="str">
        <f t="shared" si="1030"/>
        <v>OK</v>
      </c>
      <c r="H1976" t="str">
        <f t="shared" si="1031"/>
        <v>OK</v>
      </c>
      <c r="I1976" s="4">
        <f t="shared" si="1032"/>
        <v>2022</v>
      </c>
    </row>
    <row r="1977" spans="1:19" x14ac:dyDescent="0.35">
      <c r="A1977" s="1">
        <v>44711</v>
      </c>
      <c r="B1977" s="4">
        <v>23.9</v>
      </c>
      <c r="C1977">
        <v>19.600000000000001</v>
      </c>
      <c r="D1977">
        <v>29.6</v>
      </c>
      <c r="E1977" s="4">
        <v>12.6</v>
      </c>
      <c r="F1977" t="str">
        <f t="shared" si="1029"/>
        <v>OK</v>
      </c>
      <c r="G1977" t="str">
        <f t="shared" si="1030"/>
        <v>OK</v>
      </c>
      <c r="H1977" t="str">
        <f t="shared" si="1031"/>
        <v>OK</v>
      </c>
      <c r="I1977" s="4">
        <f t="shared" si="1032"/>
        <v>2022</v>
      </c>
      <c r="J1977">
        <f t="shared" ref="J1977:J1979" si="1033">( 377.84*B1977 + 3903.1)/550</f>
        <v>23.515410909090907</v>
      </c>
      <c r="K1977">
        <f t="shared" ref="K1977:K1979" si="1034" xml:space="preserve"> (59.02*E1977 + 1383.4)/365</f>
        <v>5.827539726027398</v>
      </c>
      <c r="R1977" s="4">
        <f t="shared" ref="R1977:R1979" si="1035">J1977-B1977</f>
        <v>-0.38458909090909188</v>
      </c>
      <c r="S1977" s="4">
        <f t="shared" ref="S1977:S1979" si="1036">K1977-E1977</f>
        <v>-6.7724602739726016</v>
      </c>
    </row>
    <row r="1978" spans="1:19" x14ac:dyDescent="0.35">
      <c r="A1978" s="1">
        <v>44712</v>
      </c>
      <c r="B1978" s="4">
        <v>24.1</v>
      </c>
      <c r="C1978">
        <v>20.6</v>
      </c>
      <c r="D1978">
        <v>30.4</v>
      </c>
      <c r="E1978" s="4">
        <v>6.9</v>
      </c>
      <c r="F1978" t="str">
        <f t="shared" si="1029"/>
        <v>OK</v>
      </c>
      <c r="G1978" t="str">
        <f t="shared" si="1030"/>
        <v>OK</v>
      </c>
      <c r="H1978" t="str">
        <f t="shared" si="1031"/>
        <v>OK</v>
      </c>
      <c r="I1978" s="4">
        <f t="shared" si="1032"/>
        <v>2022</v>
      </c>
      <c r="J1978">
        <f t="shared" si="1033"/>
        <v>23.652807272727273</v>
      </c>
      <c r="K1978">
        <f t="shared" si="1034"/>
        <v>4.905857534246576</v>
      </c>
      <c r="R1978" s="4">
        <f t="shared" si="1035"/>
        <v>-0.44719272727272852</v>
      </c>
      <c r="S1978" s="4">
        <f t="shared" si="1036"/>
        <v>-1.9941424657534244</v>
      </c>
    </row>
    <row r="1979" spans="1:19" x14ac:dyDescent="0.35">
      <c r="A1979" s="1">
        <v>44713</v>
      </c>
      <c r="B1979" s="4">
        <v>25.2</v>
      </c>
      <c r="C1979">
        <v>21.2</v>
      </c>
      <c r="D1979">
        <v>30.4</v>
      </c>
      <c r="E1979" s="4">
        <v>3.3</v>
      </c>
      <c r="F1979" t="str">
        <f t="shared" si="1029"/>
        <v>OK</v>
      </c>
      <c r="G1979" t="str">
        <f t="shared" si="1030"/>
        <v>OK</v>
      </c>
      <c r="H1979" t="str">
        <f t="shared" si="1031"/>
        <v>OK</v>
      </c>
      <c r="I1979" s="4">
        <f t="shared" si="1032"/>
        <v>2022</v>
      </c>
      <c r="J1979">
        <f t="shared" si="1033"/>
        <v>24.408487272727271</v>
      </c>
      <c r="K1979">
        <f t="shared" si="1034"/>
        <v>4.3237424657534254</v>
      </c>
      <c r="R1979" s="4">
        <f t="shared" si="1035"/>
        <v>-0.79151272727272826</v>
      </c>
      <c r="S1979" s="4">
        <f t="shared" si="1036"/>
        <v>1.0237424657534255</v>
      </c>
    </row>
    <row r="1980" spans="1:19" hidden="1" x14ac:dyDescent="0.35">
      <c r="A1980" s="1">
        <v>44714</v>
      </c>
      <c r="B1980" s="4">
        <v>25.7</v>
      </c>
      <c r="C1980">
        <v>22</v>
      </c>
      <c r="D1980">
        <v>31</v>
      </c>
      <c r="E1980" s="4">
        <v>0</v>
      </c>
      <c r="F1980" t="str">
        <f t="shared" si="1029"/>
        <v>OK</v>
      </c>
      <c r="G1980" t="str">
        <f t="shared" si="1030"/>
        <v>OK</v>
      </c>
      <c r="H1980" t="str">
        <f t="shared" si="1031"/>
        <v>OK</v>
      </c>
      <c r="I1980" s="4">
        <f t="shared" si="1032"/>
        <v>2022</v>
      </c>
    </row>
    <row r="1981" spans="1:19" x14ac:dyDescent="0.35">
      <c r="A1981" s="1">
        <v>44715</v>
      </c>
      <c r="B1981" s="4">
        <v>24.1</v>
      </c>
      <c r="C1981">
        <v>20.2</v>
      </c>
      <c r="D1981">
        <v>31.2</v>
      </c>
      <c r="E1981" s="4">
        <v>10.7</v>
      </c>
      <c r="F1981" t="str">
        <f t="shared" si="1029"/>
        <v>OK</v>
      </c>
      <c r="G1981" t="str">
        <f t="shared" si="1030"/>
        <v>OK</v>
      </c>
      <c r="H1981" t="str">
        <f t="shared" si="1031"/>
        <v>OK</v>
      </c>
      <c r="I1981" s="4">
        <f t="shared" si="1032"/>
        <v>2022</v>
      </c>
      <c r="J1981">
        <f t="shared" ref="J1981:J1985" si="1037">( 377.84*B1981 + 3903.1)/550</f>
        <v>23.652807272727273</v>
      </c>
      <c r="K1981">
        <f t="shared" ref="K1981:K1985" si="1038" xml:space="preserve"> (59.02*E1981 + 1383.4)/365</f>
        <v>5.5203123287671243</v>
      </c>
      <c r="R1981" s="4">
        <f t="shared" ref="R1981:R1985" si="1039">J1981-B1981</f>
        <v>-0.44719272727272852</v>
      </c>
      <c r="S1981" s="4">
        <f t="shared" ref="S1981:S1985" si="1040">K1981-E1981</f>
        <v>-5.179687671232875</v>
      </c>
    </row>
    <row r="1982" spans="1:19" x14ac:dyDescent="0.35">
      <c r="A1982" s="1">
        <v>44716</v>
      </c>
      <c r="B1982" s="4">
        <v>24.2</v>
      </c>
      <c r="C1982">
        <v>19.7</v>
      </c>
      <c r="D1982">
        <v>32.200000000000003</v>
      </c>
      <c r="E1982" s="4">
        <v>7.2</v>
      </c>
      <c r="F1982" t="str">
        <f t="shared" si="1029"/>
        <v>OK</v>
      </c>
      <c r="G1982" t="str">
        <f t="shared" si="1030"/>
        <v>OK</v>
      </c>
      <c r="H1982" t="str">
        <f t="shared" si="1031"/>
        <v>OK</v>
      </c>
      <c r="I1982" s="4">
        <f t="shared" si="1032"/>
        <v>2022</v>
      </c>
      <c r="J1982">
        <f t="shared" si="1037"/>
        <v>23.721505454545454</v>
      </c>
      <c r="K1982">
        <f t="shared" si="1038"/>
        <v>4.9543671232876711</v>
      </c>
      <c r="R1982" s="4">
        <f t="shared" si="1039"/>
        <v>-0.47849454545454506</v>
      </c>
      <c r="S1982" s="4">
        <f t="shared" si="1040"/>
        <v>-2.245632876712329</v>
      </c>
    </row>
    <row r="1983" spans="1:19" x14ac:dyDescent="0.35">
      <c r="A1983" s="1">
        <v>44717</v>
      </c>
      <c r="B1983" s="4">
        <v>24.4</v>
      </c>
      <c r="C1983">
        <v>20.399999999999999</v>
      </c>
      <c r="D1983">
        <v>31.6</v>
      </c>
      <c r="E1983" s="4">
        <v>17.3</v>
      </c>
      <c r="F1983" t="str">
        <f t="shared" si="1029"/>
        <v>OK</v>
      </c>
      <c r="G1983" t="str">
        <f t="shared" si="1030"/>
        <v>OK</v>
      </c>
      <c r="H1983" t="str">
        <f t="shared" si="1031"/>
        <v>OK</v>
      </c>
      <c r="I1983" s="4">
        <f t="shared" si="1032"/>
        <v>2022</v>
      </c>
      <c r="J1983">
        <f t="shared" si="1037"/>
        <v>23.858901818181817</v>
      </c>
      <c r="K1983">
        <f t="shared" si="1038"/>
        <v>6.5875232876712326</v>
      </c>
      <c r="R1983" s="4">
        <f t="shared" si="1039"/>
        <v>-0.5410981818181817</v>
      </c>
      <c r="S1983" s="4">
        <f t="shared" si="1040"/>
        <v>-10.712476712328769</v>
      </c>
    </row>
    <row r="1984" spans="1:19" x14ac:dyDescent="0.35">
      <c r="A1984" s="1">
        <v>44718</v>
      </c>
      <c r="B1984" s="4">
        <v>24.8</v>
      </c>
      <c r="C1984">
        <v>19.100000000000001</v>
      </c>
      <c r="D1984">
        <v>32.5</v>
      </c>
      <c r="E1984" s="4">
        <v>32</v>
      </c>
      <c r="F1984" t="str">
        <f t="shared" si="1029"/>
        <v>OK</v>
      </c>
      <c r="G1984" t="str">
        <f t="shared" si="1030"/>
        <v>OK</v>
      </c>
      <c r="H1984" t="str">
        <f t="shared" si="1031"/>
        <v>OK</v>
      </c>
      <c r="I1984" s="4">
        <f t="shared" si="1032"/>
        <v>2022</v>
      </c>
      <c r="J1984">
        <f t="shared" si="1037"/>
        <v>24.133694545454546</v>
      </c>
      <c r="K1984">
        <f t="shared" si="1038"/>
        <v>8.9644931506849321</v>
      </c>
      <c r="R1984" s="4">
        <f t="shared" si="1039"/>
        <v>-0.66630545454545498</v>
      </c>
      <c r="S1984" s="4">
        <f t="shared" si="1040"/>
        <v>-23.03550684931507</v>
      </c>
    </row>
    <row r="1985" spans="1:19" x14ac:dyDescent="0.35">
      <c r="A1985" s="1">
        <v>44719</v>
      </c>
      <c r="B1985" s="4">
        <v>24.9</v>
      </c>
      <c r="C1985">
        <v>21.1</v>
      </c>
      <c r="D1985">
        <v>30.6</v>
      </c>
      <c r="E1985" s="4">
        <v>0.8</v>
      </c>
      <c r="F1985" t="str">
        <f t="shared" si="1029"/>
        <v>OK</v>
      </c>
      <c r="G1985" t="str">
        <f t="shared" si="1030"/>
        <v>OK</v>
      </c>
      <c r="H1985" t="str">
        <f t="shared" si="1031"/>
        <v>OK</v>
      </c>
      <c r="I1985" s="4">
        <f t="shared" si="1032"/>
        <v>2022</v>
      </c>
      <c r="J1985">
        <f t="shared" si="1037"/>
        <v>24.202392727272724</v>
      </c>
      <c r="K1985">
        <f t="shared" si="1038"/>
        <v>3.9194958904109587</v>
      </c>
      <c r="R1985" s="4">
        <f t="shared" si="1039"/>
        <v>-0.69760727272727507</v>
      </c>
      <c r="S1985" s="4">
        <f t="shared" si="1040"/>
        <v>3.1194958904109589</v>
      </c>
    </row>
    <row r="1986" spans="1:19" hidden="1" x14ac:dyDescent="0.35">
      <c r="A1986" s="1">
        <v>44720</v>
      </c>
      <c r="B1986" s="4">
        <v>25.1</v>
      </c>
      <c r="C1986">
        <v>21.2</v>
      </c>
      <c r="D1986">
        <v>30.6</v>
      </c>
      <c r="E1986" s="4">
        <v>0</v>
      </c>
      <c r="F1986" t="str">
        <f t="shared" si="1029"/>
        <v>OK</v>
      </c>
      <c r="G1986" t="str">
        <f t="shared" si="1030"/>
        <v>OK</v>
      </c>
      <c r="H1986" t="str">
        <f t="shared" si="1031"/>
        <v>OK</v>
      </c>
      <c r="I1986" s="4">
        <f t="shared" si="1032"/>
        <v>2022</v>
      </c>
    </row>
    <row r="1987" spans="1:19" x14ac:dyDescent="0.35">
      <c r="A1987" s="1">
        <v>44721</v>
      </c>
      <c r="B1987" s="4">
        <v>24.3</v>
      </c>
      <c r="C1987">
        <v>19.8</v>
      </c>
      <c r="D1987">
        <v>29.4</v>
      </c>
      <c r="E1987" s="4">
        <v>1</v>
      </c>
      <c r="F1987" t="str">
        <f t="shared" si="1029"/>
        <v>OK</v>
      </c>
      <c r="G1987" t="str">
        <f t="shared" si="1030"/>
        <v>OK</v>
      </c>
      <c r="H1987" t="str">
        <f t="shared" si="1031"/>
        <v>OK</v>
      </c>
      <c r="I1987" s="4">
        <f t="shared" si="1032"/>
        <v>2022</v>
      </c>
      <c r="J1987">
        <f t="shared" ref="J1987:J1993" si="1041">( 377.84*B1987 + 3903.1)/550</f>
        <v>23.790203636363636</v>
      </c>
      <c r="K1987">
        <f t="shared" ref="K1987:K1993" si="1042" xml:space="preserve"> (59.02*E1987 + 1383.4)/365</f>
        <v>3.9518356164383563</v>
      </c>
      <c r="R1987" s="4">
        <f t="shared" ref="R1987:R1993" si="1043">J1987-B1987</f>
        <v>-0.50979636363636516</v>
      </c>
      <c r="S1987" s="4">
        <f t="shared" ref="S1987:S1993" si="1044">K1987-E1987</f>
        <v>2.9518356164383563</v>
      </c>
    </row>
    <row r="1988" spans="1:19" x14ac:dyDescent="0.35">
      <c r="A1988" s="1">
        <v>44722</v>
      </c>
      <c r="B1988" s="4">
        <v>24</v>
      </c>
      <c r="C1988">
        <v>19.5</v>
      </c>
      <c r="D1988">
        <v>29.2</v>
      </c>
      <c r="E1988" s="4">
        <v>1.6</v>
      </c>
      <c r="F1988" t="str">
        <f t="shared" si="1029"/>
        <v>OK</v>
      </c>
      <c r="G1988" t="str">
        <f t="shared" si="1030"/>
        <v>OK</v>
      </c>
      <c r="H1988" t="str">
        <f t="shared" si="1031"/>
        <v>OK</v>
      </c>
      <c r="I1988" s="4">
        <f t="shared" si="1032"/>
        <v>2022</v>
      </c>
      <c r="J1988">
        <f t="shared" si="1041"/>
        <v>23.584109090909092</v>
      </c>
      <c r="K1988">
        <f t="shared" si="1042"/>
        <v>4.0488547945205484</v>
      </c>
      <c r="R1988" s="4">
        <f t="shared" si="1043"/>
        <v>-0.41589090909090842</v>
      </c>
      <c r="S1988" s="4">
        <f t="shared" si="1044"/>
        <v>2.4488547945205483</v>
      </c>
    </row>
    <row r="1989" spans="1:19" x14ac:dyDescent="0.35">
      <c r="A1989" s="1">
        <v>44723</v>
      </c>
      <c r="B1989" s="4">
        <v>23.6</v>
      </c>
      <c r="C1989">
        <v>19.3</v>
      </c>
      <c r="D1989">
        <v>29.2</v>
      </c>
      <c r="E1989" s="4">
        <v>2</v>
      </c>
      <c r="F1989" t="str">
        <f t="shared" si="1029"/>
        <v>OK</v>
      </c>
      <c r="G1989" t="str">
        <f t="shared" si="1030"/>
        <v>OK</v>
      </c>
      <c r="H1989" t="str">
        <f t="shared" si="1031"/>
        <v>OK</v>
      </c>
      <c r="I1989" s="4">
        <f t="shared" si="1032"/>
        <v>2022</v>
      </c>
      <c r="J1989">
        <f t="shared" si="1041"/>
        <v>23.309316363636363</v>
      </c>
      <c r="K1989">
        <f t="shared" si="1042"/>
        <v>4.1135342465753428</v>
      </c>
      <c r="R1989" s="4">
        <f t="shared" si="1043"/>
        <v>-0.2906836363636387</v>
      </c>
      <c r="S1989" s="4">
        <f t="shared" si="1044"/>
        <v>2.1135342465753428</v>
      </c>
    </row>
    <row r="1990" spans="1:19" x14ac:dyDescent="0.35">
      <c r="A1990" s="1">
        <v>44724</v>
      </c>
      <c r="B1990" s="4">
        <v>23</v>
      </c>
      <c r="C1990">
        <v>19.7</v>
      </c>
      <c r="D1990">
        <v>28.8</v>
      </c>
      <c r="E1990" s="4">
        <v>10</v>
      </c>
      <c r="F1990" t="str">
        <f t="shared" si="1029"/>
        <v>OK</v>
      </c>
      <c r="G1990" t="str">
        <f t="shared" si="1030"/>
        <v>OK</v>
      </c>
      <c r="H1990" t="str">
        <f t="shared" si="1031"/>
        <v>OK</v>
      </c>
      <c r="I1990" s="4">
        <f t="shared" si="1032"/>
        <v>2022</v>
      </c>
      <c r="J1990">
        <f t="shared" si="1041"/>
        <v>22.897127272727271</v>
      </c>
      <c r="K1990">
        <f t="shared" si="1042"/>
        <v>5.407123287671233</v>
      </c>
      <c r="R1990" s="4">
        <f t="shared" si="1043"/>
        <v>-0.10287272727272878</v>
      </c>
      <c r="S1990" s="4">
        <f t="shared" si="1044"/>
        <v>-4.592876712328767</v>
      </c>
    </row>
    <row r="1991" spans="1:19" x14ac:dyDescent="0.35">
      <c r="A1991" s="1">
        <v>44725</v>
      </c>
      <c r="B1991" s="4">
        <v>23.6</v>
      </c>
      <c r="C1991">
        <v>19.2</v>
      </c>
      <c r="D1991">
        <v>28.9</v>
      </c>
      <c r="E1991" s="4">
        <v>0.1</v>
      </c>
      <c r="F1991" t="str">
        <f t="shared" si="1029"/>
        <v>OK</v>
      </c>
      <c r="G1991" t="str">
        <f t="shared" si="1030"/>
        <v>OK</v>
      </c>
      <c r="H1991" t="str">
        <f t="shared" si="1031"/>
        <v>OK</v>
      </c>
      <c r="I1991" s="4">
        <f t="shared" si="1032"/>
        <v>2022</v>
      </c>
      <c r="J1991">
        <f t="shared" si="1041"/>
        <v>23.309316363636363</v>
      </c>
      <c r="K1991">
        <f t="shared" si="1042"/>
        <v>3.8063068493150687</v>
      </c>
      <c r="R1991" s="4">
        <f t="shared" si="1043"/>
        <v>-0.2906836363636387</v>
      </c>
      <c r="S1991" s="4">
        <f t="shared" si="1044"/>
        <v>3.7063068493150686</v>
      </c>
    </row>
    <row r="1992" spans="1:19" x14ac:dyDescent="0.35">
      <c r="A1992" s="1">
        <v>44726</v>
      </c>
      <c r="B1992" s="4">
        <v>23.6</v>
      </c>
      <c r="C1992">
        <v>19.399999999999999</v>
      </c>
      <c r="D1992">
        <v>29.5</v>
      </c>
      <c r="E1992" s="4">
        <v>0.6</v>
      </c>
      <c r="F1992" t="str">
        <f t="shared" si="1029"/>
        <v>OK</v>
      </c>
      <c r="G1992" t="str">
        <f t="shared" si="1030"/>
        <v>OK</v>
      </c>
      <c r="H1992" t="str">
        <f t="shared" si="1031"/>
        <v>OK</v>
      </c>
      <c r="I1992" s="4">
        <f t="shared" si="1032"/>
        <v>2022</v>
      </c>
      <c r="J1992">
        <f t="shared" si="1041"/>
        <v>23.309316363636363</v>
      </c>
      <c r="K1992">
        <f t="shared" si="1042"/>
        <v>3.8871561643835619</v>
      </c>
      <c r="R1992" s="4">
        <f t="shared" si="1043"/>
        <v>-0.2906836363636387</v>
      </c>
      <c r="S1992" s="4">
        <f t="shared" si="1044"/>
        <v>3.2871561643835618</v>
      </c>
    </row>
    <row r="1993" spans="1:19" x14ac:dyDescent="0.35">
      <c r="A1993" s="1">
        <v>44727</v>
      </c>
      <c r="B1993" s="4">
        <v>23.7</v>
      </c>
      <c r="C1993">
        <v>20.2</v>
      </c>
      <c r="D1993">
        <v>31.9</v>
      </c>
      <c r="E1993" s="4">
        <v>31</v>
      </c>
      <c r="F1993" t="str">
        <f t="shared" si="1029"/>
        <v>OK</v>
      </c>
      <c r="G1993" t="str">
        <f t="shared" si="1030"/>
        <v>OK</v>
      </c>
      <c r="H1993" t="str">
        <f t="shared" si="1031"/>
        <v>OK</v>
      </c>
      <c r="I1993" s="4">
        <f t="shared" si="1032"/>
        <v>2022</v>
      </c>
      <c r="J1993">
        <f t="shared" si="1041"/>
        <v>23.378014545454544</v>
      </c>
      <c r="K1993">
        <f t="shared" si="1042"/>
        <v>8.8027945205479465</v>
      </c>
      <c r="R1993" s="4">
        <f t="shared" si="1043"/>
        <v>-0.32198545454545524</v>
      </c>
      <c r="S1993" s="4">
        <f t="shared" si="1044"/>
        <v>-22.197205479452052</v>
      </c>
    </row>
    <row r="1994" spans="1:19" hidden="1" x14ac:dyDescent="0.35">
      <c r="A1994" s="1">
        <v>44728</v>
      </c>
      <c r="B1994" s="4">
        <v>24.5</v>
      </c>
      <c r="C1994">
        <v>20</v>
      </c>
      <c r="D1994">
        <v>30.6</v>
      </c>
      <c r="E1994" s="4">
        <v>0</v>
      </c>
      <c r="F1994" t="str">
        <f t="shared" si="1029"/>
        <v>OK</v>
      </c>
      <c r="G1994" t="str">
        <f t="shared" si="1030"/>
        <v>OK</v>
      </c>
      <c r="H1994" t="str">
        <f t="shared" si="1031"/>
        <v>OK</v>
      </c>
      <c r="I1994" s="4">
        <f t="shared" si="1032"/>
        <v>2022</v>
      </c>
    </row>
    <row r="1995" spans="1:19" x14ac:dyDescent="0.35">
      <c r="A1995" s="1">
        <v>44729</v>
      </c>
      <c r="B1995" s="4">
        <v>24.6</v>
      </c>
      <c r="C1995">
        <v>19.7</v>
      </c>
      <c r="D1995">
        <v>30.6</v>
      </c>
      <c r="E1995" s="4">
        <v>38.9</v>
      </c>
      <c r="F1995" t="str">
        <f t="shared" si="1029"/>
        <v>OK</v>
      </c>
      <c r="G1995" t="str">
        <f t="shared" si="1030"/>
        <v>OK</v>
      </c>
      <c r="H1995" t="str">
        <f t="shared" si="1031"/>
        <v>OK</v>
      </c>
      <c r="I1995" s="4">
        <f t="shared" si="1032"/>
        <v>2022</v>
      </c>
      <c r="J1995">
        <f t="shared" ref="J1995:J2000" si="1045">( 377.84*B1995 + 3903.1)/550</f>
        <v>23.996298181818183</v>
      </c>
      <c r="K1995">
        <f t="shared" ref="K1995:K2000" si="1046" xml:space="preserve"> (59.02*E1995 + 1383.4)/365</f>
        <v>10.080213698630137</v>
      </c>
      <c r="R1995" s="4">
        <f t="shared" ref="R1995:R2000" si="1047">J1995-B1995</f>
        <v>-0.60370181818181834</v>
      </c>
      <c r="S1995" s="4">
        <f t="shared" ref="S1995:S2000" si="1048">K1995-E1995</f>
        <v>-28.819786301369859</v>
      </c>
    </row>
    <row r="1996" spans="1:19" x14ac:dyDescent="0.35">
      <c r="A1996" s="1">
        <v>44730</v>
      </c>
      <c r="B1996" s="4">
        <v>23.8</v>
      </c>
      <c r="C1996">
        <v>21.2</v>
      </c>
      <c r="D1996">
        <v>30.5</v>
      </c>
      <c r="E1996" s="4">
        <v>42.9</v>
      </c>
      <c r="F1996" t="str">
        <f t="shared" si="1029"/>
        <v>OK</v>
      </c>
      <c r="G1996" t="str">
        <f t="shared" si="1030"/>
        <v>OK</v>
      </c>
      <c r="H1996" t="str">
        <f t="shared" si="1031"/>
        <v>OK</v>
      </c>
      <c r="I1996" s="4">
        <f t="shared" si="1032"/>
        <v>2022</v>
      </c>
      <c r="J1996">
        <f t="shared" si="1045"/>
        <v>23.446712727272729</v>
      </c>
      <c r="K1996">
        <f t="shared" si="1046"/>
        <v>10.727008219178083</v>
      </c>
      <c r="R1996" s="4">
        <f t="shared" si="1047"/>
        <v>-0.35328727272727178</v>
      </c>
      <c r="S1996" s="4">
        <f t="shared" si="1048"/>
        <v>-32.172991780821917</v>
      </c>
    </row>
    <row r="1997" spans="1:19" x14ac:dyDescent="0.35">
      <c r="A1997" s="1">
        <v>44731</v>
      </c>
      <c r="B1997" s="4">
        <v>24.2</v>
      </c>
      <c r="C1997">
        <v>21.1</v>
      </c>
      <c r="D1997">
        <v>29.5</v>
      </c>
      <c r="E1997" s="4">
        <v>1</v>
      </c>
      <c r="F1997" t="str">
        <f t="shared" si="1029"/>
        <v>OK</v>
      </c>
      <c r="G1997" t="str">
        <f t="shared" si="1030"/>
        <v>OK</v>
      </c>
      <c r="H1997" t="str">
        <f t="shared" si="1031"/>
        <v>OK</v>
      </c>
      <c r="I1997" s="4">
        <f t="shared" si="1032"/>
        <v>2022</v>
      </c>
      <c r="J1997">
        <f t="shared" si="1045"/>
        <v>23.721505454545454</v>
      </c>
      <c r="K1997">
        <f t="shared" si="1046"/>
        <v>3.9518356164383563</v>
      </c>
      <c r="R1997" s="4">
        <f t="shared" si="1047"/>
        <v>-0.47849454545454506</v>
      </c>
      <c r="S1997" s="4">
        <f t="shared" si="1048"/>
        <v>2.9518356164383563</v>
      </c>
    </row>
    <row r="1998" spans="1:19" x14ac:dyDescent="0.35">
      <c r="A1998" s="1">
        <v>44732</v>
      </c>
      <c r="B1998" s="4">
        <v>24.1</v>
      </c>
      <c r="C1998">
        <v>20.7</v>
      </c>
      <c r="D1998">
        <v>29.5</v>
      </c>
      <c r="E1998" s="4">
        <v>2</v>
      </c>
      <c r="F1998" t="str">
        <f t="shared" si="1029"/>
        <v>OK</v>
      </c>
      <c r="G1998" t="str">
        <f t="shared" si="1030"/>
        <v>OK</v>
      </c>
      <c r="H1998" t="str">
        <f t="shared" si="1031"/>
        <v>OK</v>
      </c>
      <c r="I1998" s="4">
        <f t="shared" si="1032"/>
        <v>2022</v>
      </c>
      <c r="J1998">
        <f t="shared" si="1045"/>
        <v>23.652807272727273</v>
      </c>
      <c r="K1998">
        <f t="shared" si="1046"/>
        <v>4.1135342465753428</v>
      </c>
      <c r="R1998" s="4">
        <f t="shared" si="1047"/>
        <v>-0.44719272727272852</v>
      </c>
      <c r="S1998" s="4">
        <f t="shared" si="1048"/>
        <v>2.1135342465753428</v>
      </c>
    </row>
    <row r="1999" spans="1:19" x14ac:dyDescent="0.35">
      <c r="A1999" s="1">
        <v>44733</v>
      </c>
      <c r="B1999" s="4">
        <v>23.2</v>
      </c>
      <c r="C1999">
        <v>19.8</v>
      </c>
      <c r="D1999">
        <v>27.8</v>
      </c>
      <c r="E1999" s="4">
        <v>15</v>
      </c>
      <c r="F1999" t="str">
        <f t="shared" si="1029"/>
        <v>OK</v>
      </c>
      <c r="G1999" t="str">
        <f t="shared" si="1030"/>
        <v>OK</v>
      </c>
      <c r="H1999" t="str">
        <f t="shared" si="1031"/>
        <v>OK</v>
      </c>
      <c r="I1999" s="4">
        <f t="shared" si="1032"/>
        <v>2022</v>
      </c>
      <c r="J1999">
        <f t="shared" si="1045"/>
        <v>23.034523636363634</v>
      </c>
      <c r="K1999">
        <f t="shared" si="1046"/>
        <v>6.2156164383561654</v>
      </c>
      <c r="R1999" s="4">
        <f t="shared" si="1047"/>
        <v>-0.16547636363636542</v>
      </c>
      <c r="S1999" s="4">
        <f t="shared" si="1048"/>
        <v>-8.7843835616438355</v>
      </c>
    </row>
    <row r="2000" spans="1:19" x14ac:dyDescent="0.35">
      <c r="A2000" s="1">
        <v>44734</v>
      </c>
      <c r="B2000" s="4">
        <v>22.7</v>
      </c>
      <c r="C2000">
        <v>20.399999999999999</v>
      </c>
      <c r="D2000">
        <v>27.8</v>
      </c>
      <c r="E2000" s="4">
        <v>0.3</v>
      </c>
      <c r="F2000" t="str">
        <f t="shared" si="1029"/>
        <v>OK</v>
      </c>
      <c r="G2000" t="str">
        <f t="shared" si="1030"/>
        <v>OK</v>
      </c>
      <c r="H2000" t="str">
        <f t="shared" si="1031"/>
        <v>OK</v>
      </c>
      <c r="I2000" s="4">
        <f t="shared" si="1032"/>
        <v>2022</v>
      </c>
      <c r="J2000">
        <f t="shared" si="1045"/>
        <v>22.691032727272727</v>
      </c>
      <c r="K2000">
        <f t="shared" si="1046"/>
        <v>3.8386465753424659</v>
      </c>
      <c r="R2000" s="4">
        <f t="shared" si="1047"/>
        <v>-8.9672727272720465E-3</v>
      </c>
      <c r="S2000" s="4">
        <f t="shared" si="1048"/>
        <v>3.5386465753424661</v>
      </c>
    </row>
    <row r="2001" spans="1:19" hidden="1" x14ac:dyDescent="0.35">
      <c r="A2001" s="1">
        <v>44735</v>
      </c>
      <c r="B2001" s="4">
        <v>23.1</v>
      </c>
      <c r="C2001">
        <v>20.399999999999999</v>
      </c>
      <c r="D2001">
        <v>26.2</v>
      </c>
      <c r="E2001" s="4">
        <v>0</v>
      </c>
      <c r="F2001" t="str">
        <f t="shared" si="1029"/>
        <v>OK</v>
      </c>
      <c r="G2001" t="str">
        <f t="shared" si="1030"/>
        <v>OK</v>
      </c>
      <c r="H2001" t="str">
        <f t="shared" si="1031"/>
        <v>OK</v>
      </c>
      <c r="I2001" s="4">
        <f t="shared" si="1032"/>
        <v>2022</v>
      </c>
    </row>
    <row r="2002" spans="1:19" x14ac:dyDescent="0.35">
      <c r="A2002" s="1">
        <v>44736</v>
      </c>
      <c r="B2002" s="4">
        <v>22.8</v>
      </c>
      <c r="C2002">
        <v>19.5</v>
      </c>
      <c r="D2002">
        <v>27.6</v>
      </c>
      <c r="E2002" s="4">
        <v>0.3</v>
      </c>
      <c r="F2002" t="str">
        <f t="shared" si="1029"/>
        <v>OK</v>
      </c>
      <c r="G2002" t="str">
        <f t="shared" si="1030"/>
        <v>OK</v>
      </c>
      <c r="H2002" t="str">
        <f t="shared" si="1031"/>
        <v>OK</v>
      </c>
      <c r="I2002" s="4">
        <f t="shared" si="1032"/>
        <v>2022</v>
      </c>
      <c r="J2002">
        <f t="shared" ref="J2002:J2004" si="1049">( 377.84*B2002 + 3903.1)/550</f>
        <v>22.759730909090912</v>
      </c>
      <c r="K2002">
        <f t="shared" ref="K2002:K2004" si="1050" xml:space="preserve"> (59.02*E2002 + 1383.4)/365</f>
        <v>3.8386465753424659</v>
      </c>
      <c r="R2002" s="4">
        <f t="shared" ref="R2002:R2004" si="1051">J2002-B2002</f>
        <v>-4.026909090908859E-2</v>
      </c>
      <c r="S2002" s="4">
        <f t="shared" ref="S2002:S2004" si="1052">K2002-E2002</f>
        <v>3.5386465753424661</v>
      </c>
    </row>
    <row r="2003" spans="1:19" x14ac:dyDescent="0.35">
      <c r="A2003" s="1">
        <v>44737</v>
      </c>
      <c r="B2003" s="4">
        <v>22.4</v>
      </c>
      <c r="C2003">
        <v>19.7</v>
      </c>
      <c r="D2003">
        <v>27.7</v>
      </c>
      <c r="E2003" s="4">
        <v>4.2</v>
      </c>
      <c r="F2003" t="str">
        <f t="shared" si="1029"/>
        <v>OK</v>
      </c>
      <c r="G2003" t="str">
        <f t="shared" si="1030"/>
        <v>OK</v>
      </c>
      <c r="H2003" t="str">
        <f t="shared" si="1031"/>
        <v>OK</v>
      </c>
      <c r="I2003" s="4">
        <f t="shared" si="1032"/>
        <v>2022</v>
      </c>
      <c r="J2003">
        <f t="shared" si="1049"/>
        <v>22.48493818181818</v>
      </c>
      <c r="K2003">
        <f t="shared" si="1050"/>
        <v>4.4692712328767126</v>
      </c>
      <c r="R2003" s="4">
        <f t="shared" si="1051"/>
        <v>8.4938181818181135E-2</v>
      </c>
      <c r="S2003" s="4">
        <f t="shared" si="1052"/>
        <v>0.2692712328767124</v>
      </c>
    </row>
    <row r="2004" spans="1:19" x14ac:dyDescent="0.35">
      <c r="A2004" s="1">
        <v>44738</v>
      </c>
      <c r="B2004" s="4">
        <v>23.2</v>
      </c>
      <c r="C2004">
        <v>20.3</v>
      </c>
      <c r="D2004">
        <v>27.2</v>
      </c>
      <c r="E2004" s="4">
        <v>0.2</v>
      </c>
      <c r="F2004" t="str">
        <f t="shared" si="1029"/>
        <v>OK</v>
      </c>
      <c r="G2004" t="str">
        <f t="shared" si="1030"/>
        <v>OK</v>
      </c>
      <c r="H2004" t="str">
        <f t="shared" si="1031"/>
        <v>OK</v>
      </c>
      <c r="I2004" s="4">
        <f t="shared" si="1032"/>
        <v>2022</v>
      </c>
      <c r="J2004">
        <f t="shared" si="1049"/>
        <v>23.034523636363634</v>
      </c>
      <c r="K2004">
        <f t="shared" si="1050"/>
        <v>3.8224767123287675</v>
      </c>
      <c r="R2004" s="4">
        <f t="shared" si="1051"/>
        <v>-0.16547636363636542</v>
      </c>
      <c r="S2004" s="4">
        <f t="shared" si="1052"/>
        <v>3.6224767123287673</v>
      </c>
    </row>
    <row r="2005" spans="1:19" hidden="1" x14ac:dyDescent="0.35">
      <c r="A2005" s="1">
        <v>44739</v>
      </c>
      <c r="B2005" s="4">
        <v>23.7</v>
      </c>
      <c r="C2005">
        <v>20.100000000000001</v>
      </c>
      <c r="D2005">
        <v>28.3</v>
      </c>
      <c r="E2005" s="4">
        <v>0</v>
      </c>
      <c r="F2005" t="str">
        <f t="shared" si="1029"/>
        <v>OK</v>
      </c>
      <c r="G2005" t="str">
        <f t="shared" si="1030"/>
        <v>OK</v>
      </c>
      <c r="H2005" t="str">
        <f t="shared" si="1031"/>
        <v>OK</v>
      </c>
      <c r="I2005" s="4">
        <f t="shared" si="1032"/>
        <v>2022</v>
      </c>
    </row>
    <row r="2006" spans="1:19" x14ac:dyDescent="0.35">
      <c r="A2006" s="1">
        <v>44740</v>
      </c>
      <c r="B2006" s="4">
        <v>22.5</v>
      </c>
      <c r="C2006">
        <v>19.600000000000001</v>
      </c>
      <c r="D2006">
        <v>26.7</v>
      </c>
      <c r="E2006" s="4">
        <v>2.2000000000000002</v>
      </c>
      <c r="F2006" t="str">
        <f t="shared" si="1029"/>
        <v>OK</v>
      </c>
      <c r="G2006" t="str">
        <f t="shared" si="1030"/>
        <v>OK</v>
      </c>
      <c r="H2006" t="str">
        <f t="shared" si="1031"/>
        <v>OK</v>
      </c>
      <c r="I2006" s="4">
        <f t="shared" si="1032"/>
        <v>2022</v>
      </c>
      <c r="J2006">
        <f>( 377.84*B2006 + 3903.1)/550</f>
        <v>22.553636363636365</v>
      </c>
      <c r="K2006">
        <f xml:space="preserve"> (59.02*E2006 + 1383.4)/365</f>
        <v>4.1458739726027405</v>
      </c>
      <c r="R2006" s="4">
        <f>J2006-B2006</f>
        <v>5.3636363636364592E-2</v>
      </c>
      <c r="S2006" s="4">
        <f>K2006-E2006</f>
        <v>1.9458739726027403</v>
      </c>
    </row>
    <row r="2007" spans="1:19" hidden="1" x14ac:dyDescent="0.35">
      <c r="A2007" s="1">
        <v>44741</v>
      </c>
      <c r="B2007" s="4">
        <v>23.9</v>
      </c>
      <c r="C2007">
        <v>21.1</v>
      </c>
      <c r="D2007">
        <v>29.5</v>
      </c>
      <c r="E2007" s="4">
        <v>0</v>
      </c>
      <c r="F2007" t="str">
        <f t="shared" si="1029"/>
        <v>OK</v>
      </c>
      <c r="G2007" t="str">
        <f t="shared" si="1030"/>
        <v>OK</v>
      </c>
      <c r="H2007" t="str">
        <f t="shared" si="1031"/>
        <v>OK</v>
      </c>
      <c r="I2007" s="4">
        <f t="shared" si="1032"/>
        <v>2022</v>
      </c>
    </row>
    <row r="2008" spans="1:19" x14ac:dyDescent="0.35">
      <c r="A2008" s="1">
        <v>44742</v>
      </c>
      <c r="B2008" s="4">
        <v>23.2</v>
      </c>
      <c r="C2008">
        <v>20.5</v>
      </c>
      <c r="D2008">
        <v>29.5</v>
      </c>
      <c r="E2008" s="4">
        <v>5.8</v>
      </c>
      <c r="F2008" t="str">
        <f t="shared" si="1029"/>
        <v>OK</v>
      </c>
      <c r="G2008" t="str">
        <f t="shared" si="1030"/>
        <v>OK</v>
      </c>
      <c r="H2008" t="str">
        <f t="shared" si="1031"/>
        <v>OK</v>
      </c>
      <c r="I2008" s="4">
        <f t="shared" si="1032"/>
        <v>2022</v>
      </c>
      <c r="J2008">
        <f t="shared" ref="J2008:J2009" si="1053">( 377.84*B2008 + 3903.1)/550</f>
        <v>23.034523636363634</v>
      </c>
      <c r="K2008">
        <f t="shared" ref="K2008:K2009" si="1054" xml:space="preserve"> (59.02*E2008 + 1383.4)/365</f>
        <v>4.7279890410958911</v>
      </c>
      <c r="R2008" s="4">
        <f t="shared" ref="R2008:R2009" si="1055">J2008-B2008</f>
        <v>-0.16547636363636542</v>
      </c>
      <c r="S2008" s="4">
        <f t="shared" ref="S2008:S2009" si="1056">K2008-E2008</f>
        <v>-1.0720109589041087</v>
      </c>
    </row>
    <row r="2009" spans="1:19" x14ac:dyDescent="0.35">
      <c r="A2009" s="1">
        <v>44743</v>
      </c>
      <c r="B2009" s="4">
        <v>23.6</v>
      </c>
      <c r="C2009">
        <v>20.5</v>
      </c>
      <c r="D2009">
        <v>28.7</v>
      </c>
      <c r="E2009" s="4">
        <v>3.6</v>
      </c>
      <c r="F2009" t="str">
        <f t="shared" si="1029"/>
        <v>OK</v>
      </c>
      <c r="G2009" t="str">
        <f t="shared" si="1030"/>
        <v>OK</v>
      </c>
      <c r="H2009" t="str">
        <f t="shared" si="1031"/>
        <v>OK</v>
      </c>
      <c r="I2009" s="4">
        <f t="shared" si="1032"/>
        <v>2022</v>
      </c>
      <c r="J2009">
        <f t="shared" si="1053"/>
        <v>23.309316363636363</v>
      </c>
      <c r="K2009">
        <f t="shared" si="1054"/>
        <v>4.3722520547945205</v>
      </c>
      <c r="R2009" s="4">
        <f t="shared" si="1055"/>
        <v>-0.2906836363636387</v>
      </c>
      <c r="S2009" s="4">
        <f t="shared" si="1056"/>
        <v>0.77225205479452042</v>
      </c>
    </row>
    <row r="2010" spans="1:19" hidden="1" x14ac:dyDescent="0.35">
      <c r="A2010" s="1">
        <v>44744</v>
      </c>
      <c r="B2010" s="4">
        <v>24.1</v>
      </c>
      <c r="C2010">
        <v>20.9</v>
      </c>
      <c r="D2010">
        <v>28.7</v>
      </c>
      <c r="E2010" s="4">
        <v>0</v>
      </c>
      <c r="F2010" t="str">
        <f t="shared" si="1029"/>
        <v>OK</v>
      </c>
      <c r="G2010" t="str">
        <f t="shared" si="1030"/>
        <v>OK</v>
      </c>
      <c r="H2010" t="str">
        <f t="shared" si="1031"/>
        <v>OK</v>
      </c>
      <c r="I2010" s="4">
        <f t="shared" si="1032"/>
        <v>2022</v>
      </c>
    </row>
    <row r="2011" spans="1:19" hidden="1" x14ac:dyDescent="0.35">
      <c r="A2011" s="1">
        <v>44745</v>
      </c>
      <c r="B2011" s="4">
        <v>23.5</v>
      </c>
      <c r="C2011">
        <v>21.1</v>
      </c>
      <c r="D2011">
        <v>28.5</v>
      </c>
      <c r="E2011" s="4">
        <v>0</v>
      </c>
      <c r="F2011" t="str">
        <f t="shared" si="1029"/>
        <v>OK</v>
      </c>
      <c r="G2011" t="str">
        <f t="shared" si="1030"/>
        <v>OK</v>
      </c>
      <c r="H2011" t="str">
        <f t="shared" si="1031"/>
        <v>OK</v>
      </c>
      <c r="I2011" s="4">
        <f t="shared" si="1032"/>
        <v>2022</v>
      </c>
    </row>
    <row r="2012" spans="1:19" hidden="1" x14ac:dyDescent="0.35">
      <c r="A2012" s="1">
        <v>44746</v>
      </c>
      <c r="B2012" s="4">
        <v>22.5</v>
      </c>
      <c r="C2012">
        <v>20.2</v>
      </c>
      <c r="D2012">
        <v>27</v>
      </c>
      <c r="E2012" s="4">
        <v>0</v>
      </c>
      <c r="F2012" t="str">
        <f t="shared" si="1029"/>
        <v>OK</v>
      </c>
      <c r="G2012" t="str">
        <f t="shared" si="1030"/>
        <v>OK</v>
      </c>
      <c r="H2012" t="str">
        <f t="shared" si="1031"/>
        <v>OK</v>
      </c>
      <c r="I2012" s="4">
        <f t="shared" si="1032"/>
        <v>2022</v>
      </c>
    </row>
    <row r="2013" spans="1:19" x14ac:dyDescent="0.35">
      <c r="A2013" s="1">
        <v>44747</v>
      </c>
      <c r="B2013" s="4">
        <v>22.9</v>
      </c>
      <c r="C2013">
        <v>20.100000000000001</v>
      </c>
      <c r="D2013">
        <v>26.5</v>
      </c>
      <c r="E2013" s="4">
        <v>2</v>
      </c>
      <c r="F2013" t="str">
        <f t="shared" si="1029"/>
        <v>OK</v>
      </c>
      <c r="G2013" t="str">
        <f t="shared" si="1030"/>
        <v>OK</v>
      </c>
      <c r="H2013" t="str">
        <f t="shared" si="1031"/>
        <v>OK</v>
      </c>
      <c r="I2013" s="4">
        <f t="shared" si="1032"/>
        <v>2022</v>
      </c>
      <c r="J2013">
        <f t="shared" ref="J2013:J2024" si="1057">( 377.84*B2013 + 3903.1)/550</f>
        <v>22.82842909090909</v>
      </c>
      <c r="K2013">
        <f t="shared" ref="K2013:K2024" si="1058" xml:space="preserve"> (59.02*E2013 + 1383.4)/365</f>
        <v>4.1135342465753428</v>
      </c>
      <c r="R2013" s="4">
        <f t="shared" ref="R2013:R2024" si="1059">J2013-B2013</f>
        <v>-7.1570909090908685E-2</v>
      </c>
      <c r="S2013" s="4">
        <f t="shared" ref="S2013:S2024" si="1060">K2013-E2013</f>
        <v>2.1135342465753428</v>
      </c>
    </row>
    <row r="2014" spans="1:19" x14ac:dyDescent="0.35">
      <c r="A2014" s="1">
        <v>44748</v>
      </c>
      <c r="B2014" s="4">
        <v>22.1</v>
      </c>
      <c r="C2014">
        <v>20.6</v>
      </c>
      <c r="D2014">
        <v>26.5</v>
      </c>
      <c r="E2014" s="4">
        <v>0.3</v>
      </c>
      <c r="F2014" t="str">
        <f t="shared" si="1029"/>
        <v>OK</v>
      </c>
      <c r="G2014" t="str">
        <f t="shared" si="1030"/>
        <v>OK</v>
      </c>
      <c r="H2014" t="str">
        <f t="shared" si="1031"/>
        <v>OK</v>
      </c>
      <c r="I2014" s="4">
        <f t="shared" si="1032"/>
        <v>2022</v>
      </c>
      <c r="J2014">
        <f t="shared" si="1057"/>
        <v>22.278843636363636</v>
      </c>
      <c r="K2014">
        <f t="shared" si="1058"/>
        <v>3.8386465753424659</v>
      </c>
      <c r="R2014" s="4">
        <f t="shared" si="1059"/>
        <v>0.17884363636363432</v>
      </c>
      <c r="S2014" s="4">
        <f t="shared" si="1060"/>
        <v>3.5386465753424661</v>
      </c>
    </row>
    <row r="2015" spans="1:19" x14ac:dyDescent="0.35">
      <c r="A2015" s="1">
        <v>44749</v>
      </c>
      <c r="B2015" s="4">
        <v>21.4</v>
      </c>
      <c r="C2015">
        <v>19.7</v>
      </c>
      <c r="D2015">
        <v>25</v>
      </c>
      <c r="E2015" s="4">
        <v>1</v>
      </c>
      <c r="F2015" t="str">
        <f t="shared" si="1029"/>
        <v>OK</v>
      </c>
      <c r="G2015" t="str">
        <f t="shared" si="1030"/>
        <v>OK</v>
      </c>
      <c r="H2015" t="str">
        <f t="shared" si="1031"/>
        <v>OK</v>
      </c>
      <c r="I2015" s="4">
        <f t="shared" si="1032"/>
        <v>2022</v>
      </c>
      <c r="J2015">
        <f t="shared" si="1057"/>
        <v>21.797956363636359</v>
      </c>
      <c r="K2015">
        <f t="shared" si="1058"/>
        <v>3.9518356164383563</v>
      </c>
      <c r="R2015" s="4">
        <f t="shared" si="1059"/>
        <v>0.39795636363636078</v>
      </c>
      <c r="S2015" s="4">
        <f t="shared" si="1060"/>
        <v>2.9518356164383563</v>
      </c>
    </row>
    <row r="2016" spans="1:19" x14ac:dyDescent="0.35">
      <c r="A2016" s="1">
        <v>44750</v>
      </c>
      <c r="B2016" s="4">
        <v>21.4</v>
      </c>
      <c r="C2016">
        <v>19.7</v>
      </c>
      <c r="D2016">
        <v>25.5</v>
      </c>
      <c r="E2016" s="4">
        <v>6.1</v>
      </c>
      <c r="F2016" t="str">
        <f t="shared" si="1029"/>
        <v>OK</v>
      </c>
      <c r="G2016" t="str">
        <f t="shared" si="1030"/>
        <v>OK</v>
      </c>
      <c r="H2016" t="str">
        <f t="shared" si="1031"/>
        <v>OK</v>
      </c>
      <c r="I2016" s="4">
        <f t="shared" si="1032"/>
        <v>2022</v>
      </c>
      <c r="J2016">
        <f t="shared" si="1057"/>
        <v>21.797956363636359</v>
      </c>
      <c r="K2016">
        <f t="shared" si="1058"/>
        <v>4.7764986301369863</v>
      </c>
      <c r="R2016" s="4">
        <f t="shared" si="1059"/>
        <v>0.39795636363636078</v>
      </c>
      <c r="S2016" s="4">
        <f t="shared" si="1060"/>
        <v>-1.3235013698630134</v>
      </c>
    </row>
    <row r="2017" spans="1:19" x14ac:dyDescent="0.35">
      <c r="A2017" s="1">
        <v>44751</v>
      </c>
      <c r="B2017" s="4">
        <v>21.7</v>
      </c>
      <c r="C2017">
        <v>19.8</v>
      </c>
      <c r="D2017">
        <v>25.5</v>
      </c>
      <c r="E2017" s="4">
        <v>7.1</v>
      </c>
      <c r="F2017" t="str">
        <f t="shared" si="1029"/>
        <v>OK</v>
      </c>
      <c r="G2017" t="str">
        <f t="shared" si="1030"/>
        <v>OK</v>
      </c>
      <c r="H2017" t="str">
        <f t="shared" si="1031"/>
        <v>OK</v>
      </c>
      <c r="I2017" s="4">
        <f t="shared" si="1032"/>
        <v>2022</v>
      </c>
      <c r="J2017">
        <f t="shared" si="1057"/>
        <v>22.004050909090907</v>
      </c>
      <c r="K2017">
        <f t="shared" si="1058"/>
        <v>4.9381972602739728</v>
      </c>
      <c r="R2017" s="4">
        <f t="shared" si="1059"/>
        <v>0.3040509090909076</v>
      </c>
      <c r="S2017" s="4">
        <f t="shared" si="1060"/>
        <v>-2.1618027397260269</v>
      </c>
    </row>
    <row r="2018" spans="1:19" x14ac:dyDescent="0.35">
      <c r="A2018" s="1">
        <v>44752</v>
      </c>
      <c r="B2018" s="4">
        <v>22.4</v>
      </c>
      <c r="C2018">
        <v>20</v>
      </c>
      <c r="D2018">
        <v>26.2</v>
      </c>
      <c r="E2018" s="4">
        <v>15</v>
      </c>
      <c r="F2018" t="str">
        <f t="shared" si="1029"/>
        <v>OK</v>
      </c>
      <c r="G2018" t="str">
        <f t="shared" si="1030"/>
        <v>OK</v>
      </c>
      <c r="H2018" t="str">
        <f t="shared" si="1031"/>
        <v>OK</v>
      </c>
      <c r="I2018" s="4">
        <f t="shared" si="1032"/>
        <v>2022</v>
      </c>
      <c r="J2018">
        <f t="shared" si="1057"/>
        <v>22.48493818181818</v>
      </c>
      <c r="K2018">
        <f t="shared" si="1058"/>
        <v>6.2156164383561654</v>
      </c>
      <c r="R2018" s="4">
        <f t="shared" si="1059"/>
        <v>8.4938181818181135E-2</v>
      </c>
      <c r="S2018" s="4">
        <f t="shared" si="1060"/>
        <v>-8.7843835616438355</v>
      </c>
    </row>
    <row r="2019" spans="1:19" x14ac:dyDescent="0.35">
      <c r="A2019" s="1">
        <v>44753</v>
      </c>
      <c r="B2019" s="4">
        <v>21.7</v>
      </c>
      <c r="C2019">
        <v>20.2</v>
      </c>
      <c r="D2019">
        <v>26.2</v>
      </c>
      <c r="E2019" s="4">
        <v>0.8</v>
      </c>
      <c r="F2019" t="str">
        <f t="shared" si="1029"/>
        <v>OK</v>
      </c>
      <c r="G2019" t="str">
        <f t="shared" si="1030"/>
        <v>OK</v>
      </c>
      <c r="H2019" t="str">
        <f t="shared" si="1031"/>
        <v>OK</v>
      </c>
      <c r="I2019" s="4">
        <f t="shared" si="1032"/>
        <v>2022</v>
      </c>
      <c r="J2019">
        <f t="shared" si="1057"/>
        <v>22.004050909090907</v>
      </c>
      <c r="K2019">
        <f t="shared" si="1058"/>
        <v>3.9194958904109587</v>
      </c>
      <c r="R2019" s="4">
        <f t="shared" si="1059"/>
        <v>0.3040509090909076</v>
      </c>
      <c r="S2019" s="4">
        <f t="shared" si="1060"/>
        <v>3.1194958904109589</v>
      </c>
    </row>
    <row r="2020" spans="1:19" x14ac:dyDescent="0.35">
      <c r="A2020" s="1">
        <v>44754</v>
      </c>
      <c r="B2020" s="4">
        <v>23.2</v>
      </c>
      <c r="C2020">
        <v>19.8</v>
      </c>
      <c r="D2020">
        <v>27.5</v>
      </c>
      <c r="E2020" s="4">
        <v>4.5999999999999996</v>
      </c>
      <c r="F2020" t="str">
        <f t="shared" si="1029"/>
        <v>OK</v>
      </c>
      <c r="G2020" t="str">
        <f t="shared" si="1030"/>
        <v>OK</v>
      </c>
      <c r="H2020" t="str">
        <f t="shared" si="1031"/>
        <v>OK</v>
      </c>
      <c r="I2020" s="4">
        <f t="shared" si="1032"/>
        <v>2022</v>
      </c>
      <c r="J2020">
        <f t="shared" si="1057"/>
        <v>23.034523636363634</v>
      </c>
      <c r="K2020">
        <f t="shared" si="1058"/>
        <v>4.533950684931507</v>
      </c>
      <c r="R2020" s="4">
        <f t="shared" si="1059"/>
        <v>-0.16547636363636542</v>
      </c>
      <c r="S2020" s="4">
        <f t="shared" si="1060"/>
        <v>-6.6049315068492653E-2</v>
      </c>
    </row>
    <row r="2021" spans="1:19" x14ac:dyDescent="0.35">
      <c r="A2021" s="1">
        <v>44755</v>
      </c>
      <c r="B2021" s="4">
        <v>21.6</v>
      </c>
      <c r="C2021">
        <v>19.7</v>
      </c>
      <c r="D2021">
        <v>27.5</v>
      </c>
      <c r="E2021" s="4">
        <v>1</v>
      </c>
      <c r="F2021" t="str">
        <f t="shared" si="1029"/>
        <v>OK</v>
      </c>
      <c r="G2021" t="str">
        <f t="shared" si="1030"/>
        <v>OK</v>
      </c>
      <c r="H2021" t="str">
        <f t="shared" si="1031"/>
        <v>OK</v>
      </c>
      <c r="I2021" s="4">
        <f t="shared" si="1032"/>
        <v>2022</v>
      </c>
      <c r="J2021">
        <f t="shared" si="1057"/>
        <v>21.935352727272726</v>
      </c>
      <c r="K2021">
        <f t="shared" si="1058"/>
        <v>3.9518356164383563</v>
      </c>
      <c r="R2021" s="4">
        <f t="shared" si="1059"/>
        <v>0.33535272727272414</v>
      </c>
      <c r="S2021" s="4">
        <f t="shared" si="1060"/>
        <v>2.9518356164383563</v>
      </c>
    </row>
    <row r="2022" spans="1:19" x14ac:dyDescent="0.35">
      <c r="A2022" s="1">
        <v>44756</v>
      </c>
      <c r="B2022" s="4">
        <v>21.2</v>
      </c>
      <c r="C2022">
        <v>19.5</v>
      </c>
      <c r="D2022">
        <v>24.3</v>
      </c>
      <c r="E2022" s="4">
        <v>2</v>
      </c>
      <c r="F2022" t="str">
        <f t="shared" si="1029"/>
        <v>OK</v>
      </c>
      <c r="G2022" t="str">
        <f t="shared" si="1030"/>
        <v>OK</v>
      </c>
      <c r="H2022" t="str">
        <f t="shared" si="1031"/>
        <v>OK</v>
      </c>
      <c r="I2022" s="4">
        <f t="shared" si="1032"/>
        <v>2022</v>
      </c>
      <c r="J2022">
        <f t="shared" si="1057"/>
        <v>21.660559999999997</v>
      </c>
      <c r="K2022">
        <f t="shared" si="1058"/>
        <v>4.1135342465753428</v>
      </c>
      <c r="R2022" s="4">
        <f t="shared" si="1059"/>
        <v>0.46055999999999742</v>
      </c>
      <c r="S2022" s="4">
        <f t="shared" si="1060"/>
        <v>2.1135342465753428</v>
      </c>
    </row>
    <row r="2023" spans="1:19" x14ac:dyDescent="0.35">
      <c r="A2023" s="1">
        <v>44757</v>
      </c>
      <c r="B2023" s="4">
        <v>22.3</v>
      </c>
      <c r="C2023">
        <v>19.5</v>
      </c>
      <c r="D2023">
        <v>25.6</v>
      </c>
      <c r="E2023" s="4">
        <v>2.2999999999999998</v>
      </c>
      <c r="F2023" t="str">
        <f t="shared" si="1029"/>
        <v>OK</v>
      </c>
      <c r="G2023" t="str">
        <f t="shared" si="1030"/>
        <v>OK</v>
      </c>
      <c r="H2023" t="str">
        <f t="shared" si="1031"/>
        <v>OK</v>
      </c>
      <c r="I2023" s="4">
        <f t="shared" si="1032"/>
        <v>2022</v>
      </c>
      <c r="J2023">
        <f t="shared" si="1057"/>
        <v>22.416240000000002</v>
      </c>
      <c r="K2023">
        <f t="shared" si="1058"/>
        <v>4.1620438356164389</v>
      </c>
      <c r="R2023" s="4">
        <f t="shared" si="1059"/>
        <v>0.11624000000000123</v>
      </c>
      <c r="S2023" s="4">
        <f t="shared" si="1060"/>
        <v>1.862043835616439</v>
      </c>
    </row>
    <row r="2024" spans="1:19" x14ac:dyDescent="0.35">
      <c r="A2024" s="1">
        <v>44758</v>
      </c>
      <c r="B2024" s="4">
        <v>22</v>
      </c>
      <c r="C2024">
        <v>20.100000000000001</v>
      </c>
      <c r="D2024">
        <v>25.6</v>
      </c>
      <c r="E2024" s="4">
        <v>0.5</v>
      </c>
      <c r="F2024" t="str">
        <f t="shared" si="1029"/>
        <v>OK</v>
      </c>
      <c r="G2024" t="str">
        <f t="shared" si="1030"/>
        <v>OK</v>
      </c>
      <c r="H2024" t="str">
        <f t="shared" si="1031"/>
        <v>OK</v>
      </c>
      <c r="I2024" s="4">
        <f t="shared" si="1032"/>
        <v>2022</v>
      </c>
      <c r="J2024">
        <f t="shared" si="1057"/>
        <v>22.210145454545454</v>
      </c>
      <c r="K2024">
        <f t="shared" si="1058"/>
        <v>3.8709863013698631</v>
      </c>
      <c r="R2024" s="4">
        <f t="shared" si="1059"/>
        <v>0.21014545454545441</v>
      </c>
      <c r="S2024" s="4">
        <f t="shared" si="1060"/>
        <v>3.3709863013698631</v>
      </c>
    </row>
    <row r="2025" spans="1:19" hidden="1" x14ac:dyDescent="0.35">
      <c r="A2025" s="1">
        <v>44759</v>
      </c>
      <c r="B2025" s="4">
        <v>23.2</v>
      </c>
      <c r="C2025">
        <v>20.2</v>
      </c>
      <c r="D2025">
        <v>25.3</v>
      </c>
      <c r="E2025" s="4">
        <v>0</v>
      </c>
      <c r="F2025" t="str">
        <f t="shared" si="1029"/>
        <v>OK</v>
      </c>
      <c r="G2025" t="str">
        <f t="shared" si="1030"/>
        <v>OK</v>
      </c>
      <c r="H2025" t="str">
        <f t="shared" si="1031"/>
        <v>OK</v>
      </c>
      <c r="I2025" s="4">
        <f t="shared" si="1032"/>
        <v>2022</v>
      </c>
    </row>
    <row r="2026" spans="1:19" x14ac:dyDescent="0.35">
      <c r="A2026" s="1">
        <v>44760</v>
      </c>
      <c r="B2026" s="4">
        <v>22.6</v>
      </c>
      <c r="C2026">
        <v>20.9</v>
      </c>
      <c r="D2026">
        <v>27.5</v>
      </c>
      <c r="E2026" s="4">
        <v>0.3</v>
      </c>
      <c r="F2026" t="str">
        <f t="shared" si="1029"/>
        <v>OK</v>
      </c>
      <c r="G2026" t="str">
        <f t="shared" si="1030"/>
        <v>OK</v>
      </c>
      <c r="H2026" t="str">
        <f t="shared" si="1031"/>
        <v>OK</v>
      </c>
      <c r="I2026" s="4">
        <f t="shared" si="1032"/>
        <v>2022</v>
      </c>
      <c r="J2026">
        <f t="shared" ref="J2026:J2027" si="1061">( 377.84*B2026 + 3903.1)/550</f>
        <v>22.622334545454546</v>
      </c>
      <c r="K2026">
        <f t="shared" ref="K2026:K2027" si="1062" xml:space="preserve"> (59.02*E2026 + 1383.4)/365</f>
        <v>3.8386465753424659</v>
      </c>
      <c r="R2026" s="4">
        <f t="shared" ref="R2026:R2027" si="1063">J2026-B2026</f>
        <v>2.2334545454544497E-2</v>
      </c>
      <c r="S2026" s="4">
        <f t="shared" ref="S2026:S2027" si="1064">K2026-E2026</f>
        <v>3.5386465753424661</v>
      </c>
    </row>
    <row r="2027" spans="1:19" x14ac:dyDescent="0.35">
      <c r="A2027" s="1">
        <v>44761</v>
      </c>
      <c r="B2027" s="4">
        <v>24.7</v>
      </c>
      <c r="C2027">
        <v>20.100000000000001</v>
      </c>
      <c r="D2027">
        <v>29.6</v>
      </c>
      <c r="E2027" s="4">
        <v>0.3</v>
      </c>
      <c r="F2027" t="str">
        <f t="shared" si="1029"/>
        <v>OK</v>
      </c>
      <c r="G2027" t="str">
        <f t="shared" si="1030"/>
        <v>OK</v>
      </c>
      <c r="H2027" t="str">
        <f t="shared" si="1031"/>
        <v>OK</v>
      </c>
      <c r="I2027" s="4">
        <f t="shared" si="1032"/>
        <v>2022</v>
      </c>
      <c r="J2027">
        <f t="shared" si="1061"/>
        <v>24.064996363636364</v>
      </c>
      <c r="K2027">
        <f t="shared" si="1062"/>
        <v>3.8386465753424659</v>
      </c>
      <c r="R2027" s="4">
        <f t="shared" si="1063"/>
        <v>-0.63500363636363488</v>
      </c>
      <c r="S2027" s="4">
        <f t="shared" si="1064"/>
        <v>3.5386465753424661</v>
      </c>
    </row>
    <row r="2028" spans="1:19" hidden="1" x14ac:dyDescent="0.35">
      <c r="A2028" s="1">
        <v>44762</v>
      </c>
      <c r="B2028" s="4">
        <v>24.9</v>
      </c>
      <c r="C2028">
        <v>19.8</v>
      </c>
      <c r="D2028">
        <v>30.8</v>
      </c>
      <c r="E2028" s="4">
        <v>0</v>
      </c>
      <c r="F2028" t="str">
        <f t="shared" si="1029"/>
        <v>OK</v>
      </c>
      <c r="G2028" t="str">
        <f t="shared" si="1030"/>
        <v>OK</v>
      </c>
      <c r="H2028" t="str">
        <f t="shared" si="1031"/>
        <v>OK</v>
      </c>
      <c r="I2028" s="4">
        <f t="shared" si="1032"/>
        <v>2022</v>
      </c>
    </row>
    <row r="2029" spans="1:19" x14ac:dyDescent="0.35">
      <c r="A2029" s="1">
        <v>44763</v>
      </c>
      <c r="B2029" s="4">
        <v>23.7</v>
      </c>
      <c r="C2029">
        <v>20.5</v>
      </c>
      <c r="D2029">
        <v>30.8</v>
      </c>
      <c r="E2029" s="4">
        <v>82.5</v>
      </c>
      <c r="F2029" t="str">
        <f t="shared" si="1029"/>
        <v>OK</v>
      </c>
      <c r="G2029" t="str">
        <f t="shared" si="1030"/>
        <v>OK</v>
      </c>
      <c r="H2029" t="str">
        <f t="shared" si="1031"/>
        <v>OK</v>
      </c>
      <c r="I2029" s="4">
        <f t="shared" si="1032"/>
        <v>2022</v>
      </c>
      <c r="J2029">
        <f>( 377.84*B2029 + 3903.1)/550</f>
        <v>23.378014545454544</v>
      </c>
      <c r="K2029">
        <f xml:space="preserve"> (59.02*E2029 + 1383.4)/365</f>
        <v>17.130273972602744</v>
      </c>
      <c r="R2029" s="4">
        <f>J2029-B2029</f>
        <v>-0.32198545454545524</v>
      </c>
      <c r="S2029" s="4">
        <f>K2029-E2029</f>
        <v>-65.369726027397263</v>
      </c>
    </row>
    <row r="2030" spans="1:19" hidden="1" x14ac:dyDescent="0.35">
      <c r="A2030" s="1">
        <v>44764</v>
      </c>
      <c r="B2030" s="4">
        <v>23.2</v>
      </c>
      <c r="C2030">
        <v>21.1</v>
      </c>
      <c r="D2030">
        <v>27.9</v>
      </c>
      <c r="E2030" s="4">
        <v>0</v>
      </c>
      <c r="F2030" t="str">
        <f t="shared" si="1029"/>
        <v>OK</v>
      </c>
      <c r="G2030" t="str">
        <f t="shared" si="1030"/>
        <v>OK</v>
      </c>
      <c r="H2030" t="str">
        <f t="shared" si="1031"/>
        <v>OK</v>
      </c>
      <c r="I2030" s="4">
        <f t="shared" si="1032"/>
        <v>2022</v>
      </c>
    </row>
    <row r="2031" spans="1:19" hidden="1" x14ac:dyDescent="0.35">
      <c r="A2031" s="1">
        <v>44765</v>
      </c>
      <c r="B2031" s="4">
        <v>23.1</v>
      </c>
      <c r="C2031">
        <v>20.9</v>
      </c>
      <c r="D2031">
        <v>26.7</v>
      </c>
      <c r="E2031" s="4">
        <v>0</v>
      </c>
      <c r="F2031" t="str">
        <f t="shared" si="1029"/>
        <v>OK</v>
      </c>
      <c r="G2031" t="str">
        <f t="shared" si="1030"/>
        <v>OK</v>
      </c>
      <c r="H2031" t="str">
        <f t="shared" si="1031"/>
        <v>OK</v>
      </c>
      <c r="I2031" s="4">
        <f t="shared" si="1032"/>
        <v>2022</v>
      </c>
    </row>
    <row r="2032" spans="1:19" x14ac:dyDescent="0.35">
      <c r="A2032" s="1">
        <v>44766</v>
      </c>
      <c r="B2032" s="4">
        <v>22.8</v>
      </c>
      <c r="C2032">
        <v>20</v>
      </c>
      <c r="D2032">
        <v>26.7</v>
      </c>
      <c r="E2032" s="4">
        <v>0.3</v>
      </c>
      <c r="F2032" t="str">
        <f t="shared" si="1029"/>
        <v>OK</v>
      </c>
      <c r="G2032" t="str">
        <f t="shared" si="1030"/>
        <v>OK</v>
      </c>
      <c r="H2032" t="str">
        <f t="shared" si="1031"/>
        <v>OK</v>
      </c>
      <c r="I2032" s="4">
        <f t="shared" si="1032"/>
        <v>2022</v>
      </c>
      <c r="J2032">
        <f t="shared" ref="J2032:J2033" si="1065">( 377.84*B2032 + 3903.1)/550</f>
        <v>22.759730909090912</v>
      </c>
      <c r="K2032">
        <f t="shared" ref="K2032:K2033" si="1066" xml:space="preserve"> (59.02*E2032 + 1383.4)/365</f>
        <v>3.8386465753424659</v>
      </c>
      <c r="R2032" s="4">
        <f t="shared" ref="R2032:R2033" si="1067">J2032-B2032</f>
        <v>-4.026909090908859E-2</v>
      </c>
      <c r="S2032" s="4">
        <f t="shared" ref="S2032:S2033" si="1068">K2032-E2032</f>
        <v>3.5386465753424661</v>
      </c>
    </row>
    <row r="2033" spans="1:19" x14ac:dyDescent="0.35">
      <c r="A2033" s="1">
        <v>44767</v>
      </c>
      <c r="B2033" s="4">
        <v>24.1</v>
      </c>
      <c r="C2033">
        <v>20.2</v>
      </c>
      <c r="D2033">
        <v>28.5</v>
      </c>
      <c r="E2033" s="4">
        <v>0.5</v>
      </c>
      <c r="F2033" t="str">
        <f t="shared" ref="F2033" si="1069">IF(OR(B2033 &lt; $N$30, B2033 &gt; $N$67), "Outlier", "OK")</f>
        <v>OK</v>
      </c>
      <c r="G2033" t="str">
        <f t="shared" ref="G2033" si="1070">IF(OR(C2033 &lt; $O$30, C2033 &gt; $O$67), "Outlier", "OK")</f>
        <v>OK</v>
      </c>
      <c r="H2033" t="str">
        <f t="shared" ref="H2033" si="1071">IF(OR(D2033 &lt; $P$30, D2033 &gt; $P$67), "Outlier", "OK")</f>
        <v>OK</v>
      </c>
      <c r="I2033" s="4">
        <f t="shared" ref="I2033" si="1072">YEAR(A2033)</f>
        <v>2022</v>
      </c>
      <c r="J2033">
        <f t="shared" si="1065"/>
        <v>23.652807272727273</v>
      </c>
      <c r="K2033">
        <f t="shared" si="1066"/>
        <v>3.8709863013698631</v>
      </c>
      <c r="R2033" s="4">
        <f t="shared" si="1067"/>
        <v>-0.44719272727272852</v>
      </c>
      <c r="S2033" s="4">
        <f t="shared" si="1068"/>
        <v>3.3709863013698631</v>
      </c>
    </row>
  </sheetData>
  <autoFilter ref="A1:I2033" xr:uid="{74D52654-8211-4D48-A2C6-DA88C4660679}">
    <filterColumn colId="2">
      <customFilters>
        <customFilter operator="notEqual" val=" "/>
      </customFilters>
    </filterColumn>
    <filterColumn colId="3">
      <customFilters>
        <customFilter operator="notEqual" val=" "/>
      </customFilters>
    </filterColumn>
    <filterColumn colId="4">
      <filters>
        <filter val="0.10"/>
        <filter val="0.20"/>
        <filter val="0.30"/>
        <filter val="0.40"/>
        <filter val="0.50"/>
        <filter val="0.60"/>
        <filter val="0.70"/>
        <filter val="0.80"/>
        <filter val="0.90"/>
        <filter val="1.00"/>
        <filter val="1.10"/>
        <filter val="1.30"/>
        <filter val="1.40"/>
        <filter val="1.50"/>
        <filter val="1.60"/>
        <filter val="1.70"/>
        <filter val="1.80"/>
        <filter val="10.00"/>
        <filter val="10.20"/>
        <filter val="10.30"/>
        <filter val="10.40"/>
        <filter val="10.70"/>
        <filter val="10.90"/>
        <filter val="11.20"/>
        <filter val="11.40"/>
        <filter val="11.70"/>
        <filter val="11.90"/>
        <filter val="114.60"/>
        <filter val="12.20"/>
        <filter val="12.60"/>
        <filter val="12.70"/>
        <filter val="128.80"/>
        <filter val="13.00"/>
        <filter val="13.20"/>
        <filter val="13.50"/>
        <filter val="13.60"/>
        <filter val="13.70"/>
        <filter val="14.00"/>
        <filter val="14.20"/>
        <filter val="14.50"/>
        <filter val="15.00"/>
        <filter val="15.20"/>
        <filter val="15.50"/>
        <filter val="16.50"/>
        <filter val="16.80"/>
        <filter val="17.30"/>
        <filter val="17.50"/>
        <filter val="17.80"/>
        <filter val="18.30"/>
        <filter val="18.50"/>
        <filter val="18.80"/>
        <filter val="19.10"/>
        <filter val="19.80"/>
        <filter val="2.00"/>
        <filter val="2.10"/>
        <filter val="2.20"/>
        <filter val="2.30"/>
        <filter val="2.40"/>
        <filter val="2.50"/>
        <filter val="2.70"/>
        <filter val="2.80"/>
        <filter val="20.10"/>
        <filter val="20.30"/>
        <filter val="20.60"/>
        <filter val="20.80"/>
        <filter val="21.10"/>
        <filter val="21.30"/>
        <filter val="21.80"/>
        <filter val="22.10"/>
        <filter val="22.40"/>
        <filter val="22.90"/>
        <filter val="23.10"/>
        <filter val="23.60"/>
        <filter val="24.10"/>
        <filter val="24.40"/>
        <filter val="24.90"/>
        <filter val="25.40"/>
        <filter val="26.20"/>
        <filter val="26.40"/>
        <filter val="26.90"/>
        <filter val="27.70"/>
        <filter val="28.70"/>
        <filter val="29.20"/>
        <filter val="29.70"/>
        <filter val="3.00"/>
        <filter val="3.30"/>
        <filter val="3.50"/>
        <filter val="3.60"/>
        <filter val="3.70"/>
        <filter val="3.80"/>
        <filter val="30.00"/>
        <filter val="30.50"/>
        <filter val="30.70"/>
        <filter val="31.00"/>
        <filter val="31.80"/>
        <filter val="32.00"/>
        <filter val="32.30"/>
        <filter val="32.50"/>
        <filter val="32.80"/>
        <filter val="33.00"/>
        <filter val="33.30"/>
        <filter val="34.00"/>
        <filter val="34.30"/>
        <filter val="35.10"/>
        <filter val="35.30"/>
        <filter val="36.80"/>
        <filter val="37.10"/>
        <filter val="37.30"/>
        <filter val="37.60"/>
        <filter val="38.60"/>
        <filter val="38.90"/>
        <filter val="39.40"/>
        <filter val="39.60"/>
        <filter val="39.90"/>
        <filter val="4.00"/>
        <filter val="4.10"/>
        <filter val="4.20"/>
        <filter val="4.30"/>
        <filter val="4.60"/>
        <filter val="4.70"/>
        <filter val="4.80"/>
        <filter val="40.40"/>
        <filter val="40.90"/>
        <filter val="41.70"/>
        <filter val="41.90"/>
        <filter val="42.40"/>
        <filter val="42.90"/>
        <filter val="44.70"/>
        <filter val="46.00"/>
        <filter val="48.00"/>
        <filter val="48.80"/>
        <filter val="49.50"/>
        <filter val="5.00"/>
        <filter val="5.10"/>
        <filter val="5.30"/>
        <filter val="5.60"/>
        <filter val="5.80"/>
        <filter val="51.10"/>
        <filter val="52.10"/>
        <filter val="52.30"/>
        <filter val="53.10"/>
        <filter val="53.30"/>
        <filter val="54.10"/>
        <filter val="54.40"/>
        <filter val="55.90"/>
        <filter val="56.90"/>
        <filter val="59.70"/>
        <filter val="6.10"/>
        <filter val="6.40"/>
        <filter val="6.60"/>
        <filter val="6.90"/>
        <filter val="61.00"/>
        <filter val="64.00"/>
        <filter val="65.00"/>
        <filter val="65.80"/>
        <filter val="66.00"/>
        <filter val="67.10"/>
        <filter val="68.10"/>
        <filter val="68.30"/>
        <filter val="7.10"/>
        <filter val="7.20"/>
        <filter val="7.40"/>
        <filter val="7.50"/>
        <filter val="7.60"/>
        <filter val="7.90"/>
        <filter val="71.90"/>
        <filter val="73.40"/>
        <filter val="76.70"/>
        <filter val="8.10"/>
        <filter val="8.40"/>
        <filter val="8.50"/>
        <filter val="8.60"/>
        <filter val="8.70"/>
        <filter val="8.90"/>
        <filter val="82.50"/>
        <filter val="83.30"/>
        <filter val="9.00"/>
        <filter val="9.10"/>
        <filter val="9.40"/>
        <filter val="9.70"/>
        <filter val="9.90"/>
      </filters>
    </filterColumn>
    <filterColumn colId="5">
      <filters>
        <filter val="OK"/>
      </filters>
    </filterColumn>
    <filterColumn colId="6">
      <filters>
        <filter val="OK"/>
      </filters>
    </filterColumn>
    <filterColumn colId="7">
      <filters>
        <filter val="OK"/>
      </filters>
    </filterColumn>
  </autoFilter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65D7-14C3-4DE1-8EBC-8DF052BF3DD5}">
  <dimension ref="A1:C8"/>
  <sheetViews>
    <sheetView tabSelected="1" zoomScale="40" workbookViewId="0">
      <selection activeCell="J13" sqref="J13"/>
    </sheetView>
  </sheetViews>
  <sheetFormatPr defaultRowHeight="33.5" x14ac:dyDescent="0.75"/>
  <cols>
    <col min="1" max="16384" width="8.7265625" style="5"/>
  </cols>
  <sheetData>
    <row r="1" spans="1:3" x14ac:dyDescent="0.75">
      <c r="A1" s="5" t="s">
        <v>24</v>
      </c>
      <c r="C1" s="5" t="s">
        <v>25</v>
      </c>
    </row>
    <row r="2" spans="1:3" x14ac:dyDescent="0.75">
      <c r="A2" s="5" t="s">
        <v>26</v>
      </c>
      <c r="C2" s="5" t="s">
        <v>27</v>
      </c>
    </row>
    <row r="3" spans="1:3" x14ac:dyDescent="0.75">
      <c r="A3" s="5" t="s">
        <v>28</v>
      </c>
    </row>
    <row r="8" spans="1:3" x14ac:dyDescent="0.75">
      <c r="A8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Sheet9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Kunsh Bali</dc:creator>
  <cp:lastModifiedBy>Kunsh Bali</cp:lastModifiedBy>
  <dcterms:created xsi:type="dcterms:W3CDTF">2026-02-13T07:44:07Z</dcterms:created>
  <dcterms:modified xsi:type="dcterms:W3CDTF">2026-02-13T10:11:05Z</dcterms:modified>
</cp:coreProperties>
</file>